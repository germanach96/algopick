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DASHBOARD" sheetId="1" state="visible" r:id="rId1"/>
    <sheet name="CONSENSUS" sheetId="2" state="visible" r:id="rId2"/>
    <sheet name="BESTFIT" sheetId="3" state="visible" r:id="rId3"/>
    <sheet name="ALGO" sheetId="4" state="visible" r:id="rId4"/>
    <sheet name="ADHOC" sheetId="5" state="visible" r:id="rId5"/>
    <sheet name="_CALC" sheetId="6" state="visible" r:id="rId6"/>
  </sheets>
  <definedNames/>
  <calcPr calcId="191029" fullCalcOnLoad="1" concurrentManualCount="8"/>
</workbook>
</file>

<file path=xl/styles.xml><?xml version="1.0" encoding="utf-8"?>
<styleSheet xmlns="http://schemas.openxmlformats.org/spreadsheetml/2006/main">
  <numFmts count="1">
    <numFmt numFmtId="164" formatCode="#,##0;[Red]-#,##0;-"/>
  </numFmts>
  <fonts count="13">
    <font>
      <name val="Aptos Narrow"/>
      <family val="2"/>
      <color theme="1"/>
      <sz val="11"/>
      <scheme val="minor"/>
    </font>
    <font>
      <name val="Arial"/>
      <color rgb="0052514E"/>
      <sz val="9"/>
    </font>
    <font>
      <name val="Arial"/>
      <b val="1"/>
      <color rgb="001A1A19"/>
      <sz val="9"/>
    </font>
    <font>
      <name val="Arial"/>
      <color rgb="001A1A19"/>
      <sz val="9"/>
    </font>
    <font>
      <name val="Arial"/>
      <b val="1"/>
      <color rgb="0052514E"/>
      <sz val="9"/>
    </font>
    <font>
      <name val="Arial"/>
      <color rgb="001A1A19"/>
      <sz val="8"/>
    </font>
    <font>
      <name val="Arial"/>
      <color rgb="0052514E"/>
      <sz val="8"/>
    </font>
    <font>
      <name val="Arial"/>
      <b val="1"/>
      <color rgb="001A1A19"/>
      <sz val="16"/>
    </font>
    <font>
      <name val="Arial"/>
      <b val="1"/>
      <color rgb="001A1A19"/>
      <sz val="10"/>
    </font>
    <font>
      <name val="Arial"/>
      <b val="1"/>
      <color rgb="001A1A19"/>
      <sz val="11"/>
    </font>
    <font>
      <name val="Arial"/>
      <color rgb="001A1A19"/>
      <sz val="10"/>
    </font>
    <font>
      <name val="Arial"/>
      <i val="1"/>
      <color rgb="0052514E"/>
      <sz val="9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EFEFED"/>
      </patternFill>
    </fill>
  </fills>
  <borders count="2">
    <border>
      <left/>
      <right/>
      <top/>
      <bottom/>
      <diagonal/>
    </border>
    <border>
      <left style="thin">
        <color rgb="00D9D9D6"/>
      </left>
      <right style="thin">
        <color rgb="00D9D9D6"/>
      </right>
      <top style="thin">
        <color rgb="00D9D9D6"/>
      </top>
      <bottom style="thin">
        <color rgb="00D9D9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" fontId="9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10" fillId="0" borderId="0" pivotButton="0" quotePrefix="0" xfId="0"/>
    <xf numFmtId="0" fontId="10" fillId="2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1">
    <dxf>
      <font>
        <name val="Arial"/>
        <color rgb="00C9C9C6"/>
        <sz val="10"/>
      </font>
      <fill>
        <patternFill patternType="solid">
          <fgColor rgb="00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Comparativa de forecast  ·  CONSENSUS (continua) · BESTFIT (trazos) · ALGO (punteada)</a:t>
            </a:r>
          </a:p>
        </rich>
      </tx>
    </title>
    <plotArea>
      <lineChart>
        <grouping val="standard"/>
        <ser>
          <idx val="0"/>
          <order val="0"/>
          <tx>
            <strRef>
              <f>_CALC!$B$34</f>
            </strRef>
          </tx>
          <spPr>
            <a:ln w="34925">
              <a:solidFill>
                <a:srgbClr val="E34948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'_CALC'!$D$34:$O$34</f>
            </numRef>
          </val>
          <smooth val="0"/>
        </ser>
        <ser>
          <idx val="1"/>
          <order val="1"/>
          <tx>
            <strRef>
              <f>_CALC!$B$35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'_CALC'!$D$35:$O$35</f>
            </numRef>
          </val>
          <smooth val="0"/>
        </ser>
        <ser>
          <idx val="2"/>
          <order val="2"/>
          <tx>
            <strRef>
              <f>_CALC!$B$36</f>
            </strRef>
          </tx>
          <spPr>
            <a:ln w="15875">
              <a:solidFill>
                <a:srgbClr val="52514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'_CALC'!$D$36:$O$36</f>
            </numRef>
          </val>
          <smooth val="0"/>
        </ser>
        <ser>
          <idx val="3"/>
          <order val="3"/>
          <tx>
            <strRef>
              <f>_CALC!$B$37</f>
            </strRef>
          </tx>
          <spPr>
            <a:ln w="254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'_CALC'!$D$37:$O$37</f>
            </numRef>
          </val>
          <smooth val="0"/>
        </ser>
        <ser>
          <idx val="4"/>
          <order val="4"/>
          <tx>
            <strRef>
              <f>_CALC!$B$38</f>
            </strRef>
          </tx>
          <spPr>
            <a:ln w="22225">
              <a:solidFill>
                <a:srgbClr val="1BAF7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'_CALC'!$D$38:$O$38</f>
            </numRef>
          </val>
          <smooth val="0"/>
        </ser>
        <ser>
          <idx val="5"/>
          <order val="5"/>
          <tx>
            <strRef>
              <f>_CALC!$B$39</f>
            </strRef>
          </tx>
          <spPr>
            <a:ln w="22225">
              <a:solidFill>
                <a:srgbClr val="0083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'_CALC'!$D$39:$O$39</f>
            </numRef>
          </val>
          <smooth val="0"/>
        </ser>
        <ser>
          <idx val="6"/>
          <order val="6"/>
          <tx>
            <strRef>
              <f>_CALC!$B$40</f>
            </strRef>
          </tx>
          <spPr>
            <a:ln w="22225">
              <a:solidFill>
                <a:srgbClr val="EDA1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'_CALC'!$D$40:$O$40</f>
            </numRef>
          </val>
          <smooth val="0"/>
        </ser>
        <ser>
          <idx val="7"/>
          <order val="7"/>
          <tx>
            <strRef>
              <f>_CALC!$B$41</f>
            </strRef>
          </tx>
          <spPr>
            <a:ln w="15875">
              <a:solidFill>
                <a:srgbClr val="2A78D6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'_CALC'!$D$41:$O$41</f>
            </numRef>
          </val>
          <smooth val="0"/>
        </ser>
        <ser>
          <idx val="8"/>
          <order val="8"/>
          <tx>
            <strRef>
              <f>_CALC!$B$42</f>
            </strRef>
          </tx>
          <spPr>
            <a:ln w="15875">
              <a:solidFill>
                <a:srgbClr val="EB6834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'_CALC'!$D$42:$O$42</f>
            </numRef>
          </val>
          <smooth val="0"/>
        </ser>
        <ser>
          <idx val="9"/>
          <order val="9"/>
          <tx>
            <strRef>
              <f>_CALC!$B$43</f>
            </strRef>
          </tx>
          <spPr>
            <a:ln w="15875">
              <a:solidFill>
                <a:srgbClr val="1BAF7A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'_CALC'!$D$43:$O$43</f>
            </numRef>
          </val>
          <smooth val="0"/>
        </ser>
        <ser>
          <idx val="10"/>
          <order val="10"/>
          <tx>
            <strRef>
              <f>_CALC!$B$44</f>
            </strRef>
          </tx>
          <spPr>
            <a:ln w="15875">
              <a:solidFill>
                <a:srgbClr val="EDA1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'_CALC'!$D$44:$O$44</f>
            </numRef>
          </val>
          <smooth val="0"/>
        </ser>
        <ser>
          <idx val="11"/>
          <order val="11"/>
          <tx>
            <strRef>
              <f>_CALC!$B$45</f>
            </strRef>
          </tx>
          <spPr>
            <a:ln w="15875">
              <a:solidFill>
                <a:srgbClr val="E87BA4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'_CALC'!$D$45:$O$45</f>
            </numRef>
          </val>
          <smooth val="0"/>
        </ser>
        <ser>
          <idx val="12"/>
          <order val="12"/>
          <tx>
            <strRef>
              <f>_CALC!$B$46</f>
            </strRef>
          </tx>
          <spPr>
            <a:ln w="15875">
              <a:solidFill>
                <a:srgbClr val="0083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'_CALC'!$D$46:$O$46</f>
            </numRef>
          </val>
          <smooth val="0"/>
        </ser>
        <ser>
          <idx val="13"/>
          <order val="13"/>
          <tx>
            <strRef>
              <f>_CALC!$B$47</f>
            </strRef>
          </tx>
          <spPr>
            <a:ln w="15875">
              <a:solidFill>
                <a:srgbClr val="4A3AA7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'_CALC'!$D$47:$O$47</f>
            </numRef>
          </val>
          <smooth val="0"/>
        </ser>
        <ser>
          <idx val="14"/>
          <order val="14"/>
          <tx>
            <strRef>
              <f>_CALC!$B$48</f>
            </strRef>
          </tx>
          <spPr>
            <a:ln w="15875">
              <a:solidFill>
                <a:srgbClr val="E34948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'_CALC'!$D$48:$O$48</f>
            </numRef>
          </val>
          <smooth val="0"/>
        </ser>
        <ser>
          <idx val="15"/>
          <order val="15"/>
          <tx>
            <strRef>
              <f>_CALC!$B$49</f>
            </strRef>
          </tx>
          <spPr>
            <a:ln w="15875">
              <a:solidFill>
                <a:srgbClr val="2A78D6"/>
              </a:solidFill>
              <a:prstDash val="sysDash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'_CALC'!$D$49:$O$49</f>
            </numRef>
          </val>
          <smooth val="0"/>
        </ser>
        <ser>
          <idx val="16"/>
          <order val="16"/>
          <tx>
            <strRef>
              <f>_CALC!$B$50</f>
            </strRef>
          </tx>
          <spPr>
            <a:ln w="15875">
              <a:solidFill>
                <a:srgbClr val="EB6834"/>
              </a:solidFill>
              <a:prstDash val="sysDashDot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'_CALC'!$D$50:$O$50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BFBFBC"/>
            </a:solidFill>
            <a:prstDash val="solid"/>
          </a:ln>
        </spPr>
        <txPr>
          <a:bodyPr/>
          <a:p>
            <a:pPr>
              <a:defRPr sz="8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8E8E6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numFmt formatCode="#,##0" sourceLinked="0"/>
        <majorTickMark val="none"/>
        <minorTickMark val="none"/>
        <spPr>
          <a:ln w="9525">
            <a:solidFill>
              <a:srgbClr val="BFBFBC"/>
            </a:solidFill>
            <a:prstDash val="solid"/>
          </a:ln>
        </spPr>
        <txPr>
          <a:bodyPr/>
          <a:p>
            <a:pPr>
              <a:defRPr sz="8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simulado  ·  el consensus se mueve lo mismo que el System FC</a:t>
            </a:r>
          </a:p>
        </rich>
      </tx>
    </title>
    <plotArea>
      <lineChart>
        <grouping val="standard"/>
        <ser>
          <idx val="0"/>
          <order val="0"/>
          <tx>
            <strRef>
              <f>_CALC!$B$163</f>
            </strRef>
          </tx>
          <spPr>
            <a:ln w="38100">
              <a:solidFill>
                <a:srgbClr val="E34948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'_CALC'!$D$163:$O$163</f>
            </numRef>
          </val>
          <smooth val="0"/>
        </ser>
        <ser>
          <idx val="1"/>
          <order val="1"/>
          <tx>
            <strRef>
              <f>_CALC!$B$164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'_CALC'!$D$164:$O$164</f>
            </numRef>
          </val>
          <smooth val="0"/>
        </ser>
        <ser>
          <idx val="2"/>
          <order val="2"/>
          <tx>
            <strRef>
              <f>_CALC!$B$165</f>
            </strRef>
          </tx>
          <spPr>
            <a:ln w="1587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'_CALC'!$D$165:$O$165</f>
            </numRef>
          </val>
          <smooth val="0"/>
        </ser>
        <ser>
          <idx val="3"/>
          <order val="3"/>
          <tx>
            <strRef>
              <f>_CALC!$B$166</f>
            </strRef>
          </tx>
          <spPr>
            <a:ln w="15875">
              <a:solidFill>
                <a:srgbClr val="52514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'_CALC'!$D$166:$O$166</f>
            </numRef>
          </val>
          <smooth val="0"/>
        </ser>
        <ser>
          <idx val="4"/>
          <order val="4"/>
          <tx>
            <strRef>
              <f>_CALC!$B$167</f>
            </strRef>
          </tx>
          <spPr>
            <a:ln w="25400">
              <a:solidFill>
                <a:srgbClr val="4A3AA7"/>
              </a:solidFill>
              <a:prstDash val="dash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'_CALC'!$D$167:$O$167</f>
            </numRef>
          </val>
          <smooth val="0"/>
        </ser>
        <ser>
          <idx val="5"/>
          <order val="5"/>
          <tx>
            <strRef>
              <f>_CALC!$B$168</f>
            </strRef>
          </tx>
          <spPr>
            <a:ln w="19050">
              <a:solidFill>
                <a:srgbClr val="EDA1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_CALC!$D$31:$O$31</f>
            </strRef>
          </cat>
          <val>
            <numRef>
              <f>'_CALC'!$D$168:$O$168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BFBFBC"/>
            </a:solidFill>
            <a:prstDash val="solid"/>
          </a:ln>
        </spPr>
        <txPr>
          <a:bodyPr/>
          <a:p>
            <a:pPr>
              <a:defRPr sz="8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E8E8E6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numFmt formatCode="#,##0" sourceLinked="0"/>
        <majorTickMark val="none"/>
        <minorTickMark val="none"/>
        <spPr>
          <a:ln w="9525">
            <a:solidFill>
              <a:srgbClr val="BFBFBC"/>
            </a:solidFill>
            <a:prstDash val="solid"/>
          </a:ln>
        </spPr>
        <txPr>
          <a:bodyPr/>
          <a:p>
            <a:pPr>
              <a:defRPr sz="8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800"/>
          </a:p>
        </txPr>
        <crossAx val="10"/>
      </valAx>
    </plotArea>
    <legend>
      <legendPos val="b"/>
      <overlay val="0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12600000" cy="48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64</row>
      <rowOff>0</rowOff>
    </from>
    <ext cx="126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1"/>
  <sheetViews>
    <sheetView showGridLines="0" workbookViewId="0">
      <pane ySplit="10" topLeftCell="A11" activePane="bottomLeft" state="frozen"/>
      <selection pane="bottomLeft" activeCell="G13" sqref="G13"/>
    </sheetView>
  </sheetViews>
  <sheetFormatPr baseColWidth="8" defaultRowHeight="14.5"/>
  <cols>
    <col width="2" customWidth="1" min="1" max="1"/>
    <col width="26" customWidth="1" min="2" max="2"/>
    <col width="22" customWidth="1" min="3" max="3"/>
    <col width="26" customWidth="1" min="4" max="4"/>
    <col width="26" customWidth="1" min="5" max="5"/>
    <col width="34" customWidth="1" min="6" max="6"/>
    <col width="20" customWidth="1" min="7" max="7"/>
    <col width="18" customWidth="1" min="8" max="8"/>
    <col width="22" customWidth="1" min="9" max="9"/>
    <col width="16" customWidth="1" min="10" max="10"/>
    <col width="14" customWidth="1" min="11" max="11"/>
  </cols>
  <sheetData>
    <row r="2">
      <c r="B2" s="2" t="inlineStr">
        <is>
          <t>ALGOPICK — COMPARADOR DE FORECAST</t>
        </is>
      </c>
    </row>
    <row r="3">
      <c r="B3" s="3" t="inlineStr">
        <is>
          <t>Todas las alternativas de forecast por intersección EAN–CFG, y simulación del consensus al cambiar el System FC.</t>
        </is>
      </c>
    </row>
    <row r="5">
      <c r="B5" s="4" t="inlineStr">
        <is>
          <t>EAN</t>
        </is>
      </c>
      <c r="C5" s="5" t="n">
        <v>3614229382112</v>
      </c>
      <c r="D5" s="6" t="inlineStr">
        <is>
          <t>← escribe aquí el EAN</t>
        </is>
      </c>
      <c r="F5" s="7" t="inlineStr">
        <is>
          <t>Descripción</t>
        </is>
      </c>
      <c r="G5" s="4">
        <f>_CALC!$F$23</f>
        <v/>
      </c>
    </row>
    <row r="6">
      <c r="B6" s="4" t="inlineStr">
        <is>
          <t>CFG a graficar</t>
        </is>
      </c>
      <c r="C6" s="8" t="inlineStr">
        <is>
          <t>(TODOS)</t>
        </is>
      </c>
      <c r="D6" s="6" t="inlineStr">
        <is>
          <t>← "(TODOS)" = combinado</t>
        </is>
      </c>
      <c r="F6" s="7" t="inlineStr">
        <is>
          <t>House / Brand</t>
        </is>
      </c>
      <c r="G6" s="9">
        <f>_CALC!$F$20&amp;" / "&amp;_CALC!$F$21</f>
        <v/>
      </c>
    </row>
    <row r="7">
      <c r="B7" s="4" t="inlineStr">
        <is>
          <t>Versión actual</t>
        </is>
      </c>
      <c r="C7" s="10" t="inlineStr">
        <is>
          <t>CurrentWorkingView</t>
        </is>
      </c>
      <c r="D7" s="6" t="inlineStr">
        <is>
          <t>← versión de trabajo</t>
        </is>
      </c>
      <c r="F7" s="7" t="inlineStr">
        <is>
          <t>Product Line</t>
        </is>
      </c>
      <c r="G7" s="9">
        <f>_CALC!$F$22</f>
        <v/>
      </c>
    </row>
    <row r="8">
      <c r="B8" s="4" t="inlineStr">
        <is>
          <t>Versión snapshot</t>
        </is>
      </c>
      <c r="C8" s="10">
        <f>_CALC!$F$16</f>
        <v/>
      </c>
      <c r="D8" s="6" t="inlineStr">
        <is>
          <t>← auto; puedes sobrescribir</t>
        </is>
      </c>
      <c r="F8" s="7" t="inlineStr">
        <is>
          <t>Estado</t>
        </is>
      </c>
      <c r="G8" s="4">
        <f>IF(_CALC!$F$14=0,"EAN NO ENCONTRADO en CONSENSUS","OK · "&amp;_CALC!$F$14&amp;" filas · "&amp;_CALC!$B$9&amp;" CFG · "&amp;_CALC!$B$8&amp;" meses")</f>
        <v/>
      </c>
    </row>
    <row r="9">
      <c r="B9" s="4" t="inlineStr">
        <is>
          <t>Primer mes futuro</t>
        </is>
      </c>
      <c r="C9" s="10">
        <f>_CALC!$F$17</f>
        <v/>
      </c>
      <c r="D9" s="6" t="inlineStr">
        <is>
          <t>← auto (snapshot + 1 mes)</t>
        </is>
      </c>
      <c r="F9" s="7" t="inlineStr">
        <is>
          <t>Meses del eje X</t>
        </is>
      </c>
      <c r="G9" s="9">
        <f>IF(_CALC!$B$8=0,"—",_CALC!$D$26&amp;"  →  "&amp;INDEX(_CALC!$D$26:$AM$26,_CALC!$B$8))</f>
        <v/>
      </c>
    </row>
    <row r="10">
      <c r="B10" s="11">
        <f>IF(_CALC!$B$8&lt;&gt;12,"AVISO: los gráficos están dibujados sobre 12 meses y la cabecera trae ahora "&amp;_CALC!$B$8&amp;". Amplía el rango de las series de ambos gráficos (_CALC, filas 34-50 y 163-168).",IF(_CALC!$F$18&gt;10,"AVISO: este EAN tiene "&amp;_CALC!$F$18&amp;" algoritmos activos y el gráfico 1 sólo dibuja 10. Añade series apuntando a _CALC filas 51 en adelante.",""))</f>
        <v/>
      </c>
    </row>
    <row r="11">
      <c r="B11" s="12" t="inlineStr">
        <is>
          <t>DATOS MAESTROS POR INTERSECCIÓN  ·  pestaña ADHOC</t>
        </is>
      </c>
    </row>
    <row r="12" ht="30" customHeight="1">
      <c r="B12" s="13" t="inlineStr">
        <is>
          <t>CFG</t>
        </is>
      </c>
      <c r="C12" s="13" t="inlineStr">
        <is>
          <t>Final Segment</t>
        </is>
      </c>
      <c r="D12" s="13" t="inlineStr">
        <is>
          <t>System Bestfit Algorithm</t>
        </is>
      </c>
      <c r="E12" s="13" t="inlineStr">
        <is>
          <t>Planner Bestfit Algorithm</t>
        </is>
      </c>
      <c r="F12" s="13" t="inlineStr">
        <is>
          <t>System Assigned Algorithm List</t>
        </is>
      </c>
      <c r="G12" s="13" t="inlineStr">
        <is>
          <t>Planner Additions</t>
        </is>
      </c>
      <c r="H12" s="13" t="inlineStr">
        <is>
          <t>System BestFit Final</t>
        </is>
      </c>
      <c r="I12" s="13" t="inlineStr">
        <is>
          <t>BestFit vigente (1er → últ. mes)</t>
        </is>
      </c>
    </row>
    <row r="13">
      <c r="B13" s="14">
        <f>IF(_CALC!$B$113="","",_CALC!$B$113)</f>
        <v/>
      </c>
      <c r="C13" s="15">
        <f>IF(_CALC!$C$113=0,"",IFERROR(INDEX(ADHOC!$A$2:$BZ$20001,_CALC!$C$113,MATCH("Final Segment",ADHOC!$1:$1,0)),""))</f>
        <v/>
      </c>
      <c r="D13" s="15">
        <f>IF(_CALC!$C$113=0,"",IFERROR(INDEX(ADHOC!$A$2:$BZ$20001,_CALC!$C$113,MATCH("System Bestfit Algorithm",ADHOC!$1:$1,0)),""))</f>
        <v/>
      </c>
      <c r="E13" s="15">
        <f>IF(_CALC!$C$113=0,"",IFERROR(INDEX(ADHOC!$A$2:$BZ$20001,_CALC!$C$113,MATCH("Planner Bestfit Algorithm",ADHOC!$1:$1,0)),""))</f>
        <v/>
      </c>
      <c r="F13" s="15">
        <f>IF(_CALC!$C$113=0,"",IFERROR(INDEX(ADHOC!$A$2:$BZ$20001,_CALC!$C$113,MATCH("System Assigned Algorithm List",ADHOC!$1:$1,0)),""))</f>
        <v/>
      </c>
      <c r="G13" s="15">
        <f>IF(_CALC!$C$113=0,"",IFERROR(INDEX(ADHOC!$A$2:$BZ$20001,_CALC!$C$113,MATCH("Planner Additions",ADHOC!$1:$1,0)),""))</f>
        <v/>
      </c>
      <c r="H13" s="15">
        <f>IF(_CALC!$C$113=0,"",IFERROR(INDEX(ADHOC!$A$2:$BZ$20001,_CALC!$C$113,MATCH("System BestFit Final",ADHOC!$1:$1,0)),""))</f>
        <v/>
      </c>
      <c r="I13" s="15">
        <f>IF(_CALC!$B$113="","",_CALC!$H$113)</f>
        <v/>
      </c>
    </row>
    <row r="14">
      <c r="B14" s="14">
        <f>IF(_CALC!$B$114="","",_CALC!$B$114)</f>
        <v/>
      </c>
      <c r="C14" s="15">
        <f>IF(_CALC!$C$114=0,"",IFERROR(INDEX(ADHOC!$A$2:$BZ$20001,_CALC!$C$114,MATCH("Final Segment",ADHOC!$1:$1,0)),""))</f>
        <v/>
      </c>
      <c r="D14" s="15">
        <f>IF(_CALC!$C$114=0,"",IFERROR(INDEX(ADHOC!$A$2:$BZ$20001,_CALC!$C$114,MATCH("System Bestfit Algorithm",ADHOC!$1:$1,0)),""))</f>
        <v/>
      </c>
      <c r="E14" s="15">
        <f>IF(_CALC!$C$114=0,"",IFERROR(INDEX(ADHOC!$A$2:$BZ$20001,_CALC!$C$114,MATCH("Planner Bestfit Algorithm",ADHOC!$1:$1,0)),""))</f>
        <v/>
      </c>
      <c r="F14" s="15">
        <f>IF(_CALC!$C$114=0,"",IFERROR(INDEX(ADHOC!$A$2:$BZ$20001,_CALC!$C$114,MATCH("System Assigned Algorithm List",ADHOC!$1:$1,0)),""))</f>
        <v/>
      </c>
      <c r="G14" s="15">
        <f>IF(_CALC!$C$114=0,"",IFERROR(INDEX(ADHOC!$A$2:$BZ$20001,_CALC!$C$114,MATCH("Planner Additions",ADHOC!$1:$1,0)),""))</f>
        <v/>
      </c>
      <c r="H14" s="15">
        <f>IF(_CALC!$C$114=0,"",IFERROR(INDEX(ADHOC!$A$2:$BZ$20001,_CALC!$C$114,MATCH("System BestFit Final",ADHOC!$1:$1,0)),""))</f>
        <v/>
      </c>
      <c r="I14" s="15">
        <f>IF(_CALC!$B$114="","",_CALC!$H$114)</f>
        <v/>
      </c>
    </row>
    <row r="15">
      <c r="B15" s="14">
        <f>IF(_CALC!$B$115="","",_CALC!$B$115)</f>
        <v/>
      </c>
      <c r="C15" s="15">
        <f>IF(_CALC!$C$115=0,"",IFERROR(INDEX(ADHOC!$A$2:$BZ$20001,_CALC!$C$115,MATCH("Final Segment",ADHOC!$1:$1,0)),""))</f>
        <v/>
      </c>
      <c r="D15" s="15">
        <f>IF(_CALC!$C$115=0,"",IFERROR(INDEX(ADHOC!$A$2:$BZ$20001,_CALC!$C$115,MATCH("System Bestfit Algorithm",ADHOC!$1:$1,0)),""))</f>
        <v/>
      </c>
      <c r="E15" s="15">
        <f>IF(_CALC!$C$115=0,"",IFERROR(INDEX(ADHOC!$A$2:$BZ$20001,_CALC!$C$115,MATCH("Planner Bestfit Algorithm",ADHOC!$1:$1,0)),""))</f>
        <v/>
      </c>
      <c r="F15" s="15">
        <f>IF(_CALC!$C$115=0,"",IFERROR(INDEX(ADHOC!$A$2:$BZ$20001,_CALC!$C$115,MATCH("System Assigned Algorithm List",ADHOC!$1:$1,0)),""))</f>
        <v/>
      </c>
      <c r="G15" s="15">
        <f>IF(_CALC!$C$115=0,"",IFERROR(INDEX(ADHOC!$A$2:$BZ$20001,_CALC!$C$115,MATCH("Planner Additions",ADHOC!$1:$1,0)),""))</f>
        <v/>
      </c>
      <c r="H15" s="15">
        <f>IF(_CALC!$C$115=0,"",IFERROR(INDEX(ADHOC!$A$2:$BZ$20001,_CALC!$C$115,MATCH("System BestFit Final",ADHOC!$1:$1,0)),""))</f>
        <v/>
      </c>
      <c r="I15" s="15">
        <f>IF(_CALC!$B$115="","",_CALC!$H$115)</f>
        <v/>
      </c>
    </row>
    <row r="16">
      <c r="B16" s="14">
        <f>IF(_CALC!$B$116="","",_CALC!$B$116)</f>
        <v/>
      </c>
      <c r="C16" s="15">
        <f>IF(_CALC!$C$116=0,"",IFERROR(INDEX(ADHOC!$A$2:$BZ$20001,_CALC!$C$116,MATCH("Final Segment",ADHOC!$1:$1,0)),""))</f>
        <v/>
      </c>
      <c r="D16" s="15">
        <f>IF(_CALC!$C$116=0,"",IFERROR(INDEX(ADHOC!$A$2:$BZ$20001,_CALC!$C$116,MATCH("System Bestfit Algorithm",ADHOC!$1:$1,0)),""))</f>
        <v/>
      </c>
      <c r="E16" s="15">
        <f>IF(_CALC!$C$116=0,"",IFERROR(INDEX(ADHOC!$A$2:$BZ$20001,_CALC!$C$116,MATCH("Planner Bestfit Algorithm",ADHOC!$1:$1,0)),""))</f>
        <v/>
      </c>
      <c r="F16" s="15">
        <f>IF(_CALC!$C$116=0,"",IFERROR(INDEX(ADHOC!$A$2:$BZ$20001,_CALC!$C$116,MATCH("System Assigned Algorithm List",ADHOC!$1:$1,0)),""))</f>
        <v/>
      </c>
      <c r="G16" s="15">
        <f>IF(_CALC!$C$116=0,"",IFERROR(INDEX(ADHOC!$A$2:$BZ$20001,_CALC!$C$116,MATCH("Planner Additions",ADHOC!$1:$1,0)),""))</f>
        <v/>
      </c>
      <c r="H16" s="15">
        <f>IF(_CALC!$C$116=0,"",IFERROR(INDEX(ADHOC!$A$2:$BZ$20001,_CALC!$C$116,MATCH("System BestFit Final",ADHOC!$1:$1,0)),""))</f>
        <v/>
      </c>
      <c r="I16" s="15">
        <f>IF(_CALC!$B$116="","",_CALC!$H$116)</f>
        <v/>
      </c>
    </row>
    <row r="17">
      <c r="B17" s="14">
        <f>IF(_CALC!$B$117="","",_CALC!$B$117)</f>
        <v/>
      </c>
      <c r="C17" s="15">
        <f>IF(_CALC!$C$117=0,"",IFERROR(INDEX(ADHOC!$A$2:$BZ$20001,_CALC!$C$117,MATCH("Final Segment",ADHOC!$1:$1,0)),""))</f>
        <v/>
      </c>
      <c r="D17" s="15">
        <f>IF(_CALC!$C$117=0,"",IFERROR(INDEX(ADHOC!$A$2:$BZ$20001,_CALC!$C$117,MATCH("System Bestfit Algorithm",ADHOC!$1:$1,0)),""))</f>
        <v/>
      </c>
      <c r="E17" s="15">
        <f>IF(_CALC!$C$117=0,"",IFERROR(INDEX(ADHOC!$A$2:$BZ$20001,_CALC!$C$117,MATCH("Planner Bestfit Algorithm",ADHOC!$1:$1,0)),""))</f>
        <v/>
      </c>
      <c r="F17" s="15">
        <f>IF(_CALC!$C$117=0,"",IFERROR(INDEX(ADHOC!$A$2:$BZ$20001,_CALC!$C$117,MATCH("System Assigned Algorithm List",ADHOC!$1:$1,0)),""))</f>
        <v/>
      </c>
      <c r="G17" s="15">
        <f>IF(_CALC!$C$117=0,"",IFERROR(INDEX(ADHOC!$A$2:$BZ$20001,_CALC!$C$117,MATCH("Planner Additions",ADHOC!$1:$1,0)),""))</f>
        <v/>
      </c>
      <c r="H17" s="15">
        <f>IF(_CALC!$C$117=0,"",IFERROR(INDEX(ADHOC!$A$2:$BZ$20001,_CALC!$C$117,MATCH("System BestFit Final",ADHOC!$1:$1,0)),""))</f>
        <v/>
      </c>
      <c r="I17" s="15">
        <f>IF(_CALC!$B$117="","",_CALC!$H$117)</f>
        <v/>
      </c>
    </row>
    <row r="18">
      <c r="B18" s="14">
        <f>IF(_CALC!$B$118="","",_CALC!$B$118)</f>
        <v/>
      </c>
      <c r="C18" s="15">
        <f>IF(_CALC!$C$118=0,"",IFERROR(INDEX(ADHOC!$A$2:$BZ$20001,_CALC!$C$118,MATCH("Final Segment",ADHOC!$1:$1,0)),""))</f>
        <v/>
      </c>
      <c r="D18" s="15">
        <f>IF(_CALC!$C$118=0,"",IFERROR(INDEX(ADHOC!$A$2:$BZ$20001,_CALC!$C$118,MATCH("System Bestfit Algorithm",ADHOC!$1:$1,0)),""))</f>
        <v/>
      </c>
      <c r="E18" s="15">
        <f>IF(_CALC!$C$118=0,"",IFERROR(INDEX(ADHOC!$A$2:$BZ$20001,_CALC!$C$118,MATCH("Planner Bestfit Algorithm",ADHOC!$1:$1,0)),""))</f>
        <v/>
      </c>
      <c r="F18" s="15">
        <f>IF(_CALC!$C$118=0,"",IFERROR(INDEX(ADHOC!$A$2:$BZ$20001,_CALC!$C$118,MATCH("System Assigned Algorithm List",ADHOC!$1:$1,0)),""))</f>
        <v/>
      </c>
      <c r="G18" s="15">
        <f>IF(_CALC!$C$118=0,"",IFERROR(INDEX(ADHOC!$A$2:$BZ$20001,_CALC!$C$118,MATCH("Planner Additions",ADHOC!$1:$1,0)),""))</f>
        <v/>
      </c>
      <c r="H18" s="15">
        <f>IF(_CALC!$C$118=0,"",IFERROR(INDEX(ADHOC!$A$2:$BZ$20001,_CALC!$C$118,MATCH("System BestFit Final",ADHOC!$1:$1,0)),""))</f>
        <v/>
      </c>
      <c r="I18" s="15">
        <f>IF(_CALC!$B$118="","",_CALC!$H$118)</f>
        <v/>
      </c>
    </row>
    <row r="19">
      <c r="B19" s="14">
        <f>IF(_CALC!$B$119="","",_CALC!$B$119)</f>
        <v/>
      </c>
      <c r="C19" s="15">
        <f>IF(_CALC!$C$119=0,"",IFERROR(INDEX(ADHOC!$A$2:$BZ$20001,_CALC!$C$119,MATCH("Final Segment",ADHOC!$1:$1,0)),""))</f>
        <v/>
      </c>
      <c r="D19" s="15">
        <f>IF(_CALC!$C$119=0,"",IFERROR(INDEX(ADHOC!$A$2:$BZ$20001,_CALC!$C$119,MATCH("System Bestfit Algorithm",ADHOC!$1:$1,0)),""))</f>
        <v/>
      </c>
      <c r="E19" s="15">
        <f>IF(_CALC!$C$119=0,"",IFERROR(INDEX(ADHOC!$A$2:$BZ$20001,_CALC!$C$119,MATCH("Planner Bestfit Algorithm",ADHOC!$1:$1,0)),""))</f>
        <v/>
      </c>
      <c r="F19" s="15">
        <f>IF(_CALC!$C$119=0,"",IFERROR(INDEX(ADHOC!$A$2:$BZ$20001,_CALC!$C$119,MATCH("System Assigned Algorithm List",ADHOC!$1:$1,0)),""))</f>
        <v/>
      </c>
      <c r="G19" s="15">
        <f>IF(_CALC!$C$119=0,"",IFERROR(INDEX(ADHOC!$A$2:$BZ$20001,_CALC!$C$119,MATCH("Planner Additions",ADHOC!$1:$1,0)),""))</f>
        <v/>
      </c>
      <c r="H19" s="15">
        <f>IF(_CALC!$C$119=0,"",IFERROR(INDEX(ADHOC!$A$2:$BZ$20001,_CALC!$C$119,MATCH("System BestFit Final",ADHOC!$1:$1,0)),""))</f>
        <v/>
      </c>
      <c r="I19" s="15">
        <f>IF(_CALC!$B$119="","",_CALC!$H$119)</f>
        <v/>
      </c>
    </row>
    <row r="20">
      <c r="B20" s="14">
        <f>IF(_CALC!$B$120="","",_CALC!$B$120)</f>
        <v/>
      </c>
      <c r="C20" s="15">
        <f>IF(_CALC!$C$120=0,"",IFERROR(INDEX(ADHOC!$A$2:$BZ$20001,_CALC!$C$120,MATCH("Final Segment",ADHOC!$1:$1,0)),""))</f>
        <v/>
      </c>
      <c r="D20" s="15">
        <f>IF(_CALC!$C$120=0,"",IFERROR(INDEX(ADHOC!$A$2:$BZ$20001,_CALC!$C$120,MATCH("System Bestfit Algorithm",ADHOC!$1:$1,0)),""))</f>
        <v/>
      </c>
      <c r="E20" s="15">
        <f>IF(_CALC!$C$120=0,"",IFERROR(INDEX(ADHOC!$A$2:$BZ$20001,_CALC!$C$120,MATCH("Planner Bestfit Algorithm",ADHOC!$1:$1,0)),""))</f>
        <v/>
      </c>
      <c r="F20" s="15">
        <f>IF(_CALC!$C$120=0,"",IFERROR(INDEX(ADHOC!$A$2:$BZ$20001,_CALC!$C$120,MATCH("System Assigned Algorithm List",ADHOC!$1:$1,0)),""))</f>
        <v/>
      </c>
      <c r="G20" s="15">
        <f>IF(_CALC!$C$120=0,"",IFERROR(INDEX(ADHOC!$A$2:$BZ$20001,_CALC!$C$120,MATCH("Planner Additions",ADHOC!$1:$1,0)),""))</f>
        <v/>
      </c>
      <c r="H20" s="15">
        <f>IF(_CALC!$C$120=0,"",IFERROR(INDEX(ADHOC!$A$2:$BZ$20001,_CALC!$C$120,MATCH("System BestFit Final",ADHOC!$1:$1,0)),""))</f>
        <v/>
      </c>
      <c r="I20" s="15">
        <f>IF(_CALC!$B$120="","",_CALC!$H$120)</f>
        <v/>
      </c>
    </row>
    <row r="22">
      <c r="B22" s="12" t="inlineStr">
        <is>
          <t>SIMULACIÓN  ·  elige un BestFit (y algoritmo si es ST) por intersección</t>
        </is>
      </c>
    </row>
    <row r="23" ht="30" customHeight="1">
      <c r="B23" s="13" t="inlineStr">
        <is>
          <t>CFG</t>
        </is>
      </c>
      <c r="C23" s="13" t="inlineStr">
        <is>
          <t>BestFit simulado</t>
        </is>
      </c>
      <c r="D23" s="13" t="inlineStr">
        <is>
          <t>Algoritmo simulado (sólo si ST)</t>
        </is>
      </c>
      <c r="E23" s="13" t="inlineStr">
        <is>
          <t>Curva que sustituye a System FC</t>
        </is>
      </c>
      <c r="F23" s="13" t="inlineStr">
        <is>
          <t>Estado</t>
        </is>
      </c>
      <c r="G23" s="13" t="inlineStr">
        <is>
          <t>Δ total meses futuros</t>
        </is>
      </c>
    </row>
    <row r="24">
      <c r="B24" s="14">
        <f>IF(_CALC!$B$113="","",_CALC!$B$113)</f>
        <v/>
      </c>
      <c r="C24" s="16" t="inlineStr">
        <is>
          <t>(SISTEMA)</t>
        </is>
      </c>
      <c r="D24" s="16" t="inlineStr">
        <is>
          <t>(ST BestFit)</t>
        </is>
      </c>
      <c r="E24" s="15">
        <f>IF(_CALC!$B$113="","",IF(_CALC!$K$113="","(sin cambio)",_CALC!$K$113))</f>
        <v/>
      </c>
      <c r="F24" s="15">
        <f>IF(_CALC!$B$113="","",_CALC!$M$113)</f>
        <v/>
      </c>
      <c r="G24" s="17">
        <f>IF(_CALC!$B$113="","",SUM(_CALC!$D$123:$AM$123)-SUM(_CALC!$D$133:$AM$133))</f>
        <v/>
      </c>
    </row>
    <row r="25">
      <c r="B25" s="14">
        <f>IF(_CALC!$B$114="","",_CALC!$B$114)</f>
        <v/>
      </c>
      <c r="C25" s="16" t="inlineStr">
        <is>
          <t>(SISTEMA)</t>
        </is>
      </c>
      <c r="D25" s="16" t="inlineStr">
        <is>
          <t>(ST BestFit)</t>
        </is>
      </c>
      <c r="E25" s="15">
        <f>IF(_CALC!$B$114="","",IF(_CALC!$K$114="","(sin cambio)",_CALC!$K$114))</f>
        <v/>
      </c>
      <c r="F25" s="15">
        <f>IF(_CALC!$B$114="","",_CALC!$M$114)</f>
        <v/>
      </c>
      <c r="G25" s="17">
        <f>IF(_CALC!$B$114="","",SUM(_CALC!$D$124:$AM$124)-SUM(_CALC!$D$134:$AM$134))</f>
        <v/>
      </c>
    </row>
    <row r="26">
      <c r="B26" s="14">
        <f>IF(_CALC!$B$115="","",_CALC!$B$115)</f>
        <v/>
      </c>
      <c r="C26" s="16" t="inlineStr">
        <is>
          <t>(SISTEMA)</t>
        </is>
      </c>
      <c r="D26" s="16" t="inlineStr">
        <is>
          <t>(ST BestFit)</t>
        </is>
      </c>
      <c r="E26" s="15">
        <f>IF(_CALC!$B$115="","",IF(_CALC!$K$115="","(sin cambio)",_CALC!$K$115))</f>
        <v/>
      </c>
      <c r="F26" s="15">
        <f>IF(_CALC!$B$115="","",_CALC!$M$115)</f>
        <v/>
      </c>
      <c r="G26" s="17">
        <f>IF(_CALC!$B$115="","",SUM(_CALC!$D$125:$AM$125)-SUM(_CALC!$D$135:$AM$135))</f>
        <v/>
      </c>
    </row>
    <row r="27">
      <c r="B27" s="14">
        <f>IF(_CALC!$B$116="","",_CALC!$B$116)</f>
        <v/>
      </c>
      <c r="C27" s="16" t="inlineStr">
        <is>
          <t>(SISTEMA)</t>
        </is>
      </c>
      <c r="D27" s="16" t="inlineStr">
        <is>
          <t>(ST BestFit)</t>
        </is>
      </c>
      <c r="E27" s="15">
        <f>IF(_CALC!$B$116="","",IF(_CALC!$K$116="","(sin cambio)",_CALC!$K$116))</f>
        <v/>
      </c>
      <c r="F27" s="15">
        <f>IF(_CALC!$B$116="","",_CALC!$M$116)</f>
        <v/>
      </c>
      <c r="G27" s="17">
        <f>IF(_CALC!$B$116="","",SUM(_CALC!$D$126:$AM$126)-SUM(_CALC!$D$136:$AM$136))</f>
        <v/>
      </c>
    </row>
    <row r="28">
      <c r="B28" s="14">
        <f>IF(_CALC!$B$117="","",_CALC!$B$117)</f>
        <v/>
      </c>
      <c r="C28" s="16" t="inlineStr">
        <is>
          <t>(SISTEMA)</t>
        </is>
      </c>
      <c r="D28" s="16" t="inlineStr">
        <is>
          <t>(ST BestFit)</t>
        </is>
      </c>
      <c r="E28" s="15">
        <f>IF(_CALC!$B$117="","",IF(_CALC!$K$117="","(sin cambio)",_CALC!$K$117))</f>
        <v/>
      </c>
      <c r="F28" s="15">
        <f>IF(_CALC!$B$117="","",_CALC!$M$117)</f>
        <v/>
      </c>
      <c r="G28" s="17">
        <f>IF(_CALC!$B$117="","",SUM(_CALC!$D$127:$AM$127)-SUM(_CALC!$D$137:$AM$137))</f>
        <v/>
      </c>
    </row>
    <row r="29">
      <c r="B29" s="14">
        <f>IF(_CALC!$B$118="","",_CALC!$B$118)</f>
        <v/>
      </c>
      <c r="C29" s="16" t="inlineStr">
        <is>
          <t>(SISTEMA)</t>
        </is>
      </c>
      <c r="D29" s="16" t="inlineStr">
        <is>
          <t>(ST BestFit)</t>
        </is>
      </c>
      <c r="E29" s="15">
        <f>IF(_CALC!$B$118="","",IF(_CALC!$K$118="","(sin cambio)",_CALC!$K$118))</f>
        <v/>
      </c>
      <c r="F29" s="15">
        <f>IF(_CALC!$B$118="","",_CALC!$M$118)</f>
        <v/>
      </c>
      <c r="G29" s="17">
        <f>IF(_CALC!$B$118="","",SUM(_CALC!$D$128:$AM$128)-SUM(_CALC!$D$138:$AM$138))</f>
        <v/>
      </c>
    </row>
    <row r="30">
      <c r="B30" s="14">
        <f>IF(_CALC!$B$119="","",_CALC!$B$119)</f>
        <v/>
      </c>
      <c r="C30" s="16" t="inlineStr">
        <is>
          <t>(SISTEMA)</t>
        </is>
      </c>
      <c r="D30" s="16" t="inlineStr">
        <is>
          <t>(ST BestFit)</t>
        </is>
      </c>
      <c r="E30" s="15">
        <f>IF(_CALC!$B$119="","",IF(_CALC!$K$119="","(sin cambio)",_CALC!$K$119))</f>
        <v/>
      </c>
      <c r="F30" s="15">
        <f>IF(_CALC!$B$119="","",_CALC!$M$119)</f>
        <v/>
      </c>
      <c r="G30" s="17">
        <f>IF(_CALC!$B$119="","",SUM(_CALC!$D$129:$AM$129)-SUM(_CALC!$D$139:$AM$139))</f>
        <v/>
      </c>
    </row>
    <row r="31">
      <c r="B31" s="14">
        <f>IF(_CALC!$B$120="","",_CALC!$B$120)</f>
        <v/>
      </c>
      <c r="C31" s="16" t="inlineStr">
        <is>
          <t>(SISTEMA)</t>
        </is>
      </c>
      <c r="D31" s="16" t="inlineStr">
        <is>
          <t>(ST BestFit)</t>
        </is>
      </c>
      <c r="E31" s="15">
        <f>IF(_CALC!$B$120="","",IF(_CALC!$K$120="","(sin cambio)",_CALC!$K$120))</f>
        <v/>
      </c>
      <c r="F31" s="15">
        <f>IF(_CALC!$B$120="","",_CALC!$M$120)</f>
        <v/>
      </c>
      <c r="G31" s="17">
        <f>IF(_CALC!$B$120="","",SUM(_CALC!$D$130:$AM$130)-SUM(_CALC!$D$140:$AM$140))</f>
        <v/>
      </c>
    </row>
    <row r="33">
      <c r="B33" s="4" t="inlineStr">
        <is>
          <t>Consensus total en meses futuros (según el filtro CFG de arriba):</t>
        </is>
      </c>
      <c r="E33" s="12">
        <f>IF(_CALC!$F$14=0,"—","actual "&amp;TEXT(SUMPRODUCT(_CALC!$D$30:$AM$30,_CALC!$D$161:$AM$161),"#,##0")&amp;"   →   simulado "&amp;TEXT(SUMPRODUCT(_CALC!$D$30:$AM$30,_CALC!$D$162:$AM$162),"#,##0")&amp;"   (Δ "&amp;TEXT(SUMPRODUCT(_CALC!$D$30:$AM$30,_CALC!$D$162:$AM$162)-SUMPRODUCT(_CALC!$D$30:$AM$30,_CALC!$D$161:$AM$161),"+#,##0;-#,##0;0")&amp;")")</f>
        <v/>
      </c>
    </row>
    <row r="92">
      <c r="B92" s="12" t="inlineStr">
        <is>
          <t>CÓMO FUNCIONA</t>
        </is>
      </c>
    </row>
    <row r="93" ht="26" customHeight="1">
      <c r="B93" s="18" t="inlineStr">
        <is>
          <t>•  Celdas amarillas = entradas. Todo lo demás son fórmulas; no hay macros.</t>
        </is>
      </c>
    </row>
    <row r="94" ht="26" customHeight="1">
      <c r="B94" s="18" t="inlineStr">
        <is>
          <t>•  Gráfico 1: línea continua gruesa = Consensus - Final de la versión actual. Las demás curvas de CONSENSUS van continuas, las de BESTFIT a trazos y las de ALGO punteadas.</t>
        </is>
      </c>
    </row>
    <row r="95" ht="26" customHeight="1">
      <c r="B95" s="18" t="inlineStr">
        <is>
          <t>•  De ALGO sólo se dibujan las curvas con valores para el EAN (hasta 12). Se excluyen Stat Fcst L1, System ML Fcst L1 y System Stat Fcst Bestfit por ser duplicados de ST Stat Fcst (ver _CALC!A200:A202).</t>
        </is>
      </c>
    </row>
    <row r="96" ht="26" customHeight="1">
      <c r="B96" s="18" t="inlineStr">
        <is>
          <t>•  En modo (TODOS) las curvas se suman sobre todos los CFG del EAN. Si un algoritmo sólo existe en parte de las intersecciones, la leyenda lo marca como "parcial n/N".</t>
        </is>
      </c>
    </row>
    <row r="97" ht="26" customHeight="1">
      <c r="B97" s="18" t="inlineStr">
        <is>
          <t>•  Gráfico 2: la elección de la tabla de simulación sustituye a System FC - Final sólo en los meses futuros; el consensus simulado = consensus actual + (system simulado − system original), con piso en 0. Las demás capas del consensus se mantienen sin tocar.</t>
        </is>
      </c>
    </row>
    <row r="98" ht="26" customHeight="1">
      <c r="B98" s="18" t="inlineStr">
        <is>
          <t>•  Un algoritmo sin valor en un mes cuenta como 0. Las intersecciones sin filas en BESTFIT/ALGO (p.ej. P_US_FG) no son simulables y se dejan con su forecast original.</t>
        </is>
      </c>
    </row>
    <row r="99" ht="26" customHeight="1">
      <c r="B99" s="18" t="inlineStr">
        <is>
          <t>•  Para repegar datos: pega sobre CONSENSUS, BESTFIT, ALGO y ADHOC respetando la fila 1 de cabeceras. Las columnas y los meses se localizan por nombre de cabecera, hasta 36 meses y 20.000 filas por pestaña.</t>
        </is>
      </c>
    </row>
    <row r="100" ht="26" customHeight="1">
      <c r="B100" s="18" t="inlineStr">
        <is>
          <t>•  El eje X sale de la fila 1 de CONSENSUS. Los meses anteriores al "primer mes futuro" se marcan (hist).</t>
        </is>
      </c>
    </row>
    <row r="101" ht="26" customHeight="1">
      <c r="B101" s="18" t="inlineStr">
        <is>
          <t>•  Los gráficos están dibujados sobre 12 meses (_CALC!D:O, filas 34-50 y 163-168) y sobre 10 huecos para curvas de ALGO (el máximo visto por EAN es 6; los huecos sin usar salen como "—" en la leyenda). Si algún día pegas otro horizonte o aparece un EAN con más algoritmos, sale un aviso en rojo arriba: sólo hay que ampliar el rango de las series. _CALC ya calcula hasta 36 meses y 30 capas.</t>
        </is>
      </c>
    </row>
  </sheetData>
  <mergeCells count="10">
    <mergeCell ref="B94:K94"/>
    <mergeCell ref="B99:K99"/>
    <mergeCell ref="B101:K101"/>
    <mergeCell ref="B93:K93"/>
    <mergeCell ref="B96:K96"/>
    <mergeCell ref="B97:K97"/>
    <mergeCell ref="B100:K100"/>
    <mergeCell ref="B95:K95"/>
    <mergeCell ref="B10:K10"/>
    <mergeCell ref="B98:K98"/>
  </mergeCells>
  <conditionalFormatting sqref="B13:I20">
    <cfRule type="expression" priority="1" dxfId="0" stopIfTrue="1">
      <formula>$B13=""</formula>
    </cfRule>
  </conditionalFormatting>
  <conditionalFormatting sqref="B24:G31">
    <cfRule type="expression" priority="2" dxfId="0" stopIfTrue="1">
      <formula>$B24=""</formula>
    </cfRule>
  </conditionalFormatting>
  <dataValidations count="3">
    <dataValidation sqref="C6" showDropDown="0" showInputMessage="1" showErrorMessage="0" allowBlank="1" prompt="Elige un CFG o &quot;(TODOS)&quot; para el combinado del EAN." type="list">
      <formula1>_CALC!$B$172:$B$180</formula1>
    </dataValidation>
    <dataValidation sqref="C24:C31" showDropDown="0" showInputMessage="1" showErrorMessage="0" allowBlank="1" prompt="(SISTEMA) deja el forecast tal cual. ST / LT / CML lo sustituyen en los meses futuros." type="list">
      <formula1>_CALC!$B$200:$B$203</formula1>
    </dataValidation>
    <dataValidation sqref="D24:D31" showDropDown="0" showInputMessage="1" showErrorMessage="0" allowBlank="1" prompt="Sólo aplica si el BestFit elegido es ST. &quot;(ST BestFit)&quot; usa la curva ST Stat Fcst." type="list">
      <formula1>_CALC!$B$184:$B$194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73"/>
  <sheetViews>
    <sheetView workbookViewId="0">
      <selection activeCell="C10" sqref="C10"/>
    </sheetView>
  </sheetViews>
  <sheetFormatPr baseColWidth="8" defaultRowHeight="14.5"/>
  <cols>
    <col width="16.453125" bestFit="1" customWidth="1" style="1" min="4" max="4"/>
  </cols>
  <sheetData>
    <row r="1">
      <c r="A1" t="inlineStr">
        <is>
          <t>House</t>
        </is>
      </c>
      <c r="B1" t="inlineStr">
        <is>
          <t>Brand</t>
        </is>
      </c>
      <c r="C1" t="inlineStr">
        <is>
          <t>Product Line</t>
        </is>
      </c>
      <c r="D1" s="1" t="inlineStr">
        <is>
          <t>EAN</t>
        </is>
      </c>
      <c r="E1" t="inlineStr">
        <is>
          <t>Planning Item Description</t>
        </is>
      </c>
      <c r="F1" t="inlineStr">
        <is>
          <t>CFG</t>
        </is>
      </c>
      <c r="G1" t="inlineStr">
        <is>
          <t>Version Name</t>
        </is>
      </c>
      <c r="H1" t="inlineStr">
        <is>
          <t>Data</t>
        </is>
      </c>
      <c r="I1" t="inlineStr">
        <is>
          <t>2026.M07</t>
        </is>
      </c>
      <c r="J1" t="inlineStr">
        <is>
          <t>2026.M08</t>
        </is>
      </c>
      <c r="K1" t="inlineStr">
        <is>
          <t>2026.M09</t>
        </is>
      </c>
      <c r="L1" t="inlineStr">
        <is>
          <t>2026.M10</t>
        </is>
      </c>
      <c r="M1" t="inlineStr">
        <is>
          <t>2026.M11</t>
        </is>
      </c>
      <c r="N1" t="inlineStr">
        <is>
          <t>2026.M12</t>
        </is>
      </c>
      <c r="O1" t="inlineStr">
        <is>
          <t>2027.M01</t>
        </is>
      </c>
      <c r="P1" t="inlineStr">
        <is>
          <t>2027.M02</t>
        </is>
      </c>
      <c r="Q1" t="inlineStr">
        <is>
          <t>2027.M03</t>
        </is>
      </c>
      <c r="R1" t="inlineStr">
        <is>
          <t>2027.M04</t>
        </is>
      </c>
      <c r="S1" t="inlineStr">
        <is>
          <t>2027.M05</t>
        </is>
      </c>
      <c r="T1" t="inlineStr">
        <is>
          <t>2027.M06</t>
        </is>
      </c>
    </row>
    <row r="2">
      <c r="A2" t="inlineStr">
        <is>
          <t>Gucci</t>
        </is>
      </c>
      <c r="B2" t="inlineStr">
        <is>
          <t>Gucci Guilty (00840)</t>
        </is>
      </c>
      <c r="C2" t="inlineStr">
        <is>
          <t>Gucci Guilty PH Eau de Parfum (00005405)</t>
        </is>
      </c>
      <c r="D2" s="1" t="n">
        <v>3614229382112</v>
      </c>
      <c r="E2" t="inlineStr">
        <is>
          <t>GG PH P EDP 50 ML IV</t>
        </is>
      </c>
      <c r="F2" t="inlineStr">
        <is>
          <t>P_US_ALL_OTHERS</t>
        </is>
      </c>
      <c r="G2" t="inlineStr">
        <is>
          <t>CurrentWorkingView</t>
        </is>
      </c>
      <c r="H2" t="inlineStr">
        <is>
          <t>Consensus - Final LY M</t>
        </is>
      </c>
      <c r="I2" t="n">
        <v>556</v>
      </c>
      <c r="J2" t="n">
        <v>602</v>
      </c>
      <c r="K2" t="n">
        <v>3372</v>
      </c>
      <c r="L2" t="n">
        <v>1477</v>
      </c>
      <c r="M2" t="n">
        <v>74</v>
      </c>
      <c r="N2" t="n">
        <v>1551</v>
      </c>
      <c r="O2" t="n">
        <v>155</v>
      </c>
      <c r="P2" t="n">
        <v>1256</v>
      </c>
      <c r="Q2" t="n">
        <v>2277</v>
      </c>
      <c r="R2" t="n">
        <v>2635</v>
      </c>
      <c r="S2" t="n">
        <v>1388</v>
      </c>
      <c r="T2" t="n">
        <v>2607</v>
      </c>
    </row>
    <row r="3">
      <c r="A3" t="inlineStr">
        <is>
          <t>Gucci</t>
        </is>
      </c>
      <c r="B3" t="inlineStr">
        <is>
          <t>Gucci Guilty (00840)</t>
        </is>
      </c>
      <c r="C3" t="inlineStr">
        <is>
          <t>Gucci Guilty PH Eau de Parfum (00005405)</t>
        </is>
      </c>
      <c r="D3" s="1" t="n">
        <v>3614229382112</v>
      </c>
      <c r="E3" t="inlineStr">
        <is>
          <t>GG PH P EDP 50 ML IV</t>
        </is>
      </c>
      <c r="F3" t="inlineStr">
        <is>
          <t>P_US_ALL_OTHERS</t>
        </is>
      </c>
      <c r="G3" t="inlineStr">
        <is>
          <t>CurrentWorkingView</t>
        </is>
      </c>
      <c r="H3" t="inlineStr">
        <is>
          <t>System FC - Final</t>
        </is>
      </c>
      <c r="I3" t="n">
        <v>2386</v>
      </c>
      <c r="J3" t="n">
        <v>617</v>
      </c>
      <c r="K3" t="n">
        <v>805</v>
      </c>
      <c r="L3" t="n">
        <v>2610</v>
      </c>
      <c r="M3" t="n">
        <v>922</v>
      </c>
      <c r="N3" t="n">
        <v>673</v>
      </c>
      <c r="O3" t="n">
        <v>695</v>
      </c>
      <c r="P3" t="n">
        <v>1392</v>
      </c>
      <c r="Q3" t="n">
        <v>1280</v>
      </c>
      <c r="R3" t="n">
        <v>758</v>
      </c>
      <c r="S3" t="n">
        <v>1315</v>
      </c>
      <c r="T3" t="n">
        <v>716</v>
      </c>
    </row>
    <row r="4">
      <c r="A4" t="inlineStr">
        <is>
          <t>Gucci</t>
        </is>
      </c>
      <c r="B4" t="inlineStr">
        <is>
          <t>Gucci Guilty (00840)</t>
        </is>
      </c>
      <c r="C4" t="inlineStr">
        <is>
          <t>Gucci Guilty PH Eau de Parfum (00005405)</t>
        </is>
      </c>
      <c r="D4" s="1" t="n">
        <v>3614229382112</v>
      </c>
      <c r="E4" t="inlineStr">
        <is>
          <t>GG PH P EDP 50 ML IV</t>
        </is>
      </c>
      <c r="F4" t="inlineStr">
        <is>
          <t>P_US_ALL_OTHERS</t>
        </is>
      </c>
      <c r="G4" t="inlineStr">
        <is>
          <t>CurrentWorkingView</t>
        </is>
      </c>
      <c r="H4" t="inlineStr">
        <is>
          <t>EPOS</t>
        </is>
      </c>
      <c r="I4" t="n">
        <v>1333</v>
      </c>
    </row>
    <row r="5">
      <c r="A5" t="inlineStr">
        <is>
          <t>Gucci</t>
        </is>
      </c>
      <c r="B5" t="inlineStr">
        <is>
          <t>Gucci Guilty (00840)</t>
        </is>
      </c>
      <c r="C5" t="inlineStr">
        <is>
          <t>Gucci Guilty PH Eau de Parfum (00005405)</t>
        </is>
      </c>
      <c r="D5" s="1" t="n">
        <v>3614229382112</v>
      </c>
      <c r="E5" t="inlineStr">
        <is>
          <t>GG PH P EDP 50 ML IV</t>
        </is>
      </c>
      <c r="F5" t="inlineStr">
        <is>
          <t>P_US_ALL_OTHERS</t>
        </is>
      </c>
      <c r="G5" t="inlineStr">
        <is>
          <t>CurrentWorkingView</t>
        </is>
      </c>
      <c r="H5" t="inlineStr">
        <is>
          <t>Reasonability Adjustment</t>
        </is>
      </c>
      <c r="J5" t="n">
        <v>-1292</v>
      </c>
      <c r="K5" t="n">
        <v>365</v>
      </c>
      <c r="L5" t="n">
        <v>780</v>
      </c>
      <c r="O5" t="n">
        <v>-1283</v>
      </c>
      <c r="P5" t="n">
        <v>-235</v>
      </c>
      <c r="Q5" t="n">
        <v>-733</v>
      </c>
      <c r="S5" t="n">
        <v>-1000</v>
      </c>
      <c r="T5" t="n">
        <v>-843</v>
      </c>
    </row>
    <row r="6">
      <c r="A6" t="inlineStr">
        <is>
          <t>Gucci</t>
        </is>
      </c>
      <c r="B6" t="inlineStr">
        <is>
          <t>Gucci Guilty (00840)</t>
        </is>
      </c>
      <c r="C6" t="inlineStr">
        <is>
          <t>Gucci Guilty PH Eau de Parfum (00005405)</t>
        </is>
      </c>
      <c r="D6" s="1" t="n">
        <v>3614229382112</v>
      </c>
      <c r="E6" t="inlineStr">
        <is>
          <t>GG PH P EDP 50 ML IV</t>
        </is>
      </c>
      <c r="F6" t="inlineStr">
        <is>
          <t>P_US_ALL_OTHERS</t>
        </is>
      </c>
      <c r="G6" t="inlineStr">
        <is>
          <t>CurrentWorkingView</t>
        </is>
      </c>
      <c r="H6" t="inlineStr">
        <is>
          <t>Total Demand Assumption</t>
        </is>
      </c>
    </row>
    <row r="7">
      <c r="A7" t="inlineStr">
        <is>
          <t>Gucci</t>
        </is>
      </c>
      <c r="B7" t="inlineStr">
        <is>
          <t>Gucci Guilty (00840)</t>
        </is>
      </c>
      <c r="C7" t="inlineStr">
        <is>
          <t>Gucci Guilty PH Eau de Parfum (00005405)</t>
        </is>
      </c>
      <c r="D7" s="1" t="n">
        <v>3614229382112</v>
      </c>
      <c r="E7" t="inlineStr">
        <is>
          <t>GG PH P EDP 50 ML IV</t>
        </is>
      </c>
      <c r="F7" t="inlineStr">
        <is>
          <t>P_US_ALL_OTHERS</t>
        </is>
      </c>
      <c r="G7" t="inlineStr">
        <is>
          <t>CurrentWorkingView</t>
        </is>
      </c>
      <c r="H7" t="inlineStr">
        <is>
          <t>Consensus - Final</t>
        </is>
      </c>
      <c r="I7" t="n">
        <v>2386</v>
      </c>
      <c r="J7" t="n">
        <v>617</v>
      </c>
      <c r="K7" t="n">
        <v>1008.7821888412</v>
      </c>
      <c r="L7" t="n">
        <v>3390</v>
      </c>
      <c r="M7" t="n">
        <v>922</v>
      </c>
      <c r="N7" t="n">
        <v>673</v>
      </c>
      <c r="P7" t="n">
        <v>1157</v>
      </c>
      <c r="Q7" t="n">
        <v>547</v>
      </c>
      <c r="R7" t="n">
        <v>758</v>
      </c>
      <c r="S7" t="n">
        <v>315</v>
      </c>
      <c r="T7" t="n">
        <v>72</v>
      </c>
    </row>
    <row r="8">
      <c r="A8" t="inlineStr">
        <is>
          <t>Gucci</t>
        </is>
      </c>
      <c r="B8" t="inlineStr">
        <is>
          <t>Gucci Guilty (00840)</t>
        </is>
      </c>
      <c r="C8" t="inlineStr">
        <is>
          <t>Gucci Guilty PH Eau de Parfum (00005405)</t>
        </is>
      </c>
      <c r="D8" s="1" t="n">
        <v>3614229382112</v>
      </c>
      <c r="E8" t="inlineStr">
        <is>
          <t>GG PH P EDP 50 ML IV</t>
        </is>
      </c>
      <c r="F8" t="inlineStr">
        <is>
          <t>P_US_ALL_OTHERS</t>
        </is>
      </c>
      <c r="G8" t="inlineStr">
        <is>
          <t>CurrentWorkingView</t>
        </is>
      </c>
      <c r="H8" t="inlineStr">
        <is>
          <t>Supply Cuts</t>
        </is>
      </c>
      <c r="I8" t="n">
        <v>37</v>
      </c>
    </row>
    <row r="9">
      <c r="A9" t="inlineStr">
        <is>
          <t>Gucci</t>
        </is>
      </c>
      <c r="B9" t="inlineStr">
        <is>
          <t>Gucci Guilty (00840)</t>
        </is>
      </c>
      <c r="C9" t="inlineStr">
        <is>
          <t>Gucci Guilty PH Eau de Parfum (00005405)</t>
        </is>
      </c>
      <c r="D9" s="1" t="n">
        <v>3614229382112</v>
      </c>
      <c r="E9" t="inlineStr">
        <is>
          <t>GG PH P EDP 50 ML IV</t>
        </is>
      </c>
      <c r="F9" t="inlineStr">
        <is>
          <t>P_US_ALL_OTHERS</t>
        </is>
      </c>
      <c r="G9" t="inlineStr">
        <is>
          <t>Month-2026.M09.W38</t>
        </is>
      </c>
      <c r="H9" t="inlineStr">
        <is>
          <t>Consensus - Final LY M</t>
        </is>
      </c>
      <c r="I9" t="n">
        <v>556</v>
      </c>
      <c r="J9" t="n">
        <v>602</v>
      </c>
      <c r="K9" t="n">
        <v>3372</v>
      </c>
      <c r="L9" t="n">
        <v>1477</v>
      </c>
      <c r="M9" t="n">
        <v>74</v>
      </c>
      <c r="N9" t="n">
        <v>1551</v>
      </c>
      <c r="O9" t="n">
        <v>155</v>
      </c>
      <c r="P9" t="n">
        <v>1256</v>
      </c>
      <c r="Q9" t="n">
        <v>2277</v>
      </c>
      <c r="R9" t="n">
        <v>2635</v>
      </c>
      <c r="S9" t="n">
        <v>1388</v>
      </c>
      <c r="T9" t="n">
        <v>2607</v>
      </c>
    </row>
    <row r="10">
      <c r="A10" t="inlineStr">
        <is>
          <t>Gucci</t>
        </is>
      </c>
      <c r="B10" t="inlineStr">
        <is>
          <t>Gucci Guilty (00840)</t>
        </is>
      </c>
      <c r="C10" t="inlineStr">
        <is>
          <t>Gucci Guilty PH Eau de Parfum (00005405)</t>
        </is>
      </c>
      <c r="D10" s="1" t="n">
        <v>3614229382112</v>
      </c>
      <c r="E10" t="inlineStr">
        <is>
          <t>GG PH P EDP 50 ML IV</t>
        </is>
      </c>
      <c r="F10" t="inlineStr">
        <is>
          <t>P_US_ALL_OTHERS</t>
        </is>
      </c>
      <c r="G10" t="inlineStr">
        <is>
          <t>Month-2026.M09.W38</t>
        </is>
      </c>
      <c r="H10" t="inlineStr">
        <is>
          <t>System FC - Final</t>
        </is>
      </c>
      <c r="I10" t="n">
        <v>2386</v>
      </c>
      <c r="J10" t="n">
        <v>617</v>
      </c>
      <c r="K10" t="n">
        <v>738</v>
      </c>
      <c r="L10" t="n">
        <v>620</v>
      </c>
      <c r="M10" t="n">
        <v>618</v>
      </c>
      <c r="N10" t="n">
        <v>1328</v>
      </c>
      <c r="O10" t="n">
        <v>2484</v>
      </c>
      <c r="P10" t="n">
        <v>776</v>
      </c>
      <c r="Q10" t="n">
        <v>1395</v>
      </c>
      <c r="R10" t="n">
        <v>695</v>
      </c>
      <c r="S10" t="n">
        <v>1404</v>
      </c>
      <c r="T10" t="n">
        <v>1720</v>
      </c>
    </row>
    <row r="11">
      <c r="A11" t="inlineStr">
        <is>
          <t>Gucci</t>
        </is>
      </c>
      <c r="B11" t="inlineStr">
        <is>
          <t>Gucci Guilty (00840)</t>
        </is>
      </c>
      <c r="C11" t="inlineStr">
        <is>
          <t>Gucci Guilty PH Eau de Parfum (00005405)</t>
        </is>
      </c>
      <c r="D11" s="1" t="n">
        <v>3614229382112</v>
      </c>
      <c r="E11" t="inlineStr">
        <is>
          <t>GG PH P EDP 50 ML IV</t>
        </is>
      </c>
      <c r="F11" t="inlineStr">
        <is>
          <t>P_US_ALL_OTHERS</t>
        </is>
      </c>
      <c r="G11" t="inlineStr">
        <is>
          <t>Month-2026.M09.W38</t>
        </is>
      </c>
      <c r="H11" t="inlineStr">
        <is>
          <t>EPOS</t>
        </is>
      </c>
      <c r="I11" t="n">
        <v>1333</v>
      </c>
    </row>
    <row r="12">
      <c r="A12" t="inlineStr">
        <is>
          <t>Gucci</t>
        </is>
      </c>
      <c r="B12" t="inlineStr">
        <is>
          <t>Gucci Guilty (00840)</t>
        </is>
      </c>
      <c r="C12" t="inlineStr">
        <is>
          <t>Gucci Guilty PH Eau de Parfum (00005405)</t>
        </is>
      </c>
      <c r="D12" s="1" t="n">
        <v>3614229382112</v>
      </c>
      <c r="E12" t="inlineStr">
        <is>
          <t>GG PH P EDP 50 ML IV</t>
        </is>
      </c>
      <c r="F12" t="inlineStr">
        <is>
          <t>P_US_ALL_OTHERS</t>
        </is>
      </c>
      <c r="G12" t="inlineStr">
        <is>
          <t>Month-2026.M09.W38</t>
        </is>
      </c>
      <c r="H12" t="inlineStr">
        <is>
          <t>Reasonability Adjustment</t>
        </is>
      </c>
      <c r="J12" t="n">
        <v>-1292</v>
      </c>
      <c r="K12" t="n">
        <v>365</v>
      </c>
      <c r="L12" t="n">
        <v>780</v>
      </c>
      <c r="O12" t="n">
        <v>-1283</v>
      </c>
      <c r="P12" t="n">
        <v>-235</v>
      </c>
      <c r="Q12" t="n">
        <v>-733</v>
      </c>
      <c r="S12" t="n">
        <v>-1000</v>
      </c>
      <c r="T12" t="n">
        <v>-843</v>
      </c>
    </row>
    <row r="13">
      <c r="A13" t="inlineStr">
        <is>
          <t>Gucci</t>
        </is>
      </c>
      <c r="B13" t="inlineStr">
        <is>
          <t>Gucci Guilty (00840)</t>
        </is>
      </c>
      <c r="C13" t="inlineStr">
        <is>
          <t>Gucci Guilty PH Eau de Parfum (00005405)</t>
        </is>
      </c>
      <c r="D13" s="1" t="n">
        <v>3614229382112</v>
      </c>
      <c r="E13" t="inlineStr">
        <is>
          <t>GG PH P EDP 50 ML IV</t>
        </is>
      </c>
      <c r="F13" t="inlineStr">
        <is>
          <t>P_US_ALL_OTHERS</t>
        </is>
      </c>
      <c r="G13" t="inlineStr">
        <is>
          <t>Month-2026.M09.W38</t>
        </is>
      </c>
      <c r="H13" t="inlineStr">
        <is>
          <t>Total Demand Assumption</t>
        </is>
      </c>
    </row>
    <row r="14">
      <c r="A14" t="inlineStr">
        <is>
          <t>Gucci</t>
        </is>
      </c>
      <c r="B14" t="inlineStr">
        <is>
          <t>Gucci Guilty (00840)</t>
        </is>
      </c>
      <c r="C14" t="inlineStr">
        <is>
          <t>Gucci Guilty PH Eau de Parfum (00005405)</t>
        </is>
      </c>
      <c r="D14" s="1" t="n">
        <v>3614229382112</v>
      </c>
      <c r="E14" t="inlineStr">
        <is>
          <t>GG PH P EDP 50 ML IV</t>
        </is>
      </c>
      <c r="F14" t="inlineStr">
        <is>
          <t>P_US_ALL_OTHERS</t>
        </is>
      </c>
      <c r="G14" t="inlineStr">
        <is>
          <t>Month-2026.M09.W38</t>
        </is>
      </c>
      <c r="H14" t="inlineStr">
        <is>
          <t>Consensus - Final</t>
        </is>
      </c>
      <c r="I14" t="n">
        <v>2386</v>
      </c>
      <c r="J14" t="n">
        <v>617</v>
      </c>
      <c r="K14" t="n">
        <v>1008.7821888412</v>
      </c>
      <c r="L14" t="n">
        <v>1400</v>
      </c>
      <c r="M14" t="n">
        <v>618</v>
      </c>
      <c r="N14" t="n">
        <v>1328</v>
      </c>
      <c r="O14" t="n">
        <v>1201</v>
      </c>
      <c r="P14" t="n">
        <v>541</v>
      </c>
      <c r="Q14" t="n">
        <v>662</v>
      </c>
      <c r="R14" t="n">
        <v>695</v>
      </c>
      <c r="S14" t="n">
        <v>404</v>
      </c>
      <c r="T14" t="n">
        <v>877</v>
      </c>
    </row>
    <row r="15">
      <c r="A15" t="inlineStr">
        <is>
          <t>Gucci</t>
        </is>
      </c>
      <c r="B15" t="inlineStr">
        <is>
          <t>Gucci Guilty (00840)</t>
        </is>
      </c>
      <c r="C15" t="inlineStr">
        <is>
          <t>Gucci Guilty PH Eau de Parfum (00005405)</t>
        </is>
      </c>
      <c r="D15" s="1" t="n">
        <v>3614229382112</v>
      </c>
      <c r="E15" t="inlineStr">
        <is>
          <t>GG PH P EDP 50 ML IV</t>
        </is>
      </c>
      <c r="F15" t="inlineStr">
        <is>
          <t>P_US_ALL_OTHERS</t>
        </is>
      </c>
      <c r="G15" t="inlineStr">
        <is>
          <t>Month-2026.M09.W38</t>
        </is>
      </c>
      <c r="H15" t="inlineStr">
        <is>
          <t>Supply Cuts</t>
        </is>
      </c>
      <c r="I15" t="n">
        <v>37</v>
      </c>
    </row>
    <row r="16">
      <c r="A16" t="inlineStr">
        <is>
          <t>Gucci</t>
        </is>
      </c>
      <c r="B16" t="inlineStr">
        <is>
          <t>Gucci Guilty (00840)</t>
        </is>
      </c>
      <c r="C16" t="inlineStr">
        <is>
          <t>Gucci Guilty PH Eau de Parfum (00005405)</t>
        </is>
      </c>
      <c r="D16" s="1" t="n">
        <v>3614229382112</v>
      </c>
      <c r="E16" t="inlineStr">
        <is>
          <t>GG PH P EDP 50 ML IV</t>
        </is>
      </c>
      <c r="F16" t="inlineStr">
        <is>
          <t>P_US_FG</t>
        </is>
      </c>
      <c r="G16" t="inlineStr">
        <is>
          <t>CurrentWorkingView</t>
        </is>
      </c>
      <c r="H16" t="inlineStr">
        <is>
          <t>Consensus - Final LY M</t>
        </is>
      </c>
      <c r="J16" t="n">
        <v>3</v>
      </c>
      <c r="K16" t="n">
        <v>1</v>
      </c>
    </row>
    <row r="17">
      <c r="A17" t="inlineStr">
        <is>
          <t>Gucci</t>
        </is>
      </c>
      <c r="B17" t="inlineStr">
        <is>
          <t>Gucci Guilty (00840)</t>
        </is>
      </c>
      <c r="C17" t="inlineStr">
        <is>
          <t>Gucci Guilty PH Eau de Parfum (00005405)</t>
        </is>
      </c>
      <c r="D17" s="1" t="n">
        <v>3614229382112</v>
      </c>
      <c r="E17" t="inlineStr">
        <is>
          <t>GG PH P EDP 50 ML IV</t>
        </is>
      </c>
      <c r="F17" t="inlineStr">
        <is>
          <t>P_US_FG</t>
        </is>
      </c>
      <c r="G17" t="inlineStr">
        <is>
          <t>CurrentWorkingView</t>
        </is>
      </c>
      <c r="H17" t="inlineStr">
        <is>
          <t>System FC - Final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Gucci</t>
        </is>
      </c>
      <c r="B18" t="inlineStr">
        <is>
          <t>Gucci Guilty (00840)</t>
        </is>
      </c>
      <c r="C18" t="inlineStr">
        <is>
          <t>Gucci Guilty PH Eau de Parfum (00005405)</t>
        </is>
      </c>
      <c r="D18" s="1" t="n">
        <v>3614229382112</v>
      </c>
      <c r="E18" t="inlineStr">
        <is>
          <t>GG PH P EDP 50 ML IV</t>
        </is>
      </c>
      <c r="F18" t="inlineStr">
        <is>
          <t>P_US_FG</t>
        </is>
      </c>
      <c r="G18" t="inlineStr">
        <is>
          <t>CurrentWorkingView</t>
        </is>
      </c>
      <c r="H18" t="inlineStr">
        <is>
          <t>EPOS</t>
        </is>
      </c>
    </row>
    <row r="19">
      <c r="A19" t="inlineStr">
        <is>
          <t>Gucci</t>
        </is>
      </c>
      <c r="B19" t="inlineStr">
        <is>
          <t>Gucci Guilty (00840)</t>
        </is>
      </c>
      <c r="C19" t="inlineStr">
        <is>
          <t>Gucci Guilty PH Eau de Parfum (00005405)</t>
        </is>
      </c>
      <c r="D19" s="1" t="n">
        <v>3614229382112</v>
      </c>
      <c r="E19" t="inlineStr">
        <is>
          <t>GG PH P EDP 50 ML IV</t>
        </is>
      </c>
      <c r="F19" t="inlineStr">
        <is>
          <t>P_US_FG</t>
        </is>
      </c>
      <c r="G19" t="inlineStr">
        <is>
          <t>CurrentWorkingView</t>
        </is>
      </c>
      <c r="H19" t="inlineStr">
        <is>
          <t>Reasonability Adjustment</t>
        </is>
      </c>
      <c r="K19" t="n">
        <v>0</v>
      </c>
      <c r="L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Gucci</t>
        </is>
      </c>
      <c r="B20" t="inlineStr">
        <is>
          <t>Gucci Guilty (00840)</t>
        </is>
      </c>
      <c r="C20" t="inlineStr">
        <is>
          <t>Gucci Guilty PH Eau de Parfum (00005405)</t>
        </is>
      </c>
      <c r="D20" s="1" t="n">
        <v>3614229382112</v>
      </c>
      <c r="E20" t="inlineStr">
        <is>
          <t>GG PH P EDP 50 ML IV</t>
        </is>
      </c>
      <c r="F20" t="inlineStr">
        <is>
          <t>P_US_FG</t>
        </is>
      </c>
      <c r="G20" t="inlineStr">
        <is>
          <t>CurrentWorkingView</t>
        </is>
      </c>
      <c r="H20" t="inlineStr">
        <is>
          <t>Total Demand Assumption</t>
        </is>
      </c>
    </row>
    <row r="21">
      <c r="A21" t="inlineStr">
        <is>
          <t>Gucci</t>
        </is>
      </c>
      <c r="B21" t="inlineStr">
        <is>
          <t>Gucci Guilty (00840)</t>
        </is>
      </c>
      <c r="C21" t="inlineStr">
        <is>
          <t>Gucci Guilty PH Eau de Parfum (00005405)</t>
        </is>
      </c>
      <c r="D21" s="1" t="n">
        <v>3614229382112</v>
      </c>
      <c r="E21" t="inlineStr">
        <is>
          <t>GG PH P EDP 50 ML IV</t>
        </is>
      </c>
      <c r="F21" t="inlineStr">
        <is>
          <t>P_US_FG</t>
        </is>
      </c>
      <c r="G21" t="inlineStr">
        <is>
          <t>CurrentWorkingView</t>
        </is>
      </c>
      <c r="H21" t="inlineStr">
        <is>
          <t>Consensus - Final</t>
        </is>
      </c>
      <c r="K21" t="n">
        <v>0</v>
      </c>
      <c r="L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Gucci</t>
        </is>
      </c>
      <c r="B22" t="inlineStr">
        <is>
          <t>Gucci Guilty (00840)</t>
        </is>
      </c>
      <c r="C22" t="inlineStr">
        <is>
          <t>Gucci Guilty PH Eau de Parfum (00005405)</t>
        </is>
      </c>
      <c r="D22" s="1" t="n">
        <v>3614229382112</v>
      </c>
      <c r="E22" t="inlineStr">
        <is>
          <t>GG PH P EDP 50 ML IV</t>
        </is>
      </c>
      <c r="F22" t="inlineStr">
        <is>
          <t>P_US_FG</t>
        </is>
      </c>
      <c r="G22" t="inlineStr">
        <is>
          <t>CurrentWorkingView</t>
        </is>
      </c>
      <c r="H22" t="inlineStr">
        <is>
          <t>Supply Cuts</t>
        </is>
      </c>
    </row>
    <row r="23">
      <c r="A23" t="inlineStr">
        <is>
          <t>Gucci</t>
        </is>
      </c>
      <c r="B23" t="inlineStr">
        <is>
          <t>Gucci Guilty (00840)</t>
        </is>
      </c>
      <c r="C23" t="inlineStr">
        <is>
          <t>Gucci Guilty PH Eau de Parfum (00005405)</t>
        </is>
      </c>
      <c r="D23" s="1" t="n">
        <v>3614229382112</v>
      </c>
      <c r="E23" t="inlineStr">
        <is>
          <t>GG PH P EDP 50 ML IV</t>
        </is>
      </c>
      <c r="F23" t="inlineStr">
        <is>
          <t>P_US_FG</t>
        </is>
      </c>
      <c r="G23" t="inlineStr">
        <is>
          <t>Month-2026.M09.W38</t>
        </is>
      </c>
      <c r="H23" t="inlineStr">
        <is>
          <t>Consensus - Final LY M</t>
        </is>
      </c>
      <c r="J23" t="n">
        <v>3</v>
      </c>
      <c r="K23" t="n">
        <v>1</v>
      </c>
    </row>
    <row r="24">
      <c r="A24" t="inlineStr">
        <is>
          <t>Gucci</t>
        </is>
      </c>
      <c r="B24" t="inlineStr">
        <is>
          <t>Gucci Guilty (00840)</t>
        </is>
      </c>
      <c r="C24" t="inlineStr">
        <is>
          <t>Gucci Guilty PH Eau de Parfum (00005405)</t>
        </is>
      </c>
      <c r="D24" s="1" t="n">
        <v>3614229382112</v>
      </c>
      <c r="E24" t="inlineStr">
        <is>
          <t>GG PH P EDP 50 ML IV</t>
        </is>
      </c>
      <c r="F24" t="inlineStr">
        <is>
          <t>P_US_FG</t>
        </is>
      </c>
      <c r="G24" t="inlineStr">
        <is>
          <t>Month-2026.M09.W38</t>
        </is>
      </c>
      <c r="H24" t="inlineStr">
        <is>
          <t>System FC - Final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Gucci</t>
        </is>
      </c>
      <c r="B25" t="inlineStr">
        <is>
          <t>Gucci Guilty (00840)</t>
        </is>
      </c>
      <c r="C25" t="inlineStr">
        <is>
          <t>Gucci Guilty PH Eau de Parfum (00005405)</t>
        </is>
      </c>
      <c r="D25" s="1" t="n">
        <v>3614229382112</v>
      </c>
      <c r="E25" t="inlineStr">
        <is>
          <t>GG PH P EDP 50 ML IV</t>
        </is>
      </c>
      <c r="F25" t="inlineStr">
        <is>
          <t>P_US_FG</t>
        </is>
      </c>
      <c r="G25" t="inlineStr">
        <is>
          <t>Month-2026.M09.W38</t>
        </is>
      </c>
      <c r="H25" t="inlineStr">
        <is>
          <t>EPOS</t>
        </is>
      </c>
    </row>
    <row r="26">
      <c r="A26" t="inlineStr">
        <is>
          <t>Gucci</t>
        </is>
      </c>
      <c r="B26" t="inlineStr">
        <is>
          <t>Gucci Guilty (00840)</t>
        </is>
      </c>
      <c r="C26" t="inlineStr">
        <is>
          <t>Gucci Guilty PH Eau de Parfum (00005405)</t>
        </is>
      </c>
      <c r="D26" s="1" t="n">
        <v>3614229382112</v>
      </c>
      <c r="E26" t="inlineStr">
        <is>
          <t>GG PH P EDP 50 ML IV</t>
        </is>
      </c>
      <c r="F26" t="inlineStr">
        <is>
          <t>P_US_FG</t>
        </is>
      </c>
      <c r="G26" t="inlineStr">
        <is>
          <t>Month-2026.M09.W38</t>
        </is>
      </c>
      <c r="H26" t="inlineStr">
        <is>
          <t>Reasonability Adjustment</t>
        </is>
      </c>
      <c r="K26" t="n">
        <v>0</v>
      </c>
      <c r="L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Gucci</t>
        </is>
      </c>
      <c r="B27" t="inlineStr">
        <is>
          <t>Gucci Guilty (00840)</t>
        </is>
      </c>
      <c r="C27" t="inlineStr">
        <is>
          <t>Gucci Guilty PH Eau de Parfum (00005405)</t>
        </is>
      </c>
      <c r="D27" s="1" t="n">
        <v>3614229382112</v>
      </c>
      <c r="E27" t="inlineStr">
        <is>
          <t>GG PH P EDP 50 ML IV</t>
        </is>
      </c>
      <c r="F27" t="inlineStr">
        <is>
          <t>P_US_FG</t>
        </is>
      </c>
      <c r="G27" t="inlineStr">
        <is>
          <t>Month-2026.M09.W38</t>
        </is>
      </c>
      <c r="H27" t="inlineStr">
        <is>
          <t>Total Demand Assumption</t>
        </is>
      </c>
    </row>
    <row r="28">
      <c r="A28" t="inlineStr">
        <is>
          <t>Gucci</t>
        </is>
      </c>
      <c r="B28" t="inlineStr">
        <is>
          <t>Gucci Guilty (00840)</t>
        </is>
      </c>
      <c r="C28" t="inlineStr">
        <is>
          <t>Gucci Guilty PH Eau de Parfum (00005405)</t>
        </is>
      </c>
      <c r="D28" s="1" t="n">
        <v>3614229382112</v>
      </c>
      <c r="E28" t="inlineStr">
        <is>
          <t>GG PH P EDP 50 ML IV</t>
        </is>
      </c>
      <c r="F28" t="inlineStr">
        <is>
          <t>P_US_FG</t>
        </is>
      </c>
      <c r="G28" t="inlineStr">
        <is>
          <t>Month-2026.M09.W38</t>
        </is>
      </c>
      <c r="H28" t="inlineStr">
        <is>
          <t>Consensus - Final</t>
        </is>
      </c>
      <c r="K28" t="n">
        <v>0</v>
      </c>
      <c r="L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Gucci</t>
        </is>
      </c>
      <c r="B29" t="inlineStr">
        <is>
          <t>Gucci Guilty (00840)</t>
        </is>
      </c>
      <c r="C29" t="inlineStr">
        <is>
          <t>Gucci Guilty PH Eau de Parfum (00005405)</t>
        </is>
      </c>
      <c r="D29" s="1" t="n">
        <v>3614229382112</v>
      </c>
      <c r="E29" t="inlineStr">
        <is>
          <t>GG PH P EDP 50 ML IV</t>
        </is>
      </c>
      <c r="F29" t="inlineStr">
        <is>
          <t>P_US_FG</t>
        </is>
      </c>
      <c r="G29" t="inlineStr">
        <is>
          <t>Month-2026.M09.W38</t>
        </is>
      </c>
      <c r="H29" t="inlineStr">
        <is>
          <t>Supply Cuts</t>
        </is>
      </c>
    </row>
    <row r="30">
      <c r="A30" t="inlineStr">
        <is>
          <t>Gucci</t>
        </is>
      </c>
      <c r="B30" t="inlineStr">
        <is>
          <t>Gucci Guilty (00840)</t>
        </is>
      </c>
      <c r="C30" t="inlineStr">
        <is>
          <t>Gucci Guilty PH Eau de Parfum (00005405)</t>
        </is>
      </c>
      <c r="D30" s="1" t="n">
        <v>3614229382112</v>
      </c>
      <c r="E30" t="inlineStr">
        <is>
          <t>GG PH P EDP 50 ML IV</t>
        </is>
      </c>
      <c r="F30" t="inlineStr">
        <is>
          <t>P_US_ULTA</t>
        </is>
      </c>
      <c r="G30" t="inlineStr">
        <is>
          <t>CurrentWorkingView</t>
        </is>
      </c>
      <c r="H30" t="inlineStr">
        <is>
          <t>Consensus - Final LY M</t>
        </is>
      </c>
      <c r="I30" t="n">
        <v>172</v>
      </c>
      <c r="J30" t="n">
        <v>751</v>
      </c>
      <c r="K30" t="n">
        <v>618</v>
      </c>
      <c r="L30" t="n">
        <v>79</v>
      </c>
      <c r="M30" t="n">
        <v>635</v>
      </c>
      <c r="N30" t="n">
        <v>652</v>
      </c>
      <c r="P30" t="n">
        <v>475</v>
      </c>
      <c r="Q30" t="n">
        <v>230</v>
      </c>
      <c r="R30" t="n">
        <v>186</v>
      </c>
      <c r="S30" t="n">
        <v>691</v>
      </c>
      <c r="T30" t="n">
        <v>249</v>
      </c>
    </row>
    <row r="31">
      <c r="A31" t="inlineStr">
        <is>
          <t>Gucci</t>
        </is>
      </c>
      <c r="B31" t="inlineStr">
        <is>
          <t>Gucci Guilty (00840)</t>
        </is>
      </c>
      <c r="C31" t="inlineStr">
        <is>
          <t>Gucci Guilty PH Eau de Parfum (00005405)</t>
        </is>
      </c>
      <c r="D31" s="1" t="n">
        <v>3614229382112</v>
      </c>
      <c r="E31" t="inlineStr">
        <is>
          <t>GG PH P EDP 50 ML IV</t>
        </is>
      </c>
      <c r="F31" t="inlineStr">
        <is>
          <t>P_US_ULTA</t>
        </is>
      </c>
      <c r="G31" t="inlineStr">
        <is>
          <t>CurrentWorkingView</t>
        </is>
      </c>
      <c r="H31" t="inlineStr">
        <is>
          <t>System FC - Final</t>
        </is>
      </c>
      <c r="I31" t="n">
        <v>166</v>
      </c>
      <c r="J31" t="n">
        <v>331</v>
      </c>
      <c r="K31" t="n">
        <v>521</v>
      </c>
      <c r="L31" t="n">
        <v>0</v>
      </c>
      <c r="M31" t="n">
        <v>248</v>
      </c>
      <c r="N31" t="n">
        <v>177</v>
      </c>
      <c r="O31" t="n">
        <v>40</v>
      </c>
      <c r="P31" t="n">
        <v>852</v>
      </c>
      <c r="Q31" t="n">
        <v>487</v>
      </c>
      <c r="R31" t="n">
        <v>55</v>
      </c>
      <c r="S31" t="n">
        <v>376</v>
      </c>
      <c r="T31" t="n">
        <v>540</v>
      </c>
    </row>
    <row r="32">
      <c r="A32" t="inlineStr">
        <is>
          <t>Gucci</t>
        </is>
      </c>
      <c r="B32" t="inlineStr">
        <is>
          <t>Gucci Guilty (00840)</t>
        </is>
      </c>
      <c r="C32" t="inlineStr">
        <is>
          <t>Gucci Guilty PH Eau de Parfum (00005405)</t>
        </is>
      </c>
      <c r="D32" s="1" t="n">
        <v>3614229382112</v>
      </c>
      <c r="E32" t="inlineStr">
        <is>
          <t>GG PH P EDP 50 ML IV</t>
        </is>
      </c>
      <c r="F32" t="inlineStr">
        <is>
          <t>P_US_ULTA</t>
        </is>
      </c>
      <c r="G32" t="inlineStr">
        <is>
          <t>CurrentWorkingView</t>
        </is>
      </c>
      <c r="H32" t="inlineStr">
        <is>
          <t>EPOS</t>
        </is>
      </c>
      <c r="I32" t="n">
        <v>248</v>
      </c>
    </row>
    <row r="33">
      <c r="A33" t="inlineStr">
        <is>
          <t>Gucci</t>
        </is>
      </c>
      <c r="B33" t="inlineStr">
        <is>
          <t>Gucci Guilty (00840)</t>
        </is>
      </c>
      <c r="C33" t="inlineStr">
        <is>
          <t>Gucci Guilty PH Eau de Parfum (00005405)</t>
        </is>
      </c>
      <c r="D33" s="1" t="n">
        <v>3614229382112</v>
      </c>
      <c r="E33" t="inlineStr">
        <is>
          <t>GG PH P EDP 50 ML IV</t>
        </is>
      </c>
      <c r="F33" t="inlineStr">
        <is>
          <t>P_US_ULTA</t>
        </is>
      </c>
      <c r="G33" t="inlineStr">
        <is>
          <t>CurrentWorkingView</t>
        </is>
      </c>
      <c r="H33" t="inlineStr">
        <is>
          <t>Reasonability Adjustment</t>
        </is>
      </c>
      <c r="J33" t="n">
        <v>-208</v>
      </c>
      <c r="K33" t="n">
        <v>235</v>
      </c>
      <c r="L33" t="n">
        <v>20</v>
      </c>
      <c r="O33" t="n">
        <v>-217</v>
      </c>
      <c r="P33" t="n">
        <v>-165</v>
      </c>
      <c r="Q33" t="n">
        <v>-267</v>
      </c>
      <c r="T33" t="n">
        <v>-157</v>
      </c>
    </row>
    <row r="34">
      <c r="A34" t="inlineStr">
        <is>
          <t>Gucci</t>
        </is>
      </c>
      <c r="B34" t="inlineStr">
        <is>
          <t>Gucci Guilty (00840)</t>
        </is>
      </c>
      <c r="C34" t="inlineStr">
        <is>
          <t>Gucci Guilty PH Eau de Parfum (00005405)</t>
        </is>
      </c>
      <c r="D34" s="1" t="n">
        <v>3614229382112</v>
      </c>
      <c r="E34" t="inlineStr">
        <is>
          <t>GG PH P EDP 50 ML IV</t>
        </is>
      </c>
      <c r="F34" t="inlineStr">
        <is>
          <t>P_US_ULTA</t>
        </is>
      </c>
      <c r="G34" t="inlineStr">
        <is>
          <t>CurrentWorkingView</t>
        </is>
      </c>
      <c r="H34" t="inlineStr">
        <is>
          <t>Total Demand Assumption</t>
        </is>
      </c>
    </row>
    <row r="35">
      <c r="A35" t="inlineStr">
        <is>
          <t>Gucci</t>
        </is>
      </c>
      <c r="B35" t="inlineStr">
        <is>
          <t>Gucci Guilty (00840)</t>
        </is>
      </c>
      <c r="C35" t="inlineStr">
        <is>
          <t>Gucci Guilty PH Eau de Parfum (00005405)</t>
        </is>
      </c>
      <c r="D35" s="1" t="n">
        <v>3614229382112</v>
      </c>
      <c r="E35" t="inlineStr">
        <is>
          <t>GG PH P EDP 50 ML IV</t>
        </is>
      </c>
      <c r="F35" t="inlineStr">
        <is>
          <t>P_US_ULTA</t>
        </is>
      </c>
      <c r="G35" t="inlineStr">
        <is>
          <t>CurrentWorkingView</t>
        </is>
      </c>
      <c r="H35" t="inlineStr">
        <is>
          <t>Consensus - Final</t>
        </is>
      </c>
      <c r="I35" t="n">
        <v>166</v>
      </c>
      <c r="J35" t="n">
        <v>331</v>
      </c>
      <c r="K35" t="n">
        <v>630.217811158798</v>
      </c>
      <c r="L35" t="n">
        <v>20</v>
      </c>
      <c r="M35" t="n">
        <v>248</v>
      </c>
      <c r="N35" t="n">
        <v>177</v>
      </c>
      <c r="P35" t="n">
        <v>687</v>
      </c>
      <c r="Q35" t="n">
        <v>220</v>
      </c>
      <c r="R35" t="n">
        <v>55</v>
      </c>
      <c r="S35" t="n">
        <v>376</v>
      </c>
      <c r="T35" t="n">
        <v>383</v>
      </c>
    </row>
    <row r="36">
      <c r="A36" t="inlineStr">
        <is>
          <t>Gucci</t>
        </is>
      </c>
      <c r="B36" t="inlineStr">
        <is>
          <t>Gucci Guilty (00840)</t>
        </is>
      </c>
      <c r="C36" t="inlineStr">
        <is>
          <t>Gucci Guilty PH Eau de Parfum (00005405)</t>
        </is>
      </c>
      <c r="D36" s="1" t="n">
        <v>3614229382112</v>
      </c>
      <c r="E36" t="inlineStr">
        <is>
          <t>GG PH P EDP 50 ML IV</t>
        </is>
      </c>
      <c r="F36" t="inlineStr">
        <is>
          <t>P_US_ULTA</t>
        </is>
      </c>
      <c r="G36" t="inlineStr">
        <is>
          <t>CurrentWorkingView</t>
        </is>
      </c>
      <c r="H36" t="inlineStr">
        <is>
          <t>Supply Cuts</t>
        </is>
      </c>
    </row>
    <row r="37">
      <c r="A37" t="inlineStr">
        <is>
          <t>Gucci</t>
        </is>
      </c>
      <c r="B37" t="inlineStr">
        <is>
          <t>Gucci Guilty (00840)</t>
        </is>
      </c>
      <c r="C37" t="inlineStr">
        <is>
          <t>Gucci Guilty PH Eau de Parfum (00005405)</t>
        </is>
      </c>
      <c r="D37" s="1" t="n">
        <v>3614229382112</v>
      </c>
      <c r="E37" t="inlineStr">
        <is>
          <t>GG PH P EDP 50 ML IV</t>
        </is>
      </c>
      <c r="F37" t="inlineStr">
        <is>
          <t>P_US_ULTA</t>
        </is>
      </c>
      <c r="G37" t="inlineStr">
        <is>
          <t>Month-2026.M09.W38</t>
        </is>
      </c>
      <c r="H37" t="inlineStr">
        <is>
          <t>Consensus - Final LY M</t>
        </is>
      </c>
      <c r="I37" t="n">
        <v>172</v>
      </c>
      <c r="J37" t="n">
        <v>751</v>
      </c>
      <c r="K37" t="n">
        <v>618</v>
      </c>
      <c r="L37" t="n">
        <v>79</v>
      </c>
      <c r="M37" t="n">
        <v>635</v>
      </c>
      <c r="N37" t="n">
        <v>652</v>
      </c>
      <c r="P37" t="n">
        <v>475</v>
      </c>
      <c r="Q37" t="n">
        <v>230</v>
      </c>
      <c r="R37" t="n">
        <v>186</v>
      </c>
      <c r="S37" t="n">
        <v>691</v>
      </c>
      <c r="T37" t="n">
        <v>249</v>
      </c>
    </row>
    <row r="38">
      <c r="A38" t="inlineStr">
        <is>
          <t>Gucci</t>
        </is>
      </c>
      <c r="B38" t="inlineStr">
        <is>
          <t>Gucci Guilty (00840)</t>
        </is>
      </c>
      <c r="C38" t="inlineStr">
        <is>
          <t>Gucci Guilty PH Eau de Parfum (00005405)</t>
        </is>
      </c>
      <c r="D38" s="1" t="n">
        <v>3614229382112</v>
      </c>
      <c r="E38" t="inlineStr">
        <is>
          <t>GG PH P EDP 50 ML IV</t>
        </is>
      </c>
      <c r="F38" t="inlineStr">
        <is>
          <t>P_US_ULTA</t>
        </is>
      </c>
      <c r="G38" t="inlineStr">
        <is>
          <t>Month-2026.M09.W38</t>
        </is>
      </c>
      <c r="H38" t="inlineStr">
        <is>
          <t>System FC - Final</t>
        </is>
      </c>
      <c r="I38" t="n">
        <v>166</v>
      </c>
      <c r="J38" t="n">
        <v>331</v>
      </c>
      <c r="K38" t="n">
        <v>433</v>
      </c>
      <c r="L38" t="n">
        <v>16</v>
      </c>
      <c r="M38" t="n">
        <v>446</v>
      </c>
      <c r="N38" t="n">
        <v>522</v>
      </c>
      <c r="O38" t="n">
        <v>421</v>
      </c>
      <c r="P38" t="n">
        <v>544</v>
      </c>
      <c r="Q38" t="n">
        <v>509</v>
      </c>
      <c r="R38" t="n">
        <v>412</v>
      </c>
      <c r="S38" t="n">
        <v>323</v>
      </c>
      <c r="T38" t="n">
        <v>320</v>
      </c>
    </row>
    <row r="39">
      <c r="A39" t="inlineStr">
        <is>
          <t>Gucci</t>
        </is>
      </c>
      <c r="B39" t="inlineStr">
        <is>
          <t>Gucci Guilty (00840)</t>
        </is>
      </c>
      <c r="C39" t="inlineStr">
        <is>
          <t>Gucci Guilty PH Eau de Parfum (00005405)</t>
        </is>
      </c>
      <c r="D39" s="1" t="n">
        <v>3614229382112</v>
      </c>
      <c r="E39" t="inlineStr">
        <is>
          <t>GG PH P EDP 50 ML IV</t>
        </is>
      </c>
      <c r="F39" t="inlineStr">
        <is>
          <t>P_US_ULTA</t>
        </is>
      </c>
      <c r="G39" t="inlineStr">
        <is>
          <t>Month-2026.M09.W38</t>
        </is>
      </c>
      <c r="H39" t="inlineStr">
        <is>
          <t>EPOS</t>
        </is>
      </c>
      <c r="I39" t="n">
        <v>248</v>
      </c>
    </row>
    <row r="40">
      <c r="A40" t="inlineStr">
        <is>
          <t>Gucci</t>
        </is>
      </c>
      <c r="B40" t="inlineStr">
        <is>
          <t>Gucci Guilty (00840)</t>
        </is>
      </c>
      <c r="C40" t="inlineStr">
        <is>
          <t>Gucci Guilty PH Eau de Parfum (00005405)</t>
        </is>
      </c>
      <c r="D40" s="1" t="n">
        <v>3614229382112</v>
      </c>
      <c r="E40" t="inlineStr">
        <is>
          <t>GG PH P EDP 50 ML IV</t>
        </is>
      </c>
      <c r="F40" t="inlineStr">
        <is>
          <t>P_US_ULTA</t>
        </is>
      </c>
      <c r="G40" t="inlineStr">
        <is>
          <t>Month-2026.M09.W38</t>
        </is>
      </c>
      <c r="H40" t="inlineStr">
        <is>
          <t>Reasonability Adjustment</t>
        </is>
      </c>
      <c r="J40" t="n">
        <v>-208</v>
      </c>
      <c r="K40" t="n">
        <v>235</v>
      </c>
      <c r="L40" t="n">
        <v>20</v>
      </c>
      <c r="O40" t="n">
        <v>-217</v>
      </c>
      <c r="P40" t="n">
        <v>-165</v>
      </c>
      <c r="Q40" t="n">
        <v>-267</v>
      </c>
      <c r="T40" t="n">
        <v>-157</v>
      </c>
    </row>
    <row r="41">
      <c r="A41" t="inlineStr">
        <is>
          <t>Gucci</t>
        </is>
      </c>
      <c r="B41" t="inlineStr">
        <is>
          <t>Gucci Guilty (00840)</t>
        </is>
      </c>
      <c r="C41" t="inlineStr">
        <is>
          <t>Gucci Guilty PH Eau de Parfum (00005405)</t>
        </is>
      </c>
      <c r="D41" s="1" t="n">
        <v>3614229382112</v>
      </c>
      <c r="E41" t="inlineStr">
        <is>
          <t>GG PH P EDP 50 ML IV</t>
        </is>
      </c>
      <c r="F41" t="inlineStr">
        <is>
          <t>P_US_ULTA</t>
        </is>
      </c>
      <c r="G41" t="inlineStr">
        <is>
          <t>Month-2026.M09.W38</t>
        </is>
      </c>
      <c r="H41" t="inlineStr">
        <is>
          <t>Total Demand Assumption</t>
        </is>
      </c>
    </row>
    <row r="42">
      <c r="A42" t="inlineStr">
        <is>
          <t>Gucci</t>
        </is>
      </c>
      <c r="B42" t="inlineStr">
        <is>
          <t>Gucci Guilty (00840)</t>
        </is>
      </c>
      <c r="C42" t="inlineStr">
        <is>
          <t>Gucci Guilty PH Eau de Parfum (00005405)</t>
        </is>
      </c>
      <c r="D42" s="1" t="n">
        <v>3614229382112</v>
      </c>
      <c r="E42" t="inlineStr">
        <is>
          <t>GG PH P EDP 50 ML IV</t>
        </is>
      </c>
      <c r="F42" t="inlineStr">
        <is>
          <t>P_US_ULTA</t>
        </is>
      </c>
      <c r="G42" t="inlineStr">
        <is>
          <t>Month-2026.M09.W38</t>
        </is>
      </c>
      <c r="H42" t="inlineStr">
        <is>
          <t>Consensus - Final</t>
        </is>
      </c>
      <c r="I42" t="n">
        <v>166</v>
      </c>
      <c r="J42" t="n">
        <v>331</v>
      </c>
      <c r="K42" t="n">
        <v>630.217811158798</v>
      </c>
      <c r="L42" t="n">
        <v>36</v>
      </c>
      <c r="M42" t="n">
        <v>446</v>
      </c>
      <c r="N42" t="n">
        <v>522</v>
      </c>
      <c r="O42" t="n">
        <v>204</v>
      </c>
      <c r="P42" t="n">
        <v>379</v>
      </c>
      <c r="Q42" t="n">
        <v>242</v>
      </c>
      <c r="R42" t="n">
        <v>412</v>
      </c>
      <c r="S42" t="n">
        <v>323</v>
      </c>
      <c r="T42" t="n">
        <v>163</v>
      </c>
    </row>
    <row r="43">
      <c r="A43" t="inlineStr">
        <is>
          <t>Gucci</t>
        </is>
      </c>
      <c r="B43" t="inlineStr">
        <is>
          <t>Gucci Guilty (00840)</t>
        </is>
      </c>
      <c r="C43" t="inlineStr">
        <is>
          <t>Gucci Guilty PH Eau de Parfum (00005405)</t>
        </is>
      </c>
      <c r="D43" s="1" t="n">
        <v>3614229382112</v>
      </c>
      <c r="E43" t="inlineStr">
        <is>
          <t>GG PH P EDP 50 ML IV</t>
        </is>
      </c>
      <c r="F43" t="inlineStr">
        <is>
          <t>P_US_ULTA</t>
        </is>
      </c>
      <c r="G43" t="inlineStr">
        <is>
          <t>Month-2026.M09.W38</t>
        </is>
      </c>
      <c r="H43" t="inlineStr">
        <is>
          <t>Supply Cuts</t>
        </is>
      </c>
    </row>
    <row r="44">
      <c r="A44" t="inlineStr">
        <is>
          <t>Gucci</t>
        </is>
      </c>
      <c r="B44" t="inlineStr">
        <is>
          <t>Gucci Guilty (00840)</t>
        </is>
      </c>
      <c r="C44" t="inlineStr">
        <is>
          <t>Gucci Guilty PH Eau de Parfum (00005405)</t>
        </is>
      </c>
      <c r="D44" s="1" t="n">
        <v>3614229382129</v>
      </c>
      <c r="E44" t="inlineStr">
        <is>
          <t>GG PH P EDP 90 ML IV</t>
        </is>
      </c>
      <c r="F44" t="inlineStr">
        <is>
          <t>P_US_ALL_OTHERS</t>
        </is>
      </c>
      <c r="G44" t="inlineStr">
        <is>
          <t>CurrentWorkingView</t>
        </is>
      </c>
      <c r="H44" t="inlineStr">
        <is>
          <t>Consensus - Final LY M</t>
        </is>
      </c>
      <c r="I44" t="n">
        <v>3307</v>
      </c>
      <c r="J44" t="n">
        <v>3919</v>
      </c>
      <c r="K44" t="n">
        <v>4150</v>
      </c>
      <c r="L44" t="n">
        <v>6133</v>
      </c>
      <c r="M44" t="n">
        <v>2309</v>
      </c>
      <c r="N44" t="n">
        <v>4884</v>
      </c>
      <c r="O44" t="n">
        <v>1119</v>
      </c>
      <c r="P44" t="n">
        <v>1099</v>
      </c>
      <c r="Q44" t="n">
        <v>2942</v>
      </c>
      <c r="R44" t="n">
        <v>2438</v>
      </c>
      <c r="S44" t="n">
        <v>2143</v>
      </c>
      <c r="T44" t="n">
        <v>1962</v>
      </c>
    </row>
    <row r="45">
      <c r="A45" t="inlineStr">
        <is>
          <t>Gucci</t>
        </is>
      </c>
      <c r="B45" t="inlineStr">
        <is>
          <t>Gucci Guilty (00840)</t>
        </is>
      </c>
      <c r="C45" t="inlineStr">
        <is>
          <t>Gucci Guilty PH Eau de Parfum (00005405)</t>
        </is>
      </c>
      <c r="D45" s="1" t="n">
        <v>3614229382129</v>
      </c>
      <c r="E45" t="inlineStr">
        <is>
          <t>GG PH P EDP 90 ML IV</t>
        </is>
      </c>
      <c r="F45" t="inlineStr">
        <is>
          <t>P_US_ALL_OTHERS</t>
        </is>
      </c>
      <c r="G45" t="inlineStr">
        <is>
          <t>CurrentWorkingView</t>
        </is>
      </c>
      <c r="H45" t="inlineStr">
        <is>
          <t>System FC - Final</t>
        </is>
      </c>
      <c r="I45" t="n">
        <v>3672</v>
      </c>
      <c r="J45" t="n">
        <v>2128</v>
      </c>
      <c r="K45" t="n">
        <v>1932</v>
      </c>
      <c r="L45" t="n">
        <v>3455</v>
      </c>
      <c r="M45" t="n">
        <v>1723</v>
      </c>
      <c r="N45" t="n">
        <v>2914</v>
      </c>
      <c r="O45" t="n">
        <v>1063</v>
      </c>
      <c r="P45" t="n">
        <v>1044</v>
      </c>
      <c r="Q45" t="n">
        <v>992</v>
      </c>
      <c r="R45" t="n">
        <v>1325</v>
      </c>
      <c r="S45" t="n">
        <v>2825</v>
      </c>
      <c r="T45" t="n">
        <v>2250</v>
      </c>
    </row>
    <row r="46">
      <c r="A46" t="inlineStr">
        <is>
          <t>Gucci</t>
        </is>
      </c>
      <c r="B46" t="inlineStr">
        <is>
          <t>Gucci Guilty (00840)</t>
        </is>
      </c>
      <c r="C46" t="inlineStr">
        <is>
          <t>Gucci Guilty PH Eau de Parfum (00005405)</t>
        </is>
      </c>
      <c r="D46" s="1" t="n">
        <v>3614229382129</v>
      </c>
      <c r="E46" t="inlineStr">
        <is>
          <t>GG PH P EDP 90 ML IV</t>
        </is>
      </c>
      <c r="F46" t="inlineStr">
        <is>
          <t>P_US_ALL_OTHERS</t>
        </is>
      </c>
      <c r="G46" t="inlineStr">
        <is>
          <t>CurrentWorkingView</t>
        </is>
      </c>
      <c r="H46" t="inlineStr">
        <is>
          <t>EPOS</t>
        </is>
      </c>
      <c r="I46" t="n">
        <v>1917</v>
      </c>
    </row>
    <row r="47">
      <c r="A47" t="inlineStr">
        <is>
          <t>Gucci</t>
        </is>
      </c>
      <c r="B47" t="inlineStr">
        <is>
          <t>Gucci Guilty (00840)</t>
        </is>
      </c>
      <c r="C47" t="inlineStr">
        <is>
          <t>Gucci Guilty PH Eau de Parfum (00005405)</t>
        </is>
      </c>
      <c r="D47" s="1" t="n">
        <v>3614229382129</v>
      </c>
      <c r="E47" t="inlineStr">
        <is>
          <t>GG PH P EDP 90 ML IV</t>
        </is>
      </c>
      <c r="F47" t="inlineStr">
        <is>
          <t>P_US_ALL_OTHERS</t>
        </is>
      </c>
      <c r="G47" t="inlineStr">
        <is>
          <t>CurrentWorkingView</t>
        </is>
      </c>
      <c r="H47" t="inlineStr">
        <is>
          <t>Reasonability Adjustment</t>
        </is>
      </c>
      <c r="I47" t="n">
        <v>-1040</v>
      </c>
      <c r="J47" t="n">
        <v>-1000</v>
      </c>
      <c r="K47" t="n">
        <v>2123</v>
      </c>
      <c r="M47" t="n">
        <v>-654</v>
      </c>
      <c r="N47" t="n">
        <v>-671</v>
      </c>
      <c r="Q47" t="n">
        <v>-802</v>
      </c>
      <c r="R47" t="n">
        <v>-757</v>
      </c>
      <c r="S47" t="n">
        <v>-852</v>
      </c>
      <c r="T47" t="n">
        <v>-829</v>
      </c>
    </row>
    <row r="48">
      <c r="A48" t="inlineStr">
        <is>
          <t>Gucci</t>
        </is>
      </c>
      <c r="B48" t="inlineStr">
        <is>
          <t>Gucci Guilty (00840)</t>
        </is>
      </c>
      <c r="C48" t="inlineStr">
        <is>
          <t>Gucci Guilty PH Eau de Parfum (00005405)</t>
        </is>
      </c>
      <c r="D48" s="1" t="n">
        <v>3614229382129</v>
      </c>
      <c r="E48" t="inlineStr">
        <is>
          <t>GG PH P EDP 90 ML IV</t>
        </is>
      </c>
      <c r="F48" t="inlineStr">
        <is>
          <t>P_US_ALL_OTHERS</t>
        </is>
      </c>
      <c r="G48" t="inlineStr">
        <is>
          <t>CurrentWorkingView</t>
        </is>
      </c>
      <c r="H48" t="inlineStr">
        <is>
          <t>Total Demand Assumption</t>
        </is>
      </c>
      <c r="I48" t="n">
        <v>-29</v>
      </c>
      <c r="J48" t="n">
        <v>-37</v>
      </c>
      <c r="K48" t="n">
        <v>-59</v>
      </c>
      <c r="L48" t="n">
        <v>-41</v>
      </c>
      <c r="M48" t="n">
        <v>-30</v>
      </c>
      <c r="N48" t="n">
        <v>-24</v>
      </c>
    </row>
    <row r="49">
      <c r="A49" t="inlineStr">
        <is>
          <t>Gucci</t>
        </is>
      </c>
      <c r="B49" t="inlineStr">
        <is>
          <t>Gucci Guilty (00840)</t>
        </is>
      </c>
      <c r="C49" t="inlineStr">
        <is>
          <t>Gucci Guilty PH Eau de Parfum (00005405)</t>
        </is>
      </c>
      <c r="D49" s="1" t="n">
        <v>3614229382129</v>
      </c>
      <c r="E49" t="inlineStr">
        <is>
          <t>GG PH P EDP 90 ML IV</t>
        </is>
      </c>
      <c r="F49" t="inlineStr">
        <is>
          <t>P_US_ALL_OTHERS</t>
        </is>
      </c>
      <c r="G49" t="inlineStr">
        <is>
          <t>CurrentWorkingView</t>
        </is>
      </c>
      <c r="H49" t="inlineStr">
        <is>
          <t>Consensus - Final</t>
        </is>
      </c>
      <c r="I49" t="n">
        <v>3672</v>
      </c>
      <c r="J49" t="n">
        <v>2128</v>
      </c>
      <c r="K49" t="n">
        <v>3336.00929800093</v>
      </c>
      <c r="L49" t="n">
        <v>3414</v>
      </c>
      <c r="M49" t="n">
        <v>1066</v>
      </c>
      <c r="N49" t="n">
        <v>2219</v>
      </c>
      <c r="O49" t="n">
        <v>1063</v>
      </c>
      <c r="P49" t="n">
        <v>1044</v>
      </c>
      <c r="Q49" t="n">
        <v>190</v>
      </c>
      <c r="R49" t="n">
        <v>568</v>
      </c>
      <c r="S49" t="n">
        <v>1973</v>
      </c>
      <c r="T49" t="n">
        <v>1421</v>
      </c>
    </row>
    <row r="50">
      <c r="A50" t="inlineStr">
        <is>
          <t>Gucci</t>
        </is>
      </c>
      <c r="B50" t="inlineStr">
        <is>
          <t>Gucci Guilty (00840)</t>
        </is>
      </c>
      <c r="C50" t="inlineStr">
        <is>
          <t>Gucci Guilty PH Eau de Parfum (00005405)</t>
        </is>
      </c>
      <c r="D50" s="1" t="n">
        <v>3614229382129</v>
      </c>
      <c r="E50" t="inlineStr">
        <is>
          <t>GG PH P EDP 90 ML IV</t>
        </is>
      </c>
      <c r="F50" t="inlineStr">
        <is>
          <t>P_US_ALL_OTHERS</t>
        </is>
      </c>
      <c r="G50" t="inlineStr">
        <is>
          <t>CurrentWorkingView</t>
        </is>
      </c>
      <c r="H50" t="inlineStr">
        <is>
          <t>Supply Cuts</t>
        </is>
      </c>
    </row>
    <row r="51">
      <c r="A51" t="inlineStr">
        <is>
          <t>Gucci</t>
        </is>
      </c>
      <c r="B51" t="inlineStr">
        <is>
          <t>Gucci Guilty (00840)</t>
        </is>
      </c>
      <c r="C51" t="inlineStr">
        <is>
          <t>Gucci Guilty PH Eau de Parfum (00005405)</t>
        </is>
      </c>
      <c r="D51" s="1" t="n">
        <v>3614229382129</v>
      </c>
      <c r="E51" t="inlineStr">
        <is>
          <t>GG PH P EDP 90 ML IV</t>
        </is>
      </c>
      <c r="F51" t="inlineStr">
        <is>
          <t>P_US_ALL_OTHERS</t>
        </is>
      </c>
      <c r="G51" t="inlineStr">
        <is>
          <t>Month-2026.M09.W38</t>
        </is>
      </c>
      <c r="H51" t="inlineStr">
        <is>
          <t>Consensus - Final LY M</t>
        </is>
      </c>
      <c r="I51" t="n">
        <v>3307</v>
      </c>
      <c r="J51" t="n">
        <v>3919</v>
      </c>
      <c r="K51" t="n">
        <v>4150</v>
      </c>
      <c r="L51" t="n">
        <v>6133</v>
      </c>
      <c r="M51" t="n">
        <v>2309</v>
      </c>
      <c r="N51" t="n">
        <v>4884</v>
      </c>
      <c r="O51" t="n">
        <v>1119</v>
      </c>
      <c r="P51" t="n">
        <v>1099</v>
      </c>
      <c r="Q51" t="n">
        <v>2942</v>
      </c>
      <c r="R51" t="n">
        <v>2438</v>
      </c>
      <c r="S51" t="n">
        <v>2143</v>
      </c>
      <c r="T51" t="n">
        <v>1962</v>
      </c>
    </row>
    <row r="52">
      <c r="A52" t="inlineStr">
        <is>
          <t>Gucci</t>
        </is>
      </c>
      <c r="B52" t="inlineStr">
        <is>
          <t>Gucci Guilty (00840)</t>
        </is>
      </c>
      <c r="C52" t="inlineStr">
        <is>
          <t>Gucci Guilty PH Eau de Parfum (00005405)</t>
        </is>
      </c>
      <c r="D52" s="1" t="n">
        <v>3614229382129</v>
      </c>
      <c r="E52" t="inlineStr">
        <is>
          <t>GG PH P EDP 90 ML IV</t>
        </is>
      </c>
      <c r="F52" t="inlineStr">
        <is>
          <t>P_US_ALL_OTHERS</t>
        </is>
      </c>
      <c r="G52" t="inlineStr">
        <is>
          <t>Month-2026.M09.W38</t>
        </is>
      </c>
      <c r="H52" t="inlineStr">
        <is>
          <t>System FC - Final</t>
        </is>
      </c>
      <c r="I52" t="n">
        <v>3672</v>
      </c>
      <c r="J52" t="n">
        <v>2128</v>
      </c>
      <c r="K52" t="n">
        <v>2237</v>
      </c>
      <c r="L52" t="n">
        <v>3573</v>
      </c>
      <c r="M52" t="n">
        <v>2352</v>
      </c>
      <c r="N52" t="n">
        <v>2528</v>
      </c>
      <c r="O52" t="n">
        <v>1736</v>
      </c>
      <c r="P52" t="n">
        <v>1400</v>
      </c>
      <c r="Q52" t="n">
        <v>2498</v>
      </c>
      <c r="R52" t="n">
        <v>2122</v>
      </c>
      <c r="S52" t="n">
        <v>3042</v>
      </c>
      <c r="T52" t="n">
        <v>2503</v>
      </c>
    </row>
    <row r="53">
      <c r="A53" t="inlineStr">
        <is>
          <t>Gucci</t>
        </is>
      </c>
      <c r="B53" t="inlineStr">
        <is>
          <t>Gucci Guilty (00840)</t>
        </is>
      </c>
      <c r="C53" t="inlineStr">
        <is>
          <t>Gucci Guilty PH Eau de Parfum (00005405)</t>
        </is>
      </c>
      <c r="D53" s="1" t="n">
        <v>3614229382129</v>
      </c>
      <c r="E53" t="inlineStr">
        <is>
          <t>GG PH P EDP 90 ML IV</t>
        </is>
      </c>
      <c r="F53" t="inlineStr">
        <is>
          <t>P_US_ALL_OTHERS</t>
        </is>
      </c>
      <c r="G53" t="inlineStr">
        <is>
          <t>Month-2026.M09.W38</t>
        </is>
      </c>
      <c r="H53" t="inlineStr">
        <is>
          <t>EPOS</t>
        </is>
      </c>
      <c r="I53" t="n">
        <v>1917</v>
      </c>
    </row>
    <row r="54">
      <c r="A54" t="inlineStr">
        <is>
          <t>Gucci</t>
        </is>
      </c>
      <c r="B54" t="inlineStr">
        <is>
          <t>Gucci Guilty (00840)</t>
        </is>
      </c>
      <c r="C54" t="inlineStr">
        <is>
          <t>Gucci Guilty PH Eau de Parfum (00005405)</t>
        </is>
      </c>
      <c r="D54" s="1" t="n">
        <v>3614229382129</v>
      </c>
      <c r="E54" t="inlineStr">
        <is>
          <t>GG PH P EDP 90 ML IV</t>
        </is>
      </c>
      <c r="F54" t="inlineStr">
        <is>
          <t>P_US_ALL_OTHERS</t>
        </is>
      </c>
      <c r="G54" t="inlineStr">
        <is>
          <t>Month-2026.M09.W38</t>
        </is>
      </c>
      <c r="H54" t="inlineStr">
        <is>
          <t>Reasonability Adjustment</t>
        </is>
      </c>
      <c r="I54" t="n">
        <v>-1040</v>
      </c>
      <c r="J54" t="n">
        <v>-1000</v>
      </c>
      <c r="K54" t="n">
        <v>2123</v>
      </c>
      <c r="M54" t="n">
        <v>-654</v>
      </c>
      <c r="N54" t="n">
        <v>-671</v>
      </c>
      <c r="Q54" t="n">
        <v>-802</v>
      </c>
      <c r="R54" t="n">
        <v>-757</v>
      </c>
      <c r="S54" t="n">
        <v>-852</v>
      </c>
      <c r="T54" t="n">
        <v>-829</v>
      </c>
    </row>
    <row r="55">
      <c r="A55" t="inlineStr">
        <is>
          <t>Gucci</t>
        </is>
      </c>
      <c r="B55" t="inlineStr">
        <is>
          <t>Gucci Guilty (00840)</t>
        </is>
      </c>
      <c r="C55" t="inlineStr">
        <is>
          <t>Gucci Guilty PH Eau de Parfum (00005405)</t>
        </is>
      </c>
      <c r="D55" s="1" t="n">
        <v>3614229382129</v>
      </c>
      <c r="E55" t="inlineStr">
        <is>
          <t>GG PH P EDP 90 ML IV</t>
        </is>
      </c>
      <c r="F55" t="inlineStr">
        <is>
          <t>P_US_ALL_OTHERS</t>
        </is>
      </c>
      <c r="G55" t="inlineStr">
        <is>
          <t>Month-2026.M09.W38</t>
        </is>
      </c>
      <c r="H55" t="inlineStr">
        <is>
          <t>Total Demand Assumption</t>
        </is>
      </c>
      <c r="I55" t="n">
        <v>-29</v>
      </c>
      <c r="J55" t="n">
        <v>-37</v>
      </c>
      <c r="K55" t="n">
        <v>-59</v>
      </c>
      <c r="L55" t="n">
        <v>-41</v>
      </c>
      <c r="M55" t="n">
        <v>-30</v>
      </c>
      <c r="N55" t="n">
        <v>-24</v>
      </c>
    </row>
    <row r="56">
      <c r="A56" t="inlineStr">
        <is>
          <t>Gucci</t>
        </is>
      </c>
      <c r="B56" t="inlineStr">
        <is>
          <t>Gucci Guilty (00840)</t>
        </is>
      </c>
      <c r="C56" t="inlineStr">
        <is>
          <t>Gucci Guilty PH Eau de Parfum (00005405)</t>
        </is>
      </c>
      <c r="D56" s="1" t="n">
        <v>3614229382129</v>
      </c>
      <c r="E56" t="inlineStr">
        <is>
          <t>GG PH P EDP 90 ML IV</t>
        </is>
      </c>
      <c r="F56" t="inlineStr">
        <is>
          <t>P_US_ALL_OTHERS</t>
        </is>
      </c>
      <c r="G56" t="inlineStr">
        <is>
          <t>Month-2026.M09.W38</t>
        </is>
      </c>
      <c r="H56" t="inlineStr">
        <is>
          <t>Consensus - Final</t>
        </is>
      </c>
      <c r="I56" t="n">
        <v>3672</v>
      </c>
      <c r="J56" t="n">
        <v>2128</v>
      </c>
      <c r="K56" t="n">
        <v>3336.00929800093</v>
      </c>
      <c r="L56" t="n">
        <v>3532</v>
      </c>
      <c r="M56" t="n">
        <v>1668</v>
      </c>
      <c r="N56" t="n">
        <v>1833</v>
      </c>
      <c r="O56" t="n">
        <v>1736</v>
      </c>
      <c r="P56" t="n">
        <v>1400</v>
      </c>
      <c r="Q56" t="n">
        <v>1696</v>
      </c>
      <c r="R56" t="n">
        <v>1365</v>
      </c>
      <c r="S56" t="n">
        <v>2190</v>
      </c>
      <c r="T56" t="n">
        <v>1674</v>
      </c>
    </row>
    <row r="57">
      <c r="A57" t="inlineStr">
        <is>
          <t>Gucci</t>
        </is>
      </c>
      <c r="B57" t="inlineStr">
        <is>
          <t>Gucci Guilty (00840)</t>
        </is>
      </c>
      <c r="C57" t="inlineStr">
        <is>
          <t>Gucci Guilty PH Eau de Parfum (00005405)</t>
        </is>
      </c>
      <c r="D57" s="1" t="n">
        <v>3614229382129</v>
      </c>
      <c r="E57" t="inlineStr">
        <is>
          <t>GG PH P EDP 90 ML IV</t>
        </is>
      </c>
      <c r="F57" t="inlineStr">
        <is>
          <t>P_US_ALL_OTHERS</t>
        </is>
      </c>
      <c r="G57" t="inlineStr">
        <is>
          <t>Month-2026.M09.W38</t>
        </is>
      </c>
      <c r="H57" t="inlineStr">
        <is>
          <t>Supply Cuts</t>
        </is>
      </c>
    </row>
    <row r="58">
      <c r="A58" t="inlineStr">
        <is>
          <t>Gucci</t>
        </is>
      </c>
      <c r="B58" t="inlineStr">
        <is>
          <t>Gucci Guilty (00840)</t>
        </is>
      </c>
      <c r="C58" t="inlineStr">
        <is>
          <t>Gucci Guilty PH Eau de Parfum (00005405)</t>
        </is>
      </c>
      <c r="D58" s="1" t="n">
        <v>3614229382129</v>
      </c>
      <c r="E58" t="inlineStr">
        <is>
          <t>GG PH P EDP 90 ML IV</t>
        </is>
      </c>
      <c r="F58" t="inlineStr">
        <is>
          <t>P_US_FG</t>
        </is>
      </c>
      <c r="G58" t="inlineStr">
        <is>
          <t>CurrentWorkingView</t>
        </is>
      </c>
      <c r="H58" t="inlineStr">
        <is>
          <t>Consensus - Final LY M</t>
        </is>
      </c>
      <c r="I58" t="n">
        <v>1</v>
      </c>
      <c r="J58" t="n">
        <v>515</v>
      </c>
      <c r="M58" t="n">
        <v>80</v>
      </c>
      <c r="R58" t="n">
        <v>345</v>
      </c>
      <c r="T58" t="n">
        <v>39</v>
      </c>
    </row>
    <row r="59">
      <c r="A59" t="inlineStr">
        <is>
          <t>Gucci</t>
        </is>
      </c>
      <c r="B59" t="inlineStr">
        <is>
          <t>Gucci Guilty (00840)</t>
        </is>
      </c>
      <c r="C59" t="inlineStr">
        <is>
          <t>Gucci Guilty PH Eau de Parfum (00005405)</t>
        </is>
      </c>
      <c r="D59" s="1" t="n">
        <v>3614229382129</v>
      </c>
      <c r="E59" t="inlineStr">
        <is>
          <t>GG PH P EDP 90 ML IV</t>
        </is>
      </c>
      <c r="F59" t="inlineStr">
        <is>
          <t>P_US_FG</t>
        </is>
      </c>
      <c r="G59" t="inlineStr">
        <is>
          <t>CurrentWorkingView</t>
        </is>
      </c>
      <c r="H59" t="inlineStr">
        <is>
          <t>System FC - Final</t>
        </is>
      </c>
      <c r="J59" t="n">
        <v>6</v>
      </c>
      <c r="K59" t="n">
        <v>147</v>
      </c>
      <c r="L59" t="n">
        <v>23</v>
      </c>
      <c r="M59" t="n">
        <v>27</v>
      </c>
      <c r="N59" t="n">
        <v>27</v>
      </c>
      <c r="O59" t="n">
        <v>26</v>
      </c>
      <c r="P59" t="n">
        <v>24</v>
      </c>
      <c r="Q59" t="n">
        <v>22</v>
      </c>
      <c r="R59" t="n">
        <v>22</v>
      </c>
      <c r="S59" t="n">
        <v>23</v>
      </c>
      <c r="T59" t="n">
        <v>20</v>
      </c>
    </row>
    <row r="60">
      <c r="A60" t="inlineStr">
        <is>
          <t>Gucci</t>
        </is>
      </c>
      <c r="B60" t="inlineStr">
        <is>
          <t>Gucci Guilty (00840)</t>
        </is>
      </c>
      <c r="C60" t="inlineStr">
        <is>
          <t>Gucci Guilty PH Eau de Parfum (00005405)</t>
        </is>
      </c>
      <c r="D60" s="1" t="n">
        <v>3614229382129</v>
      </c>
      <c r="E60" t="inlineStr">
        <is>
          <t>GG PH P EDP 90 ML IV</t>
        </is>
      </c>
      <c r="F60" t="inlineStr">
        <is>
          <t>P_US_FG</t>
        </is>
      </c>
      <c r="G60" t="inlineStr">
        <is>
          <t>CurrentWorkingView</t>
        </is>
      </c>
      <c r="H60" t="inlineStr">
        <is>
          <t>EPOS</t>
        </is>
      </c>
    </row>
    <row r="61">
      <c r="A61" t="inlineStr">
        <is>
          <t>Gucci</t>
        </is>
      </c>
      <c r="B61" t="inlineStr">
        <is>
          <t>Gucci Guilty (00840)</t>
        </is>
      </c>
      <c r="C61" t="inlineStr">
        <is>
          <t>Gucci Guilty PH Eau de Parfum (00005405)</t>
        </is>
      </c>
      <c r="D61" s="1" t="n">
        <v>3614229382129</v>
      </c>
      <c r="E61" t="inlineStr">
        <is>
          <t>GG PH P EDP 90 ML IV</t>
        </is>
      </c>
      <c r="F61" t="inlineStr">
        <is>
          <t>P_US_FG</t>
        </is>
      </c>
      <c r="G61" t="inlineStr">
        <is>
          <t>CurrentWorkingView</t>
        </is>
      </c>
      <c r="H61" t="inlineStr">
        <is>
          <t>Reasonability Adjustment</t>
        </is>
      </c>
      <c r="K61" t="n">
        <v>21</v>
      </c>
      <c r="N61" t="n">
        <v>20</v>
      </c>
    </row>
    <row r="62">
      <c r="A62" t="inlineStr">
        <is>
          <t>Gucci</t>
        </is>
      </c>
      <c r="B62" t="inlineStr">
        <is>
          <t>Gucci Guilty (00840)</t>
        </is>
      </c>
      <c r="C62" t="inlineStr">
        <is>
          <t>Gucci Guilty PH Eau de Parfum (00005405)</t>
        </is>
      </c>
      <c r="D62" s="1" t="n">
        <v>3614229382129</v>
      </c>
      <c r="E62" t="inlineStr">
        <is>
          <t>GG PH P EDP 90 ML IV</t>
        </is>
      </c>
      <c r="F62" t="inlineStr">
        <is>
          <t>P_US_FG</t>
        </is>
      </c>
      <c r="G62" t="inlineStr">
        <is>
          <t>CurrentWorkingView</t>
        </is>
      </c>
      <c r="H62" t="inlineStr">
        <is>
          <t>Total Demand Assumption</t>
        </is>
      </c>
    </row>
    <row r="63">
      <c r="A63" t="inlineStr">
        <is>
          <t>Gucci</t>
        </is>
      </c>
      <c r="B63" t="inlineStr">
        <is>
          <t>Gucci Guilty (00840)</t>
        </is>
      </c>
      <c r="C63" t="inlineStr">
        <is>
          <t>Gucci Guilty PH Eau de Parfum (00005405)</t>
        </is>
      </c>
      <c r="D63" s="1" t="n">
        <v>3614229382129</v>
      </c>
      <c r="E63" t="inlineStr">
        <is>
          <t>GG PH P EDP 90 ML IV</t>
        </is>
      </c>
      <c r="F63" t="inlineStr">
        <is>
          <t>P_US_FG</t>
        </is>
      </c>
      <c r="G63" t="inlineStr">
        <is>
          <t>CurrentWorkingView</t>
        </is>
      </c>
      <c r="H63" t="inlineStr">
        <is>
          <t>Consensus - Final</t>
        </is>
      </c>
      <c r="J63" t="n">
        <v>6</v>
      </c>
      <c r="K63" t="n">
        <v>132</v>
      </c>
      <c r="N63" t="n">
        <v>20</v>
      </c>
    </row>
    <row r="64">
      <c r="A64" t="inlineStr">
        <is>
          <t>Gucci</t>
        </is>
      </c>
      <c r="B64" t="inlineStr">
        <is>
          <t>Gucci Guilty (00840)</t>
        </is>
      </c>
      <c r="C64" t="inlineStr">
        <is>
          <t>Gucci Guilty PH Eau de Parfum (00005405)</t>
        </is>
      </c>
      <c r="D64" s="1" t="n">
        <v>3614229382129</v>
      </c>
      <c r="E64" t="inlineStr">
        <is>
          <t>GG PH P EDP 90 ML IV</t>
        </is>
      </c>
      <c r="F64" t="inlineStr">
        <is>
          <t>P_US_FG</t>
        </is>
      </c>
      <c r="G64" t="inlineStr">
        <is>
          <t>CurrentWorkingView</t>
        </is>
      </c>
      <c r="H64" t="inlineStr">
        <is>
          <t>Supply Cuts</t>
        </is>
      </c>
    </row>
    <row r="65">
      <c r="A65" t="inlineStr">
        <is>
          <t>Gucci</t>
        </is>
      </c>
      <c r="B65" t="inlineStr">
        <is>
          <t>Gucci Guilty (00840)</t>
        </is>
      </c>
      <c r="C65" t="inlineStr">
        <is>
          <t>Gucci Guilty PH Eau de Parfum (00005405)</t>
        </is>
      </c>
      <c r="D65" s="1" t="n">
        <v>3614229382129</v>
      </c>
      <c r="E65" t="inlineStr">
        <is>
          <t>GG PH P EDP 90 ML IV</t>
        </is>
      </c>
      <c r="F65" t="inlineStr">
        <is>
          <t>P_US_FG</t>
        </is>
      </c>
      <c r="G65" t="inlineStr">
        <is>
          <t>Month-2026.M09.W38</t>
        </is>
      </c>
      <c r="H65" t="inlineStr">
        <is>
          <t>Consensus - Final LY M</t>
        </is>
      </c>
      <c r="I65" t="n">
        <v>1</v>
      </c>
      <c r="J65" t="n">
        <v>515</v>
      </c>
      <c r="M65" t="n">
        <v>80</v>
      </c>
      <c r="R65" t="n">
        <v>345</v>
      </c>
      <c r="T65" t="n">
        <v>39</v>
      </c>
    </row>
    <row r="66">
      <c r="A66" t="inlineStr">
        <is>
          <t>Gucci</t>
        </is>
      </c>
      <c r="B66" t="inlineStr">
        <is>
          <t>Gucci Guilty (00840)</t>
        </is>
      </c>
      <c r="C66" t="inlineStr">
        <is>
          <t>Gucci Guilty PH Eau de Parfum (00005405)</t>
        </is>
      </c>
      <c r="D66" s="1" t="n">
        <v>3614229382129</v>
      </c>
      <c r="E66" t="inlineStr">
        <is>
          <t>GG PH P EDP 90 ML IV</t>
        </is>
      </c>
      <c r="F66" t="inlineStr">
        <is>
          <t>P_US_FG</t>
        </is>
      </c>
      <c r="G66" t="inlineStr">
        <is>
          <t>Month-2026.M09.W38</t>
        </is>
      </c>
      <c r="H66" t="inlineStr">
        <is>
          <t>System FC - Final</t>
        </is>
      </c>
      <c r="J66" t="n">
        <v>6</v>
      </c>
      <c r="K66" t="n">
        <v>33</v>
      </c>
      <c r="L66" t="n">
        <v>27</v>
      </c>
      <c r="M66" t="n">
        <v>26</v>
      </c>
      <c r="N66" t="n">
        <v>26</v>
      </c>
      <c r="O66" t="n">
        <v>27</v>
      </c>
      <c r="P66" t="n">
        <v>28</v>
      </c>
      <c r="Q66" t="n">
        <v>27</v>
      </c>
      <c r="R66" t="n">
        <v>27</v>
      </c>
      <c r="S66" t="n">
        <v>27</v>
      </c>
      <c r="T66" t="n">
        <v>23</v>
      </c>
    </row>
    <row r="67">
      <c r="A67" t="inlineStr">
        <is>
          <t>Gucci</t>
        </is>
      </c>
      <c r="B67" t="inlineStr">
        <is>
          <t>Gucci Guilty (00840)</t>
        </is>
      </c>
      <c r="C67" t="inlineStr">
        <is>
          <t>Gucci Guilty PH Eau de Parfum (00005405)</t>
        </is>
      </c>
      <c r="D67" s="1" t="n">
        <v>3614229382129</v>
      </c>
      <c r="E67" t="inlineStr">
        <is>
          <t>GG PH P EDP 90 ML IV</t>
        </is>
      </c>
      <c r="F67" t="inlineStr">
        <is>
          <t>P_US_FG</t>
        </is>
      </c>
      <c r="G67" t="inlineStr">
        <is>
          <t>Month-2026.M09.W38</t>
        </is>
      </c>
      <c r="H67" t="inlineStr">
        <is>
          <t>EPOS</t>
        </is>
      </c>
    </row>
    <row r="68">
      <c r="A68" t="inlineStr">
        <is>
          <t>Gucci</t>
        </is>
      </c>
      <c r="B68" t="inlineStr">
        <is>
          <t>Gucci Guilty (00840)</t>
        </is>
      </c>
      <c r="C68" t="inlineStr">
        <is>
          <t>Gucci Guilty PH Eau de Parfum (00005405)</t>
        </is>
      </c>
      <c r="D68" s="1" t="n">
        <v>3614229382129</v>
      </c>
      <c r="E68" t="inlineStr">
        <is>
          <t>GG PH P EDP 90 ML IV</t>
        </is>
      </c>
      <c r="F68" t="inlineStr">
        <is>
          <t>P_US_FG</t>
        </is>
      </c>
      <c r="G68" t="inlineStr">
        <is>
          <t>Month-2026.M09.W38</t>
        </is>
      </c>
      <c r="H68" t="inlineStr">
        <is>
          <t>Reasonability Adjustment</t>
        </is>
      </c>
      <c r="K68" t="n">
        <v>21</v>
      </c>
      <c r="N68" t="n">
        <v>20</v>
      </c>
    </row>
    <row r="69">
      <c r="A69" t="inlineStr">
        <is>
          <t>Gucci</t>
        </is>
      </c>
      <c r="B69" t="inlineStr">
        <is>
          <t>Gucci Guilty (00840)</t>
        </is>
      </c>
      <c r="C69" t="inlineStr">
        <is>
          <t>Gucci Guilty PH Eau de Parfum (00005405)</t>
        </is>
      </c>
      <c r="D69" s="1" t="n">
        <v>3614229382129</v>
      </c>
      <c r="E69" t="inlineStr">
        <is>
          <t>GG PH P EDP 90 ML IV</t>
        </is>
      </c>
      <c r="F69" t="inlineStr">
        <is>
          <t>P_US_FG</t>
        </is>
      </c>
      <c r="G69" t="inlineStr">
        <is>
          <t>Month-2026.M09.W38</t>
        </is>
      </c>
      <c r="H69" t="inlineStr">
        <is>
          <t>Total Demand Assumption</t>
        </is>
      </c>
    </row>
    <row r="70">
      <c r="A70" t="inlineStr">
        <is>
          <t>Gucci</t>
        </is>
      </c>
      <c r="B70" t="inlineStr">
        <is>
          <t>Gucci Guilty (00840)</t>
        </is>
      </c>
      <c r="C70" t="inlineStr">
        <is>
          <t>Gucci Guilty PH Eau de Parfum (00005405)</t>
        </is>
      </c>
      <c r="D70" s="1" t="n">
        <v>3614229382129</v>
      </c>
      <c r="E70" t="inlineStr">
        <is>
          <t>GG PH P EDP 90 ML IV</t>
        </is>
      </c>
      <c r="F70" t="inlineStr">
        <is>
          <t>P_US_FG</t>
        </is>
      </c>
      <c r="G70" t="inlineStr">
        <is>
          <t>Month-2026.M09.W38</t>
        </is>
      </c>
      <c r="H70" t="inlineStr">
        <is>
          <t>Consensus - Final</t>
        </is>
      </c>
      <c r="J70" t="n">
        <v>6</v>
      </c>
      <c r="K70" t="n">
        <v>21</v>
      </c>
      <c r="N70" t="n">
        <v>20</v>
      </c>
    </row>
    <row r="71">
      <c r="A71" t="inlineStr">
        <is>
          <t>Gucci</t>
        </is>
      </c>
      <c r="B71" t="inlineStr">
        <is>
          <t>Gucci Guilty (00840)</t>
        </is>
      </c>
      <c r="C71" t="inlineStr">
        <is>
          <t>Gucci Guilty PH Eau de Parfum (00005405)</t>
        </is>
      </c>
      <c r="D71" s="1" t="n">
        <v>3614229382129</v>
      </c>
      <c r="E71" t="inlineStr">
        <is>
          <t>GG PH P EDP 90 ML IV</t>
        </is>
      </c>
      <c r="F71" t="inlineStr">
        <is>
          <t>P_US_FG</t>
        </is>
      </c>
      <c r="G71" t="inlineStr">
        <is>
          <t>Month-2026.M09.W38</t>
        </is>
      </c>
      <c r="H71" t="inlineStr">
        <is>
          <t>Supply Cuts</t>
        </is>
      </c>
    </row>
    <row r="72">
      <c r="A72" t="inlineStr">
        <is>
          <t>Gucci</t>
        </is>
      </c>
      <c r="B72" t="inlineStr">
        <is>
          <t>Gucci Guilty (00840)</t>
        </is>
      </c>
      <c r="C72" t="inlineStr">
        <is>
          <t>Gucci Guilty PH Eau de Parfum (00005405)</t>
        </is>
      </c>
      <c r="D72" s="1" t="n">
        <v>3614229382129</v>
      </c>
      <c r="E72" t="inlineStr">
        <is>
          <t>GG PH P EDP 90 ML IV</t>
        </is>
      </c>
      <c r="F72" t="inlineStr">
        <is>
          <t>P_US_ULTA</t>
        </is>
      </c>
      <c r="G72" t="inlineStr">
        <is>
          <t>CurrentWorkingView</t>
        </is>
      </c>
      <c r="H72" t="inlineStr">
        <is>
          <t>Consensus - Final LY M</t>
        </is>
      </c>
      <c r="I72" t="n">
        <v>21</v>
      </c>
      <c r="J72" t="n">
        <v>1803</v>
      </c>
      <c r="K72" t="n">
        <v>3477</v>
      </c>
      <c r="L72" t="n">
        <v>1202</v>
      </c>
      <c r="M72" t="n">
        <v>1988</v>
      </c>
      <c r="N72" t="n">
        <v>1729</v>
      </c>
      <c r="O72" t="n">
        <v>1822</v>
      </c>
      <c r="P72" t="n">
        <v>708</v>
      </c>
      <c r="Q72" t="n">
        <v>1322</v>
      </c>
      <c r="R72" t="n">
        <v>417</v>
      </c>
      <c r="S72" t="n">
        <v>3109</v>
      </c>
      <c r="T72" t="n">
        <v>54</v>
      </c>
    </row>
    <row r="73">
      <c r="A73" t="inlineStr">
        <is>
          <t>Gucci</t>
        </is>
      </c>
      <c r="B73" t="inlineStr">
        <is>
          <t>Gucci Guilty (00840)</t>
        </is>
      </c>
      <c r="C73" t="inlineStr">
        <is>
          <t>Gucci Guilty PH Eau de Parfum (00005405)</t>
        </is>
      </c>
      <c r="D73" s="1" t="n">
        <v>3614229382129</v>
      </c>
      <c r="E73" t="inlineStr">
        <is>
          <t>GG PH P EDP 90 ML IV</t>
        </is>
      </c>
      <c r="F73" t="inlineStr">
        <is>
          <t>P_US_ULTA</t>
        </is>
      </c>
      <c r="G73" t="inlineStr">
        <is>
          <t>CurrentWorkingView</t>
        </is>
      </c>
      <c r="H73" t="inlineStr">
        <is>
          <t>System FC - Final</t>
        </is>
      </c>
      <c r="I73" t="n">
        <v>471</v>
      </c>
      <c r="J73" t="n">
        <v>608</v>
      </c>
      <c r="K73" t="n">
        <v>1177</v>
      </c>
      <c r="L73" t="n">
        <v>1180</v>
      </c>
      <c r="M73" t="n">
        <v>1177</v>
      </c>
      <c r="N73" t="n">
        <v>1173</v>
      </c>
      <c r="O73" t="n">
        <v>1174</v>
      </c>
      <c r="P73" t="n">
        <v>1172</v>
      </c>
      <c r="Q73" t="n">
        <v>1174</v>
      </c>
      <c r="R73" t="n">
        <v>1174</v>
      </c>
      <c r="S73" t="n">
        <v>1174</v>
      </c>
      <c r="T73" t="n">
        <v>1057</v>
      </c>
    </row>
    <row r="74">
      <c r="A74" t="inlineStr">
        <is>
          <t>Gucci</t>
        </is>
      </c>
      <c r="B74" t="inlineStr">
        <is>
          <t>Gucci Guilty (00840)</t>
        </is>
      </c>
      <c r="C74" t="inlineStr">
        <is>
          <t>Gucci Guilty PH Eau de Parfum (00005405)</t>
        </is>
      </c>
      <c r="D74" s="1" t="n">
        <v>3614229382129</v>
      </c>
      <c r="E74" t="inlineStr">
        <is>
          <t>GG PH P EDP 90 ML IV</t>
        </is>
      </c>
      <c r="F74" t="inlineStr">
        <is>
          <t>P_US_ULTA</t>
        </is>
      </c>
      <c r="G74" t="inlineStr">
        <is>
          <t>CurrentWorkingView</t>
        </is>
      </c>
      <c r="H74" t="inlineStr">
        <is>
          <t>EPOS</t>
        </is>
      </c>
      <c r="I74" t="n">
        <v>762</v>
      </c>
    </row>
    <row r="75">
      <c r="A75" t="inlineStr">
        <is>
          <t>Gucci</t>
        </is>
      </c>
      <c r="B75" t="inlineStr">
        <is>
          <t>Gucci Guilty (00840)</t>
        </is>
      </c>
      <c r="C75" t="inlineStr">
        <is>
          <t>Gucci Guilty PH Eau de Parfum (00005405)</t>
        </is>
      </c>
      <c r="D75" s="1" t="n">
        <v>3614229382129</v>
      </c>
      <c r="E75" t="inlineStr">
        <is>
          <t>GG PH P EDP 90 ML IV</t>
        </is>
      </c>
      <c r="F75" t="inlineStr">
        <is>
          <t>P_US_ULTA</t>
        </is>
      </c>
      <c r="G75" t="inlineStr">
        <is>
          <t>CurrentWorkingView</t>
        </is>
      </c>
      <c r="H75" t="inlineStr">
        <is>
          <t>Reasonability Adjustment</t>
        </is>
      </c>
      <c r="I75" t="n">
        <v>-360</v>
      </c>
      <c r="J75" t="n">
        <v>-216</v>
      </c>
      <c r="K75" t="n">
        <v>856</v>
      </c>
      <c r="M75" t="n">
        <v>-346</v>
      </c>
      <c r="N75" t="n">
        <v>-329</v>
      </c>
      <c r="Q75" t="n">
        <v>-398</v>
      </c>
      <c r="R75" t="n">
        <v>-443</v>
      </c>
      <c r="S75" t="n">
        <v>-348</v>
      </c>
      <c r="T75" t="n">
        <v>-371</v>
      </c>
    </row>
    <row r="76">
      <c r="A76" t="inlineStr">
        <is>
          <t>Gucci</t>
        </is>
      </c>
      <c r="B76" t="inlineStr">
        <is>
          <t>Gucci Guilty (00840)</t>
        </is>
      </c>
      <c r="C76" t="inlineStr">
        <is>
          <t>Gucci Guilty PH Eau de Parfum (00005405)</t>
        </is>
      </c>
      <c r="D76" s="1" t="n">
        <v>3614229382129</v>
      </c>
      <c r="E76" t="inlineStr">
        <is>
          <t>GG PH P EDP 90 ML IV</t>
        </is>
      </c>
      <c r="F76" t="inlineStr">
        <is>
          <t>P_US_ULTA</t>
        </is>
      </c>
      <c r="G76" t="inlineStr">
        <is>
          <t>CurrentWorkingView</t>
        </is>
      </c>
      <c r="H76" t="inlineStr">
        <is>
          <t>Total Demand Assumption</t>
        </is>
      </c>
    </row>
    <row r="77">
      <c r="A77" t="inlineStr">
        <is>
          <t>Gucci</t>
        </is>
      </c>
      <c r="B77" t="inlineStr">
        <is>
          <t>Gucci Guilty (00840)</t>
        </is>
      </c>
      <c r="C77" t="inlineStr">
        <is>
          <t>Gucci Guilty PH Eau de Parfum (00005405)</t>
        </is>
      </c>
      <c r="D77" s="1" t="n">
        <v>3614229382129</v>
      </c>
      <c r="E77" t="inlineStr">
        <is>
          <t>GG PH P EDP 90 ML IV</t>
        </is>
      </c>
      <c r="F77" t="inlineStr">
        <is>
          <t>P_US_ULTA</t>
        </is>
      </c>
      <c r="G77" t="inlineStr">
        <is>
          <t>CurrentWorkingView</t>
        </is>
      </c>
      <c r="H77" t="inlineStr">
        <is>
          <t>Consensus - Final</t>
        </is>
      </c>
      <c r="I77" t="n">
        <v>471</v>
      </c>
      <c r="J77" t="n">
        <v>608</v>
      </c>
      <c r="K77" t="n">
        <v>1264.99070199907</v>
      </c>
      <c r="L77" t="n">
        <v>1180</v>
      </c>
      <c r="M77" t="n">
        <v>843</v>
      </c>
      <c r="N77" t="n">
        <v>844</v>
      </c>
      <c r="O77" t="n">
        <v>1174</v>
      </c>
      <c r="P77" t="n">
        <v>1172</v>
      </c>
      <c r="Q77" t="n">
        <v>776</v>
      </c>
      <c r="R77" t="n">
        <v>731</v>
      </c>
      <c r="S77" t="n">
        <v>826</v>
      </c>
      <c r="T77" t="n">
        <v>686</v>
      </c>
    </row>
    <row r="78">
      <c r="A78" t="inlineStr">
        <is>
          <t>Gucci</t>
        </is>
      </c>
      <c r="B78" t="inlineStr">
        <is>
          <t>Gucci Guilty (00840)</t>
        </is>
      </c>
      <c r="C78" t="inlineStr">
        <is>
          <t>Gucci Guilty PH Eau de Parfum (00005405)</t>
        </is>
      </c>
      <c r="D78" s="1" t="n">
        <v>3614229382129</v>
      </c>
      <c r="E78" t="inlineStr">
        <is>
          <t>GG PH P EDP 90 ML IV</t>
        </is>
      </c>
      <c r="F78" t="inlineStr">
        <is>
          <t>P_US_ULTA</t>
        </is>
      </c>
      <c r="G78" t="inlineStr">
        <is>
          <t>CurrentWorkingView</t>
        </is>
      </c>
      <c r="H78" t="inlineStr">
        <is>
          <t>Supply Cuts</t>
        </is>
      </c>
    </row>
    <row r="79">
      <c r="A79" t="inlineStr">
        <is>
          <t>Gucci</t>
        </is>
      </c>
      <c r="B79" t="inlineStr">
        <is>
          <t>Gucci Guilty (00840)</t>
        </is>
      </c>
      <c r="C79" t="inlineStr">
        <is>
          <t>Gucci Guilty PH Eau de Parfum (00005405)</t>
        </is>
      </c>
      <c r="D79" s="1" t="n">
        <v>3614229382129</v>
      </c>
      <c r="E79" t="inlineStr">
        <is>
          <t>GG PH P EDP 90 ML IV</t>
        </is>
      </c>
      <c r="F79" t="inlineStr">
        <is>
          <t>P_US_ULTA</t>
        </is>
      </c>
      <c r="G79" t="inlineStr">
        <is>
          <t>Month-2026.M09.W38</t>
        </is>
      </c>
      <c r="H79" t="inlineStr">
        <is>
          <t>Consensus - Final LY M</t>
        </is>
      </c>
      <c r="I79" t="n">
        <v>21</v>
      </c>
      <c r="J79" t="n">
        <v>1803</v>
      </c>
      <c r="K79" t="n">
        <v>3477</v>
      </c>
      <c r="L79" t="n">
        <v>1202</v>
      </c>
      <c r="M79" t="n">
        <v>1988</v>
      </c>
      <c r="N79" t="n">
        <v>1729</v>
      </c>
      <c r="O79" t="n">
        <v>1822</v>
      </c>
      <c r="P79" t="n">
        <v>708</v>
      </c>
      <c r="Q79" t="n">
        <v>1322</v>
      </c>
      <c r="R79" t="n">
        <v>417</v>
      </c>
      <c r="S79" t="n">
        <v>3109</v>
      </c>
      <c r="T79" t="n">
        <v>54</v>
      </c>
    </row>
    <row r="80">
      <c r="A80" t="inlineStr">
        <is>
          <t>Gucci</t>
        </is>
      </c>
      <c r="B80" t="inlineStr">
        <is>
          <t>Gucci Guilty (00840)</t>
        </is>
      </c>
      <c r="C80" t="inlineStr">
        <is>
          <t>Gucci Guilty PH Eau de Parfum (00005405)</t>
        </is>
      </c>
      <c r="D80" s="1" t="n">
        <v>3614229382129</v>
      </c>
      <c r="E80" t="inlineStr">
        <is>
          <t>GG PH P EDP 90 ML IV</t>
        </is>
      </c>
      <c r="F80" t="inlineStr">
        <is>
          <t>P_US_ULTA</t>
        </is>
      </c>
      <c r="G80" t="inlineStr">
        <is>
          <t>Month-2026.M09.W38</t>
        </is>
      </c>
      <c r="H80" t="inlineStr">
        <is>
          <t>System FC - Final</t>
        </is>
      </c>
      <c r="I80" t="n">
        <v>471</v>
      </c>
      <c r="J80" t="n">
        <v>608</v>
      </c>
      <c r="K80" t="n">
        <v>747</v>
      </c>
      <c r="L80" t="n">
        <v>1244</v>
      </c>
      <c r="M80" t="n">
        <v>1242</v>
      </c>
      <c r="N80" t="n">
        <v>1242</v>
      </c>
      <c r="O80" t="n">
        <v>1240</v>
      </c>
      <c r="P80" t="n">
        <v>1244</v>
      </c>
      <c r="Q80" t="n">
        <v>1240</v>
      </c>
      <c r="R80" t="n">
        <v>1243</v>
      </c>
      <c r="S80" t="n">
        <v>1240</v>
      </c>
      <c r="T80" t="n">
        <v>1119</v>
      </c>
    </row>
    <row r="81">
      <c r="A81" t="inlineStr">
        <is>
          <t>Gucci</t>
        </is>
      </c>
      <c r="B81" t="inlineStr">
        <is>
          <t>Gucci Guilty (00840)</t>
        </is>
      </c>
      <c r="C81" t="inlineStr">
        <is>
          <t>Gucci Guilty PH Eau de Parfum (00005405)</t>
        </is>
      </c>
      <c r="D81" s="1" t="n">
        <v>3614229382129</v>
      </c>
      <c r="E81" t="inlineStr">
        <is>
          <t>GG PH P EDP 90 ML IV</t>
        </is>
      </c>
      <c r="F81" t="inlineStr">
        <is>
          <t>P_US_ULTA</t>
        </is>
      </c>
      <c r="G81" t="inlineStr">
        <is>
          <t>Month-2026.M09.W38</t>
        </is>
      </c>
      <c r="H81" t="inlineStr">
        <is>
          <t>EPOS</t>
        </is>
      </c>
      <c r="I81" t="n">
        <v>762</v>
      </c>
    </row>
    <row r="82">
      <c r="A82" t="inlineStr">
        <is>
          <t>Gucci</t>
        </is>
      </c>
      <c r="B82" t="inlineStr">
        <is>
          <t>Gucci Guilty (00840)</t>
        </is>
      </c>
      <c r="C82" t="inlineStr">
        <is>
          <t>Gucci Guilty PH Eau de Parfum (00005405)</t>
        </is>
      </c>
      <c r="D82" s="1" t="n">
        <v>3614229382129</v>
      </c>
      <c r="E82" t="inlineStr">
        <is>
          <t>GG PH P EDP 90 ML IV</t>
        </is>
      </c>
      <c r="F82" t="inlineStr">
        <is>
          <t>P_US_ULTA</t>
        </is>
      </c>
      <c r="G82" t="inlineStr">
        <is>
          <t>Month-2026.M09.W38</t>
        </is>
      </c>
      <c r="H82" t="inlineStr">
        <is>
          <t>Reasonability Adjustment</t>
        </is>
      </c>
      <c r="I82" t="n">
        <v>-360</v>
      </c>
      <c r="J82" t="n">
        <v>-216</v>
      </c>
      <c r="K82" t="n">
        <v>856</v>
      </c>
      <c r="M82" t="n">
        <v>-346</v>
      </c>
      <c r="N82" t="n">
        <v>-329</v>
      </c>
      <c r="Q82" t="n">
        <v>-398</v>
      </c>
      <c r="R82" t="n">
        <v>-443</v>
      </c>
      <c r="S82" t="n">
        <v>-348</v>
      </c>
      <c r="T82" t="n">
        <v>-371</v>
      </c>
    </row>
    <row r="83">
      <c r="A83" t="inlineStr">
        <is>
          <t>Gucci</t>
        </is>
      </c>
      <c r="B83" t="inlineStr">
        <is>
          <t>Gucci Guilty (00840)</t>
        </is>
      </c>
      <c r="C83" t="inlineStr">
        <is>
          <t>Gucci Guilty PH Eau de Parfum (00005405)</t>
        </is>
      </c>
      <c r="D83" s="1" t="n">
        <v>3614229382129</v>
      </c>
      <c r="E83" t="inlineStr">
        <is>
          <t>GG PH P EDP 90 ML IV</t>
        </is>
      </c>
      <c r="F83" t="inlineStr">
        <is>
          <t>P_US_ULTA</t>
        </is>
      </c>
      <c r="G83" t="inlineStr">
        <is>
          <t>Month-2026.M09.W38</t>
        </is>
      </c>
      <c r="H83" t="inlineStr">
        <is>
          <t>Total Demand Assumption</t>
        </is>
      </c>
    </row>
    <row r="84">
      <c r="A84" t="inlineStr">
        <is>
          <t>Gucci</t>
        </is>
      </c>
      <c r="B84" t="inlineStr">
        <is>
          <t>Gucci Guilty (00840)</t>
        </is>
      </c>
      <c r="C84" t="inlineStr">
        <is>
          <t>Gucci Guilty PH Eau de Parfum (00005405)</t>
        </is>
      </c>
      <c r="D84" s="1" t="n">
        <v>3614229382129</v>
      </c>
      <c r="E84" t="inlineStr">
        <is>
          <t>GG PH P EDP 90 ML IV</t>
        </is>
      </c>
      <c r="F84" t="inlineStr">
        <is>
          <t>P_US_ULTA</t>
        </is>
      </c>
      <c r="G84" t="inlineStr">
        <is>
          <t>Month-2026.M09.W38</t>
        </is>
      </c>
      <c r="H84" t="inlineStr">
        <is>
          <t>Consensus - Final</t>
        </is>
      </c>
      <c r="I84" t="n">
        <v>471</v>
      </c>
      <c r="J84" t="n">
        <v>608</v>
      </c>
      <c r="K84" t="n">
        <v>1264.99070199907</v>
      </c>
      <c r="L84" t="n">
        <v>1244</v>
      </c>
      <c r="M84" t="n">
        <v>896</v>
      </c>
      <c r="N84" t="n">
        <v>913</v>
      </c>
      <c r="O84" t="n">
        <v>1240</v>
      </c>
      <c r="P84" t="n">
        <v>1244</v>
      </c>
      <c r="Q84" t="n">
        <v>842</v>
      </c>
      <c r="R84" t="n">
        <v>800</v>
      </c>
      <c r="S84" t="n">
        <v>892</v>
      </c>
      <c r="T84" t="n">
        <v>748</v>
      </c>
    </row>
    <row r="85">
      <c r="A85" t="inlineStr">
        <is>
          <t>Gucci</t>
        </is>
      </c>
      <c r="B85" t="inlineStr">
        <is>
          <t>Gucci Guilty (00840)</t>
        </is>
      </c>
      <c r="C85" t="inlineStr">
        <is>
          <t>Gucci Guilty PH Eau de Parfum (00005405)</t>
        </is>
      </c>
      <c r="D85" s="1" t="n">
        <v>3614229382129</v>
      </c>
      <c r="E85" t="inlineStr">
        <is>
          <t>GG PH P EDP 90 ML IV</t>
        </is>
      </c>
      <c r="F85" t="inlineStr">
        <is>
          <t>P_US_ULTA</t>
        </is>
      </c>
      <c r="G85" t="inlineStr">
        <is>
          <t>Month-2026.M09.W38</t>
        </is>
      </c>
      <c r="H85" t="inlineStr">
        <is>
          <t>Supply Cuts</t>
        </is>
      </c>
    </row>
    <row r="86">
      <c r="A86" t="inlineStr">
        <is>
          <t>Gucci</t>
        </is>
      </c>
      <c r="B86" t="inlineStr">
        <is>
          <t>Gucci Guilty (00840)</t>
        </is>
      </c>
      <c r="C86" t="inlineStr">
        <is>
          <t>Gucci Guilty PF NEW 22 (00006018)</t>
        </is>
      </c>
      <c r="D86" s="1" t="n">
        <v>3616301794639</v>
      </c>
      <c r="E86" t="inlineStr">
        <is>
          <t>GG PF EDP 90 ML INTENSE IV</t>
        </is>
      </c>
      <c r="F86" t="inlineStr">
        <is>
          <t>P_US_ALL_OTHERS</t>
        </is>
      </c>
      <c r="G86" t="inlineStr">
        <is>
          <t>CurrentWorkingView</t>
        </is>
      </c>
      <c r="H86" t="inlineStr">
        <is>
          <t>Consensus - Final LY M</t>
        </is>
      </c>
      <c r="I86" t="n">
        <v>1147</v>
      </c>
      <c r="K86" t="n">
        <v>358</v>
      </c>
      <c r="L86" t="n">
        <v>1080</v>
      </c>
      <c r="M86" t="n">
        <v>887</v>
      </c>
      <c r="N86" t="n">
        <v>731</v>
      </c>
      <c r="O86" t="n">
        <v>146</v>
      </c>
      <c r="P86" t="n">
        <v>72</v>
      </c>
      <c r="Q86" t="n">
        <v>72</v>
      </c>
      <c r="R86" t="n">
        <v>45</v>
      </c>
      <c r="S86" t="n">
        <v>61</v>
      </c>
      <c r="T86" t="n">
        <v>47</v>
      </c>
    </row>
    <row r="87">
      <c r="A87" t="inlineStr">
        <is>
          <t>Gucci</t>
        </is>
      </c>
      <c r="B87" t="inlineStr">
        <is>
          <t>Gucci Guilty (00840)</t>
        </is>
      </c>
      <c r="C87" t="inlineStr">
        <is>
          <t>Gucci Guilty PF NEW 22 (00006018)</t>
        </is>
      </c>
      <c r="D87" s="1" t="n">
        <v>3616301794639</v>
      </c>
      <c r="E87" t="inlineStr">
        <is>
          <t>GG PF EDP 90 ML INTENSE IV</t>
        </is>
      </c>
      <c r="F87" t="inlineStr">
        <is>
          <t>P_US_ALL_OTHERS</t>
        </is>
      </c>
      <c r="G87" t="inlineStr">
        <is>
          <t>CurrentWorkingView</t>
        </is>
      </c>
      <c r="H87" t="inlineStr">
        <is>
          <t>System FC - Final</t>
        </is>
      </c>
      <c r="I87" t="n">
        <v>53</v>
      </c>
      <c r="J87" t="n">
        <v>90</v>
      </c>
      <c r="K87" t="n">
        <v>112</v>
      </c>
      <c r="L87" t="n">
        <v>612</v>
      </c>
      <c r="M87" t="n">
        <v>76</v>
      </c>
      <c r="N87" t="n">
        <v>76</v>
      </c>
      <c r="O87" t="n">
        <v>75</v>
      </c>
      <c r="P87" t="n">
        <v>468</v>
      </c>
      <c r="Q87" t="n">
        <v>208</v>
      </c>
      <c r="R87" t="n">
        <v>77</v>
      </c>
      <c r="S87" t="n">
        <v>75</v>
      </c>
      <c r="T87" t="n">
        <v>70</v>
      </c>
    </row>
    <row r="88">
      <c r="A88" t="inlineStr">
        <is>
          <t>Gucci</t>
        </is>
      </c>
      <c r="B88" t="inlineStr">
        <is>
          <t>Gucci Guilty (00840)</t>
        </is>
      </c>
      <c r="C88" t="inlineStr">
        <is>
          <t>Gucci Guilty PF NEW 22 (00006018)</t>
        </is>
      </c>
      <c r="D88" s="1" t="n">
        <v>3616301794639</v>
      </c>
      <c r="E88" t="inlineStr">
        <is>
          <t>GG PF EDP 90 ML INTENSE IV</t>
        </is>
      </c>
      <c r="F88" t="inlineStr">
        <is>
          <t>P_US_ALL_OTHERS</t>
        </is>
      </c>
      <c r="G88" t="inlineStr">
        <is>
          <t>CurrentWorkingView</t>
        </is>
      </c>
      <c r="H88" t="inlineStr">
        <is>
          <t>EPOS</t>
        </is>
      </c>
      <c r="I88" t="n">
        <v>83</v>
      </c>
    </row>
    <row r="89">
      <c r="A89" t="inlineStr">
        <is>
          <t>Gucci</t>
        </is>
      </c>
      <c r="B89" t="inlineStr">
        <is>
          <t>Gucci Guilty (00840)</t>
        </is>
      </c>
      <c r="C89" t="inlineStr">
        <is>
          <t>Gucci Guilty PF NEW 22 (00006018)</t>
        </is>
      </c>
      <c r="D89" s="1" t="n">
        <v>3616301794639</v>
      </c>
      <c r="E89" t="inlineStr">
        <is>
          <t>GG PF EDP 90 ML INTENSE IV</t>
        </is>
      </c>
      <c r="F89" t="inlineStr">
        <is>
          <t>P_US_ALL_OTHERS</t>
        </is>
      </c>
      <c r="G89" t="inlineStr">
        <is>
          <t>CurrentWorkingView</t>
        </is>
      </c>
      <c r="H89" t="inlineStr">
        <is>
          <t>Reasonability Adjustment</t>
        </is>
      </c>
    </row>
    <row r="90">
      <c r="A90" t="inlineStr">
        <is>
          <t>Gucci</t>
        </is>
      </c>
      <c r="B90" t="inlineStr">
        <is>
          <t>Gucci Guilty (00840)</t>
        </is>
      </c>
      <c r="C90" t="inlineStr">
        <is>
          <t>Gucci Guilty PF NEW 22 (00006018)</t>
        </is>
      </c>
      <c r="D90" s="1" t="n">
        <v>3616301794639</v>
      </c>
      <c r="E90" t="inlineStr">
        <is>
          <t>GG PF EDP 90 ML INTENSE IV</t>
        </is>
      </c>
      <c r="F90" t="inlineStr">
        <is>
          <t>P_US_ALL_OTHERS</t>
        </is>
      </c>
      <c r="G90" t="inlineStr">
        <is>
          <t>CurrentWorkingView</t>
        </is>
      </c>
      <c r="H90" t="inlineStr">
        <is>
          <t>Total Demand Assumption</t>
        </is>
      </c>
      <c r="I90" t="n">
        <v>-22</v>
      </c>
      <c r="J90" t="n">
        <v>-10</v>
      </c>
      <c r="K90" t="n">
        <v>-12</v>
      </c>
      <c r="L90" t="n">
        <v>-29</v>
      </c>
      <c r="M90" t="n">
        <v>-27</v>
      </c>
      <c r="N90" t="n">
        <v>-15</v>
      </c>
    </row>
    <row r="91">
      <c r="A91" t="inlineStr">
        <is>
          <t>Gucci</t>
        </is>
      </c>
      <c r="B91" t="inlineStr">
        <is>
          <t>Gucci Guilty (00840)</t>
        </is>
      </c>
      <c r="C91" t="inlineStr">
        <is>
          <t>Gucci Guilty PF NEW 22 (00006018)</t>
        </is>
      </c>
      <c r="D91" s="1" t="n">
        <v>3616301794639</v>
      </c>
      <c r="E91" t="inlineStr">
        <is>
          <t>GG PF EDP 90 ML INTENSE IV</t>
        </is>
      </c>
      <c r="F91" t="inlineStr">
        <is>
          <t>P_US_ALL_OTHERS</t>
        </is>
      </c>
      <c r="G91" t="inlineStr">
        <is>
          <t>CurrentWorkingView</t>
        </is>
      </c>
      <c r="H91" t="inlineStr">
        <is>
          <t>Consensus - Final</t>
        </is>
      </c>
      <c r="I91" t="n">
        <v>53</v>
      </c>
      <c r="J91" t="n">
        <v>90</v>
      </c>
      <c r="K91" t="n">
        <v>133.774869109947</v>
      </c>
      <c r="L91" t="n">
        <v>583</v>
      </c>
      <c r="M91" t="n">
        <v>53</v>
      </c>
      <c r="N91" t="n">
        <v>61</v>
      </c>
      <c r="O91" t="n">
        <v>75</v>
      </c>
      <c r="P91" t="n">
        <v>468</v>
      </c>
      <c r="Q91" t="n">
        <v>208</v>
      </c>
      <c r="R91" t="n">
        <v>77</v>
      </c>
      <c r="S91" t="n">
        <v>75</v>
      </c>
      <c r="T91" t="n">
        <v>70</v>
      </c>
    </row>
    <row r="92">
      <c r="A92" t="inlineStr">
        <is>
          <t>Gucci</t>
        </is>
      </c>
      <c r="B92" t="inlineStr">
        <is>
          <t>Gucci Guilty (00840)</t>
        </is>
      </c>
      <c r="C92" t="inlineStr">
        <is>
          <t>Gucci Guilty PF NEW 22 (00006018)</t>
        </is>
      </c>
      <c r="D92" s="1" t="n">
        <v>3616301794639</v>
      </c>
      <c r="E92" t="inlineStr">
        <is>
          <t>GG PF EDP 90 ML INTENSE IV</t>
        </is>
      </c>
      <c r="F92" t="inlineStr">
        <is>
          <t>P_US_ALL_OTHERS</t>
        </is>
      </c>
      <c r="G92" t="inlineStr">
        <is>
          <t>CurrentWorkingView</t>
        </is>
      </c>
      <c r="H92" t="inlineStr">
        <is>
          <t>Supply Cuts</t>
        </is>
      </c>
    </row>
    <row r="93">
      <c r="A93" t="inlineStr">
        <is>
          <t>Gucci</t>
        </is>
      </c>
      <c r="B93" t="inlineStr">
        <is>
          <t>Gucci Guilty (00840)</t>
        </is>
      </c>
      <c r="C93" t="inlineStr">
        <is>
          <t>Gucci Guilty PF NEW 22 (00006018)</t>
        </is>
      </c>
      <c r="D93" s="1" t="n">
        <v>3616301794639</v>
      </c>
      <c r="E93" t="inlineStr">
        <is>
          <t>GG PF EDP 90 ML INTENSE IV</t>
        </is>
      </c>
      <c r="F93" t="inlineStr">
        <is>
          <t>P_US_ALL_OTHERS</t>
        </is>
      </c>
      <c r="G93" t="inlineStr">
        <is>
          <t>Month-2026.M09.W38</t>
        </is>
      </c>
      <c r="H93" t="inlineStr">
        <is>
          <t>Consensus - Final LY M</t>
        </is>
      </c>
      <c r="I93" t="n">
        <v>1147</v>
      </c>
      <c r="K93" t="n">
        <v>358</v>
      </c>
      <c r="L93" t="n">
        <v>1080</v>
      </c>
      <c r="M93" t="n">
        <v>887</v>
      </c>
      <c r="N93" t="n">
        <v>731</v>
      </c>
      <c r="O93" t="n">
        <v>146</v>
      </c>
      <c r="P93" t="n">
        <v>72</v>
      </c>
      <c r="Q93" t="n">
        <v>72</v>
      </c>
      <c r="R93" t="n">
        <v>45</v>
      </c>
      <c r="S93" t="n">
        <v>61</v>
      </c>
      <c r="T93" t="n">
        <v>47</v>
      </c>
    </row>
    <row r="94">
      <c r="A94" t="inlineStr">
        <is>
          <t>Gucci</t>
        </is>
      </c>
      <c r="B94" t="inlineStr">
        <is>
          <t>Gucci Guilty (00840)</t>
        </is>
      </c>
      <c r="C94" t="inlineStr">
        <is>
          <t>Gucci Guilty PF NEW 22 (00006018)</t>
        </is>
      </c>
      <c r="D94" s="1" t="n">
        <v>3616301794639</v>
      </c>
      <c r="E94" t="inlineStr">
        <is>
          <t>GG PF EDP 90 ML INTENSE IV</t>
        </is>
      </c>
      <c r="F94" t="inlineStr">
        <is>
          <t>P_US_ALL_OTHERS</t>
        </is>
      </c>
      <c r="G94" t="inlineStr">
        <is>
          <t>Month-2026.M09.W38</t>
        </is>
      </c>
      <c r="H94" t="inlineStr">
        <is>
          <t>System FC - Final</t>
        </is>
      </c>
      <c r="I94" t="n">
        <v>53</v>
      </c>
      <c r="J94" t="n">
        <v>90</v>
      </c>
      <c r="K94" t="n">
        <v>143</v>
      </c>
      <c r="L94" t="n">
        <v>465</v>
      </c>
      <c r="M94" t="n">
        <v>270</v>
      </c>
      <c r="N94" t="n">
        <v>133</v>
      </c>
      <c r="O94" t="n">
        <v>293</v>
      </c>
      <c r="P94" t="n">
        <v>396</v>
      </c>
      <c r="Q94" t="n">
        <v>107</v>
      </c>
      <c r="R94" t="n">
        <v>257</v>
      </c>
      <c r="S94" t="n">
        <v>248</v>
      </c>
      <c r="T94" t="n">
        <v>127</v>
      </c>
    </row>
    <row r="95">
      <c r="A95" t="inlineStr">
        <is>
          <t>Gucci</t>
        </is>
      </c>
      <c r="B95" t="inlineStr">
        <is>
          <t>Gucci Guilty (00840)</t>
        </is>
      </c>
      <c r="C95" t="inlineStr">
        <is>
          <t>Gucci Guilty PF NEW 22 (00006018)</t>
        </is>
      </c>
      <c r="D95" s="1" t="n">
        <v>3616301794639</v>
      </c>
      <c r="E95" t="inlineStr">
        <is>
          <t>GG PF EDP 90 ML INTENSE IV</t>
        </is>
      </c>
      <c r="F95" t="inlineStr">
        <is>
          <t>P_US_ALL_OTHERS</t>
        </is>
      </c>
      <c r="G95" t="inlineStr">
        <is>
          <t>Month-2026.M09.W38</t>
        </is>
      </c>
      <c r="H95" t="inlineStr">
        <is>
          <t>EPOS</t>
        </is>
      </c>
      <c r="I95" t="n">
        <v>83</v>
      </c>
    </row>
    <row r="96">
      <c r="A96" t="inlineStr">
        <is>
          <t>Gucci</t>
        </is>
      </c>
      <c r="B96" t="inlineStr">
        <is>
          <t>Gucci Guilty (00840)</t>
        </is>
      </c>
      <c r="C96" t="inlineStr">
        <is>
          <t>Gucci Guilty PF NEW 22 (00006018)</t>
        </is>
      </c>
      <c r="D96" s="1" t="n">
        <v>3616301794639</v>
      </c>
      <c r="E96" t="inlineStr">
        <is>
          <t>GG PF EDP 90 ML INTENSE IV</t>
        </is>
      </c>
      <c r="F96" t="inlineStr">
        <is>
          <t>P_US_ALL_OTHERS</t>
        </is>
      </c>
      <c r="G96" t="inlineStr">
        <is>
          <t>Month-2026.M09.W38</t>
        </is>
      </c>
      <c r="H96" t="inlineStr">
        <is>
          <t>Reasonability Adjustment</t>
        </is>
      </c>
    </row>
    <row r="97">
      <c r="A97" t="inlineStr">
        <is>
          <t>Gucci</t>
        </is>
      </c>
      <c r="B97" t="inlineStr">
        <is>
          <t>Gucci Guilty (00840)</t>
        </is>
      </c>
      <c r="C97" t="inlineStr">
        <is>
          <t>Gucci Guilty PF NEW 22 (00006018)</t>
        </is>
      </c>
      <c r="D97" s="1" t="n">
        <v>3616301794639</v>
      </c>
      <c r="E97" t="inlineStr">
        <is>
          <t>GG PF EDP 90 ML INTENSE IV</t>
        </is>
      </c>
      <c r="F97" t="inlineStr">
        <is>
          <t>P_US_ALL_OTHERS</t>
        </is>
      </c>
      <c r="G97" t="inlineStr">
        <is>
          <t>Month-2026.M09.W38</t>
        </is>
      </c>
      <c r="H97" t="inlineStr">
        <is>
          <t>Total Demand Assumption</t>
        </is>
      </c>
      <c r="I97" t="n">
        <v>-22</v>
      </c>
      <c r="J97" t="n">
        <v>-10</v>
      </c>
      <c r="K97" t="n">
        <v>-12</v>
      </c>
      <c r="L97" t="n">
        <v>-29</v>
      </c>
      <c r="M97" t="n">
        <v>-27</v>
      </c>
      <c r="N97" t="n">
        <v>-15</v>
      </c>
    </row>
    <row r="98">
      <c r="A98" t="inlineStr">
        <is>
          <t>Gucci</t>
        </is>
      </c>
      <c r="B98" t="inlineStr">
        <is>
          <t>Gucci Guilty (00840)</t>
        </is>
      </c>
      <c r="C98" t="inlineStr">
        <is>
          <t>Gucci Guilty PF NEW 22 (00006018)</t>
        </is>
      </c>
      <c r="D98" s="1" t="n">
        <v>3616301794639</v>
      </c>
      <c r="E98" t="inlineStr">
        <is>
          <t>GG PF EDP 90 ML INTENSE IV</t>
        </is>
      </c>
      <c r="F98" t="inlineStr">
        <is>
          <t>P_US_ALL_OTHERS</t>
        </is>
      </c>
      <c r="G98" t="inlineStr">
        <is>
          <t>Month-2026.M09.W38</t>
        </is>
      </c>
      <c r="H98" t="inlineStr">
        <is>
          <t>Consensus - Final</t>
        </is>
      </c>
      <c r="I98" t="n">
        <v>53</v>
      </c>
      <c r="J98" t="n">
        <v>90</v>
      </c>
      <c r="K98" t="n">
        <v>133.774869109947</v>
      </c>
      <c r="L98" t="n">
        <v>436</v>
      </c>
      <c r="M98" t="n">
        <v>243</v>
      </c>
      <c r="N98" t="n">
        <v>118</v>
      </c>
      <c r="O98" t="n">
        <v>293</v>
      </c>
      <c r="P98" t="n">
        <v>396</v>
      </c>
      <c r="Q98" t="n">
        <v>107</v>
      </c>
      <c r="R98" t="n">
        <v>257</v>
      </c>
      <c r="S98" t="n">
        <v>248</v>
      </c>
      <c r="T98" t="n">
        <v>127</v>
      </c>
    </row>
    <row r="99">
      <c r="A99" t="inlineStr">
        <is>
          <t>Gucci</t>
        </is>
      </c>
      <c r="B99" t="inlineStr">
        <is>
          <t>Gucci Guilty (00840)</t>
        </is>
      </c>
      <c r="C99" t="inlineStr">
        <is>
          <t>Gucci Guilty PF NEW 22 (00006018)</t>
        </is>
      </c>
      <c r="D99" s="1" t="n">
        <v>3616301794639</v>
      </c>
      <c r="E99" t="inlineStr">
        <is>
          <t>GG PF EDP 90 ML INTENSE IV</t>
        </is>
      </c>
      <c r="F99" t="inlineStr">
        <is>
          <t>P_US_ALL_OTHERS</t>
        </is>
      </c>
      <c r="G99" t="inlineStr">
        <is>
          <t>Month-2026.M09.W38</t>
        </is>
      </c>
      <c r="H99" t="inlineStr">
        <is>
          <t>Supply Cuts</t>
        </is>
      </c>
    </row>
    <row r="100">
      <c r="A100" t="inlineStr">
        <is>
          <t>Gucci</t>
        </is>
      </c>
      <c r="B100" t="inlineStr">
        <is>
          <t>Gucci Guilty (00840)</t>
        </is>
      </c>
      <c r="C100" t="inlineStr">
        <is>
          <t>Gucci Guilty PF NEW 22 (00006018)</t>
        </is>
      </c>
      <c r="D100" s="1" t="n">
        <v>3616301794639</v>
      </c>
      <c r="E100" t="inlineStr">
        <is>
          <t>GG PF EDP 90 ML INTENSE IV</t>
        </is>
      </c>
      <c r="F100" t="inlineStr">
        <is>
          <t>P_US_FG</t>
        </is>
      </c>
      <c r="G100" t="inlineStr">
        <is>
          <t>CurrentWorkingView</t>
        </is>
      </c>
      <c r="H100" t="inlineStr">
        <is>
          <t>Consensus - Final LY M</t>
        </is>
      </c>
      <c r="K100" t="n">
        <v>1</v>
      </c>
      <c r="M100" t="n">
        <v>1</v>
      </c>
      <c r="P100" t="n">
        <v>10</v>
      </c>
      <c r="R100" t="n">
        <v>2</v>
      </c>
    </row>
    <row r="101">
      <c r="A101" t="inlineStr">
        <is>
          <t>Gucci</t>
        </is>
      </c>
      <c r="B101" t="inlineStr">
        <is>
          <t>Gucci Guilty (00840)</t>
        </is>
      </c>
      <c r="C101" t="inlineStr">
        <is>
          <t>Gucci Guilty PF NEW 22 (00006018)</t>
        </is>
      </c>
      <c r="D101" s="1" t="n">
        <v>3616301794639</v>
      </c>
      <c r="E101" t="inlineStr">
        <is>
          <t>GG PF EDP 90 ML INTENSE IV</t>
        </is>
      </c>
      <c r="F101" t="inlineStr">
        <is>
          <t>P_US_FG</t>
        </is>
      </c>
      <c r="G101" t="inlineStr">
        <is>
          <t>CurrentWorkingView</t>
        </is>
      </c>
      <c r="H101" t="inlineStr">
        <is>
          <t>System FC - Final</t>
        </is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Gucci</t>
        </is>
      </c>
      <c r="B102" t="inlineStr">
        <is>
          <t>Gucci Guilty (00840)</t>
        </is>
      </c>
      <c r="C102" t="inlineStr">
        <is>
          <t>Gucci Guilty PF NEW 22 (00006018)</t>
        </is>
      </c>
      <c r="D102" s="1" t="n">
        <v>3616301794639</v>
      </c>
      <c r="E102" t="inlineStr">
        <is>
          <t>GG PF EDP 90 ML INTENSE IV</t>
        </is>
      </c>
      <c r="F102" t="inlineStr">
        <is>
          <t>P_US_FG</t>
        </is>
      </c>
      <c r="G102" t="inlineStr">
        <is>
          <t>CurrentWorkingView</t>
        </is>
      </c>
      <c r="H102" t="inlineStr">
        <is>
          <t>EPOS</t>
        </is>
      </c>
    </row>
    <row r="103">
      <c r="A103" t="inlineStr">
        <is>
          <t>Gucci</t>
        </is>
      </c>
      <c r="B103" t="inlineStr">
        <is>
          <t>Gucci Guilty (00840)</t>
        </is>
      </c>
      <c r="C103" t="inlineStr">
        <is>
          <t>Gucci Guilty PF NEW 22 (00006018)</t>
        </is>
      </c>
      <c r="D103" s="1" t="n">
        <v>3616301794639</v>
      </c>
      <c r="E103" t="inlineStr">
        <is>
          <t>GG PF EDP 90 ML INTENSE IV</t>
        </is>
      </c>
      <c r="F103" t="inlineStr">
        <is>
          <t>P_US_FG</t>
        </is>
      </c>
      <c r="G103" t="inlineStr">
        <is>
          <t>CurrentWorkingView</t>
        </is>
      </c>
      <c r="H103" t="inlineStr">
        <is>
          <t>Reasonability Adjustment</t>
        </is>
      </c>
    </row>
    <row r="104">
      <c r="A104" t="inlineStr">
        <is>
          <t>Gucci</t>
        </is>
      </c>
      <c r="B104" t="inlineStr">
        <is>
          <t>Gucci Guilty (00840)</t>
        </is>
      </c>
      <c r="C104" t="inlineStr">
        <is>
          <t>Gucci Guilty PF NEW 22 (00006018)</t>
        </is>
      </c>
      <c r="D104" s="1" t="n">
        <v>3616301794639</v>
      </c>
      <c r="E104" t="inlineStr">
        <is>
          <t>GG PF EDP 90 ML INTENSE IV</t>
        </is>
      </c>
      <c r="F104" t="inlineStr">
        <is>
          <t>P_US_FG</t>
        </is>
      </c>
      <c r="G104" t="inlineStr">
        <is>
          <t>CurrentWorkingView</t>
        </is>
      </c>
      <c r="H104" t="inlineStr">
        <is>
          <t>Total Demand Assumption</t>
        </is>
      </c>
    </row>
    <row r="105">
      <c r="A105" t="inlineStr">
        <is>
          <t>Gucci</t>
        </is>
      </c>
      <c r="B105" t="inlineStr">
        <is>
          <t>Gucci Guilty (00840)</t>
        </is>
      </c>
      <c r="C105" t="inlineStr">
        <is>
          <t>Gucci Guilty PF NEW 22 (00006018)</t>
        </is>
      </c>
      <c r="D105" s="1" t="n">
        <v>3616301794639</v>
      </c>
      <c r="E105" t="inlineStr">
        <is>
          <t>GG PF EDP 90 ML INTENSE IV</t>
        </is>
      </c>
      <c r="F105" t="inlineStr">
        <is>
          <t>P_US_FG</t>
        </is>
      </c>
      <c r="G105" t="inlineStr">
        <is>
          <t>CurrentWorkingView</t>
        </is>
      </c>
      <c r="H105" t="inlineStr">
        <is>
          <t>Consensus - Final</t>
        </is>
      </c>
      <c r="K105" t="n">
        <v>0</v>
      </c>
    </row>
    <row r="106">
      <c r="A106" t="inlineStr">
        <is>
          <t>Gucci</t>
        </is>
      </c>
      <c r="B106" t="inlineStr">
        <is>
          <t>Gucci Guilty (00840)</t>
        </is>
      </c>
      <c r="C106" t="inlineStr">
        <is>
          <t>Gucci Guilty PF NEW 22 (00006018)</t>
        </is>
      </c>
      <c r="D106" s="1" t="n">
        <v>3616301794639</v>
      </c>
      <c r="E106" t="inlineStr">
        <is>
          <t>GG PF EDP 90 ML INTENSE IV</t>
        </is>
      </c>
      <c r="F106" t="inlineStr">
        <is>
          <t>P_US_FG</t>
        </is>
      </c>
      <c r="G106" t="inlineStr">
        <is>
          <t>CurrentWorkingView</t>
        </is>
      </c>
      <c r="H106" t="inlineStr">
        <is>
          <t>Supply Cuts</t>
        </is>
      </c>
    </row>
    <row r="107">
      <c r="A107" t="inlineStr">
        <is>
          <t>Gucci</t>
        </is>
      </c>
      <c r="B107" t="inlineStr">
        <is>
          <t>Gucci Guilty (00840)</t>
        </is>
      </c>
      <c r="C107" t="inlineStr">
        <is>
          <t>Gucci Guilty PF NEW 22 (00006018)</t>
        </is>
      </c>
      <c r="D107" s="1" t="n">
        <v>3616301794639</v>
      </c>
      <c r="E107" t="inlineStr">
        <is>
          <t>GG PF EDP 90 ML INTENSE IV</t>
        </is>
      </c>
      <c r="F107" t="inlineStr">
        <is>
          <t>P_US_FG</t>
        </is>
      </c>
      <c r="G107" t="inlineStr">
        <is>
          <t>Month-2026.M09.W38</t>
        </is>
      </c>
      <c r="H107" t="inlineStr">
        <is>
          <t>Consensus - Final LY M</t>
        </is>
      </c>
      <c r="K107" t="n">
        <v>1</v>
      </c>
      <c r="M107" t="n">
        <v>1</v>
      </c>
      <c r="P107" t="n">
        <v>10</v>
      </c>
      <c r="R107" t="n">
        <v>2</v>
      </c>
    </row>
    <row r="108">
      <c r="A108" t="inlineStr">
        <is>
          <t>Gucci</t>
        </is>
      </c>
      <c r="B108" t="inlineStr">
        <is>
          <t>Gucci Guilty (00840)</t>
        </is>
      </c>
      <c r="C108" t="inlineStr">
        <is>
          <t>Gucci Guilty PF NEW 22 (00006018)</t>
        </is>
      </c>
      <c r="D108" s="1" t="n">
        <v>3616301794639</v>
      </c>
      <c r="E108" t="inlineStr">
        <is>
          <t>GG PF EDP 90 ML INTENSE IV</t>
        </is>
      </c>
      <c r="F108" t="inlineStr">
        <is>
          <t>P_US_FG</t>
        </is>
      </c>
      <c r="G108" t="inlineStr">
        <is>
          <t>Month-2026.M09.W38</t>
        </is>
      </c>
      <c r="H108" t="inlineStr">
        <is>
          <t>System FC - Final</t>
        </is>
      </c>
      <c r="K108" t="n">
        <v>0</v>
      </c>
      <c r="L108" t="n">
        <v>0</v>
      </c>
      <c r="M108" t="n">
        <v>4</v>
      </c>
      <c r="N108" t="n">
        <v>0</v>
      </c>
      <c r="O108" t="n">
        <v>0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Gucci</t>
        </is>
      </c>
      <c r="B109" t="inlineStr">
        <is>
          <t>Gucci Guilty (00840)</t>
        </is>
      </c>
      <c r="C109" t="inlineStr">
        <is>
          <t>Gucci Guilty PF NEW 22 (00006018)</t>
        </is>
      </c>
      <c r="D109" s="1" t="n">
        <v>3616301794639</v>
      </c>
      <c r="E109" t="inlineStr">
        <is>
          <t>GG PF EDP 90 ML INTENSE IV</t>
        </is>
      </c>
      <c r="F109" t="inlineStr">
        <is>
          <t>P_US_FG</t>
        </is>
      </c>
      <c r="G109" t="inlineStr">
        <is>
          <t>Month-2026.M09.W38</t>
        </is>
      </c>
      <c r="H109" t="inlineStr">
        <is>
          <t>EPOS</t>
        </is>
      </c>
    </row>
    <row r="110">
      <c r="A110" t="inlineStr">
        <is>
          <t>Gucci</t>
        </is>
      </c>
      <c r="B110" t="inlineStr">
        <is>
          <t>Gucci Guilty (00840)</t>
        </is>
      </c>
      <c r="C110" t="inlineStr">
        <is>
          <t>Gucci Guilty PF NEW 22 (00006018)</t>
        </is>
      </c>
      <c r="D110" s="1" t="n">
        <v>3616301794639</v>
      </c>
      <c r="E110" t="inlineStr">
        <is>
          <t>GG PF EDP 90 ML INTENSE IV</t>
        </is>
      </c>
      <c r="F110" t="inlineStr">
        <is>
          <t>P_US_FG</t>
        </is>
      </c>
      <c r="G110" t="inlineStr">
        <is>
          <t>Month-2026.M09.W38</t>
        </is>
      </c>
      <c r="H110" t="inlineStr">
        <is>
          <t>Reasonability Adjustment</t>
        </is>
      </c>
    </row>
    <row r="111">
      <c r="A111" t="inlineStr">
        <is>
          <t>Gucci</t>
        </is>
      </c>
      <c r="B111" t="inlineStr">
        <is>
          <t>Gucci Guilty (00840)</t>
        </is>
      </c>
      <c r="C111" t="inlineStr">
        <is>
          <t>Gucci Guilty PF NEW 22 (00006018)</t>
        </is>
      </c>
      <c r="D111" s="1" t="n">
        <v>3616301794639</v>
      </c>
      <c r="E111" t="inlineStr">
        <is>
          <t>GG PF EDP 90 ML INTENSE IV</t>
        </is>
      </c>
      <c r="F111" t="inlineStr">
        <is>
          <t>P_US_FG</t>
        </is>
      </c>
      <c r="G111" t="inlineStr">
        <is>
          <t>Month-2026.M09.W38</t>
        </is>
      </c>
      <c r="H111" t="inlineStr">
        <is>
          <t>Total Demand Assumption</t>
        </is>
      </c>
    </row>
    <row r="112">
      <c r="A112" t="inlineStr">
        <is>
          <t>Gucci</t>
        </is>
      </c>
      <c r="B112" t="inlineStr">
        <is>
          <t>Gucci Guilty (00840)</t>
        </is>
      </c>
      <c r="C112" t="inlineStr">
        <is>
          <t>Gucci Guilty PF NEW 22 (00006018)</t>
        </is>
      </c>
      <c r="D112" s="1" t="n">
        <v>3616301794639</v>
      </c>
      <c r="E112" t="inlineStr">
        <is>
          <t>GG PF EDP 90 ML INTENSE IV</t>
        </is>
      </c>
      <c r="F112" t="inlineStr">
        <is>
          <t>P_US_FG</t>
        </is>
      </c>
      <c r="G112" t="inlineStr">
        <is>
          <t>Month-2026.M09.W38</t>
        </is>
      </c>
      <c r="H112" t="inlineStr">
        <is>
          <t>Consensus - Final</t>
        </is>
      </c>
      <c r="K112" t="n">
        <v>0</v>
      </c>
    </row>
    <row r="113">
      <c r="A113" t="inlineStr">
        <is>
          <t>Gucci</t>
        </is>
      </c>
      <c r="B113" t="inlineStr">
        <is>
          <t>Gucci Guilty (00840)</t>
        </is>
      </c>
      <c r="C113" t="inlineStr">
        <is>
          <t>Gucci Guilty PF NEW 22 (00006018)</t>
        </is>
      </c>
      <c r="D113" s="1" t="n">
        <v>3616301794639</v>
      </c>
      <c r="E113" t="inlineStr">
        <is>
          <t>GG PF EDP 90 ML INTENSE IV</t>
        </is>
      </c>
      <c r="F113" t="inlineStr">
        <is>
          <t>P_US_FG</t>
        </is>
      </c>
      <c r="G113" t="inlineStr">
        <is>
          <t>Month-2026.M09.W38</t>
        </is>
      </c>
      <c r="H113" t="inlineStr">
        <is>
          <t>Supply Cuts</t>
        </is>
      </c>
    </row>
    <row r="114">
      <c r="A114" t="inlineStr">
        <is>
          <t>Gucci</t>
        </is>
      </c>
      <c r="B114" t="inlineStr">
        <is>
          <t>Gucci Guilty (00840)</t>
        </is>
      </c>
      <c r="C114" t="inlineStr">
        <is>
          <t>Gucci Guilty PF NEW 22 (00006018)</t>
        </is>
      </c>
      <c r="D114" s="1" t="n">
        <v>3616301794639</v>
      </c>
      <c r="E114" t="inlineStr">
        <is>
          <t>GG PF EDP 90 ML INTENSE IV</t>
        </is>
      </c>
      <c r="F114" t="inlineStr">
        <is>
          <t>P_US_ULTA</t>
        </is>
      </c>
      <c r="G114" t="inlineStr">
        <is>
          <t>CurrentWorkingView</t>
        </is>
      </c>
      <c r="H114" t="inlineStr">
        <is>
          <t>Consensus - Final LY M</t>
        </is>
      </c>
      <c r="I114" t="n">
        <v>73</v>
      </c>
      <c r="L114" t="n">
        <v>1527</v>
      </c>
      <c r="N114" t="n">
        <v>170</v>
      </c>
      <c r="O114" t="n">
        <v>204</v>
      </c>
      <c r="P114" t="n">
        <v>210</v>
      </c>
      <c r="Q114" t="n">
        <v>322</v>
      </c>
      <c r="R114" t="n">
        <v>125</v>
      </c>
      <c r="S114" t="n">
        <v>555</v>
      </c>
      <c r="T114" t="n">
        <v>229</v>
      </c>
    </row>
    <row r="115">
      <c r="A115" t="inlineStr">
        <is>
          <t>Gucci</t>
        </is>
      </c>
      <c r="B115" t="inlineStr">
        <is>
          <t>Gucci Guilty (00840)</t>
        </is>
      </c>
      <c r="C115" t="inlineStr">
        <is>
          <t>Gucci Guilty PF NEW 22 (00006018)</t>
        </is>
      </c>
      <c r="D115" s="1" t="n">
        <v>3616301794639</v>
      </c>
      <c r="E115" t="inlineStr">
        <is>
          <t>GG PF EDP 90 ML INTENSE IV</t>
        </is>
      </c>
      <c r="F115" t="inlineStr">
        <is>
          <t>P_US_ULTA</t>
        </is>
      </c>
      <c r="G115" t="inlineStr">
        <is>
          <t>CurrentWorkingView</t>
        </is>
      </c>
      <c r="H115" t="inlineStr">
        <is>
          <t>System FC - Final</t>
        </is>
      </c>
      <c r="I115" t="n">
        <v>89</v>
      </c>
      <c r="J115" t="n">
        <v>98</v>
      </c>
      <c r="K115" t="n">
        <v>100</v>
      </c>
      <c r="L115" t="n">
        <v>270</v>
      </c>
      <c r="M115" t="n">
        <v>34</v>
      </c>
      <c r="N115" t="n">
        <v>35</v>
      </c>
      <c r="O115" t="n">
        <v>35</v>
      </c>
      <c r="P115" t="n">
        <v>212</v>
      </c>
      <c r="Q115" t="n">
        <v>93</v>
      </c>
      <c r="R115" t="n">
        <v>34</v>
      </c>
      <c r="S115" t="n">
        <v>36</v>
      </c>
      <c r="T115" t="n">
        <v>31</v>
      </c>
    </row>
    <row r="116">
      <c r="A116" t="inlineStr">
        <is>
          <t>Gucci</t>
        </is>
      </c>
      <c r="B116" t="inlineStr">
        <is>
          <t>Gucci Guilty (00840)</t>
        </is>
      </c>
      <c r="C116" t="inlineStr">
        <is>
          <t>Gucci Guilty PF NEW 22 (00006018)</t>
        </is>
      </c>
      <c r="D116" s="1" t="n">
        <v>3616301794639</v>
      </c>
      <c r="E116" t="inlineStr">
        <is>
          <t>GG PF EDP 90 ML INTENSE IV</t>
        </is>
      </c>
      <c r="F116" t="inlineStr">
        <is>
          <t>P_US_ULTA</t>
        </is>
      </c>
      <c r="G116" t="inlineStr">
        <is>
          <t>CurrentWorkingView</t>
        </is>
      </c>
      <c r="H116" t="inlineStr">
        <is>
          <t>EPOS</t>
        </is>
      </c>
      <c r="I116" t="n">
        <v>168</v>
      </c>
    </row>
    <row r="117">
      <c r="A117" t="inlineStr">
        <is>
          <t>Gucci</t>
        </is>
      </c>
      <c r="B117" t="inlineStr">
        <is>
          <t>Gucci Guilty (00840)</t>
        </is>
      </c>
      <c r="C117" t="inlineStr">
        <is>
          <t>Gucci Guilty PF NEW 22 (00006018)</t>
        </is>
      </c>
      <c r="D117" s="1" t="n">
        <v>3616301794639</v>
      </c>
      <c r="E117" t="inlineStr">
        <is>
          <t>GG PF EDP 90 ML INTENSE IV</t>
        </is>
      </c>
      <c r="F117" t="inlineStr">
        <is>
          <t>P_US_ULTA</t>
        </is>
      </c>
      <c r="G117" t="inlineStr">
        <is>
          <t>CurrentWorkingView</t>
        </is>
      </c>
      <c r="H117" t="inlineStr">
        <is>
          <t>Reasonability Adjustment</t>
        </is>
      </c>
    </row>
    <row r="118">
      <c r="A118" t="inlineStr">
        <is>
          <t>Gucci</t>
        </is>
      </c>
      <c r="B118" t="inlineStr">
        <is>
          <t>Gucci Guilty (00840)</t>
        </is>
      </c>
      <c r="C118" t="inlineStr">
        <is>
          <t>Gucci Guilty PF NEW 22 (00006018)</t>
        </is>
      </c>
      <c r="D118" s="1" t="n">
        <v>3616301794639</v>
      </c>
      <c r="E118" t="inlineStr">
        <is>
          <t>GG PF EDP 90 ML INTENSE IV</t>
        </is>
      </c>
      <c r="F118" t="inlineStr">
        <is>
          <t>P_US_ULTA</t>
        </is>
      </c>
      <c r="G118" t="inlineStr">
        <is>
          <t>CurrentWorkingView</t>
        </is>
      </c>
      <c r="H118" t="inlineStr">
        <is>
          <t>Total Demand Assumption</t>
        </is>
      </c>
    </row>
    <row r="119">
      <c r="A119" t="inlineStr">
        <is>
          <t>Gucci</t>
        </is>
      </c>
      <c r="B119" t="inlineStr">
        <is>
          <t>Gucci Guilty (00840)</t>
        </is>
      </c>
      <c r="C119" t="inlineStr">
        <is>
          <t>Gucci Guilty PF NEW 22 (00006018)</t>
        </is>
      </c>
      <c r="D119" s="1" t="n">
        <v>3616301794639</v>
      </c>
      <c r="E119" t="inlineStr">
        <is>
          <t>GG PF EDP 90 ML INTENSE IV</t>
        </is>
      </c>
      <c r="F119" t="inlineStr">
        <is>
          <t>P_US_ULTA</t>
        </is>
      </c>
      <c r="G119" t="inlineStr">
        <is>
          <t>CurrentWorkingView</t>
        </is>
      </c>
      <c r="H119" t="inlineStr">
        <is>
          <t>Consensus - Final</t>
        </is>
      </c>
      <c r="I119" t="n">
        <v>89</v>
      </c>
      <c r="J119" t="n">
        <v>98</v>
      </c>
      <c r="K119" t="n">
        <v>75.2251308900523</v>
      </c>
      <c r="L119" t="n">
        <v>270</v>
      </c>
      <c r="M119" t="n">
        <v>34</v>
      </c>
      <c r="N119" t="n">
        <v>35</v>
      </c>
      <c r="O119" t="n">
        <v>35</v>
      </c>
      <c r="P119" t="n">
        <v>212</v>
      </c>
      <c r="Q119" t="n">
        <v>93</v>
      </c>
      <c r="R119" t="n">
        <v>34</v>
      </c>
      <c r="S119" t="n">
        <v>36</v>
      </c>
      <c r="T119" t="n">
        <v>31</v>
      </c>
    </row>
    <row r="120">
      <c r="A120" t="inlineStr">
        <is>
          <t>Gucci</t>
        </is>
      </c>
      <c r="B120" t="inlineStr">
        <is>
          <t>Gucci Guilty (00840)</t>
        </is>
      </c>
      <c r="C120" t="inlineStr">
        <is>
          <t>Gucci Guilty PF NEW 22 (00006018)</t>
        </is>
      </c>
      <c r="D120" s="1" t="n">
        <v>3616301794639</v>
      </c>
      <c r="E120" t="inlineStr">
        <is>
          <t>GG PF EDP 90 ML INTENSE IV</t>
        </is>
      </c>
      <c r="F120" t="inlineStr">
        <is>
          <t>P_US_ULTA</t>
        </is>
      </c>
      <c r="G120" t="inlineStr">
        <is>
          <t>CurrentWorkingView</t>
        </is>
      </c>
      <c r="H120" t="inlineStr">
        <is>
          <t>Supply Cuts</t>
        </is>
      </c>
    </row>
    <row r="121">
      <c r="A121" t="inlineStr">
        <is>
          <t>Gucci</t>
        </is>
      </c>
      <c r="B121" t="inlineStr">
        <is>
          <t>Gucci Guilty (00840)</t>
        </is>
      </c>
      <c r="C121" t="inlineStr">
        <is>
          <t>Gucci Guilty PF NEW 22 (00006018)</t>
        </is>
      </c>
      <c r="D121" s="1" t="n">
        <v>3616301794639</v>
      </c>
      <c r="E121" t="inlineStr">
        <is>
          <t>GG PF EDP 90 ML INTENSE IV</t>
        </is>
      </c>
      <c r="F121" t="inlineStr">
        <is>
          <t>P_US_ULTA</t>
        </is>
      </c>
      <c r="G121" t="inlineStr">
        <is>
          <t>Month-2026.M09.W38</t>
        </is>
      </c>
      <c r="H121" t="inlineStr">
        <is>
          <t>Consensus - Final LY M</t>
        </is>
      </c>
      <c r="I121" t="n">
        <v>73</v>
      </c>
      <c r="L121" t="n">
        <v>1527</v>
      </c>
      <c r="N121" t="n">
        <v>170</v>
      </c>
      <c r="O121" t="n">
        <v>204</v>
      </c>
      <c r="P121" t="n">
        <v>210</v>
      </c>
      <c r="Q121" t="n">
        <v>322</v>
      </c>
      <c r="R121" t="n">
        <v>125</v>
      </c>
      <c r="S121" t="n">
        <v>555</v>
      </c>
      <c r="T121" t="n">
        <v>229</v>
      </c>
    </row>
    <row r="122">
      <c r="A122" t="inlineStr">
        <is>
          <t>Gucci</t>
        </is>
      </c>
      <c r="B122" t="inlineStr">
        <is>
          <t>Gucci Guilty (00840)</t>
        </is>
      </c>
      <c r="C122" t="inlineStr">
        <is>
          <t>Gucci Guilty PF NEW 22 (00006018)</t>
        </is>
      </c>
      <c r="D122" s="1" t="n">
        <v>3616301794639</v>
      </c>
      <c r="E122" t="inlineStr">
        <is>
          <t>GG PF EDP 90 ML INTENSE IV</t>
        </is>
      </c>
      <c r="F122" t="inlineStr">
        <is>
          <t>P_US_ULTA</t>
        </is>
      </c>
      <c r="G122" t="inlineStr">
        <is>
          <t>Month-2026.M09.W38</t>
        </is>
      </c>
      <c r="H122" t="inlineStr">
        <is>
          <t>System FC - Final</t>
        </is>
      </c>
      <c r="I122" t="n">
        <v>89</v>
      </c>
      <c r="J122" t="n">
        <v>98</v>
      </c>
      <c r="K122" t="n">
        <v>77</v>
      </c>
      <c r="L122" t="n">
        <v>239</v>
      </c>
      <c r="M122" t="n">
        <v>138</v>
      </c>
      <c r="N122" t="n">
        <v>70</v>
      </c>
      <c r="O122" t="n">
        <v>150</v>
      </c>
      <c r="P122" t="n">
        <v>200</v>
      </c>
      <c r="Q122" t="n">
        <v>53</v>
      </c>
      <c r="R122" t="n">
        <v>129</v>
      </c>
      <c r="S122" t="n">
        <v>124</v>
      </c>
      <c r="T122" t="n">
        <v>65</v>
      </c>
    </row>
    <row r="123">
      <c r="A123" t="inlineStr">
        <is>
          <t>Gucci</t>
        </is>
      </c>
      <c r="B123" t="inlineStr">
        <is>
          <t>Gucci Guilty (00840)</t>
        </is>
      </c>
      <c r="C123" t="inlineStr">
        <is>
          <t>Gucci Guilty PF NEW 22 (00006018)</t>
        </is>
      </c>
      <c r="D123" s="1" t="n">
        <v>3616301794639</v>
      </c>
      <c r="E123" t="inlineStr">
        <is>
          <t>GG PF EDP 90 ML INTENSE IV</t>
        </is>
      </c>
      <c r="F123" t="inlineStr">
        <is>
          <t>P_US_ULTA</t>
        </is>
      </c>
      <c r="G123" t="inlineStr">
        <is>
          <t>Month-2026.M09.W38</t>
        </is>
      </c>
      <c r="H123" t="inlineStr">
        <is>
          <t>EPOS</t>
        </is>
      </c>
      <c r="I123" t="n">
        <v>168</v>
      </c>
    </row>
    <row r="124">
      <c r="A124" t="inlineStr">
        <is>
          <t>Gucci</t>
        </is>
      </c>
      <c r="B124" t="inlineStr">
        <is>
          <t>Gucci Guilty (00840)</t>
        </is>
      </c>
      <c r="C124" t="inlineStr">
        <is>
          <t>Gucci Guilty PF NEW 22 (00006018)</t>
        </is>
      </c>
      <c r="D124" s="1" t="n">
        <v>3616301794639</v>
      </c>
      <c r="E124" t="inlineStr">
        <is>
          <t>GG PF EDP 90 ML INTENSE IV</t>
        </is>
      </c>
      <c r="F124" t="inlineStr">
        <is>
          <t>P_US_ULTA</t>
        </is>
      </c>
      <c r="G124" t="inlineStr">
        <is>
          <t>Month-2026.M09.W38</t>
        </is>
      </c>
      <c r="H124" t="inlineStr">
        <is>
          <t>Reasonability Adjustment</t>
        </is>
      </c>
    </row>
    <row r="125">
      <c r="A125" t="inlineStr">
        <is>
          <t>Gucci</t>
        </is>
      </c>
      <c r="B125" t="inlineStr">
        <is>
          <t>Gucci Guilty (00840)</t>
        </is>
      </c>
      <c r="C125" t="inlineStr">
        <is>
          <t>Gucci Guilty PF NEW 22 (00006018)</t>
        </is>
      </c>
      <c r="D125" s="1" t="n">
        <v>3616301794639</v>
      </c>
      <c r="E125" t="inlineStr">
        <is>
          <t>GG PF EDP 90 ML INTENSE IV</t>
        </is>
      </c>
      <c r="F125" t="inlineStr">
        <is>
          <t>P_US_ULTA</t>
        </is>
      </c>
      <c r="G125" t="inlineStr">
        <is>
          <t>Month-2026.M09.W38</t>
        </is>
      </c>
      <c r="H125" t="inlineStr">
        <is>
          <t>Total Demand Assumption</t>
        </is>
      </c>
    </row>
    <row r="126">
      <c r="A126" t="inlineStr">
        <is>
          <t>Gucci</t>
        </is>
      </c>
      <c r="B126" t="inlineStr">
        <is>
          <t>Gucci Guilty (00840)</t>
        </is>
      </c>
      <c r="C126" t="inlineStr">
        <is>
          <t>Gucci Guilty PF NEW 22 (00006018)</t>
        </is>
      </c>
      <c r="D126" s="1" t="n">
        <v>3616301794639</v>
      </c>
      <c r="E126" t="inlineStr">
        <is>
          <t>GG PF EDP 90 ML INTENSE IV</t>
        </is>
      </c>
      <c r="F126" t="inlineStr">
        <is>
          <t>P_US_ULTA</t>
        </is>
      </c>
      <c r="G126" t="inlineStr">
        <is>
          <t>Month-2026.M09.W38</t>
        </is>
      </c>
      <c r="H126" t="inlineStr">
        <is>
          <t>Consensus - Final</t>
        </is>
      </c>
      <c r="I126" t="n">
        <v>89</v>
      </c>
      <c r="J126" t="n">
        <v>98</v>
      </c>
      <c r="K126" t="n">
        <v>75.2251308900523</v>
      </c>
      <c r="L126" t="n">
        <v>239</v>
      </c>
      <c r="M126" t="n">
        <v>138</v>
      </c>
      <c r="N126" t="n">
        <v>70</v>
      </c>
      <c r="O126" t="n">
        <v>150</v>
      </c>
      <c r="P126" t="n">
        <v>200</v>
      </c>
      <c r="Q126" t="n">
        <v>53</v>
      </c>
      <c r="R126" t="n">
        <v>129</v>
      </c>
      <c r="S126" t="n">
        <v>124</v>
      </c>
      <c r="T126" t="n">
        <v>65</v>
      </c>
    </row>
    <row r="127">
      <c r="A127" t="inlineStr">
        <is>
          <t>Gucci</t>
        </is>
      </c>
      <c r="B127" t="inlineStr">
        <is>
          <t>Gucci Guilty (00840)</t>
        </is>
      </c>
      <c r="C127" t="inlineStr">
        <is>
          <t>Gucci Guilty PF NEW 22 (00006018)</t>
        </is>
      </c>
      <c r="D127" s="1" t="n">
        <v>3616301794639</v>
      </c>
      <c r="E127" t="inlineStr">
        <is>
          <t>GG PF EDP 90 ML INTENSE IV</t>
        </is>
      </c>
      <c r="F127" t="inlineStr">
        <is>
          <t>P_US_ULTA</t>
        </is>
      </c>
      <c r="G127" t="inlineStr">
        <is>
          <t>Month-2026.M09.W38</t>
        </is>
      </c>
      <c r="H127" t="inlineStr">
        <is>
          <t>Supply Cuts</t>
        </is>
      </c>
    </row>
    <row r="128">
      <c r="A128" t="inlineStr">
        <is>
          <t>Gucci</t>
        </is>
      </c>
      <c r="B128" t="inlineStr">
        <is>
          <t>Gucci Guilty (00840)</t>
        </is>
      </c>
      <c r="C128" t="inlineStr">
        <is>
          <t>Gucci Guilty PF 21 (00005854)</t>
        </is>
      </c>
      <c r="D128" s="1" t="n">
        <v>3616301976141</v>
      </c>
      <c r="E128" t="inlineStr">
        <is>
          <t>GG PF21 EDT NS 90 ML IV</t>
        </is>
      </c>
      <c r="F128" t="inlineStr">
        <is>
          <t>P_US_ALL_OTHERS</t>
        </is>
      </c>
      <c r="G128" t="inlineStr">
        <is>
          <t>CurrentWorkingView</t>
        </is>
      </c>
      <c r="H128" t="inlineStr">
        <is>
          <t>Consensus - Final LY M</t>
        </is>
      </c>
      <c r="I128" t="n">
        <v>1982</v>
      </c>
      <c r="J128" t="n">
        <v>1116</v>
      </c>
      <c r="K128" t="n">
        <v>4630</v>
      </c>
      <c r="L128" t="n">
        <v>1445</v>
      </c>
      <c r="M128" t="n">
        <v>435</v>
      </c>
      <c r="N128" t="n">
        <v>1011</v>
      </c>
      <c r="O128" t="n">
        <v>602</v>
      </c>
      <c r="P128" t="n">
        <v>1742</v>
      </c>
      <c r="Q128" t="n">
        <v>997</v>
      </c>
      <c r="R128" t="n">
        <v>689</v>
      </c>
      <c r="S128" t="n">
        <v>1184</v>
      </c>
      <c r="T128" t="n">
        <v>907</v>
      </c>
    </row>
    <row r="129">
      <c r="A129" t="inlineStr">
        <is>
          <t>Gucci</t>
        </is>
      </c>
      <c r="B129" t="inlineStr">
        <is>
          <t>Gucci Guilty (00840)</t>
        </is>
      </c>
      <c r="C129" t="inlineStr">
        <is>
          <t>Gucci Guilty PF 21 (00005854)</t>
        </is>
      </c>
      <c r="D129" s="1" t="n">
        <v>3616301976141</v>
      </c>
      <c r="E129" t="inlineStr">
        <is>
          <t>GG PF21 EDT NS 90 ML IV</t>
        </is>
      </c>
      <c r="F129" t="inlineStr">
        <is>
          <t>P_US_ALL_OTHERS</t>
        </is>
      </c>
      <c r="G129" t="inlineStr">
        <is>
          <t>CurrentWorkingView</t>
        </is>
      </c>
      <c r="H129" t="inlineStr">
        <is>
          <t>System FC - Final</t>
        </is>
      </c>
      <c r="I129" t="n">
        <v>852</v>
      </c>
      <c r="J129" t="n">
        <v>2271</v>
      </c>
      <c r="K129" t="n">
        <v>2152</v>
      </c>
      <c r="L129" t="n">
        <v>1036</v>
      </c>
      <c r="M129" t="n">
        <v>492</v>
      </c>
      <c r="N129" t="n">
        <v>1080</v>
      </c>
      <c r="O129" t="n">
        <v>567</v>
      </c>
      <c r="P129" t="n">
        <v>1236</v>
      </c>
      <c r="Q129" t="n">
        <v>429</v>
      </c>
      <c r="R129" t="n">
        <v>634</v>
      </c>
      <c r="S129" t="n">
        <v>1001</v>
      </c>
      <c r="T129" t="n">
        <v>746</v>
      </c>
    </row>
    <row r="130">
      <c r="A130" t="inlineStr">
        <is>
          <t>Gucci</t>
        </is>
      </c>
      <c r="B130" t="inlineStr">
        <is>
          <t>Gucci Guilty (00840)</t>
        </is>
      </c>
      <c r="C130" t="inlineStr">
        <is>
          <t>Gucci Guilty PF 21 (00005854)</t>
        </is>
      </c>
      <c r="D130" s="1" t="n">
        <v>3616301976141</v>
      </c>
      <c r="E130" t="inlineStr">
        <is>
          <t>GG PF21 EDT NS 90 ML IV</t>
        </is>
      </c>
      <c r="F130" t="inlineStr">
        <is>
          <t>P_US_ALL_OTHERS</t>
        </is>
      </c>
      <c r="G130" t="inlineStr">
        <is>
          <t>CurrentWorkingView</t>
        </is>
      </c>
      <c r="H130" t="inlineStr">
        <is>
          <t>EPOS</t>
        </is>
      </c>
      <c r="I130" t="n">
        <v>834</v>
      </c>
    </row>
    <row r="131">
      <c r="A131" t="inlineStr">
        <is>
          <t>Gucci</t>
        </is>
      </c>
      <c r="B131" t="inlineStr">
        <is>
          <t>Gucci Guilty (00840)</t>
        </is>
      </c>
      <c r="C131" t="inlineStr">
        <is>
          <t>Gucci Guilty PF 21 (00005854)</t>
        </is>
      </c>
      <c r="D131" s="1" t="n">
        <v>3616301976141</v>
      </c>
      <c r="E131" t="inlineStr">
        <is>
          <t>GG PF21 EDT NS 90 ML IV</t>
        </is>
      </c>
      <c r="F131" t="inlineStr">
        <is>
          <t>P_US_ALL_OTHERS</t>
        </is>
      </c>
      <c r="G131" t="inlineStr">
        <is>
          <t>CurrentWorkingView</t>
        </is>
      </c>
      <c r="H131" t="inlineStr">
        <is>
          <t>Reasonability Adjustment</t>
        </is>
      </c>
      <c r="J131" t="n">
        <v>-674</v>
      </c>
      <c r="N131" t="n">
        <v>-422</v>
      </c>
      <c r="P131" t="n">
        <v>-348</v>
      </c>
      <c r="Q131" t="n">
        <v>-206</v>
      </c>
    </row>
    <row r="132">
      <c r="A132" t="inlineStr">
        <is>
          <t>Gucci</t>
        </is>
      </c>
      <c r="B132" t="inlineStr">
        <is>
          <t>Gucci Guilty (00840)</t>
        </is>
      </c>
      <c r="C132" t="inlineStr">
        <is>
          <t>Gucci Guilty PF 21 (00005854)</t>
        </is>
      </c>
      <c r="D132" s="1" t="n">
        <v>3616301976141</v>
      </c>
      <c r="E132" t="inlineStr">
        <is>
          <t>GG PF21 EDT NS 90 ML IV</t>
        </is>
      </c>
      <c r="F132" t="inlineStr">
        <is>
          <t>P_US_ALL_OTHERS</t>
        </is>
      </c>
      <c r="G132" t="inlineStr">
        <is>
          <t>CurrentWorkingView</t>
        </is>
      </c>
      <c r="H132" t="inlineStr">
        <is>
          <t>Total Demand Assumption</t>
        </is>
      </c>
    </row>
    <row r="133">
      <c r="A133" t="inlineStr">
        <is>
          <t>Gucci</t>
        </is>
      </c>
      <c r="B133" t="inlineStr">
        <is>
          <t>Gucci Guilty (00840)</t>
        </is>
      </c>
      <c r="C133" t="inlineStr">
        <is>
          <t>Gucci Guilty PF 21 (00005854)</t>
        </is>
      </c>
      <c r="D133" s="1" t="n">
        <v>3616301976141</v>
      </c>
      <c r="E133" t="inlineStr">
        <is>
          <t>GG PF21 EDT NS 90 ML IV</t>
        </is>
      </c>
      <c r="F133" t="inlineStr">
        <is>
          <t>P_US_ALL_OTHERS</t>
        </is>
      </c>
      <c r="G133" t="inlineStr">
        <is>
          <t>CurrentWorkingView</t>
        </is>
      </c>
      <c r="H133" t="inlineStr">
        <is>
          <t>Consensus - Final</t>
        </is>
      </c>
      <c r="I133" t="n">
        <v>852</v>
      </c>
      <c r="J133" t="n">
        <v>2271</v>
      </c>
      <c r="K133" t="n">
        <v>2367.00738636363</v>
      </c>
      <c r="L133" t="n">
        <v>1036</v>
      </c>
      <c r="M133" t="n">
        <v>492</v>
      </c>
      <c r="N133" t="n">
        <v>658</v>
      </c>
      <c r="O133" t="n">
        <v>567</v>
      </c>
      <c r="P133" t="n">
        <v>888</v>
      </c>
      <c r="Q133" t="n">
        <v>223</v>
      </c>
      <c r="R133" t="n">
        <v>634</v>
      </c>
      <c r="S133" t="n">
        <v>1001</v>
      </c>
      <c r="T133" t="n">
        <v>746</v>
      </c>
    </row>
    <row r="134">
      <c r="A134" t="inlineStr">
        <is>
          <t>Gucci</t>
        </is>
      </c>
      <c r="B134" t="inlineStr">
        <is>
          <t>Gucci Guilty (00840)</t>
        </is>
      </c>
      <c r="C134" t="inlineStr">
        <is>
          <t>Gucci Guilty PF 21 (00005854)</t>
        </is>
      </c>
      <c r="D134" s="1" t="n">
        <v>3616301976141</v>
      </c>
      <c r="E134" t="inlineStr">
        <is>
          <t>GG PF21 EDT NS 90 ML IV</t>
        </is>
      </c>
      <c r="F134" t="inlineStr">
        <is>
          <t>P_US_ALL_OTHERS</t>
        </is>
      </c>
      <c r="G134" t="inlineStr">
        <is>
          <t>CurrentWorkingView</t>
        </is>
      </c>
      <c r="H134" t="inlineStr">
        <is>
          <t>Supply Cuts</t>
        </is>
      </c>
    </row>
    <row r="135">
      <c r="A135" t="inlineStr">
        <is>
          <t>Gucci</t>
        </is>
      </c>
      <c r="B135" t="inlineStr">
        <is>
          <t>Gucci Guilty (00840)</t>
        </is>
      </c>
      <c r="C135" t="inlineStr">
        <is>
          <t>Gucci Guilty PF 21 (00005854)</t>
        </is>
      </c>
      <c r="D135" s="1" t="n">
        <v>3616301976141</v>
      </c>
      <c r="E135" t="inlineStr">
        <is>
          <t>GG PF21 EDT NS 90 ML IV</t>
        </is>
      </c>
      <c r="F135" t="inlineStr">
        <is>
          <t>P_US_ALL_OTHERS</t>
        </is>
      </c>
      <c r="G135" t="inlineStr">
        <is>
          <t>Month-2026.M09.W38</t>
        </is>
      </c>
      <c r="H135" t="inlineStr">
        <is>
          <t>Consensus - Final LY M</t>
        </is>
      </c>
      <c r="I135" t="n">
        <v>1982</v>
      </c>
      <c r="J135" t="n">
        <v>1116</v>
      </c>
      <c r="K135" t="n">
        <v>4630</v>
      </c>
      <c r="L135" t="n">
        <v>1445</v>
      </c>
      <c r="M135" t="n">
        <v>435</v>
      </c>
      <c r="N135" t="n">
        <v>1011</v>
      </c>
      <c r="O135" t="n">
        <v>602</v>
      </c>
      <c r="P135" t="n">
        <v>1742</v>
      </c>
      <c r="Q135" t="n">
        <v>997</v>
      </c>
      <c r="R135" t="n">
        <v>689</v>
      </c>
      <c r="S135" t="n">
        <v>1184</v>
      </c>
      <c r="T135" t="n">
        <v>907</v>
      </c>
    </row>
    <row r="136">
      <c r="A136" t="inlineStr">
        <is>
          <t>Gucci</t>
        </is>
      </c>
      <c r="B136" t="inlineStr">
        <is>
          <t>Gucci Guilty (00840)</t>
        </is>
      </c>
      <c r="C136" t="inlineStr">
        <is>
          <t>Gucci Guilty PF 21 (00005854)</t>
        </is>
      </c>
      <c r="D136" s="1" t="n">
        <v>3616301976141</v>
      </c>
      <c r="E136" t="inlineStr">
        <is>
          <t>GG PF21 EDT NS 90 ML IV</t>
        </is>
      </c>
      <c r="F136" t="inlineStr">
        <is>
          <t>P_US_ALL_OTHERS</t>
        </is>
      </c>
      <c r="G136" t="inlineStr">
        <is>
          <t>Month-2026.M09.W38</t>
        </is>
      </c>
      <c r="H136" t="inlineStr">
        <is>
          <t>System FC - Final</t>
        </is>
      </c>
      <c r="I136" t="n">
        <v>852</v>
      </c>
      <c r="J136" t="n">
        <v>2271</v>
      </c>
      <c r="K136" t="n">
        <v>2660</v>
      </c>
      <c r="L136" t="n">
        <v>668</v>
      </c>
      <c r="M136" t="n">
        <v>438</v>
      </c>
      <c r="N136" t="n">
        <v>868</v>
      </c>
      <c r="O136" t="n">
        <v>385</v>
      </c>
      <c r="P136" t="n">
        <v>1364</v>
      </c>
      <c r="Q136" t="n">
        <v>660</v>
      </c>
      <c r="R136" t="n">
        <v>733</v>
      </c>
      <c r="S136" t="n">
        <v>647</v>
      </c>
      <c r="T136" t="n">
        <v>455</v>
      </c>
    </row>
    <row r="137">
      <c r="A137" t="inlineStr">
        <is>
          <t>Gucci</t>
        </is>
      </c>
      <c r="B137" t="inlineStr">
        <is>
          <t>Gucci Guilty (00840)</t>
        </is>
      </c>
      <c r="C137" t="inlineStr">
        <is>
          <t>Gucci Guilty PF 21 (00005854)</t>
        </is>
      </c>
      <c r="D137" s="1" t="n">
        <v>3616301976141</v>
      </c>
      <c r="E137" t="inlineStr">
        <is>
          <t>GG PF21 EDT NS 90 ML IV</t>
        </is>
      </c>
      <c r="F137" t="inlineStr">
        <is>
          <t>P_US_ALL_OTHERS</t>
        </is>
      </c>
      <c r="G137" t="inlineStr">
        <is>
          <t>Month-2026.M09.W38</t>
        </is>
      </c>
      <c r="H137" t="inlineStr">
        <is>
          <t>EPOS</t>
        </is>
      </c>
      <c r="I137" t="n">
        <v>834</v>
      </c>
    </row>
    <row r="138">
      <c r="A138" t="inlineStr">
        <is>
          <t>Gucci</t>
        </is>
      </c>
      <c r="B138" t="inlineStr">
        <is>
          <t>Gucci Guilty (00840)</t>
        </is>
      </c>
      <c r="C138" t="inlineStr">
        <is>
          <t>Gucci Guilty PF 21 (00005854)</t>
        </is>
      </c>
      <c r="D138" s="1" t="n">
        <v>3616301976141</v>
      </c>
      <c r="E138" t="inlineStr">
        <is>
          <t>GG PF21 EDT NS 90 ML IV</t>
        </is>
      </c>
      <c r="F138" t="inlineStr">
        <is>
          <t>P_US_ALL_OTHERS</t>
        </is>
      </c>
      <c r="G138" t="inlineStr">
        <is>
          <t>Month-2026.M09.W38</t>
        </is>
      </c>
      <c r="H138" t="inlineStr">
        <is>
          <t>Reasonability Adjustment</t>
        </is>
      </c>
      <c r="J138" t="n">
        <v>-674</v>
      </c>
      <c r="N138" t="n">
        <v>-422</v>
      </c>
      <c r="P138" t="n">
        <v>-348</v>
      </c>
      <c r="Q138" t="n">
        <v>-206</v>
      </c>
    </row>
    <row r="139">
      <c r="A139" t="inlineStr">
        <is>
          <t>Gucci</t>
        </is>
      </c>
      <c r="B139" t="inlineStr">
        <is>
          <t>Gucci Guilty (00840)</t>
        </is>
      </c>
      <c r="C139" t="inlineStr">
        <is>
          <t>Gucci Guilty PF 21 (00005854)</t>
        </is>
      </c>
      <c r="D139" s="1" t="n">
        <v>3616301976141</v>
      </c>
      <c r="E139" t="inlineStr">
        <is>
          <t>GG PF21 EDT NS 90 ML IV</t>
        </is>
      </c>
      <c r="F139" t="inlineStr">
        <is>
          <t>P_US_ALL_OTHERS</t>
        </is>
      </c>
      <c r="G139" t="inlineStr">
        <is>
          <t>Month-2026.M09.W38</t>
        </is>
      </c>
      <c r="H139" t="inlineStr">
        <is>
          <t>Total Demand Assumption</t>
        </is>
      </c>
    </row>
    <row r="140">
      <c r="A140" t="inlineStr">
        <is>
          <t>Gucci</t>
        </is>
      </c>
      <c r="B140" t="inlineStr">
        <is>
          <t>Gucci Guilty (00840)</t>
        </is>
      </c>
      <c r="C140" t="inlineStr">
        <is>
          <t>Gucci Guilty PF 21 (00005854)</t>
        </is>
      </c>
      <c r="D140" s="1" t="n">
        <v>3616301976141</v>
      </c>
      <c r="E140" t="inlineStr">
        <is>
          <t>GG PF21 EDT NS 90 ML IV</t>
        </is>
      </c>
      <c r="F140" t="inlineStr">
        <is>
          <t>P_US_ALL_OTHERS</t>
        </is>
      </c>
      <c r="G140" t="inlineStr">
        <is>
          <t>Month-2026.M09.W38</t>
        </is>
      </c>
      <c r="H140" t="inlineStr">
        <is>
          <t>Consensus - Final</t>
        </is>
      </c>
      <c r="I140" t="n">
        <v>852</v>
      </c>
      <c r="J140" t="n">
        <v>2271</v>
      </c>
      <c r="K140" t="n">
        <v>2367.00738636363</v>
      </c>
      <c r="L140" t="n">
        <v>668</v>
      </c>
      <c r="M140" t="n">
        <v>438</v>
      </c>
      <c r="N140" t="n">
        <v>446</v>
      </c>
      <c r="O140" t="n">
        <v>385</v>
      </c>
      <c r="P140" t="n">
        <v>1016</v>
      </c>
      <c r="Q140" t="n">
        <v>454</v>
      </c>
      <c r="R140" t="n">
        <v>733</v>
      </c>
      <c r="S140" t="n">
        <v>647</v>
      </c>
      <c r="T140" t="n">
        <v>455</v>
      </c>
    </row>
    <row r="141">
      <c r="A141" t="inlineStr">
        <is>
          <t>Gucci</t>
        </is>
      </c>
      <c r="B141" t="inlineStr">
        <is>
          <t>Gucci Guilty (00840)</t>
        </is>
      </c>
      <c r="C141" t="inlineStr">
        <is>
          <t>Gucci Guilty PF 21 (00005854)</t>
        </is>
      </c>
      <c r="D141" s="1" t="n">
        <v>3616301976141</v>
      </c>
      <c r="E141" t="inlineStr">
        <is>
          <t>GG PF21 EDT NS 90 ML IV</t>
        </is>
      </c>
      <c r="F141" t="inlineStr">
        <is>
          <t>P_US_ALL_OTHERS</t>
        </is>
      </c>
      <c r="G141" t="inlineStr">
        <is>
          <t>Month-2026.M09.W38</t>
        </is>
      </c>
      <c r="H141" t="inlineStr">
        <is>
          <t>Supply Cuts</t>
        </is>
      </c>
    </row>
    <row r="142">
      <c r="A142" t="inlineStr">
        <is>
          <t>Gucci</t>
        </is>
      </c>
      <c r="B142" t="inlineStr">
        <is>
          <t>Gucci Guilty (00840)</t>
        </is>
      </c>
      <c r="C142" t="inlineStr">
        <is>
          <t>Gucci Guilty PF 21 (00005854)</t>
        </is>
      </c>
      <c r="D142" s="1" t="n">
        <v>3616301976141</v>
      </c>
      <c r="E142" t="inlineStr">
        <is>
          <t>GG PF21 EDT NS 90 ML IV</t>
        </is>
      </c>
      <c r="F142" t="inlineStr">
        <is>
          <t>P_US_FG</t>
        </is>
      </c>
      <c r="G142" t="inlineStr">
        <is>
          <t>CurrentWorkingView</t>
        </is>
      </c>
      <c r="H142" t="inlineStr">
        <is>
          <t>Consensus - Final LY M</t>
        </is>
      </c>
      <c r="I142" t="n">
        <v>20</v>
      </c>
      <c r="K142" t="n">
        <v>1</v>
      </c>
      <c r="M142" t="n">
        <v>21</v>
      </c>
      <c r="P142" t="n">
        <v>10</v>
      </c>
      <c r="R142" t="n">
        <v>2</v>
      </c>
    </row>
    <row r="143">
      <c r="A143" t="inlineStr">
        <is>
          <t>Gucci</t>
        </is>
      </c>
      <c r="B143" t="inlineStr">
        <is>
          <t>Gucci Guilty (00840)</t>
        </is>
      </c>
      <c r="C143" t="inlineStr">
        <is>
          <t>Gucci Guilty PF 21 (00005854)</t>
        </is>
      </c>
      <c r="D143" s="1" t="n">
        <v>3616301976141</v>
      </c>
      <c r="E143" t="inlineStr">
        <is>
          <t>GG PF21 EDT NS 90 ML IV</t>
        </is>
      </c>
      <c r="F143" t="inlineStr">
        <is>
          <t>P_US_FG</t>
        </is>
      </c>
      <c r="G143" t="inlineStr">
        <is>
          <t>CurrentWorkingView</t>
        </is>
      </c>
      <c r="H143" t="inlineStr">
        <is>
          <t>System FC - Final</t>
        </is>
      </c>
      <c r="K143" t="n">
        <v>164</v>
      </c>
      <c r="L143" t="n">
        <v>0</v>
      </c>
      <c r="M143" t="n">
        <v>30</v>
      </c>
      <c r="N143" t="n">
        <v>0</v>
      </c>
      <c r="O143" t="n">
        <v>0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Gucci</t>
        </is>
      </c>
      <c r="B144" t="inlineStr">
        <is>
          <t>Gucci Guilty (00840)</t>
        </is>
      </c>
      <c r="C144" t="inlineStr">
        <is>
          <t>Gucci Guilty PF 21 (00005854)</t>
        </is>
      </c>
      <c r="D144" s="1" t="n">
        <v>3616301976141</v>
      </c>
      <c r="E144" t="inlineStr">
        <is>
          <t>GG PF21 EDT NS 90 ML IV</t>
        </is>
      </c>
      <c r="F144" t="inlineStr">
        <is>
          <t>P_US_FG</t>
        </is>
      </c>
      <c r="G144" t="inlineStr">
        <is>
          <t>CurrentWorkingView</t>
        </is>
      </c>
      <c r="H144" t="inlineStr">
        <is>
          <t>EPOS</t>
        </is>
      </c>
    </row>
    <row r="145">
      <c r="A145" t="inlineStr">
        <is>
          <t>Gucci</t>
        </is>
      </c>
      <c r="B145" t="inlineStr">
        <is>
          <t>Gucci Guilty (00840)</t>
        </is>
      </c>
      <c r="C145" t="inlineStr">
        <is>
          <t>Gucci Guilty PF 21 (00005854)</t>
        </is>
      </c>
      <c r="D145" s="1" t="n">
        <v>3616301976141</v>
      </c>
      <c r="E145" t="inlineStr">
        <is>
          <t>GG PF21 EDT NS 90 ML IV</t>
        </is>
      </c>
      <c r="F145" t="inlineStr">
        <is>
          <t>P_US_FG</t>
        </is>
      </c>
      <c r="G145" t="inlineStr">
        <is>
          <t>CurrentWorkingView</t>
        </is>
      </c>
      <c r="H145" t="inlineStr">
        <is>
          <t>Reasonability Adjustment</t>
        </is>
      </c>
    </row>
    <row r="146">
      <c r="A146" t="inlineStr">
        <is>
          <t>Gucci</t>
        </is>
      </c>
      <c r="B146" t="inlineStr">
        <is>
          <t>Gucci Guilty (00840)</t>
        </is>
      </c>
      <c r="C146" t="inlineStr">
        <is>
          <t>Gucci Guilty PF 21 (00005854)</t>
        </is>
      </c>
      <c r="D146" s="1" t="n">
        <v>3616301976141</v>
      </c>
      <c r="E146" t="inlineStr">
        <is>
          <t>GG PF21 EDT NS 90 ML IV</t>
        </is>
      </c>
      <c r="F146" t="inlineStr">
        <is>
          <t>P_US_FG</t>
        </is>
      </c>
      <c r="G146" t="inlineStr">
        <is>
          <t>CurrentWorkingView</t>
        </is>
      </c>
      <c r="H146" t="inlineStr">
        <is>
          <t>Total Demand Assumption</t>
        </is>
      </c>
    </row>
    <row r="147">
      <c r="A147" t="inlineStr">
        <is>
          <t>Gucci</t>
        </is>
      </c>
      <c r="B147" t="inlineStr">
        <is>
          <t>Gucci Guilty (00840)</t>
        </is>
      </c>
      <c r="C147" t="inlineStr">
        <is>
          <t>Gucci Guilty PF 21 (00005854)</t>
        </is>
      </c>
      <c r="D147" s="1" t="n">
        <v>3616301976141</v>
      </c>
      <c r="E147" t="inlineStr">
        <is>
          <t>GG PF21 EDT NS 90 ML IV</t>
        </is>
      </c>
      <c r="F147" t="inlineStr">
        <is>
          <t>P_US_FG</t>
        </is>
      </c>
      <c r="G147" t="inlineStr">
        <is>
          <t>CurrentWorkingView</t>
        </is>
      </c>
      <c r="H147" t="inlineStr">
        <is>
          <t>Consensus - Final</t>
        </is>
      </c>
      <c r="K147" t="n">
        <v>160</v>
      </c>
    </row>
    <row r="148">
      <c r="A148" t="inlineStr">
        <is>
          <t>Gucci</t>
        </is>
      </c>
      <c r="B148" t="inlineStr">
        <is>
          <t>Gucci Guilty (00840)</t>
        </is>
      </c>
      <c r="C148" t="inlineStr">
        <is>
          <t>Gucci Guilty PF 21 (00005854)</t>
        </is>
      </c>
      <c r="D148" s="1" t="n">
        <v>3616301976141</v>
      </c>
      <c r="E148" t="inlineStr">
        <is>
          <t>GG PF21 EDT NS 90 ML IV</t>
        </is>
      </c>
      <c r="F148" t="inlineStr">
        <is>
          <t>P_US_FG</t>
        </is>
      </c>
      <c r="G148" t="inlineStr">
        <is>
          <t>CurrentWorkingView</t>
        </is>
      </c>
      <c r="H148" t="inlineStr">
        <is>
          <t>Supply Cuts</t>
        </is>
      </c>
    </row>
    <row r="149">
      <c r="A149" t="inlineStr">
        <is>
          <t>Gucci</t>
        </is>
      </c>
      <c r="B149" t="inlineStr">
        <is>
          <t>Gucci Guilty (00840)</t>
        </is>
      </c>
      <c r="C149" t="inlineStr">
        <is>
          <t>Gucci Guilty PF 21 (00005854)</t>
        </is>
      </c>
      <c r="D149" s="1" t="n">
        <v>3616301976141</v>
      </c>
      <c r="E149" t="inlineStr">
        <is>
          <t>GG PF21 EDT NS 90 ML IV</t>
        </is>
      </c>
      <c r="F149" t="inlineStr">
        <is>
          <t>P_US_FG</t>
        </is>
      </c>
      <c r="G149" t="inlineStr">
        <is>
          <t>Month-2026.M09.W38</t>
        </is>
      </c>
      <c r="H149" t="inlineStr">
        <is>
          <t>Consensus - Final LY M</t>
        </is>
      </c>
      <c r="I149" t="n">
        <v>20</v>
      </c>
      <c r="K149" t="n">
        <v>1</v>
      </c>
      <c r="M149" t="n">
        <v>21</v>
      </c>
      <c r="P149" t="n">
        <v>10</v>
      </c>
      <c r="R149" t="n">
        <v>2</v>
      </c>
    </row>
    <row r="150">
      <c r="A150" t="inlineStr">
        <is>
          <t>Gucci</t>
        </is>
      </c>
      <c r="B150" t="inlineStr">
        <is>
          <t>Gucci Guilty (00840)</t>
        </is>
      </c>
      <c r="C150" t="inlineStr">
        <is>
          <t>Gucci Guilty PF 21 (00005854)</t>
        </is>
      </c>
      <c r="D150" s="1" t="n">
        <v>3616301976141</v>
      </c>
      <c r="E150" t="inlineStr">
        <is>
          <t>GG PF21 EDT NS 90 ML IV</t>
        </is>
      </c>
      <c r="F150" t="inlineStr">
        <is>
          <t>P_US_FG</t>
        </is>
      </c>
      <c r="G150" t="inlineStr">
        <is>
          <t>Month-2026.M09.W38</t>
        </is>
      </c>
      <c r="H150" t="inlineStr">
        <is>
          <t>System FC - Final</t>
        </is>
      </c>
      <c r="K150" t="n">
        <v>6</v>
      </c>
      <c r="L150" t="n">
        <v>0</v>
      </c>
      <c r="M150" t="n">
        <v>30</v>
      </c>
      <c r="N150" t="n">
        <v>0</v>
      </c>
      <c r="O150" t="n">
        <v>0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Gucci</t>
        </is>
      </c>
      <c r="B151" t="inlineStr">
        <is>
          <t>Gucci Guilty (00840)</t>
        </is>
      </c>
      <c r="C151" t="inlineStr">
        <is>
          <t>Gucci Guilty PF 21 (00005854)</t>
        </is>
      </c>
      <c r="D151" s="1" t="n">
        <v>3616301976141</v>
      </c>
      <c r="E151" t="inlineStr">
        <is>
          <t>GG PF21 EDT NS 90 ML IV</t>
        </is>
      </c>
      <c r="F151" t="inlineStr">
        <is>
          <t>P_US_FG</t>
        </is>
      </c>
      <c r="G151" t="inlineStr">
        <is>
          <t>Month-2026.M09.W38</t>
        </is>
      </c>
      <c r="H151" t="inlineStr">
        <is>
          <t>EPOS</t>
        </is>
      </c>
    </row>
    <row r="152">
      <c r="A152" t="inlineStr">
        <is>
          <t>Gucci</t>
        </is>
      </c>
      <c r="B152" t="inlineStr">
        <is>
          <t>Gucci Guilty (00840)</t>
        </is>
      </c>
      <c r="C152" t="inlineStr">
        <is>
          <t>Gucci Guilty PF 21 (00005854)</t>
        </is>
      </c>
      <c r="D152" s="1" t="n">
        <v>3616301976141</v>
      </c>
      <c r="E152" t="inlineStr">
        <is>
          <t>GG PF21 EDT NS 90 ML IV</t>
        </is>
      </c>
      <c r="F152" t="inlineStr">
        <is>
          <t>P_US_FG</t>
        </is>
      </c>
      <c r="G152" t="inlineStr">
        <is>
          <t>Month-2026.M09.W38</t>
        </is>
      </c>
      <c r="H152" t="inlineStr">
        <is>
          <t>Reasonability Adjustment</t>
        </is>
      </c>
    </row>
    <row r="153">
      <c r="A153" t="inlineStr">
        <is>
          <t>Gucci</t>
        </is>
      </c>
      <c r="B153" t="inlineStr">
        <is>
          <t>Gucci Guilty (00840)</t>
        </is>
      </c>
      <c r="C153" t="inlineStr">
        <is>
          <t>Gucci Guilty PF 21 (00005854)</t>
        </is>
      </c>
      <c r="D153" s="1" t="n">
        <v>3616301976141</v>
      </c>
      <c r="E153" t="inlineStr">
        <is>
          <t>GG PF21 EDT NS 90 ML IV</t>
        </is>
      </c>
      <c r="F153" t="inlineStr">
        <is>
          <t>P_US_FG</t>
        </is>
      </c>
      <c r="G153" t="inlineStr">
        <is>
          <t>Month-2026.M09.W38</t>
        </is>
      </c>
      <c r="H153" t="inlineStr">
        <is>
          <t>Total Demand Assumption</t>
        </is>
      </c>
    </row>
    <row r="154">
      <c r="A154" t="inlineStr">
        <is>
          <t>Gucci</t>
        </is>
      </c>
      <c r="B154" t="inlineStr">
        <is>
          <t>Gucci Guilty (00840)</t>
        </is>
      </c>
      <c r="C154" t="inlineStr">
        <is>
          <t>Gucci Guilty PF 21 (00005854)</t>
        </is>
      </c>
      <c r="D154" s="1" t="n">
        <v>3616301976141</v>
      </c>
      <c r="E154" t="inlineStr">
        <is>
          <t>GG PF21 EDT NS 90 ML IV</t>
        </is>
      </c>
      <c r="F154" t="inlineStr">
        <is>
          <t>P_US_FG</t>
        </is>
      </c>
      <c r="G154" t="inlineStr">
        <is>
          <t>Month-2026.M09.W38</t>
        </is>
      </c>
      <c r="H154" t="inlineStr">
        <is>
          <t>Consensus - Final</t>
        </is>
      </c>
      <c r="K154" t="n">
        <v>0</v>
      </c>
    </row>
    <row r="155">
      <c r="A155" t="inlineStr">
        <is>
          <t>Gucci</t>
        </is>
      </c>
      <c r="B155" t="inlineStr">
        <is>
          <t>Gucci Guilty (00840)</t>
        </is>
      </c>
      <c r="C155" t="inlineStr">
        <is>
          <t>Gucci Guilty PF 21 (00005854)</t>
        </is>
      </c>
      <c r="D155" s="1" t="n">
        <v>3616301976141</v>
      </c>
      <c r="E155" t="inlineStr">
        <is>
          <t>GG PF21 EDT NS 90 ML IV</t>
        </is>
      </c>
      <c r="F155" t="inlineStr">
        <is>
          <t>P_US_FG</t>
        </is>
      </c>
      <c r="G155" t="inlineStr">
        <is>
          <t>Month-2026.M09.W38</t>
        </is>
      </c>
      <c r="H155" t="inlineStr">
        <is>
          <t>Supply Cuts</t>
        </is>
      </c>
    </row>
    <row r="156">
      <c r="A156" t="inlineStr">
        <is>
          <t>Gucci</t>
        </is>
      </c>
      <c r="B156" t="inlineStr">
        <is>
          <t>Gucci Guilty (00840)</t>
        </is>
      </c>
      <c r="C156" t="inlineStr">
        <is>
          <t>Gucci Guilty PF 21 (00005854)</t>
        </is>
      </c>
      <c r="D156" s="1" t="n">
        <v>3616301976141</v>
      </c>
      <c r="E156" t="inlineStr">
        <is>
          <t>GG PF21 EDT NS 90 ML IV</t>
        </is>
      </c>
      <c r="F156" t="inlineStr">
        <is>
          <t>P_US_ULTA</t>
        </is>
      </c>
      <c r="G156" t="inlineStr">
        <is>
          <t>CurrentWorkingView</t>
        </is>
      </c>
      <c r="H156" t="inlineStr">
        <is>
          <t>Consensus - Final LY M</t>
        </is>
      </c>
      <c r="I156" t="n">
        <v>42</v>
      </c>
      <c r="J156" t="n">
        <v>561</v>
      </c>
      <c r="K156" t="n">
        <v>1161</v>
      </c>
      <c r="M156" t="n">
        <v>204</v>
      </c>
      <c r="N156" t="n">
        <v>423</v>
      </c>
      <c r="O156" t="n">
        <v>996</v>
      </c>
      <c r="P156" t="n">
        <v>24</v>
      </c>
      <c r="Q156" t="n">
        <v>825</v>
      </c>
      <c r="R156" t="n">
        <v>231</v>
      </c>
      <c r="S156" t="n">
        <v>771</v>
      </c>
      <c r="T156" t="n">
        <v>18</v>
      </c>
    </row>
    <row r="157">
      <c r="A157" t="inlineStr">
        <is>
          <t>Gucci</t>
        </is>
      </c>
      <c r="B157" t="inlineStr">
        <is>
          <t>Gucci Guilty (00840)</t>
        </is>
      </c>
      <c r="C157" t="inlineStr">
        <is>
          <t>Gucci Guilty PF 21 (00005854)</t>
        </is>
      </c>
      <c r="D157" s="1" t="n">
        <v>3616301976141</v>
      </c>
      <c r="E157" t="inlineStr">
        <is>
          <t>GG PF21 EDT NS 90 ML IV</t>
        </is>
      </c>
      <c r="F157" t="inlineStr">
        <is>
          <t>P_US_ULTA</t>
        </is>
      </c>
      <c r="G157" t="inlineStr">
        <is>
          <t>CurrentWorkingView</t>
        </is>
      </c>
      <c r="H157" t="inlineStr">
        <is>
          <t>System FC - Final</t>
        </is>
      </c>
      <c r="I157" t="n">
        <v>114</v>
      </c>
      <c r="J157" t="n">
        <v>231</v>
      </c>
      <c r="K157" t="n">
        <v>893</v>
      </c>
      <c r="L157" t="n">
        <v>678</v>
      </c>
      <c r="M157" t="n">
        <v>638</v>
      </c>
      <c r="N157" t="n">
        <v>1186</v>
      </c>
      <c r="O157" t="n">
        <v>456</v>
      </c>
      <c r="P157" t="n">
        <v>596</v>
      </c>
      <c r="Q157" t="n">
        <v>934</v>
      </c>
      <c r="R157" t="n">
        <v>415</v>
      </c>
      <c r="S157" t="n">
        <v>368</v>
      </c>
      <c r="T157" t="n">
        <v>197</v>
      </c>
    </row>
    <row r="158">
      <c r="A158" t="inlineStr">
        <is>
          <t>Gucci</t>
        </is>
      </c>
      <c r="B158" t="inlineStr">
        <is>
          <t>Gucci Guilty (00840)</t>
        </is>
      </c>
      <c r="C158" t="inlineStr">
        <is>
          <t>Gucci Guilty PF 21 (00005854)</t>
        </is>
      </c>
      <c r="D158" s="1" t="n">
        <v>3616301976141</v>
      </c>
      <c r="E158" t="inlineStr">
        <is>
          <t>GG PF21 EDT NS 90 ML IV</t>
        </is>
      </c>
      <c r="F158" t="inlineStr">
        <is>
          <t>P_US_ULTA</t>
        </is>
      </c>
      <c r="G158" t="inlineStr">
        <is>
          <t>CurrentWorkingView</t>
        </is>
      </c>
      <c r="H158" t="inlineStr">
        <is>
          <t>EPOS</t>
        </is>
      </c>
      <c r="I158" t="n">
        <v>253</v>
      </c>
    </row>
    <row r="159">
      <c r="A159" t="inlineStr">
        <is>
          <t>Gucci</t>
        </is>
      </c>
      <c r="B159" t="inlineStr">
        <is>
          <t>Gucci Guilty (00840)</t>
        </is>
      </c>
      <c r="C159" t="inlineStr">
        <is>
          <t>Gucci Guilty PF 21 (00005854)</t>
        </is>
      </c>
      <c r="D159" s="1" t="n">
        <v>3616301976141</v>
      </c>
      <c r="E159" t="inlineStr">
        <is>
          <t>GG PF21 EDT NS 90 ML IV</t>
        </is>
      </c>
      <c r="F159" t="inlineStr">
        <is>
          <t>P_US_ULTA</t>
        </is>
      </c>
      <c r="G159" t="inlineStr">
        <is>
          <t>CurrentWorkingView</t>
        </is>
      </c>
      <c r="H159" t="inlineStr">
        <is>
          <t>Reasonability Adjustment</t>
        </is>
      </c>
      <c r="J159" t="n">
        <v>-326</v>
      </c>
      <c r="N159" t="n">
        <v>-578</v>
      </c>
      <c r="P159" t="n">
        <v>-152</v>
      </c>
      <c r="Q159" t="n">
        <v>-294</v>
      </c>
    </row>
    <row r="160">
      <c r="A160" t="inlineStr">
        <is>
          <t>Gucci</t>
        </is>
      </c>
      <c r="B160" t="inlineStr">
        <is>
          <t>Gucci Guilty (00840)</t>
        </is>
      </c>
      <c r="C160" t="inlineStr">
        <is>
          <t>Gucci Guilty PF 21 (00005854)</t>
        </is>
      </c>
      <c r="D160" s="1" t="n">
        <v>3616301976141</v>
      </c>
      <c r="E160" t="inlineStr">
        <is>
          <t>GG PF21 EDT NS 90 ML IV</t>
        </is>
      </c>
      <c r="F160" t="inlineStr">
        <is>
          <t>P_US_ULTA</t>
        </is>
      </c>
      <c r="G160" t="inlineStr">
        <is>
          <t>CurrentWorkingView</t>
        </is>
      </c>
      <c r="H160" t="inlineStr">
        <is>
          <t>Total Demand Assumption</t>
        </is>
      </c>
    </row>
    <row r="161">
      <c r="A161" t="inlineStr">
        <is>
          <t>Gucci</t>
        </is>
      </c>
      <c r="B161" t="inlineStr">
        <is>
          <t>Gucci Guilty (00840)</t>
        </is>
      </c>
      <c r="C161" t="inlineStr">
        <is>
          <t>Gucci Guilty PF 21 (00005854)</t>
        </is>
      </c>
      <c r="D161" s="1" t="n">
        <v>3616301976141</v>
      </c>
      <c r="E161" t="inlineStr">
        <is>
          <t>GG PF21 EDT NS 90 ML IV</t>
        </is>
      </c>
      <c r="F161" t="inlineStr">
        <is>
          <t>P_US_ULTA</t>
        </is>
      </c>
      <c r="G161" t="inlineStr">
        <is>
          <t>CurrentWorkingView</t>
        </is>
      </c>
      <c r="H161" t="inlineStr">
        <is>
          <t>Consensus - Final</t>
        </is>
      </c>
      <c r="I161" t="n">
        <v>114</v>
      </c>
      <c r="J161" t="n">
        <v>231</v>
      </c>
      <c r="K161" t="n">
        <v>955.992613636363</v>
      </c>
      <c r="L161" t="n">
        <v>678</v>
      </c>
      <c r="M161" t="n">
        <v>638</v>
      </c>
      <c r="N161" t="n">
        <v>608</v>
      </c>
      <c r="O161" t="n">
        <v>456</v>
      </c>
      <c r="P161" t="n">
        <v>444</v>
      </c>
      <c r="Q161" t="n">
        <v>640</v>
      </c>
      <c r="R161" t="n">
        <v>415</v>
      </c>
      <c r="S161" t="n">
        <v>368</v>
      </c>
      <c r="T161" t="n">
        <v>197</v>
      </c>
    </row>
    <row r="162">
      <c r="A162" t="inlineStr">
        <is>
          <t>Gucci</t>
        </is>
      </c>
      <c r="B162" t="inlineStr">
        <is>
          <t>Gucci Guilty (00840)</t>
        </is>
      </c>
      <c r="C162" t="inlineStr">
        <is>
          <t>Gucci Guilty PF 21 (00005854)</t>
        </is>
      </c>
      <c r="D162" s="1" t="n">
        <v>3616301976141</v>
      </c>
      <c r="E162" t="inlineStr">
        <is>
          <t>GG PF21 EDT NS 90 ML IV</t>
        </is>
      </c>
      <c r="F162" t="inlineStr">
        <is>
          <t>P_US_ULTA</t>
        </is>
      </c>
      <c r="G162" t="inlineStr">
        <is>
          <t>CurrentWorkingView</t>
        </is>
      </c>
      <c r="H162" t="inlineStr">
        <is>
          <t>Supply Cuts</t>
        </is>
      </c>
    </row>
    <row r="163">
      <c r="A163" t="inlineStr">
        <is>
          <t>Gucci</t>
        </is>
      </c>
      <c r="B163" t="inlineStr">
        <is>
          <t>Gucci Guilty (00840)</t>
        </is>
      </c>
      <c r="C163" t="inlineStr">
        <is>
          <t>Gucci Guilty PF 21 (00005854)</t>
        </is>
      </c>
      <c r="D163" s="1" t="n">
        <v>3616301976141</v>
      </c>
      <c r="E163" t="inlineStr">
        <is>
          <t>GG PF21 EDT NS 90 ML IV</t>
        </is>
      </c>
      <c r="F163" t="inlineStr">
        <is>
          <t>P_US_ULTA</t>
        </is>
      </c>
      <c r="G163" t="inlineStr">
        <is>
          <t>Month-2026.M09.W38</t>
        </is>
      </c>
      <c r="H163" t="inlineStr">
        <is>
          <t>Consensus - Final LY M</t>
        </is>
      </c>
      <c r="I163" t="n">
        <v>42</v>
      </c>
      <c r="J163" t="n">
        <v>561</v>
      </c>
      <c r="K163" t="n">
        <v>1161</v>
      </c>
      <c r="M163" t="n">
        <v>204</v>
      </c>
      <c r="N163" t="n">
        <v>423</v>
      </c>
      <c r="O163" t="n">
        <v>996</v>
      </c>
      <c r="P163" t="n">
        <v>24</v>
      </c>
      <c r="Q163" t="n">
        <v>825</v>
      </c>
      <c r="R163" t="n">
        <v>231</v>
      </c>
      <c r="S163" t="n">
        <v>771</v>
      </c>
      <c r="T163" t="n">
        <v>18</v>
      </c>
    </row>
    <row r="164">
      <c r="A164" t="inlineStr">
        <is>
          <t>Gucci</t>
        </is>
      </c>
      <c r="B164" t="inlineStr">
        <is>
          <t>Gucci Guilty (00840)</t>
        </is>
      </c>
      <c r="C164" t="inlineStr">
        <is>
          <t>Gucci Guilty PF 21 (00005854)</t>
        </is>
      </c>
      <c r="D164" s="1" t="n">
        <v>3616301976141</v>
      </c>
      <c r="E164" t="inlineStr">
        <is>
          <t>GG PF21 EDT NS 90 ML IV</t>
        </is>
      </c>
      <c r="F164" t="inlineStr">
        <is>
          <t>P_US_ULTA</t>
        </is>
      </c>
      <c r="G164" t="inlineStr">
        <is>
          <t>Month-2026.M09.W38</t>
        </is>
      </c>
      <c r="H164" t="inlineStr">
        <is>
          <t>System FC - Final</t>
        </is>
      </c>
      <c r="I164" t="n">
        <v>114</v>
      </c>
      <c r="J164" t="n">
        <v>231</v>
      </c>
      <c r="K164" t="n">
        <v>1023</v>
      </c>
      <c r="L164" t="n">
        <v>678</v>
      </c>
      <c r="M164" t="n">
        <v>638</v>
      </c>
      <c r="N164" t="n">
        <v>1191</v>
      </c>
      <c r="O164" t="n">
        <v>456</v>
      </c>
      <c r="P164" t="n">
        <v>596</v>
      </c>
      <c r="Q164" t="n">
        <v>939</v>
      </c>
      <c r="R164" t="n">
        <v>415</v>
      </c>
      <c r="S164" t="n">
        <v>368</v>
      </c>
      <c r="T164" t="n">
        <v>232</v>
      </c>
    </row>
    <row r="165">
      <c r="A165" t="inlineStr">
        <is>
          <t>Gucci</t>
        </is>
      </c>
      <c r="B165" t="inlineStr">
        <is>
          <t>Gucci Guilty (00840)</t>
        </is>
      </c>
      <c r="C165" t="inlineStr">
        <is>
          <t>Gucci Guilty PF 21 (00005854)</t>
        </is>
      </c>
      <c r="D165" s="1" t="n">
        <v>3616301976141</v>
      </c>
      <c r="E165" t="inlineStr">
        <is>
          <t>GG PF21 EDT NS 90 ML IV</t>
        </is>
      </c>
      <c r="F165" t="inlineStr">
        <is>
          <t>P_US_ULTA</t>
        </is>
      </c>
      <c r="G165" t="inlineStr">
        <is>
          <t>Month-2026.M09.W38</t>
        </is>
      </c>
      <c r="H165" t="inlineStr">
        <is>
          <t>EPOS</t>
        </is>
      </c>
      <c r="I165" t="n">
        <v>253</v>
      </c>
    </row>
    <row r="166">
      <c r="A166" t="inlineStr">
        <is>
          <t>Gucci</t>
        </is>
      </c>
      <c r="B166" t="inlineStr">
        <is>
          <t>Gucci Guilty (00840)</t>
        </is>
      </c>
      <c r="C166" t="inlineStr">
        <is>
          <t>Gucci Guilty PF 21 (00005854)</t>
        </is>
      </c>
      <c r="D166" s="1" t="n">
        <v>3616301976141</v>
      </c>
      <c r="E166" t="inlineStr">
        <is>
          <t>GG PF21 EDT NS 90 ML IV</t>
        </is>
      </c>
      <c r="F166" t="inlineStr">
        <is>
          <t>P_US_ULTA</t>
        </is>
      </c>
      <c r="G166" t="inlineStr">
        <is>
          <t>Month-2026.M09.W38</t>
        </is>
      </c>
      <c r="H166" t="inlineStr">
        <is>
          <t>Reasonability Adjustment</t>
        </is>
      </c>
      <c r="J166" t="n">
        <v>-326</v>
      </c>
      <c r="N166" t="n">
        <v>-578</v>
      </c>
      <c r="P166" t="n">
        <v>-152</v>
      </c>
      <c r="Q166" t="n">
        <v>-294</v>
      </c>
    </row>
    <row r="167">
      <c r="A167" t="inlineStr">
        <is>
          <t>Gucci</t>
        </is>
      </c>
      <c r="B167" t="inlineStr">
        <is>
          <t>Gucci Guilty (00840)</t>
        </is>
      </c>
      <c r="C167" t="inlineStr">
        <is>
          <t>Gucci Guilty PF 21 (00005854)</t>
        </is>
      </c>
      <c r="D167" s="1" t="n">
        <v>3616301976141</v>
      </c>
      <c r="E167" t="inlineStr">
        <is>
          <t>GG PF21 EDT NS 90 ML IV</t>
        </is>
      </c>
      <c r="F167" t="inlineStr">
        <is>
          <t>P_US_ULTA</t>
        </is>
      </c>
      <c r="G167" t="inlineStr">
        <is>
          <t>Month-2026.M09.W38</t>
        </is>
      </c>
      <c r="H167" t="inlineStr">
        <is>
          <t>Total Demand Assumption</t>
        </is>
      </c>
    </row>
    <row r="168">
      <c r="A168" t="inlineStr">
        <is>
          <t>Gucci</t>
        </is>
      </c>
      <c r="B168" t="inlineStr">
        <is>
          <t>Gucci Guilty (00840)</t>
        </is>
      </c>
      <c r="C168" t="inlineStr">
        <is>
          <t>Gucci Guilty PF 21 (00005854)</t>
        </is>
      </c>
      <c r="D168" s="1" t="n">
        <v>3616301976141</v>
      </c>
      <c r="E168" t="inlineStr">
        <is>
          <t>GG PF21 EDT NS 90 ML IV</t>
        </is>
      </c>
      <c r="F168" t="inlineStr">
        <is>
          <t>P_US_ULTA</t>
        </is>
      </c>
      <c r="G168" t="inlineStr">
        <is>
          <t>Month-2026.M09.W38</t>
        </is>
      </c>
      <c r="H168" t="inlineStr">
        <is>
          <t>Consensus - Final</t>
        </is>
      </c>
      <c r="I168" t="n">
        <v>114</v>
      </c>
      <c r="J168" t="n">
        <v>231</v>
      </c>
      <c r="K168" t="n">
        <v>955.992613636363</v>
      </c>
      <c r="L168" t="n">
        <v>678</v>
      </c>
      <c r="M168" t="n">
        <v>638</v>
      </c>
      <c r="N168" t="n">
        <v>613</v>
      </c>
      <c r="O168" t="n">
        <v>456</v>
      </c>
      <c r="P168" t="n">
        <v>444</v>
      </c>
      <c r="Q168" t="n">
        <v>645</v>
      </c>
      <c r="R168" t="n">
        <v>415</v>
      </c>
      <c r="S168" t="n">
        <v>368</v>
      </c>
      <c r="T168" t="n">
        <v>232</v>
      </c>
    </row>
    <row r="169">
      <c r="A169" t="inlineStr">
        <is>
          <t>Gucci</t>
        </is>
      </c>
      <c r="B169" t="inlineStr">
        <is>
          <t>Gucci Guilty (00840)</t>
        </is>
      </c>
      <c r="C169" t="inlineStr">
        <is>
          <t>Gucci Guilty PF 21 (00005854)</t>
        </is>
      </c>
      <c r="D169" s="1" t="n">
        <v>3616301976141</v>
      </c>
      <c r="E169" t="inlineStr">
        <is>
          <t>GG PF21 EDT NS 90 ML IV</t>
        </is>
      </c>
      <c r="F169" t="inlineStr">
        <is>
          <t>P_US_ULTA</t>
        </is>
      </c>
      <c r="G169" t="inlineStr">
        <is>
          <t>Month-2026.M09.W38</t>
        </is>
      </c>
      <c r="H169" t="inlineStr">
        <is>
          <t>Supply Cuts</t>
        </is>
      </c>
    </row>
    <row r="170">
      <c r="A170" t="inlineStr">
        <is>
          <t>Gucci</t>
        </is>
      </c>
      <c r="B170" t="inlineStr">
        <is>
          <t>Gucci Guilty (00840)</t>
        </is>
      </c>
      <c r="C170" t="inlineStr">
        <is>
          <t>Gucci Guilty Pour Homme (00003463)</t>
        </is>
      </c>
      <c r="D170" s="1" t="n">
        <v>3616302033683</v>
      </c>
      <c r="E170" t="inlineStr">
        <is>
          <t>GUCCI GUILT H DEOSTK 75 ML VP IV</t>
        </is>
      </c>
      <c r="F170" t="inlineStr">
        <is>
          <t>P_US_ALL_OTHERS</t>
        </is>
      </c>
      <c r="G170" t="inlineStr">
        <is>
          <t>CurrentWorkingView</t>
        </is>
      </c>
      <c r="H170" t="inlineStr">
        <is>
          <t>Consensus - Final LY M</t>
        </is>
      </c>
      <c r="I170" t="n">
        <v>78</v>
      </c>
      <c r="J170" t="n">
        <v>768</v>
      </c>
      <c r="K170" t="n">
        <v>792</v>
      </c>
      <c r="L170" t="n">
        <v>630</v>
      </c>
      <c r="M170" t="n">
        <v>30</v>
      </c>
      <c r="N170" t="n">
        <v>465</v>
      </c>
      <c r="P170" t="n">
        <v>654</v>
      </c>
      <c r="Q170" t="n">
        <v>3912</v>
      </c>
      <c r="R170" t="n">
        <v>743</v>
      </c>
      <c r="S170" t="n">
        <v>387</v>
      </c>
      <c r="T170" t="n">
        <v>167</v>
      </c>
    </row>
    <row r="171">
      <c r="A171" t="inlineStr">
        <is>
          <t>Gucci</t>
        </is>
      </c>
      <c r="B171" t="inlineStr">
        <is>
          <t>Gucci Guilty (00840)</t>
        </is>
      </c>
      <c r="C171" t="inlineStr">
        <is>
          <t>Gucci Guilty Pour Homme (00003463)</t>
        </is>
      </c>
      <c r="D171" s="1" t="n">
        <v>3616302033683</v>
      </c>
      <c r="E171" t="inlineStr">
        <is>
          <t>GUCCI GUILT H DEOSTK 75 ML VP IV</t>
        </is>
      </c>
      <c r="F171" t="inlineStr">
        <is>
          <t>P_US_ALL_OTHERS</t>
        </is>
      </c>
      <c r="G171" t="inlineStr">
        <is>
          <t>CurrentWorkingView</t>
        </is>
      </c>
      <c r="H171" t="inlineStr">
        <is>
          <t>System FC - Final</t>
        </is>
      </c>
      <c r="I171" t="n">
        <v>386</v>
      </c>
      <c r="J171" t="n">
        <v>624</v>
      </c>
      <c r="K171" t="n">
        <v>756</v>
      </c>
      <c r="L171" t="n">
        <v>660</v>
      </c>
      <c r="M171" t="n">
        <v>578</v>
      </c>
      <c r="N171" t="n">
        <v>722</v>
      </c>
    </row>
    <row r="172">
      <c r="A172" t="inlineStr">
        <is>
          <t>Gucci</t>
        </is>
      </c>
      <c r="B172" t="inlineStr">
        <is>
          <t>Gucci Guilty (00840)</t>
        </is>
      </c>
      <c r="C172" t="inlineStr">
        <is>
          <t>Gucci Guilty Pour Homme (00003463)</t>
        </is>
      </c>
      <c r="D172" s="1" t="n">
        <v>3616302033683</v>
      </c>
      <c r="E172" t="inlineStr">
        <is>
          <t>GUCCI GUILT H DEOSTK 75 ML VP IV</t>
        </is>
      </c>
      <c r="F172" t="inlineStr">
        <is>
          <t>P_US_ALL_OTHERS</t>
        </is>
      </c>
      <c r="G172" t="inlineStr">
        <is>
          <t>CurrentWorkingView</t>
        </is>
      </c>
      <c r="H172" t="inlineStr">
        <is>
          <t>EPOS</t>
        </is>
      </c>
      <c r="I172" t="n">
        <v>261</v>
      </c>
    </row>
    <row r="173">
      <c r="A173" t="inlineStr">
        <is>
          <t>Gucci</t>
        </is>
      </c>
      <c r="B173" t="inlineStr">
        <is>
          <t>Gucci Guilty (00840)</t>
        </is>
      </c>
      <c r="C173" t="inlineStr">
        <is>
          <t>Gucci Guilty Pour Homme (00003463)</t>
        </is>
      </c>
      <c r="D173" s="1" t="n">
        <v>3616302033683</v>
      </c>
      <c r="E173" t="inlineStr">
        <is>
          <t>GUCCI GUILT H DEOSTK 75 ML VP IV</t>
        </is>
      </c>
      <c r="F173" t="inlineStr">
        <is>
          <t>P_US_ALL_OTHERS</t>
        </is>
      </c>
      <c r="G173" t="inlineStr">
        <is>
          <t>CurrentWorkingView</t>
        </is>
      </c>
      <c r="H173" t="inlineStr">
        <is>
          <t>Reasonability Adjustment</t>
        </is>
      </c>
      <c r="I173" t="n">
        <v>-22</v>
      </c>
      <c r="J173" t="n">
        <v>-51</v>
      </c>
    </row>
    <row r="174">
      <c r="A174" t="inlineStr">
        <is>
          <t>Gucci</t>
        </is>
      </c>
      <c r="B174" t="inlineStr">
        <is>
          <t>Gucci Guilty (00840)</t>
        </is>
      </c>
      <c r="C174" t="inlineStr">
        <is>
          <t>Gucci Guilty Pour Homme (00003463)</t>
        </is>
      </c>
      <c r="D174" s="1" t="n">
        <v>3616302033683</v>
      </c>
      <c r="E174" t="inlineStr">
        <is>
          <t>GUCCI GUILT H DEOSTK 75 ML VP IV</t>
        </is>
      </c>
      <c r="F174" t="inlineStr">
        <is>
          <t>P_US_ALL_OTHERS</t>
        </is>
      </c>
      <c r="G174" t="inlineStr">
        <is>
          <t>CurrentWorkingView</t>
        </is>
      </c>
      <c r="H174" t="inlineStr">
        <is>
          <t>Total Demand Assumption</t>
        </is>
      </c>
    </row>
    <row r="175">
      <c r="A175" t="inlineStr">
        <is>
          <t>Gucci</t>
        </is>
      </c>
      <c r="B175" t="inlineStr">
        <is>
          <t>Gucci Guilty (00840)</t>
        </is>
      </c>
      <c r="C175" t="inlineStr">
        <is>
          <t>Gucci Guilty Pour Homme (00003463)</t>
        </is>
      </c>
      <c r="D175" s="1" t="n">
        <v>3616302033683</v>
      </c>
      <c r="E175" t="inlineStr">
        <is>
          <t>GUCCI GUILT H DEOSTK 75 ML VP IV</t>
        </is>
      </c>
      <c r="F175" t="inlineStr">
        <is>
          <t>P_US_ALL_OTHERS</t>
        </is>
      </c>
      <c r="G175" t="inlineStr">
        <is>
          <t>CurrentWorkingView</t>
        </is>
      </c>
      <c r="H175" t="inlineStr">
        <is>
          <t>Consensus - Final</t>
        </is>
      </c>
      <c r="I175" t="n">
        <v>386</v>
      </c>
      <c r="J175" t="n">
        <v>624</v>
      </c>
      <c r="K175" t="n">
        <v>844</v>
      </c>
      <c r="L175" t="n">
        <v>660</v>
      </c>
      <c r="M175" t="n">
        <v>578</v>
      </c>
      <c r="N175" t="n">
        <v>722</v>
      </c>
    </row>
    <row r="176">
      <c r="A176" t="inlineStr">
        <is>
          <t>Gucci</t>
        </is>
      </c>
      <c r="B176" t="inlineStr">
        <is>
          <t>Gucci Guilty (00840)</t>
        </is>
      </c>
      <c r="C176" t="inlineStr">
        <is>
          <t>Gucci Guilty Pour Homme (00003463)</t>
        </is>
      </c>
      <c r="D176" s="1" t="n">
        <v>3616302033683</v>
      </c>
      <c r="E176" t="inlineStr">
        <is>
          <t>GUCCI GUILT H DEOSTK 75 ML VP IV</t>
        </is>
      </c>
      <c r="F176" t="inlineStr">
        <is>
          <t>P_US_ALL_OTHERS</t>
        </is>
      </c>
      <c r="G176" t="inlineStr">
        <is>
          <t>CurrentWorkingView</t>
        </is>
      </c>
      <c r="H176" t="inlineStr">
        <is>
          <t>Supply Cuts</t>
        </is>
      </c>
    </row>
    <row r="177">
      <c r="A177" t="inlineStr">
        <is>
          <t>Gucci</t>
        </is>
      </c>
      <c r="B177" t="inlineStr">
        <is>
          <t>Gucci Guilty (00840)</t>
        </is>
      </c>
      <c r="C177" t="inlineStr">
        <is>
          <t>Gucci Guilty Pour Homme (00003463)</t>
        </is>
      </c>
      <c r="D177" s="1" t="n">
        <v>3616302033683</v>
      </c>
      <c r="E177" t="inlineStr">
        <is>
          <t>GUCCI GUILT H DEOSTK 75 ML VP IV</t>
        </is>
      </c>
      <c r="F177" t="inlineStr">
        <is>
          <t>P_US_ALL_OTHERS</t>
        </is>
      </c>
      <c r="G177" t="inlineStr">
        <is>
          <t>Month-2026.M09.W38</t>
        </is>
      </c>
      <c r="H177" t="inlineStr">
        <is>
          <t>Consensus - Final LY M</t>
        </is>
      </c>
      <c r="I177" t="n">
        <v>78</v>
      </c>
      <c r="J177" t="n">
        <v>768</v>
      </c>
      <c r="K177" t="n">
        <v>792</v>
      </c>
      <c r="L177" t="n">
        <v>630</v>
      </c>
      <c r="M177" t="n">
        <v>30</v>
      </c>
      <c r="N177" t="n">
        <v>465</v>
      </c>
      <c r="P177" t="n">
        <v>654</v>
      </c>
      <c r="Q177" t="n">
        <v>3912</v>
      </c>
      <c r="R177" t="n">
        <v>743</v>
      </c>
      <c r="S177" t="n">
        <v>387</v>
      </c>
      <c r="T177" t="n">
        <v>167</v>
      </c>
    </row>
    <row r="178">
      <c r="A178" t="inlineStr">
        <is>
          <t>Gucci</t>
        </is>
      </c>
      <c r="B178" t="inlineStr">
        <is>
          <t>Gucci Guilty (00840)</t>
        </is>
      </c>
      <c r="C178" t="inlineStr">
        <is>
          <t>Gucci Guilty Pour Homme (00003463)</t>
        </is>
      </c>
      <c r="D178" s="1" t="n">
        <v>3616302033683</v>
      </c>
      <c r="E178" t="inlineStr">
        <is>
          <t>GUCCI GUILT H DEOSTK 75 ML VP IV</t>
        </is>
      </c>
      <c r="F178" t="inlineStr">
        <is>
          <t>P_US_ALL_OTHERS</t>
        </is>
      </c>
      <c r="G178" t="inlineStr">
        <is>
          <t>Month-2026.M09.W38</t>
        </is>
      </c>
      <c r="H178" t="inlineStr">
        <is>
          <t>System FC - Final</t>
        </is>
      </c>
      <c r="I178" t="n">
        <v>386</v>
      </c>
      <c r="J178" t="n">
        <v>624</v>
      </c>
      <c r="K178" t="n">
        <v>925</v>
      </c>
      <c r="L178" t="n">
        <v>527</v>
      </c>
      <c r="M178" t="n">
        <v>466</v>
      </c>
      <c r="N178" t="n">
        <v>664</v>
      </c>
      <c r="O178" t="n">
        <v>381</v>
      </c>
      <c r="P178" t="n">
        <v>436</v>
      </c>
      <c r="Q178" t="n">
        <v>598</v>
      </c>
      <c r="R178" t="n">
        <v>270</v>
      </c>
      <c r="S178" t="n">
        <v>492</v>
      </c>
      <c r="T178" t="n">
        <v>247</v>
      </c>
    </row>
    <row r="179">
      <c r="A179" t="inlineStr">
        <is>
          <t>Gucci</t>
        </is>
      </c>
      <c r="B179" t="inlineStr">
        <is>
          <t>Gucci Guilty (00840)</t>
        </is>
      </c>
      <c r="C179" t="inlineStr">
        <is>
          <t>Gucci Guilty Pour Homme (00003463)</t>
        </is>
      </c>
      <c r="D179" s="1" t="n">
        <v>3616302033683</v>
      </c>
      <c r="E179" t="inlineStr">
        <is>
          <t>GUCCI GUILT H DEOSTK 75 ML VP IV</t>
        </is>
      </c>
      <c r="F179" t="inlineStr">
        <is>
          <t>P_US_ALL_OTHERS</t>
        </is>
      </c>
      <c r="G179" t="inlineStr">
        <is>
          <t>Month-2026.M09.W38</t>
        </is>
      </c>
      <c r="H179" t="inlineStr">
        <is>
          <t>EPOS</t>
        </is>
      </c>
      <c r="I179" t="n">
        <v>261</v>
      </c>
    </row>
    <row r="180">
      <c r="A180" t="inlineStr">
        <is>
          <t>Gucci</t>
        </is>
      </c>
      <c r="B180" t="inlineStr">
        <is>
          <t>Gucci Guilty (00840)</t>
        </is>
      </c>
      <c r="C180" t="inlineStr">
        <is>
          <t>Gucci Guilty Pour Homme (00003463)</t>
        </is>
      </c>
      <c r="D180" s="1" t="n">
        <v>3616302033683</v>
      </c>
      <c r="E180" t="inlineStr">
        <is>
          <t>GUCCI GUILT H DEOSTK 75 ML VP IV</t>
        </is>
      </c>
      <c r="F180" t="inlineStr">
        <is>
          <t>P_US_ALL_OTHERS</t>
        </is>
      </c>
      <c r="G180" t="inlineStr">
        <is>
          <t>Month-2026.M09.W38</t>
        </is>
      </c>
      <c r="H180" t="inlineStr">
        <is>
          <t>Reasonability Adjustment</t>
        </is>
      </c>
      <c r="I180" t="n">
        <v>-22</v>
      </c>
      <c r="J180" t="n">
        <v>-51</v>
      </c>
    </row>
    <row r="181">
      <c r="A181" t="inlineStr">
        <is>
          <t>Gucci</t>
        </is>
      </c>
      <c r="B181" t="inlineStr">
        <is>
          <t>Gucci Guilty (00840)</t>
        </is>
      </c>
      <c r="C181" t="inlineStr">
        <is>
          <t>Gucci Guilty Pour Homme (00003463)</t>
        </is>
      </c>
      <c r="D181" s="1" t="n">
        <v>3616302033683</v>
      </c>
      <c r="E181" t="inlineStr">
        <is>
          <t>GUCCI GUILT H DEOSTK 75 ML VP IV</t>
        </is>
      </c>
      <c r="F181" t="inlineStr">
        <is>
          <t>P_US_ALL_OTHERS</t>
        </is>
      </c>
      <c r="G181" t="inlineStr">
        <is>
          <t>Month-2026.M09.W38</t>
        </is>
      </c>
      <c r="H181" t="inlineStr">
        <is>
          <t>Total Demand Assumption</t>
        </is>
      </c>
    </row>
    <row r="182">
      <c r="A182" t="inlineStr">
        <is>
          <t>Gucci</t>
        </is>
      </c>
      <c r="B182" t="inlineStr">
        <is>
          <t>Gucci Guilty (00840)</t>
        </is>
      </c>
      <c r="C182" t="inlineStr">
        <is>
          <t>Gucci Guilty Pour Homme (00003463)</t>
        </is>
      </c>
      <c r="D182" s="1" t="n">
        <v>3616302033683</v>
      </c>
      <c r="E182" t="inlineStr">
        <is>
          <t>GUCCI GUILT H DEOSTK 75 ML VP IV</t>
        </is>
      </c>
      <c r="F182" t="inlineStr">
        <is>
          <t>P_US_ALL_OTHERS</t>
        </is>
      </c>
      <c r="G182" t="inlineStr">
        <is>
          <t>Month-2026.M09.W38</t>
        </is>
      </c>
      <c r="H182" t="inlineStr">
        <is>
          <t>Consensus - Final</t>
        </is>
      </c>
      <c r="I182" t="n">
        <v>386</v>
      </c>
      <c r="J182" t="n">
        <v>624</v>
      </c>
      <c r="K182" t="n">
        <v>800</v>
      </c>
      <c r="L182" t="n">
        <v>527</v>
      </c>
      <c r="M182" t="n">
        <v>466</v>
      </c>
      <c r="N182" t="n">
        <v>664</v>
      </c>
      <c r="O182" t="n">
        <v>381</v>
      </c>
      <c r="P182" t="n">
        <v>436</v>
      </c>
      <c r="Q182" t="n">
        <v>598</v>
      </c>
      <c r="R182" t="n">
        <v>270</v>
      </c>
      <c r="S182" t="n">
        <v>492</v>
      </c>
      <c r="T182" t="n">
        <v>247</v>
      </c>
    </row>
    <row r="183">
      <c r="A183" t="inlineStr">
        <is>
          <t>Gucci</t>
        </is>
      </c>
      <c r="B183" t="inlineStr">
        <is>
          <t>Gucci Guilty (00840)</t>
        </is>
      </c>
      <c r="C183" t="inlineStr">
        <is>
          <t>Gucci Guilty Pour Homme (00003463)</t>
        </is>
      </c>
      <c r="D183" s="1" t="n">
        <v>3616302033683</v>
      </c>
      <c r="E183" t="inlineStr">
        <is>
          <t>GUCCI GUILT H DEOSTK 75 ML VP IV</t>
        </is>
      </c>
      <c r="F183" t="inlineStr">
        <is>
          <t>P_US_ALL_OTHERS</t>
        </is>
      </c>
      <c r="G183" t="inlineStr">
        <is>
          <t>Month-2026.M09.W38</t>
        </is>
      </c>
      <c r="H183" t="inlineStr">
        <is>
          <t>Supply Cuts</t>
        </is>
      </c>
    </row>
    <row r="184">
      <c r="A184" t="inlineStr">
        <is>
          <t>Gucci</t>
        </is>
      </c>
      <c r="B184" t="inlineStr">
        <is>
          <t>Gucci Guilty (00840)</t>
        </is>
      </c>
      <c r="C184" t="inlineStr">
        <is>
          <t>Gucci Guilty Pour Homme (00003463)</t>
        </is>
      </c>
      <c r="D184" s="1" t="n">
        <v>3616302033683</v>
      </c>
      <c r="E184" t="inlineStr">
        <is>
          <t>GUCCI GUILT H DEOSTK 75 ML VP IV</t>
        </is>
      </c>
      <c r="F184" t="inlineStr">
        <is>
          <t>P_US_FG</t>
        </is>
      </c>
      <c r="G184" t="inlineStr">
        <is>
          <t>CurrentWorkingView</t>
        </is>
      </c>
      <c r="H184" t="inlineStr">
        <is>
          <t>Consensus - Final LY M</t>
        </is>
      </c>
      <c r="R184" t="n">
        <v>200</v>
      </c>
    </row>
    <row r="185">
      <c r="A185" t="inlineStr">
        <is>
          <t>Gucci</t>
        </is>
      </c>
      <c r="B185" t="inlineStr">
        <is>
          <t>Gucci Guilty (00840)</t>
        </is>
      </c>
      <c r="C185" t="inlineStr">
        <is>
          <t>Gucci Guilty Pour Homme (00003463)</t>
        </is>
      </c>
      <c r="D185" s="1" t="n">
        <v>3616302033683</v>
      </c>
      <c r="E185" t="inlineStr">
        <is>
          <t>GUCCI GUILT H DEOSTK 75 ML VP IV</t>
        </is>
      </c>
      <c r="F185" t="inlineStr">
        <is>
          <t>P_US_FG</t>
        </is>
      </c>
      <c r="G185" t="inlineStr">
        <is>
          <t>CurrentWorkingView</t>
        </is>
      </c>
      <c r="H185" t="inlineStr">
        <is>
          <t>System FC - Final</t>
        </is>
      </c>
    </row>
    <row r="186">
      <c r="A186" t="inlineStr">
        <is>
          <t>Gucci</t>
        </is>
      </c>
      <c r="B186" t="inlineStr">
        <is>
          <t>Gucci Guilty (00840)</t>
        </is>
      </c>
      <c r="C186" t="inlineStr">
        <is>
          <t>Gucci Guilty Pour Homme (00003463)</t>
        </is>
      </c>
      <c r="D186" s="1" t="n">
        <v>3616302033683</v>
      </c>
      <c r="E186" t="inlineStr">
        <is>
          <t>GUCCI GUILT H DEOSTK 75 ML VP IV</t>
        </is>
      </c>
      <c r="F186" t="inlineStr">
        <is>
          <t>P_US_FG</t>
        </is>
      </c>
      <c r="G186" t="inlineStr">
        <is>
          <t>CurrentWorkingView</t>
        </is>
      </c>
      <c r="H186" t="inlineStr">
        <is>
          <t>EPOS</t>
        </is>
      </c>
    </row>
    <row r="187">
      <c r="A187" t="inlineStr">
        <is>
          <t>Gucci</t>
        </is>
      </c>
      <c r="B187" t="inlineStr">
        <is>
          <t>Gucci Guilty (00840)</t>
        </is>
      </c>
      <c r="C187" t="inlineStr">
        <is>
          <t>Gucci Guilty Pour Homme (00003463)</t>
        </is>
      </c>
      <c r="D187" s="1" t="n">
        <v>3616302033683</v>
      </c>
      <c r="E187" t="inlineStr">
        <is>
          <t>GUCCI GUILT H DEOSTK 75 ML VP IV</t>
        </is>
      </c>
      <c r="F187" t="inlineStr">
        <is>
          <t>P_US_FG</t>
        </is>
      </c>
      <c r="G187" t="inlineStr">
        <is>
          <t>CurrentWorkingView</t>
        </is>
      </c>
      <c r="H187" t="inlineStr">
        <is>
          <t>Reasonability Adjustment</t>
        </is>
      </c>
    </row>
    <row r="188">
      <c r="A188" t="inlineStr">
        <is>
          <t>Gucci</t>
        </is>
      </c>
      <c r="B188" t="inlineStr">
        <is>
          <t>Gucci Guilty (00840)</t>
        </is>
      </c>
      <c r="C188" t="inlineStr">
        <is>
          <t>Gucci Guilty Pour Homme (00003463)</t>
        </is>
      </c>
      <c r="D188" s="1" t="n">
        <v>3616302033683</v>
      </c>
      <c r="E188" t="inlineStr">
        <is>
          <t>GUCCI GUILT H DEOSTK 75 ML VP IV</t>
        </is>
      </c>
      <c r="F188" t="inlineStr">
        <is>
          <t>P_US_FG</t>
        </is>
      </c>
      <c r="G188" t="inlineStr">
        <is>
          <t>CurrentWorkingView</t>
        </is>
      </c>
      <c r="H188" t="inlineStr">
        <is>
          <t>Total Demand Assumption</t>
        </is>
      </c>
    </row>
    <row r="189">
      <c r="A189" t="inlineStr">
        <is>
          <t>Gucci</t>
        </is>
      </c>
      <c r="B189" t="inlineStr">
        <is>
          <t>Gucci Guilty (00840)</t>
        </is>
      </c>
      <c r="C189" t="inlineStr">
        <is>
          <t>Gucci Guilty Pour Homme (00003463)</t>
        </is>
      </c>
      <c r="D189" s="1" t="n">
        <v>3616302033683</v>
      </c>
      <c r="E189" t="inlineStr">
        <is>
          <t>GUCCI GUILT H DEOSTK 75 ML VP IV</t>
        </is>
      </c>
      <c r="F189" t="inlineStr">
        <is>
          <t>P_US_FG</t>
        </is>
      </c>
      <c r="G189" t="inlineStr">
        <is>
          <t>CurrentWorkingView</t>
        </is>
      </c>
      <c r="H189" t="inlineStr">
        <is>
          <t>Consensus - Final</t>
        </is>
      </c>
      <c r="K189" t="n">
        <v>0</v>
      </c>
    </row>
    <row r="190">
      <c r="A190" t="inlineStr">
        <is>
          <t>Gucci</t>
        </is>
      </c>
      <c r="B190" t="inlineStr">
        <is>
          <t>Gucci Guilty (00840)</t>
        </is>
      </c>
      <c r="C190" t="inlineStr">
        <is>
          <t>Gucci Guilty Pour Homme (00003463)</t>
        </is>
      </c>
      <c r="D190" s="1" t="n">
        <v>3616302033683</v>
      </c>
      <c r="E190" t="inlineStr">
        <is>
          <t>GUCCI GUILT H DEOSTK 75 ML VP IV</t>
        </is>
      </c>
      <c r="F190" t="inlineStr">
        <is>
          <t>P_US_FG</t>
        </is>
      </c>
      <c r="G190" t="inlineStr">
        <is>
          <t>CurrentWorkingView</t>
        </is>
      </c>
      <c r="H190" t="inlineStr">
        <is>
          <t>Supply Cuts</t>
        </is>
      </c>
    </row>
    <row r="191">
      <c r="A191" t="inlineStr">
        <is>
          <t>Gucci</t>
        </is>
      </c>
      <c r="B191" t="inlineStr">
        <is>
          <t>Gucci Guilty (00840)</t>
        </is>
      </c>
      <c r="C191" t="inlineStr">
        <is>
          <t>Gucci Guilty Pour Homme (00003463)</t>
        </is>
      </c>
      <c r="D191" s="1" t="n">
        <v>3616302033683</v>
      </c>
      <c r="E191" t="inlineStr">
        <is>
          <t>GUCCI GUILT H DEOSTK 75 ML VP IV</t>
        </is>
      </c>
      <c r="F191" t="inlineStr">
        <is>
          <t>P_US_FG</t>
        </is>
      </c>
      <c r="G191" t="inlineStr">
        <is>
          <t>Month-2026.M09.W38</t>
        </is>
      </c>
      <c r="H191" t="inlineStr">
        <is>
          <t>Consensus - Final LY M</t>
        </is>
      </c>
      <c r="R191" t="n">
        <v>200</v>
      </c>
    </row>
    <row r="192">
      <c r="A192" t="inlineStr">
        <is>
          <t>Gucci</t>
        </is>
      </c>
      <c r="B192" t="inlineStr">
        <is>
          <t>Gucci Guilty (00840)</t>
        </is>
      </c>
      <c r="C192" t="inlineStr">
        <is>
          <t>Gucci Guilty Pour Homme (00003463)</t>
        </is>
      </c>
      <c r="D192" s="1" t="n">
        <v>3616302033683</v>
      </c>
      <c r="E192" t="inlineStr">
        <is>
          <t>GUCCI GUILT H DEOSTK 75 ML VP IV</t>
        </is>
      </c>
      <c r="F192" t="inlineStr">
        <is>
          <t>P_US_FG</t>
        </is>
      </c>
      <c r="G192" t="inlineStr">
        <is>
          <t>Month-2026.M09.W38</t>
        </is>
      </c>
      <c r="H192" t="inlineStr">
        <is>
          <t>System FC - Final</t>
        </is>
      </c>
    </row>
    <row r="193">
      <c r="A193" t="inlineStr">
        <is>
          <t>Gucci</t>
        </is>
      </c>
      <c r="B193" t="inlineStr">
        <is>
          <t>Gucci Guilty (00840)</t>
        </is>
      </c>
      <c r="C193" t="inlineStr">
        <is>
          <t>Gucci Guilty Pour Homme (00003463)</t>
        </is>
      </c>
      <c r="D193" s="1" t="n">
        <v>3616302033683</v>
      </c>
      <c r="E193" t="inlineStr">
        <is>
          <t>GUCCI GUILT H DEOSTK 75 ML VP IV</t>
        </is>
      </c>
      <c r="F193" t="inlineStr">
        <is>
          <t>P_US_FG</t>
        </is>
      </c>
      <c r="G193" t="inlineStr">
        <is>
          <t>Month-2026.M09.W38</t>
        </is>
      </c>
      <c r="H193" t="inlineStr">
        <is>
          <t>EPOS</t>
        </is>
      </c>
    </row>
    <row r="194">
      <c r="A194" t="inlineStr">
        <is>
          <t>Gucci</t>
        </is>
      </c>
      <c r="B194" t="inlineStr">
        <is>
          <t>Gucci Guilty (00840)</t>
        </is>
      </c>
      <c r="C194" t="inlineStr">
        <is>
          <t>Gucci Guilty Pour Homme (00003463)</t>
        </is>
      </c>
      <c r="D194" s="1" t="n">
        <v>3616302033683</v>
      </c>
      <c r="E194" t="inlineStr">
        <is>
          <t>GUCCI GUILT H DEOSTK 75 ML VP IV</t>
        </is>
      </c>
      <c r="F194" t="inlineStr">
        <is>
          <t>P_US_FG</t>
        </is>
      </c>
      <c r="G194" t="inlineStr">
        <is>
          <t>Month-2026.M09.W38</t>
        </is>
      </c>
      <c r="H194" t="inlineStr">
        <is>
          <t>Reasonability Adjustment</t>
        </is>
      </c>
    </row>
    <row r="195">
      <c r="A195" t="inlineStr">
        <is>
          <t>Gucci</t>
        </is>
      </c>
      <c r="B195" t="inlineStr">
        <is>
          <t>Gucci Guilty (00840)</t>
        </is>
      </c>
      <c r="C195" t="inlineStr">
        <is>
          <t>Gucci Guilty Pour Homme (00003463)</t>
        </is>
      </c>
      <c r="D195" s="1" t="n">
        <v>3616302033683</v>
      </c>
      <c r="E195" t="inlineStr">
        <is>
          <t>GUCCI GUILT H DEOSTK 75 ML VP IV</t>
        </is>
      </c>
      <c r="F195" t="inlineStr">
        <is>
          <t>P_US_FG</t>
        </is>
      </c>
      <c r="G195" t="inlineStr">
        <is>
          <t>Month-2026.M09.W38</t>
        </is>
      </c>
      <c r="H195" t="inlineStr">
        <is>
          <t>Total Demand Assumption</t>
        </is>
      </c>
    </row>
    <row r="196">
      <c r="A196" t="inlineStr">
        <is>
          <t>Gucci</t>
        </is>
      </c>
      <c r="B196" t="inlineStr">
        <is>
          <t>Gucci Guilty (00840)</t>
        </is>
      </c>
      <c r="C196" t="inlineStr">
        <is>
          <t>Gucci Guilty Pour Homme (00003463)</t>
        </is>
      </c>
      <c r="D196" s="1" t="n">
        <v>3616302033683</v>
      </c>
      <c r="E196" t="inlineStr">
        <is>
          <t>GUCCI GUILT H DEOSTK 75 ML VP IV</t>
        </is>
      </c>
      <c r="F196" t="inlineStr">
        <is>
          <t>P_US_FG</t>
        </is>
      </c>
      <c r="G196" t="inlineStr">
        <is>
          <t>Month-2026.M09.W38</t>
        </is>
      </c>
      <c r="H196" t="inlineStr">
        <is>
          <t>Consensus - Final</t>
        </is>
      </c>
      <c r="K196" t="n">
        <v>0</v>
      </c>
    </row>
    <row r="197">
      <c r="A197" t="inlineStr">
        <is>
          <t>Gucci</t>
        </is>
      </c>
      <c r="B197" t="inlineStr">
        <is>
          <t>Gucci Guilty (00840)</t>
        </is>
      </c>
      <c r="C197" t="inlineStr">
        <is>
          <t>Gucci Guilty Pour Homme (00003463)</t>
        </is>
      </c>
      <c r="D197" s="1" t="n">
        <v>3616302033683</v>
      </c>
      <c r="E197" t="inlineStr">
        <is>
          <t>GUCCI GUILT H DEOSTK 75 ML VP IV</t>
        </is>
      </c>
      <c r="F197" t="inlineStr">
        <is>
          <t>P_US_FG</t>
        </is>
      </c>
      <c r="G197" t="inlineStr">
        <is>
          <t>Month-2026.M09.W38</t>
        </is>
      </c>
      <c r="H197" t="inlineStr">
        <is>
          <t>Supply Cuts</t>
        </is>
      </c>
    </row>
    <row r="198">
      <c r="A198" t="inlineStr">
        <is>
          <t>Gucci</t>
        </is>
      </c>
      <c r="B198" t="inlineStr">
        <is>
          <t>Gucci Flora (01228)</t>
        </is>
      </c>
      <c r="C198" t="inlineStr">
        <is>
          <t>Gorgeous Gardenia (00005915)</t>
        </is>
      </c>
      <c r="D198" s="1" t="n">
        <v>3616302039357</v>
      </c>
      <c r="E198" t="inlineStr">
        <is>
          <t>GUCCI FL GG EDP 10 ML PENSPRAY IV</t>
        </is>
      </c>
      <c r="F198" t="inlineStr">
        <is>
          <t>P_US_ALL_OTHERS</t>
        </is>
      </c>
      <c r="G198" t="inlineStr">
        <is>
          <t>CurrentWorkingView</t>
        </is>
      </c>
      <c r="H198" t="inlineStr">
        <is>
          <t>Consensus - Final LY M</t>
        </is>
      </c>
      <c r="I198" t="n">
        <v>18248</v>
      </c>
      <c r="J198" t="n">
        <v>5726</v>
      </c>
      <c r="K198" t="n">
        <v>20393</v>
      </c>
      <c r="L198" t="n">
        <v>5270</v>
      </c>
      <c r="M198" t="n">
        <v>3323</v>
      </c>
      <c r="N198" t="n">
        <v>16437</v>
      </c>
      <c r="O198" t="n">
        <v>1688</v>
      </c>
      <c r="P198" t="n">
        <v>2519</v>
      </c>
      <c r="Q198" t="n">
        <v>14062</v>
      </c>
      <c r="R198" t="n">
        <v>5520</v>
      </c>
      <c r="S198" t="n">
        <v>6068</v>
      </c>
      <c r="T198" t="n">
        <v>7927</v>
      </c>
    </row>
    <row r="199">
      <c r="A199" t="inlineStr">
        <is>
          <t>Gucci</t>
        </is>
      </c>
      <c r="B199" t="inlineStr">
        <is>
          <t>Gucci Flora (01228)</t>
        </is>
      </c>
      <c r="C199" t="inlineStr">
        <is>
          <t>Gorgeous Gardenia (00005915)</t>
        </is>
      </c>
      <c r="D199" s="1" t="n">
        <v>3616302039357</v>
      </c>
      <c r="E199" t="inlineStr">
        <is>
          <t>GUCCI FL GG EDP 10 ML PENSPRAY IV</t>
        </is>
      </c>
      <c r="F199" t="inlineStr">
        <is>
          <t>P_US_ALL_OTHERS</t>
        </is>
      </c>
      <c r="G199" t="inlineStr">
        <is>
          <t>CurrentWorkingView</t>
        </is>
      </c>
      <c r="H199" t="inlineStr">
        <is>
          <t>System FC - Final</t>
        </is>
      </c>
      <c r="I199" t="n">
        <v>10553</v>
      </c>
      <c r="J199" t="n">
        <v>9998</v>
      </c>
      <c r="K199" t="n">
        <v>13835</v>
      </c>
      <c r="L199" t="n">
        <v>8937</v>
      </c>
      <c r="M199" t="n">
        <v>4032</v>
      </c>
      <c r="N199" t="n">
        <v>7874</v>
      </c>
      <c r="O199" t="n">
        <v>3313</v>
      </c>
      <c r="P199" t="n">
        <v>6292</v>
      </c>
      <c r="Q199" t="n">
        <v>11652</v>
      </c>
      <c r="R199" t="n">
        <v>5508</v>
      </c>
      <c r="S199" t="n">
        <v>6458</v>
      </c>
      <c r="T199" t="n">
        <v>7926</v>
      </c>
    </row>
    <row r="200">
      <c r="A200" t="inlineStr">
        <is>
          <t>Gucci</t>
        </is>
      </c>
      <c r="B200" t="inlineStr">
        <is>
          <t>Gucci Flora (01228)</t>
        </is>
      </c>
      <c r="C200" t="inlineStr">
        <is>
          <t>Gorgeous Gardenia (00005915)</t>
        </is>
      </c>
      <c r="D200" s="1" t="n">
        <v>3616302039357</v>
      </c>
      <c r="E200" t="inlineStr">
        <is>
          <t>GUCCI FL GG EDP 10 ML PENSPRAY IV</t>
        </is>
      </c>
      <c r="F200" t="inlineStr">
        <is>
          <t>P_US_ALL_OTHERS</t>
        </is>
      </c>
      <c r="G200" t="inlineStr">
        <is>
          <t>CurrentWorkingView</t>
        </is>
      </c>
      <c r="H200" t="inlineStr">
        <is>
          <t>EPOS</t>
        </is>
      </c>
      <c r="I200" t="n">
        <v>6445</v>
      </c>
    </row>
    <row r="201">
      <c r="A201" t="inlineStr">
        <is>
          <t>Gucci</t>
        </is>
      </c>
      <c r="B201" t="inlineStr">
        <is>
          <t>Gucci Flora (01228)</t>
        </is>
      </c>
      <c r="C201" t="inlineStr">
        <is>
          <t>Gorgeous Gardenia (00005915)</t>
        </is>
      </c>
      <c r="D201" s="1" t="n">
        <v>3616302039357</v>
      </c>
      <c r="E201" t="inlineStr">
        <is>
          <t>GUCCI FL GG EDP 10 ML PENSPRAY IV</t>
        </is>
      </c>
      <c r="F201" t="inlineStr">
        <is>
          <t>P_US_ALL_OTHERS</t>
        </is>
      </c>
      <c r="G201" t="inlineStr">
        <is>
          <t>CurrentWorkingView</t>
        </is>
      </c>
      <c r="H201" t="inlineStr">
        <is>
          <t>Reasonability Adjustment</t>
        </is>
      </c>
      <c r="J201" t="n">
        <v>-13000</v>
      </c>
      <c r="S201" t="n">
        <v>-5000</v>
      </c>
      <c r="T201" t="n">
        <v>-5000</v>
      </c>
    </row>
    <row r="202">
      <c r="A202" t="inlineStr">
        <is>
          <t>Gucci</t>
        </is>
      </c>
      <c r="B202" t="inlineStr">
        <is>
          <t>Gucci Flora (01228)</t>
        </is>
      </c>
      <c r="C202" t="inlineStr">
        <is>
          <t>Gorgeous Gardenia (00005915)</t>
        </is>
      </c>
      <c r="D202" s="1" t="n">
        <v>3616302039357</v>
      </c>
      <c r="E202" t="inlineStr">
        <is>
          <t>GUCCI FL GG EDP 10 ML PENSPRAY IV</t>
        </is>
      </c>
      <c r="F202" t="inlineStr">
        <is>
          <t>P_US_ALL_OTHERS</t>
        </is>
      </c>
      <c r="G202" t="inlineStr">
        <is>
          <t>CurrentWorkingView</t>
        </is>
      </c>
      <c r="H202" t="inlineStr">
        <is>
          <t>Total Demand Assumption</t>
        </is>
      </c>
    </row>
    <row r="203">
      <c r="A203" t="inlineStr">
        <is>
          <t>Gucci</t>
        </is>
      </c>
      <c r="B203" t="inlineStr">
        <is>
          <t>Gucci Flora (01228)</t>
        </is>
      </c>
      <c r="C203" t="inlineStr">
        <is>
          <t>Gorgeous Gardenia (00005915)</t>
        </is>
      </c>
      <c r="D203" s="1" t="n">
        <v>3616302039357</v>
      </c>
      <c r="E203" t="inlineStr">
        <is>
          <t>GUCCI FL GG EDP 10 ML PENSPRAY IV</t>
        </is>
      </c>
      <c r="F203" t="inlineStr">
        <is>
          <t>P_US_ALL_OTHERS</t>
        </is>
      </c>
      <c r="G203" t="inlineStr">
        <is>
          <t>CurrentWorkingView</t>
        </is>
      </c>
      <c r="H203" t="inlineStr">
        <is>
          <t>Consensus - Final</t>
        </is>
      </c>
      <c r="I203" t="n">
        <v>10553</v>
      </c>
      <c r="J203" t="n">
        <v>9998</v>
      </c>
      <c r="K203" t="n">
        <v>14061.7591068004</v>
      </c>
      <c r="L203" t="n">
        <v>8937</v>
      </c>
      <c r="M203" t="n">
        <v>4032</v>
      </c>
      <c r="N203" t="n">
        <v>7874</v>
      </c>
      <c r="O203" t="n">
        <v>3313</v>
      </c>
      <c r="P203" t="n">
        <v>6292</v>
      </c>
      <c r="Q203" t="n">
        <v>11652</v>
      </c>
      <c r="R203" t="n">
        <v>5508</v>
      </c>
      <c r="S203" t="n">
        <v>1458</v>
      </c>
      <c r="T203" t="n">
        <v>3426</v>
      </c>
    </row>
    <row r="204">
      <c r="A204" t="inlineStr">
        <is>
          <t>Gucci</t>
        </is>
      </c>
      <c r="B204" t="inlineStr">
        <is>
          <t>Gucci Flora (01228)</t>
        </is>
      </c>
      <c r="C204" t="inlineStr">
        <is>
          <t>Gorgeous Gardenia (00005915)</t>
        </is>
      </c>
      <c r="D204" s="1" t="n">
        <v>3616302039357</v>
      </c>
      <c r="E204" t="inlineStr">
        <is>
          <t>GUCCI FL GG EDP 10 ML PENSPRAY IV</t>
        </is>
      </c>
      <c r="F204" t="inlineStr">
        <is>
          <t>P_US_ALL_OTHERS</t>
        </is>
      </c>
      <c r="G204" t="inlineStr">
        <is>
          <t>CurrentWorkingView</t>
        </is>
      </c>
      <c r="H204" t="inlineStr">
        <is>
          <t>Supply Cuts</t>
        </is>
      </c>
    </row>
    <row r="205">
      <c r="A205" t="inlineStr">
        <is>
          <t>Gucci</t>
        </is>
      </c>
      <c r="B205" t="inlineStr">
        <is>
          <t>Gucci Flora (01228)</t>
        </is>
      </c>
      <c r="C205" t="inlineStr">
        <is>
          <t>Gorgeous Gardenia (00005915)</t>
        </is>
      </c>
      <c r="D205" s="1" t="n">
        <v>3616302039357</v>
      </c>
      <c r="E205" t="inlineStr">
        <is>
          <t>GUCCI FL GG EDP 10 ML PENSPRAY IV</t>
        </is>
      </c>
      <c r="F205" t="inlineStr">
        <is>
          <t>P_US_ALL_OTHERS</t>
        </is>
      </c>
      <c r="G205" t="inlineStr">
        <is>
          <t>Month-2026.M09.W38</t>
        </is>
      </c>
      <c r="H205" t="inlineStr">
        <is>
          <t>Consensus - Final LY M</t>
        </is>
      </c>
      <c r="I205" t="n">
        <v>18248</v>
      </c>
      <c r="J205" t="n">
        <v>5726</v>
      </c>
      <c r="K205" t="n">
        <v>20393</v>
      </c>
      <c r="L205" t="n">
        <v>5270</v>
      </c>
      <c r="M205" t="n">
        <v>3323</v>
      </c>
      <c r="N205" t="n">
        <v>16437</v>
      </c>
      <c r="O205" t="n">
        <v>1688</v>
      </c>
      <c r="P205" t="n">
        <v>2519</v>
      </c>
      <c r="Q205" t="n">
        <v>14062</v>
      </c>
      <c r="R205" t="n">
        <v>5520</v>
      </c>
      <c r="S205" t="n">
        <v>6068</v>
      </c>
      <c r="T205" t="n">
        <v>7927</v>
      </c>
    </row>
    <row r="206">
      <c r="A206" t="inlineStr">
        <is>
          <t>Gucci</t>
        </is>
      </c>
      <c r="B206" t="inlineStr">
        <is>
          <t>Gucci Flora (01228)</t>
        </is>
      </c>
      <c r="C206" t="inlineStr">
        <is>
          <t>Gorgeous Gardenia (00005915)</t>
        </is>
      </c>
      <c r="D206" s="1" t="n">
        <v>3616302039357</v>
      </c>
      <c r="E206" t="inlineStr">
        <is>
          <t>GUCCI FL GG EDP 10 ML PENSPRAY IV</t>
        </is>
      </c>
      <c r="F206" t="inlineStr">
        <is>
          <t>P_US_ALL_OTHERS</t>
        </is>
      </c>
      <c r="G206" t="inlineStr">
        <is>
          <t>Month-2026.M09.W38</t>
        </is>
      </c>
      <c r="H206" t="inlineStr">
        <is>
          <t>System FC - Final</t>
        </is>
      </c>
      <c r="I206" t="n">
        <v>10553</v>
      </c>
      <c r="J206" t="n">
        <v>9998</v>
      </c>
      <c r="K206" t="n">
        <v>12046</v>
      </c>
      <c r="L206" t="n">
        <v>7072</v>
      </c>
      <c r="M206" t="n">
        <v>3192</v>
      </c>
      <c r="N206" t="n">
        <v>6231</v>
      </c>
      <c r="O206" t="n">
        <v>2622</v>
      </c>
      <c r="P206" t="n">
        <v>4980</v>
      </c>
      <c r="Q206" t="n">
        <v>9221</v>
      </c>
      <c r="R206" t="n">
        <v>4359</v>
      </c>
      <c r="S206" t="n">
        <v>5115</v>
      </c>
      <c r="T206" t="n">
        <v>6275</v>
      </c>
    </row>
    <row r="207">
      <c r="A207" t="inlineStr">
        <is>
          <t>Gucci</t>
        </is>
      </c>
      <c r="B207" t="inlineStr">
        <is>
          <t>Gucci Flora (01228)</t>
        </is>
      </c>
      <c r="C207" t="inlineStr">
        <is>
          <t>Gorgeous Gardenia (00005915)</t>
        </is>
      </c>
      <c r="D207" s="1" t="n">
        <v>3616302039357</v>
      </c>
      <c r="E207" t="inlineStr">
        <is>
          <t>GUCCI FL GG EDP 10 ML PENSPRAY IV</t>
        </is>
      </c>
      <c r="F207" t="inlineStr">
        <is>
          <t>P_US_ALL_OTHERS</t>
        </is>
      </c>
      <c r="G207" t="inlineStr">
        <is>
          <t>Month-2026.M09.W38</t>
        </is>
      </c>
      <c r="H207" t="inlineStr">
        <is>
          <t>EPOS</t>
        </is>
      </c>
      <c r="I207" t="n">
        <v>6445</v>
      </c>
    </row>
    <row r="208">
      <c r="A208" t="inlineStr">
        <is>
          <t>Gucci</t>
        </is>
      </c>
      <c r="B208" t="inlineStr">
        <is>
          <t>Gucci Flora (01228)</t>
        </is>
      </c>
      <c r="C208" t="inlineStr">
        <is>
          <t>Gorgeous Gardenia (00005915)</t>
        </is>
      </c>
      <c r="D208" s="1" t="n">
        <v>3616302039357</v>
      </c>
      <c r="E208" t="inlineStr">
        <is>
          <t>GUCCI FL GG EDP 10 ML PENSPRAY IV</t>
        </is>
      </c>
      <c r="F208" t="inlineStr">
        <is>
          <t>P_US_ALL_OTHERS</t>
        </is>
      </c>
      <c r="G208" t="inlineStr">
        <is>
          <t>Month-2026.M09.W38</t>
        </is>
      </c>
      <c r="H208" t="inlineStr">
        <is>
          <t>Reasonability Adjustment</t>
        </is>
      </c>
      <c r="J208" t="n">
        <v>-13000</v>
      </c>
      <c r="S208" t="n">
        <v>-5000</v>
      </c>
      <c r="T208" t="n">
        <v>-5000</v>
      </c>
    </row>
    <row r="209">
      <c r="A209" t="inlineStr">
        <is>
          <t>Gucci</t>
        </is>
      </c>
      <c r="B209" t="inlineStr">
        <is>
          <t>Gucci Flora (01228)</t>
        </is>
      </c>
      <c r="C209" t="inlineStr">
        <is>
          <t>Gorgeous Gardenia (00005915)</t>
        </is>
      </c>
      <c r="D209" s="1" t="n">
        <v>3616302039357</v>
      </c>
      <c r="E209" t="inlineStr">
        <is>
          <t>GUCCI FL GG EDP 10 ML PENSPRAY IV</t>
        </is>
      </c>
      <c r="F209" t="inlineStr">
        <is>
          <t>P_US_ALL_OTHERS</t>
        </is>
      </c>
      <c r="G209" t="inlineStr">
        <is>
          <t>Month-2026.M09.W38</t>
        </is>
      </c>
      <c r="H209" t="inlineStr">
        <is>
          <t>Total Demand Assumption</t>
        </is>
      </c>
    </row>
    <row r="210">
      <c r="A210" t="inlineStr">
        <is>
          <t>Gucci</t>
        </is>
      </c>
      <c r="B210" t="inlineStr">
        <is>
          <t>Gucci Flora (01228)</t>
        </is>
      </c>
      <c r="C210" t="inlineStr">
        <is>
          <t>Gorgeous Gardenia (00005915)</t>
        </is>
      </c>
      <c r="D210" s="1" t="n">
        <v>3616302039357</v>
      </c>
      <c r="E210" t="inlineStr">
        <is>
          <t>GUCCI FL GG EDP 10 ML PENSPRAY IV</t>
        </is>
      </c>
      <c r="F210" t="inlineStr">
        <is>
          <t>P_US_ALL_OTHERS</t>
        </is>
      </c>
      <c r="G210" t="inlineStr">
        <is>
          <t>Month-2026.M09.W38</t>
        </is>
      </c>
      <c r="H210" t="inlineStr">
        <is>
          <t>Consensus - Final</t>
        </is>
      </c>
      <c r="I210" t="n">
        <v>10553</v>
      </c>
      <c r="J210" t="n">
        <v>9998</v>
      </c>
      <c r="K210" t="n">
        <v>14061.7591068004</v>
      </c>
      <c r="L210" t="n">
        <v>7072</v>
      </c>
      <c r="M210" t="n">
        <v>3192</v>
      </c>
      <c r="N210" t="n">
        <v>6231</v>
      </c>
      <c r="O210" t="n">
        <v>2622</v>
      </c>
      <c r="P210" t="n">
        <v>4980</v>
      </c>
      <c r="Q210" t="n">
        <v>9221</v>
      </c>
      <c r="R210" t="n">
        <v>4359</v>
      </c>
      <c r="S210" t="n">
        <v>115</v>
      </c>
      <c r="T210" t="n">
        <v>1775</v>
      </c>
    </row>
    <row r="211">
      <c r="A211" t="inlineStr">
        <is>
          <t>Gucci</t>
        </is>
      </c>
      <c r="B211" t="inlineStr">
        <is>
          <t>Gucci Flora (01228)</t>
        </is>
      </c>
      <c r="C211" t="inlineStr">
        <is>
          <t>Gorgeous Gardenia (00005915)</t>
        </is>
      </c>
      <c r="D211" s="1" t="n">
        <v>3616302039357</v>
      </c>
      <c r="E211" t="inlineStr">
        <is>
          <t>GUCCI FL GG EDP 10 ML PENSPRAY IV</t>
        </is>
      </c>
      <c r="F211" t="inlineStr">
        <is>
          <t>P_US_ALL_OTHERS</t>
        </is>
      </c>
      <c r="G211" t="inlineStr">
        <is>
          <t>Month-2026.M09.W38</t>
        </is>
      </c>
      <c r="H211" t="inlineStr">
        <is>
          <t>Supply Cuts</t>
        </is>
      </c>
    </row>
    <row r="212">
      <c r="A212" t="inlineStr">
        <is>
          <t>Gucci</t>
        </is>
      </c>
      <c r="B212" t="inlineStr">
        <is>
          <t>Gucci Flora (01228)</t>
        </is>
      </c>
      <c r="C212" t="inlineStr">
        <is>
          <t>Gorgeous Gardenia (00005915)</t>
        </is>
      </c>
      <c r="D212" s="1" t="n">
        <v>3616302039357</v>
      </c>
      <c r="E212" t="inlineStr">
        <is>
          <t>GUCCI FL GG EDP 10 ML PENSPRAY IV</t>
        </is>
      </c>
      <c r="F212" t="inlineStr">
        <is>
          <t>P_US_FG</t>
        </is>
      </c>
      <c r="G212" t="inlineStr">
        <is>
          <t>CurrentWorkingView</t>
        </is>
      </c>
      <c r="H212" t="inlineStr">
        <is>
          <t>Consensus - Final LY M</t>
        </is>
      </c>
      <c r="I212" t="n">
        <v>2</v>
      </c>
      <c r="M212" t="n">
        <v>10</v>
      </c>
      <c r="P212" t="n">
        <v>10</v>
      </c>
      <c r="R212" t="n">
        <v>1</v>
      </c>
      <c r="T212" t="n">
        <v>10</v>
      </c>
    </row>
    <row r="213">
      <c r="A213" t="inlineStr">
        <is>
          <t>Gucci</t>
        </is>
      </c>
      <c r="B213" t="inlineStr">
        <is>
          <t>Gucci Flora (01228)</t>
        </is>
      </c>
      <c r="C213" t="inlineStr">
        <is>
          <t>Gorgeous Gardenia (00005915)</t>
        </is>
      </c>
      <c r="D213" s="1" t="n">
        <v>3616302039357</v>
      </c>
      <c r="E213" t="inlineStr">
        <is>
          <t>GUCCI FL GG EDP 10 ML PENSPRAY IV</t>
        </is>
      </c>
      <c r="F213" t="inlineStr">
        <is>
          <t>P_US_FG</t>
        </is>
      </c>
      <c r="G213" t="inlineStr">
        <is>
          <t>CurrentWorkingView</t>
        </is>
      </c>
      <c r="H213" t="inlineStr">
        <is>
          <t>System FC - Final</t>
        </is>
      </c>
      <c r="J213" t="n">
        <v>2</v>
      </c>
      <c r="K213" t="n">
        <v>9</v>
      </c>
      <c r="L213" t="n">
        <v>10</v>
      </c>
      <c r="M213" t="n">
        <v>4</v>
      </c>
      <c r="N213" t="n">
        <v>8</v>
      </c>
      <c r="O213" t="n">
        <v>4</v>
      </c>
      <c r="P213" t="n">
        <v>8</v>
      </c>
      <c r="Q213" t="n">
        <v>9</v>
      </c>
      <c r="R213" t="n">
        <v>7</v>
      </c>
      <c r="S213" t="n">
        <v>4</v>
      </c>
      <c r="T213" t="n">
        <v>8</v>
      </c>
    </row>
    <row r="214">
      <c r="A214" t="inlineStr">
        <is>
          <t>Gucci</t>
        </is>
      </c>
      <c r="B214" t="inlineStr">
        <is>
          <t>Gucci Flora (01228)</t>
        </is>
      </c>
      <c r="C214" t="inlineStr">
        <is>
          <t>Gorgeous Gardenia (00005915)</t>
        </is>
      </c>
      <c r="D214" s="1" t="n">
        <v>3616302039357</v>
      </c>
      <c r="E214" t="inlineStr">
        <is>
          <t>GUCCI FL GG EDP 10 ML PENSPRAY IV</t>
        </is>
      </c>
      <c r="F214" t="inlineStr">
        <is>
          <t>P_US_FG</t>
        </is>
      </c>
      <c r="G214" t="inlineStr">
        <is>
          <t>CurrentWorkingView</t>
        </is>
      </c>
      <c r="H214" t="inlineStr">
        <is>
          <t>EPOS</t>
        </is>
      </c>
    </row>
    <row r="215">
      <c r="A215" t="inlineStr">
        <is>
          <t>Gucci</t>
        </is>
      </c>
      <c r="B215" t="inlineStr">
        <is>
          <t>Gucci Flora (01228)</t>
        </is>
      </c>
      <c r="C215" t="inlineStr">
        <is>
          <t>Gorgeous Gardenia (00005915)</t>
        </is>
      </c>
      <c r="D215" s="1" t="n">
        <v>3616302039357</v>
      </c>
      <c r="E215" t="inlineStr">
        <is>
          <t>GUCCI FL GG EDP 10 ML PENSPRAY IV</t>
        </is>
      </c>
      <c r="F215" t="inlineStr">
        <is>
          <t>P_US_FG</t>
        </is>
      </c>
      <c r="G215" t="inlineStr">
        <is>
          <t>CurrentWorkingView</t>
        </is>
      </c>
      <c r="H215" t="inlineStr">
        <is>
          <t>Reasonability Adjustment</t>
        </is>
      </c>
      <c r="I215" t="n">
        <v>2</v>
      </c>
      <c r="L215" t="n">
        <v>-4</v>
      </c>
      <c r="M215" t="n">
        <v>-2</v>
      </c>
      <c r="N215" t="n">
        <v>2</v>
      </c>
      <c r="O215" t="n">
        <v>-3</v>
      </c>
      <c r="P215" t="n">
        <v>-3</v>
      </c>
      <c r="Q215" t="n">
        <v>2</v>
      </c>
      <c r="R215" t="n">
        <v>-3</v>
      </c>
      <c r="S215" t="n">
        <v>-2</v>
      </c>
      <c r="T215" t="n">
        <v>-1</v>
      </c>
    </row>
    <row r="216">
      <c r="A216" t="inlineStr">
        <is>
          <t>Gucci</t>
        </is>
      </c>
      <c r="B216" t="inlineStr">
        <is>
          <t>Gucci Flora (01228)</t>
        </is>
      </c>
      <c r="C216" t="inlineStr">
        <is>
          <t>Gorgeous Gardenia (00005915)</t>
        </is>
      </c>
      <c r="D216" s="1" t="n">
        <v>3616302039357</v>
      </c>
      <c r="E216" t="inlineStr">
        <is>
          <t>GUCCI FL GG EDP 10 ML PENSPRAY IV</t>
        </is>
      </c>
      <c r="F216" t="inlineStr">
        <is>
          <t>P_US_FG</t>
        </is>
      </c>
      <c r="G216" t="inlineStr">
        <is>
          <t>CurrentWorkingView</t>
        </is>
      </c>
      <c r="H216" t="inlineStr">
        <is>
          <t>Total Demand Assumption</t>
        </is>
      </c>
    </row>
    <row r="217">
      <c r="A217" t="inlineStr">
        <is>
          <t>Gucci</t>
        </is>
      </c>
      <c r="B217" t="inlineStr">
        <is>
          <t>Gucci Flora (01228)</t>
        </is>
      </c>
      <c r="C217" t="inlineStr">
        <is>
          <t>Gorgeous Gardenia (00005915)</t>
        </is>
      </c>
      <c r="D217" s="1" t="n">
        <v>3616302039357</v>
      </c>
      <c r="E217" t="inlineStr">
        <is>
          <t>GUCCI FL GG EDP 10 ML PENSPRAY IV</t>
        </is>
      </c>
      <c r="F217" t="inlineStr">
        <is>
          <t>P_US_FG</t>
        </is>
      </c>
      <c r="G217" t="inlineStr">
        <is>
          <t>CurrentWorkingView</t>
        </is>
      </c>
      <c r="H217" t="inlineStr">
        <is>
          <t>Consensus - Final</t>
        </is>
      </c>
      <c r="J217" t="n">
        <v>2</v>
      </c>
      <c r="K217" t="n">
        <v>0</v>
      </c>
      <c r="N217" t="n">
        <v>2</v>
      </c>
      <c r="Q217" t="n">
        <v>2</v>
      </c>
    </row>
    <row r="218">
      <c r="A218" t="inlineStr">
        <is>
          <t>Gucci</t>
        </is>
      </c>
      <c r="B218" t="inlineStr">
        <is>
          <t>Gucci Flora (01228)</t>
        </is>
      </c>
      <c r="C218" t="inlineStr">
        <is>
          <t>Gorgeous Gardenia (00005915)</t>
        </is>
      </c>
      <c r="D218" s="1" t="n">
        <v>3616302039357</v>
      </c>
      <c r="E218" t="inlineStr">
        <is>
          <t>GUCCI FL GG EDP 10 ML PENSPRAY IV</t>
        </is>
      </c>
      <c r="F218" t="inlineStr">
        <is>
          <t>P_US_FG</t>
        </is>
      </c>
      <c r="G218" t="inlineStr">
        <is>
          <t>CurrentWorkingView</t>
        </is>
      </c>
      <c r="H218" t="inlineStr">
        <is>
          <t>Supply Cuts</t>
        </is>
      </c>
    </row>
    <row r="219">
      <c r="A219" t="inlineStr">
        <is>
          <t>Gucci</t>
        </is>
      </c>
      <c r="B219" t="inlineStr">
        <is>
          <t>Gucci Flora (01228)</t>
        </is>
      </c>
      <c r="C219" t="inlineStr">
        <is>
          <t>Gorgeous Gardenia (00005915)</t>
        </is>
      </c>
      <c r="D219" s="1" t="n">
        <v>3616302039357</v>
      </c>
      <c r="E219" t="inlineStr">
        <is>
          <t>GUCCI FL GG EDP 10 ML PENSPRAY IV</t>
        </is>
      </c>
      <c r="F219" t="inlineStr">
        <is>
          <t>P_US_FG</t>
        </is>
      </c>
      <c r="G219" t="inlineStr">
        <is>
          <t>Month-2026.M09.W38</t>
        </is>
      </c>
      <c r="H219" t="inlineStr">
        <is>
          <t>Consensus - Final LY M</t>
        </is>
      </c>
      <c r="I219" t="n">
        <v>2</v>
      </c>
      <c r="M219" t="n">
        <v>10</v>
      </c>
      <c r="P219" t="n">
        <v>10</v>
      </c>
      <c r="R219" t="n">
        <v>1</v>
      </c>
      <c r="T219" t="n">
        <v>10</v>
      </c>
    </row>
    <row r="220">
      <c r="A220" t="inlineStr">
        <is>
          <t>Gucci</t>
        </is>
      </c>
      <c r="B220" t="inlineStr">
        <is>
          <t>Gucci Flora (01228)</t>
        </is>
      </c>
      <c r="C220" t="inlineStr">
        <is>
          <t>Gorgeous Gardenia (00005915)</t>
        </is>
      </c>
      <c r="D220" s="1" t="n">
        <v>3616302039357</v>
      </c>
      <c r="E220" t="inlineStr">
        <is>
          <t>GUCCI FL GG EDP 10 ML PENSPRAY IV</t>
        </is>
      </c>
      <c r="F220" t="inlineStr">
        <is>
          <t>P_US_FG</t>
        </is>
      </c>
      <c r="G220" t="inlineStr">
        <is>
          <t>Month-2026.M09.W38</t>
        </is>
      </c>
      <c r="H220" t="inlineStr">
        <is>
          <t>System FC - Final</t>
        </is>
      </c>
      <c r="J220" t="n">
        <v>2</v>
      </c>
      <c r="K220" t="n">
        <v>13</v>
      </c>
      <c r="L220" t="n">
        <v>10</v>
      </c>
      <c r="M220" t="n">
        <v>4</v>
      </c>
      <c r="N220" t="n">
        <v>9</v>
      </c>
      <c r="O220" t="n">
        <v>1</v>
      </c>
      <c r="P220" t="n">
        <v>8</v>
      </c>
      <c r="Q220" t="n">
        <v>13</v>
      </c>
      <c r="R220" t="n">
        <v>8</v>
      </c>
      <c r="S220" t="n">
        <v>5</v>
      </c>
      <c r="T220" t="n">
        <v>8</v>
      </c>
    </row>
    <row r="221">
      <c r="A221" t="inlineStr">
        <is>
          <t>Gucci</t>
        </is>
      </c>
      <c r="B221" t="inlineStr">
        <is>
          <t>Gucci Flora (01228)</t>
        </is>
      </c>
      <c r="C221" t="inlineStr">
        <is>
          <t>Gorgeous Gardenia (00005915)</t>
        </is>
      </c>
      <c r="D221" s="1" t="n">
        <v>3616302039357</v>
      </c>
      <c r="E221" t="inlineStr">
        <is>
          <t>GUCCI FL GG EDP 10 ML PENSPRAY IV</t>
        </is>
      </c>
      <c r="F221" t="inlineStr">
        <is>
          <t>P_US_FG</t>
        </is>
      </c>
      <c r="G221" t="inlineStr">
        <is>
          <t>Month-2026.M09.W38</t>
        </is>
      </c>
      <c r="H221" t="inlineStr">
        <is>
          <t>EPOS</t>
        </is>
      </c>
    </row>
    <row r="222">
      <c r="A222" t="inlineStr">
        <is>
          <t>Gucci</t>
        </is>
      </c>
      <c r="B222" t="inlineStr">
        <is>
          <t>Gucci Flora (01228)</t>
        </is>
      </c>
      <c r="C222" t="inlineStr">
        <is>
          <t>Gorgeous Gardenia (00005915)</t>
        </is>
      </c>
      <c r="D222" s="1" t="n">
        <v>3616302039357</v>
      </c>
      <c r="E222" t="inlineStr">
        <is>
          <t>GUCCI FL GG EDP 10 ML PENSPRAY IV</t>
        </is>
      </c>
      <c r="F222" t="inlineStr">
        <is>
          <t>P_US_FG</t>
        </is>
      </c>
      <c r="G222" t="inlineStr">
        <is>
          <t>Month-2026.M09.W38</t>
        </is>
      </c>
      <c r="H222" t="inlineStr">
        <is>
          <t>Reasonability Adjustment</t>
        </is>
      </c>
      <c r="I222" t="n">
        <v>2</v>
      </c>
      <c r="L222" t="n">
        <v>-4</v>
      </c>
      <c r="M222" t="n">
        <v>-2</v>
      </c>
      <c r="N222" t="n">
        <v>2</v>
      </c>
      <c r="O222" t="n">
        <v>-3</v>
      </c>
      <c r="P222" t="n">
        <v>-3</v>
      </c>
      <c r="Q222" t="n">
        <v>2</v>
      </c>
      <c r="R222" t="n">
        <v>-3</v>
      </c>
      <c r="S222" t="n">
        <v>-2</v>
      </c>
      <c r="T222" t="n">
        <v>-1</v>
      </c>
    </row>
    <row r="223">
      <c r="A223" t="inlineStr">
        <is>
          <t>Gucci</t>
        </is>
      </c>
      <c r="B223" t="inlineStr">
        <is>
          <t>Gucci Flora (01228)</t>
        </is>
      </c>
      <c r="C223" t="inlineStr">
        <is>
          <t>Gorgeous Gardenia (00005915)</t>
        </is>
      </c>
      <c r="D223" s="1" t="n">
        <v>3616302039357</v>
      </c>
      <c r="E223" t="inlineStr">
        <is>
          <t>GUCCI FL GG EDP 10 ML PENSPRAY IV</t>
        </is>
      </c>
      <c r="F223" t="inlineStr">
        <is>
          <t>P_US_FG</t>
        </is>
      </c>
      <c r="G223" t="inlineStr">
        <is>
          <t>Month-2026.M09.W38</t>
        </is>
      </c>
      <c r="H223" t="inlineStr">
        <is>
          <t>Total Demand Assumption</t>
        </is>
      </c>
    </row>
    <row r="224">
      <c r="A224" t="inlineStr">
        <is>
          <t>Gucci</t>
        </is>
      </c>
      <c r="B224" t="inlineStr">
        <is>
          <t>Gucci Flora (01228)</t>
        </is>
      </c>
      <c r="C224" t="inlineStr">
        <is>
          <t>Gorgeous Gardenia (00005915)</t>
        </is>
      </c>
      <c r="D224" s="1" t="n">
        <v>3616302039357</v>
      </c>
      <c r="E224" t="inlineStr">
        <is>
          <t>GUCCI FL GG EDP 10 ML PENSPRAY IV</t>
        </is>
      </c>
      <c r="F224" t="inlineStr">
        <is>
          <t>P_US_FG</t>
        </is>
      </c>
      <c r="G224" t="inlineStr">
        <is>
          <t>Month-2026.M09.W38</t>
        </is>
      </c>
      <c r="H224" t="inlineStr">
        <is>
          <t>Consensus - Final</t>
        </is>
      </c>
      <c r="J224" t="n">
        <v>2</v>
      </c>
      <c r="K224" t="n">
        <v>0</v>
      </c>
      <c r="N224" t="n">
        <v>2</v>
      </c>
      <c r="Q224" t="n">
        <v>2</v>
      </c>
    </row>
    <row r="225">
      <c r="A225" t="inlineStr">
        <is>
          <t>Gucci</t>
        </is>
      </c>
      <c r="B225" t="inlineStr">
        <is>
          <t>Gucci Flora (01228)</t>
        </is>
      </c>
      <c r="C225" t="inlineStr">
        <is>
          <t>Gorgeous Gardenia (00005915)</t>
        </is>
      </c>
      <c r="D225" s="1" t="n">
        <v>3616302039357</v>
      </c>
      <c r="E225" t="inlineStr">
        <is>
          <t>GUCCI FL GG EDP 10 ML PENSPRAY IV</t>
        </is>
      </c>
      <c r="F225" t="inlineStr">
        <is>
          <t>P_US_FG</t>
        </is>
      </c>
      <c r="G225" t="inlineStr">
        <is>
          <t>Month-2026.M09.W38</t>
        </is>
      </c>
      <c r="H225" t="inlineStr">
        <is>
          <t>Supply Cuts</t>
        </is>
      </c>
    </row>
    <row r="226">
      <c r="A226" t="inlineStr">
        <is>
          <t>Gucci</t>
        </is>
      </c>
      <c r="B226" t="inlineStr">
        <is>
          <t>Gucci Flora (01228)</t>
        </is>
      </c>
      <c r="C226" t="inlineStr">
        <is>
          <t>Gorgeous Gardenia (00005915)</t>
        </is>
      </c>
      <c r="D226" s="1" t="n">
        <v>3616302039357</v>
      </c>
      <c r="E226" t="inlineStr">
        <is>
          <t>GUCCI FL GG EDP 10 ML PENSPRAY IV</t>
        </is>
      </c>
      <c r="F226" t="inlineStr">
        <is>
          <t>P_US_ULTA</t>
        </is>
      </c>
      <c r="G226" t="inlineStr">
        <is>
          <t>CurrentWorkingView</t>
        </is>
      </c>
      <c r="H226" t="inlineStr">
        <is>
          <t>Consensus - Final LY M</t>
        </is>
      </c>
      <c r="I226" t="n">
        <v>1532</v>
      </c>
      <c r="J226" t="n">
        <v>12222</v>
      </c>
      <c r="K226" t="n">
        <v>15360</v>
      </c>
      <c r="L226" t="n">
        <v>3000</v>
      </c>
      <c r="M226" t="n">
        <v>873</v>
      </c>
      <c r="N226" t="n">
        <v>651</v>
      </c>
      <c r="O226" t="n">
        <v>68</v>
      </c>
      <c r="P226" t="n">
        <v>1030</v>
      </c>
      <c r="Q226" t="n">
        <v>8017</v>
      </c>
      <c r="R226" t="n">
        <v>1526</v>
      </c>
      <c r="S226" t="n">
        <v>1916</v>
      </c>
      <c r="T226" t="n">
        <v>3173</v>
      </c>
    </row>
    <row r="227">
      <c r="A227" t="inlineStr">
        <is>
          <t>Gucci</t>
        </is>
      </c>
      <c r="B227" t="inlineStr">
        <is>
          <t>Gucci Flora (01228)</t>
        </is>
      </c>
      <c r="C227" t="inlineStr">
        <is>
          <t>Gorgeous Gardenia (00005915)</t>
        </is>
      </c>
      <c r="D227" s="1" t="n">
        <v>3616302039357</v>
      </c>
      <c r="E227" t="inlineStr">
        <is>
          <t>GUCCI FL GG EDP 10 ML PENSPRAY IV</t>
        </is>
      </c>
      <c r="F227" t="inlineStr">
        <is>
          <t>P_US_ULTA</t>
        </is>
      </c>
      <c r="G227" t="inlineStr">
        <is>
          <t>CurrentWorkingView</t>
        </is>
      </c>
      <c r="H227" t="inlineStr">
        <is>
          <t>System FC - Final</t>
        </is>
      </c>
      <c r="I227" t="n">
        <v>4215</v>
      </c>
      <c r="J227" t="n">
        <v>5684</v>
      </c>
      <c r="K227" t="n">
        <v>8494</v>
      </c>
      <c r="L227" t="n">
        <v>4640</v>
      </c>
      <c r="M227" t="n">
        <v>2093</v>
      </c>
      <c r="N227" t="n">
        <v>4087</v>
      </c>
      <c r="O227" t="n">
        <v>1719</v>
      </c>
      <c r="P227" t="n">
        <v>3268</v>
      </c>
      <c r="Q227" t="n">
        <v>6049</v>
      </c>
      <c r="R227" t="n">
        <v>2859</v>
      </c>
      <c r="S227" t="n">
        <v>3353</v>
      </c>
      <c r="T227" t="n">
        <v>4115</v>
      </c>
    </row>
    <row r="228">
      <c r="A228" t="inlineStr">
        <is>
          <t>Gucci</t>
        </is>
      </c>
      <c r="B228" t="inlineStr">
        <is>
          <t>Gucci Flora (01228)</t>
        </is>
      </c>
      <c r="C228" t="inlineStr">
        <is>
          <t>Gorgeous Gardenia (00005915)</t>
        </is>
      </c>
      <c r="D228" s="1" t="n">
        <v>3616302039357</v>
      </c>
      <c r="E228" t="inlineStr">
        <is>
          <t>GUCCI FL GG EDP 10 ML PENSPRAY IV</t>
        </is>
      </c>
      <c r="F228" t="inlineStr">
        <is>
          <t>P_US_ULTA</t>
        </is>
      </c>
      <c r="G228" t="inlineStr">
        <is>
          <t>CurrentWorkingView</t>
        </is>
      </c>
      <c r="H228" t="inlineStr">
        <is>
          <t>EPOS</t>
        </is>
      </c>
      <c r="I228" t="n">
        <v>3397</v>
      </c>
    </row>
    <row r="229">
      <c r="A229" t="inlineStr">
        <is>
          <t>Gucci</t>
        </is>
      </c>
      <c r="B229" t="inlineStr">
        <is>
          <t>Gucci Flora (01228)</t>
        </is>
      </c>
      <c r="C229" t="inlineStr">
        <is>
          <t>Gorgeous Gardenia (00005915)</t>
        </is>
      </c>
      <c r="D229" s="1" t="n">
        <v>3616302039357</v>
      </c>
      <c r="E229" t="inlineStr">
        <is>
          <t>GUCCI FL GG EDP 10 ML PENSPRAY IV</t>
        </is>
      </c>
      <c r="F229" t="inlineStr">
        <is>
          <t>P_US_ULTA</t>
        </is>
      </c>
      <c r="G229" t="inlineStr">
        <is>
          <t>CurrentWorkingView</t>
        </is>
      </c>
      <c r="H229" t="inlineStr">
        <is>
          <t>Reasonability Adjustment</t>
        </is>
      </c>
    </row>
    <row r="230">
      <c r="A230" t="inlineStr">
        <is>
          <t>Gucci</t>
        </is>
      </c>
      <c r="B230" t="inlineStr">
        <is>
          <t>Gucci Flora (01228)</t>
        </is>
      </c>
      <c r="C230" t="inlineStr">
        <is>
          <t>Gorgeous Gardenia (00005915)</t>
        </is>
      </c>
      <c r="D230" s="1" t="n">
        <v>3616302039357</v>
      </c>
      <c r="E230" t="inlineStr">
        <is>
          <t>GUCCI FL GG EDP 10 ML PENSPRAY IV</t>
        </is>
      </c>
      <c r="F230" t="inlineStr">
        <is>
          <t>P_US_ULTA</t>
        </is>
      </c>
      <c r="G230" t="inlineStr">
        <is>
          <t>CurrentWorkingView</t>
        </is>
      </c>
      <c r="H230" t="inlineStr">
        <is>
          <t>Total Demand Assumption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Gucci</t>
        </is>
      </c>
      <c r="B231" t="inlineStr">
        <is>
          <t>Gucci Flora (01228)</t>
        </is>
      </c>
      <c r="C231" t="inlineStr">
        <is>
          <t>Gorgeous Gardenia (00005915)</t>
        </is>
      </c>
      <c r="D231" s="1" t="n">
        <v>3616302039357</v>
      </c>
      <c r="E231" t="inlineStr">
        <is>
          <t>GUCCI FL GG EDP 10 ML PENSPRAY IV</t>
        </is>
      </c>
      <c r="F231" t="inlineStr">
        <is>
          <t>P_US_ULTA</t>
        </is>
      </c>
      <c r="G231" t="inlineStr">
        <is>
          <t>CurrentWorkingView</t>
        </is>
      </c>
      <c r="H231" t="inlineStr">
        <is>
          <t>Consensus - Final</t>
        </is>
      </c>
      <c r="I231" t="n">
        <v>4215</v>
      </c>
      <c r="J231" t="n">
        <v>5684</v>
      </c>
      <c r="K231" t="n">
        <v>10161.2408931995</v>
      </c>
      <c r="L231" t="n">
        <v>4640</v>
      </c>
      <c r="M231" t="n">
        <v>2093</v>
      </c>
      <c r="N231" t="n">
        <v>4087</v>
      </c>
      <c r="O231" t="n">
        <v>1719</v>
      </c>
      <c r="P231" t="n">
        <v>3268</v>
      </c>
      <c r="Q231" t="n">
        <v>6049</v>
      </c>
      <c r="R231" t="n">
        <v>2859</v>
      </c>
      <c r="S231" t="n">
        <v>3353</v>
      </c>
      <c r="T231" t="n">
        <v>4115</v>
      </c>
    </row>
    <row r="232">
      <c r="A232" t="inlineStr">
        <is>
          <t>Gucci</t>
        </is>
      </c>
      <c r="B232" t="inlineStr">
        <is>
          <t>Gucci Flora (01228)</t>
        </is>
      </c>
      <c r="C232" t="inlineStr">
        <is>
          <t>Gorgeous Gardenia (00005915)</t>
        </is>
      </c>
      <c r="D232" s="1" t="n">
        <v>3616302039357</v>
      </c>
      <c r="E232" t="inlineStr">
        <is>
          <t>GUCCI FL GG EDP 10 ML PENSPRAY IV</t>
        </is>
      </c>
      <c r="F232" t="inlineStr">
        <is>
          <t>P_US_ULTA</t>
        </is>
      </c>
      <c r="G232" t="inlineStr">
        <is>
          <t>CurrentWorkingView</t>
        </is>
      </c>
      <c r="H232" t="inlineStr">
        <is>
          <t>Supply Cuts</t>
        </is>
      </c>
    </row>
    <row r="233">
      <c r="A233" t="inlineStr">
        <is>
          <t>Gucci</t>
        </is>
      </c>
      <c r="B233" t="inlineStr">
        <is>
          <t>Gucci Flora (01228)</t>
        </is>
      </c>
      <c r="C233" t="inlineStr">
        <is>
          <t>Gorgeous Gardenia (00005915)</t>
        </is>
      </c>
      <c r="D233" s="1" t="n">
        <v>3616302039357</v>
      </c>
      <c r="E233" t="inlineStr">
        <is>
          <t>GUCCI FL GG EDP 10 ML PENSPRAY IV</t>
        </is>
      </c>
      <c r="F233" t="inlineStr">
        <is>
          <t>P_US_ULTA</t>
        </is>
      </c>
      <c r="G233" t="inlineStr">
        <is>
          <t>Month-2026.M09.W38</t>
        </is>
      </c>
      <c r="H233" t="inlineStr">
        <is>
          <t>Consensus - Final LY M</t>
        </is>
      </c>
      <c r="I233" t="n">
        <v>1532</v>
      </c>
      <c r="J233" t="n">
        <v>12222</v>
      </c>
      <c r="K233" t="n">
        <v>15360</v>
      </c>
      <c r="L233" t="n">
        <v>3000</v>
      </c>
      <c r="M233" t="n">
        <v>873</v>
      </c>
      <c r="N233" t="n">
        <v>651</v>
      </c>
      <c r="O233" t="n">
        <v>68</v>
      </c>
      <c r="P233" t="n">
        <v>1030</v>
      </c>
      <c r="Q233" t="n">
        <v>8017</v>
      </c>
      <c r="R233" t="n">
        <v>1526</v>
      </c>
      <c r="S233" t="n">
        <v>1916</v>
      </c>
      <c r="T233" t="n">
        <v>3173</v>
      </c>
    </row>
    <row r="234">
      <c r="A234" t="inlineStr">
        <is>
          <t>Gucci</t>
        </is>
      </c>
      <c r="B234" t="inlineStr">
        <is>
          <t>Gucci Flora (01228)</t>
        </is>
      </c>
      <c r="C234" t="inlineStr">
        <is>
          <t>Gorgeous Gardenia (00005915)</t>
        </is>
      </c>
      <c r="D234" s="1" t="n">
        <v>3616302039357</v>
      </c>
      <c r="E234" t="inlineStr">
        <is>
          <t>GUCCI FL GG EDP 10 ML PENSPRAY IV</t>
        </is>
      </c>
      <c r="F234" t="inlineStr">
        <is>
          <t>P_US_ULTA</t>
        </is>
      </c>
      <c r="G234" t="inlineStr">
        <is>
          <t>Month-2026.M09.W38</t>
        </is>
      </c>
      <c r="H234" t="inlineStr">
        <is>
          <t>System FC - Final</t>
        </is>
      </c>
      <c r="I234" t="n">
        <v>4215</v>
      </c>
      <c r="J234" t="n">
        <v>5684</v>
      </c>
      <c r="K234" t="n">
        <v>7163</v>
      </c>
      <c r="L234" t="n">
        <v>4998</v>
      </c>
      <c r="M234" t="n">
        <v>2256</v>
      </c>
      <c r="N234" t="n">
        <v>4405</v>
      </c>
      <c r="O234" t="n">
        <v>1855</v>
      </c>
      <c r="P234" t="n">
        <v>3520</v>
      </c>
      <c r="Q234" t="n">
        <v>6519</v>
      </c>
      <c r="R234" t="n">
        <v>3078</v>
      </c>
      <c r="S234" t="n">
        <v>3613</v>
      </c>
      <c r="T234" t="n">
        <v>4432</v>
      </c>
    </row>
    <row r="235">
      <c r="A235" t="inlineStr">
        <is>
          <t>Gucci</t>
        </is>
      </c>
      <c r="B235" t="inlineStr">
        <is>
          <t>Gucci Flora (01228)</t>
        </is>
      </c>
      <c r="C235" t="inlineStr">
        <is>
          <t>Gorgeous Gardenia (00005915)</t>
        </is>
      </c>
      <c r="D235" s="1" t="n">
        <v>3616302039357</v>
      </c>
      <c r="E235" t="inlineStr">
        <is>
          <t>GUCCI FL GG EDP 10 ML PENSPRAY IV</t>
        </is>
      </c>
      <c r="F235" t="inlineStr">
        <is>
          <t>P_US_ULTA</t>
        </is>
      </c>
      <c r="G235" t="inlineStr">
        <is>
          <t>Month-2026.M09.W38</t>
        </is>
      </c>
      <c r="H235" t="inlineStr">
        <is>
          <t>EPOS</t>
        </is>
      </c>
      <c r="I235" t="n">
        <v>3397</v>
      </c>
    </row>
    <row r="236">
      <c r="A236" t="inlineStr">
        <is>
          <t>Gucci</t>
        </is>
      </c>
      <c r="B236" t="inlineStr">
        <is>
          <t>Gucci Flora (01228)</t>
        </is>
      </c>
      <c r="C236" t="inlineStr">
        <is>
          <t>Gorgeous Gardenia (00005915)</t>
        </is>
      </c>
      <c r="D236" s="1" t="n">
        <v>3616302039357</v>
      </c>
      <c r="E236" t="inlineStr">
        <is>
          <t>GUCCI FL GG EDP 10 ML PENSPRAY IV</t>
        </is>
      </c>
      <c r="F236" t="inlineStr">
        <is>
          <t>P_US_ULTA</t>
        </is>
      </c>
      <c r="G236" t="inlineStr">
        <is>
          <t>Month-2026.M09.W38</t>
        </is>
      </c>
      <c r="H236" t="inlineStr">
        <is>
          <t>Reasonability Adjustment</t>
        </is>
      </c>
    </row>
    <row r="237">
      <c r="A237" t="inlineStr">
        <is>
          <t>Gucci</t>
        </is>
      </c>
      <c r="B237" t="inlineStr">
        <is>
          <t>Gucci Flora (01228)</t>
        </is>
      </c>
      <c r="C237" t="inlineStr">
        <is>
          <t>Gorgeous Gardenia (00005915)</t>
        </is>
      </c>
      <c r="D237" s="1" t="n">
        <v>3616302039357</v>
      </c>
      <c r="E237" t="inlineStr">
        <is>
          <t>GUCCI FL GG EDP 10 ML PENSPRAY IV</t>
        </is>
      </c>
      <c r="F237" t="inlineStr">
        <is>
          <t>P_US_ULTA</t>
        </is>
      </c>
      <c r="G237" t="inlineStr">
        <is>
          <t>Month-2026.M09.W38</t>
        </is>
      </c>
      <c r="H237" t="inlineStr">
        <is>
          <t>Total Demand Assumption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Gucci</t>
        </is>
      </c>
      <c r="B238" t="inlineStr">
        <is>
          <t>Gucci Flora (01228)</t>
        </is>
      </c>
      <c r="C238" t="inlineStr">
        <is>
          <t>Gorgeous Gardenia (00005915)</t>
        </is>
      </c>
      <c r="D238" s="1" t="n">
        <v>3616302039357</v>
      </c>
      <c r="E238" t="inlineStr">
        <is>
          <t>GUCCI FL GG EDP 10 ML PENSPRAY IV</t>
        </is>
      </c>
      <c r="F238" t="inlineStr">
        <is>
          <t>P_US_ULTA</t>
        </is>
      </c>
      <c r="G238" t="inlineStr">
        <is>
          <t>Month-2026.M09.W38</t>
        </is>
      </c>
      <c r="H238" t="inlineStr">
        <is>
          <t>Consensus - Final</t>
        </is>
      </c>
      <c r="I238" t="n">
        <v>4215</v>
      </c>
      <c r="J238" t="n">
        <v>5684</v>
      </c>
      <c r="K238" t="n">
        <v>10161.2408931995</v>
      </c>
      <c r="L238" t="n">
        <v>4998</v>
      </c>
      <c r="M238" t="n">
        <v>2256</v>
      </c>
      <c r="N238" t="n">
        <v>4405</v>
      </c>
      <c r="O238" t="n">
        <v>1855</v>
      </c>
      <c r="P238" t="n">
        <v>3520</v>
      </c>
      <c r="Q238" t="n">
        <v>6519</v>
      </c>
      <c r="R238" t="n">
        <v>3078</v>
      </c>
      <c r="S238" t="n">
        <v>3613</v>
      </c>
      <c r="T238" t="n">
        <v>4432</v>
      </c>
    </row>
    <row r="239">
      <c r="A239" t="inlineStr">
        <is>
          <t>Gucci</t>
        </is>
      </c>
      <c r="B239" t="inlineStr">
        <is>
          <t>Gucci Flora (01228)</t>
        </is>
      </c>
      <c r="C239" t="inlineStr">
        <is>
          <t>Gorgeous Gardenia (00005915)</t>
        </is>
      </c>
      <c r="D239" s="1" t="n">
        <v>3616302039357</v>
      </c>
      <c r="E239" t="inlineStr">
        <is>
          <t>GUCCI FL GG EDP 10 ML PENSPRAY IV</t>
        </is>
      </c>
      <c r="F239" t="inlineStr">
        <is>
          <t>P_US_ULTA</t>
        </is>
      </c>
      <c r="G239" t="inlineStr">
        <is>
          <t>Month-2026.M09.W38</t>
        </is>
      </c>
      <c r="H239" t="inlineStr">
        <is>
          <t>Supply Cuts</t>
        </is>
      </c>
    </row>
    <row r="240">
      <c r="A240" t="inlineStr">
        <is>
          <t>Gucci</t>
        </is>
      </c>
      <c r="B240" t="inlineStr">
        <is>
          <t>Gucci Guilty (00840)</t>
        </is>
      </c>
      <c r="C240" t="inlineStr">
        <is>
          <t>Gucci Guilty PF 21 (00005854)</t>
        </is>
      </c>
      <c r="D240" s="1" t="n">
        <v>3616302039548</v>
      </c>
      <c r="E240" t="inlineStr">
        <is>
          <t>GG PF21 EDT NS 10 ML IV</t>
        </is>
      </c>
      <c r="F240" t="inlineStr">
        <is>
          <t>P_US_ALL_OTHERS</t>
        </is>
      </c>
      <c r="G240" t="inlineStr">
        <is>
          <t>CurrentWorkingView</t>
        </is>
      </c>
      <c r="H240" t="inlineStr">
        <is>
          <t>Consensus - Final LY M</t>
        </is>
      </c>
      <c r="I240" t="n">
        <v>1695</v>
      </c>
      <c r="J240" t="n">
        <v>343</v>
      </c>
      <c r="K240" t="n">
        <v>1370</v>
      </c>
      <c r="L240" t="n">
        <v>301</v>
      </c>
      <c r="M240" t="n">
        <v>232</v>
      </c>
      <c r="N240" t="n">
        <v>453</v>
      </c>
      <c r="O240" t="n">
        <v>509</v>
      </c>
      <c r="P240" t="n">
        <v>129</v>
      </c>
      <c r="Q240" t="n">
        <v>1581</v>
      </c>
      <c r="R240" t="n">
        <v>445</v>
      </c>
      <c r="S240" t="n">
        <v>960</v>
      </c>
      <c r="T240" t="n">
        <v>409</v>
      </c>
    </row>
    <row r="241">
      <c r="A241" t="inlineStr">
        <is>
          <t>Gucci</t>
        </is>
      </c>
      <c r="B241" t="inlineStr">
        <is>
          <t>Gucci Guilty (00840)</t>
        </is>
      </c>
      <c r="C241" t="inlineStr">
        <is>
          <t>Gucci Guilty PF 21 (00005854)</t>
        </is>
      </c>
      <c r="D241" s="1" t="n">
        <v>3616302039548</v>
      </c>
      <c r="E241" t="inlineStr">
        <is>
          <t>GG PF21 EDT NS 10 ML IV</t>
        </is>
      </c>
      <c r="F241" t="inlineStr">
        <is>
          <t>P_US_ALL_OTHERS</t>
        </is>
      </c>
      <c r="G241" t="inlineStr">
        <is>
          <t>CurrentWorkingView</t>
        </is>
      </c>
      <c r="H241" t="inlineStr">
        <is>
          <t>System FC - Final</t>
        </is>
      </c>
      <c r="I241" t="n">
        <v>383</v>
      </c>
      <c r="J241" t="n">
        <v>626</v>
      </c>
      <c r="K241" t="n">
        <v>818</v>
      </c>
      <c r="L241" t="n">
        <v>4945</v>
      </c>
      <c r="M241" t="n">
        <v>288</v>
      </c>
      <c r="N241" t="n">
        <v>2590</v>
      </c>
      <c r="O241" t="n">
        <v>66</v>
      </c>
      <c r="P241" t="n">
        <v>68</v>
      </c>
      <c r="Q241" t="n">
        <v>115</v>
      </c>
      <c r="R241" t="n">
        <v>68</v>
      </c>
      <c r="S241" t="n">
        <v>407</v>
      </c>
      <c r="T241" t="n">
        <v>68</v>
      </c>
    </row>
    <row r="242">
      <c r="A242" t="inlineStr">
        <is>
          <t>Gucci</t>
        </is>
      </c>
      <c r="B242" t="inlineStr">
        <is>
          <t>Gucci Guilty (00840)</t>
        </is>
      </c>
      <c r="C242" t="inlineStr">
        <is>
          <t>Gucci Guilty PF 21 (00005854)</t>
        </is>
      </c>
      <c r="D242" s="1" t="n">
        <v>3616302039548</v>
      </c>
      <c r="E242" t="inlineStr">
        <is>
          <t>GG PF21 EDT NS 10 ML IV</t>
        </is>
      </c>
      <c r="F242" t="inlineStr">
        <is>
          <t>P_US_ALL_OTHERS</t>
        </is>
      </c>
      <c r="G242" t="inlineStr">
        <is>
          <t>CurrentWorkingView</t>
        </is>
      </c>
      <c r="H242" t="inlineStr">
        <is>
          <t>EPOS</t>
        </is>
      </c>
      <c r="I242" t="n">
        <v>457</v>
      </c>
    </row>
    <row r="243">
      <c r="A243" t="inlineStr">
        <is>
          <t>Gucci</t>
        </is>
      </c>
      <c r="B243" t="inlineStr">
        <is>
          <t>Gucci Guilty (00840)</t>
        </is>
      </c>
      <c r="C243" t="inlineStr">
        <is>
          <t>Gucci Guilty PF 21 (00005854)</t>
        </is>
      </c>
      <c r="D243" s="1" t="n">
        <v>3616302039548</v>
      </c>
      <c r="E243" t="inlineStr">
        <is>
          <t>GG PF21 EDT NS 10 ML IV</t>
        </is>
      </c>
      <c r="F243" t="inlineStr">
        <is>
          <t>P_US_ALL_OTHERS</t>
        </is>
      </c>
      <c r="G243" t="inlineStr">
        <is>
          <t>CurrentWorkingView</t>
        </is>
      </c>
      <c r="H243" t="inlineStr">
        <is>
          <t>Reasonability Adjustment</t>
        </is>
      </c>
      <c r="I243" t="n">
        <v>-365</v>
      </c>
      <c r="J243" t="n">
        <v>-221</v>
      </c>
      <c r="L243" t="n">
        <v>-929</v>
      </c>
    </row>
    <row r="244">
      <c r="A244" t="inlineStr">
        <is>
          <t>Gucci</t>
        </is>
      </c>
      <c r="B244" t="inlineStr">
        <is>
          <t>Gucci Guilty (00840)</t>
        </is>
      </c>
      <c r="C244" t="inlineStr">
        <is>
          <t>Gucci Guilty PF 21 (00005854)</t>
        </is>
      </c>
      <c r="D244" s="1" t="n">
        <v>3616302039548</v>
      </c>
      <c r="E244" t="inlineStr">
        <is>
          <t>GG PF21 EDT NS 10 ML IV</t>
        </is>
      </c>
      <c r="F244" t="inlineStr">
        <is>
          <t>P_US_ALL_OTHERS</t>
        </is>
      </c>
      <c r="G244" t="inlineStr">
        <is>
          <t>CurrentWorkingView</t>
        </is>
      </c>
      <c r="H244" t="inlineStr">
        <is>
          <t>Total Demand Assumption</t>
        </is>
      </c>
      <c r="I244" t="n">
        <v>0</v>
      </c>
      <c r="J244" t="n">
        <v>-835</v>
      </c>
    </row>
    <row r="245">
      <c r="A245" t="inlineStr">
        <is>
          <t>Gucci</t>
        </is>
      </c>
      <c r="B245" t="inlineStr">
        <is>
          <t>Gucci Guilty (00840)</t>
        </is>
      </c>
      <c r="C245" t="inlineStr">
        <is>
          <t>Gucci Guilty PF 21 (00005854)</t>
        </is>
      </c>
      <c r="D245" s="1" t="n">
        <v>3616302039548</v>
      </c>
      <c r="E245" t="inlineStr">
        <is>
          <t>GG PF21 EDT NS 10 ML IV</t>
        </is>
      </c>
      <c r="F245" t="inlineStr">
        <is>
          <t>P_US_ALL_OTHERS</t>
        </is>
      </c>
      <c r="G245" t="inlineStr">
        <is>
          <t>CurrentWorkingView</t>
        </is>
      </c>
      <c r="H245" t="inlineStr">
        <is>
          <t>Consensus - Final</t>
        </is>
      </c>
      <c r="I245" t="n">
        <v>383</v>
      </c>
      <c r="J245" t="n">
        <v>626</v>
      </c>
      <c r="K245" t="n">
        <v>713.405529953917</v>
      </c>
      <c r="L245" t="n">
        <v>4016</v>
      </c>
      <c r="M245" t="n">
        <v>288</v>
      </c>
      <c r="N245" t="n">
        <v>2590</v>
      </c>
      <c r="O245" t="n">
        <v>66</v>
      </c>
      <c r="P245" t="n">
        <v>68</v>
      </c>
      <c r="Q245" t="n">
        <v>115</v>
      </c>
      <c r="R245" t="n">
        <v>68</v>
      </c>
      <c r="S245" t="n">
        <v>407</v>
      </c>
      <c r="T245" t="n">
        <v>68</v>
      </c>
    </row>
    <row r="246">
      <c r="A246" t="inlineStr">
        <is>
          <t>Gucci</t>
        </is>
      </c>
      <c r="B246" t="inlineStr">
        <is>
          <t>Gucci Guilty (00840)</t>
        </is>
      </c>
      <c r="C246" t="inlineStr">
        <is>
          <t>Gucci Guilty PF 21 (00005854)</t>
        </is>
      </c>
      <c r="D246" s="1" t="n">
        <v>3616302039548</v>
      </c>
      <c r="E246" t="inlineStr">
        <is>
          <t>GG PF21 EDT NS 10 ML IV</t>
        </is>
      </c>
      <c r="F246" t="inlineStr">
        <is>
          <t>P_US_ALL_OTHERS</t>
        </is>
      </c>
      <c r="G246" t="inlineStr">
        <is>
          <t>CurrentWorkingView</t>
        </is>
      </c>
      <c r="H246" t="inlineStr">
        <is>
          <t>Supply Cuts</t>
        </is>
      </c>
    </row>
    <row r="247">
      <c r="A247" t="inlineStr">
        <is>
          <t>Gucci</t>
        </is>
      </c>
      <c r="B247" t="inlineStr">
        <is>
          <t>Gucci Guilty (00840)</t>
        </is>
      </c>
      <c r="C247" t="inlineStr">
        <is>
          <t>Gucci Guilty PF 21 (00005854)</t>
        </is>
      </c>
      <c r="D247" s="1" t="n">
        <v>3616302039548</v>
      </c>
      <c r="E247" t="inlineStr">
        <is>
          <t>GG PF21 EDT NS 10 ML IV</t>
        </is>
      </c>
      <c r="F247" t="inlineStr">
        <is>
          <t>P_US_ALL_OTHERS</t>
        </is>
      </c>
      <c r="G247" t="inlineStr">
        <is>
          <t>Month-2026.M09.W38</t>
        </is>
      </c>
      <c r="H247" t="inlineStr">
        <is>
          <t>Consensus - Final LY M</t>
        </is>
      </c>
      <c r="I247" t="n">
        <v>1695</v>
      </c>
      <c r="J247" t="n">
        <v>343</v>
      </c>
      <c r="K247" t="n">
        <v>1370</v>
      </c>
      <c r="L247" t="n">
        <v>301</v>
      </c>
      <c r="M247" t="n">
        <v>232</v>
      </c>
      <c r="N247" t="n">
        <v>453</v>
      </c>
      <c r="O247" t="n">
        <v>509</v>
      </c>
      <c r="P247" t="n">
        <v>129</v>
      </c>
      <c r="Q247" t="n">
        <v>1581</v>
      </c>
      <c r="R247" t="n">
        <v>445</v>
      </c>
      <c r="S247" t="n">
        <v>960</v>
      </c>
      <c r="T247" t="n">
        <v>409</v>
      </c>
    </row>
    <row r="248">
      <c r="A248" t="inlineStr">
        <is>
          <t>Gucci</t>
        </is>
      </c>
      <c r="B248" t="inlineStr">
        <is>
          <t>Gucci Guilty (00840)</t>
        </is>
      </c>
      <c r="C248" t="inlineStr">
        <is>
          <t>Gucci Guilty PF 21 (00005854)</t>
        </is>
      </c>
      <c r="D248" s="1" t="n">
        <v>3616302039548</v>
      </c>
      <c r="E248" t="inlineStr">
        <is>
          <t>GG PF21 EDT NS 10 ML IV</t>
        </is>
      </c>
      <c r="F248" t="inlineStr">
        <is>
          <t>P_US_ALL_OTHERS</t>
        </is>
      </c>
      <c r="G248" t="inlineStr">
        <is>
          <t>Month-2026.M09.W38</t>
        </is>
      </c>
      <c r="H248" t="inlineStr">
        <is>
          <t>System FC - Final</t>
        </is>
      </c>
      <c r="I248" t="n">
        <v>383</v>
      </c>
      <c r="J248" t="n">
        <v>626</v>
      </c>
      <c r="K248" t="n">
        <v>821</v>
      </c>
      <c r="L248" t="n">
        <v>2790</v>
      </c>
      <c r="M248" t="n">
        <v>68</v>
      </c>
      <c r="N248" t="n">
        <v>67</v>
      </c>
      <c r="O248" t="n">
        <v>66</v>
      </c>
      <c r="P248" t="n">
        <v>68</v>
      </c>
      <c r="Q248" t="n">
        <v>221</v>
      </c>
      <c r="R248" t="n">
        <v>68</v>
      </c>
      <c r="S248" t="n">
        <v>66</v>
      </c>
      <c r="T248" t="n">
        <v>455</v>
      </c>
    </row>
    <row r="249">
      <c r="A249" t="inlineStr">
        <is>
          <t>Gucci</t>
        </is>
      </c>
      <c r="B249" t="inlineStr">
        <is>
          <t>Gucci Guilty (00840)</t>
        </is>
      </c>
      <c r="C249" t="inlineStr">
        <is>
          <t>Gucci Guilty PF 21 (00005854)</t>
        </is>
      </c>
      <c r="D249" s="1" t="n">
        <v>3616302039548</v>
      </c>
      <c r="E249" t="inlineStr">
        <is>
          <t>GG PF21 EDT NS 10 ML IV</t>
        </is>
      </c>
      <c r="F249" t="inlineStr">
        <is>
          <t>P_US_ALL_OTHERS</t>
        </is>
      </c>
      <c r="G249" t="inlineStr">
        <is>
          <t>Month-2026.M09.W38</t>
        </is>
      </c>
      <c r="H249" t="inlineStr">
        <is>
          <t>EPOS</t>
        </is>
      </c>
      <c r="I249" t="n">
        <v>457</v>
      </c>
    </row>
    <row r="250">
      <c r="A250" t="inlineStr">
        <is>
          <t>Gucci</t>
        </is>
      </c>
      <c r="B250" t="inlineStr">
        <is>
          <t>Gucci Guilty (00840)</t>
        </is>
      </c>
      <c r="C250" t="inlineStr">
        <is>
          <t>Gucci Guilty PF 21 (00005854)</t>
        </is>
      </c>
      <c r="D250" s="1" t="n">
        <v>3616302039548</v>
      </c>
      <c r="E250" t="inlineStr">
        <is>
          <t>GG PF21 EDT NS 10 ML IV</t>
        </is>
      </c>
      <c r="F250" t="inlineStr">
        <is>
          <t>P_US_ALL_OTHERS</t>
        </is>
      </c>
      <c r="G250" t="inlineStr">
        <is>
          <t>Month-2026.M09.W38</t>
        </is>
      </c>
      <c r="H250" t="inlineStr">
        <is>
          <t>Reasonability Adjustment</t>
        </is>
      </c>
      <c r="I250" t="n">
        <v>-365</v>
      </c>
      <c r="J250" t="n">
        <v>-221</v>
      </c>
      <c r="L250" t="n">
        <v>-929</v>
      </c>
    </row>
    <row r="251">
      <c r="A251" t="inlineStr">
        <is>
          <t>Gucci</t>
        </is>
      </c>
      <c r="B251" t="inlineStr">
        <is>
          <t>Gucci Guilty (00840)</t>
        </is>
      </c>
      <c r="C251" t="inlineStr">
        <is>
          <t>Gucci Guilty PF 21 (00005854)</t>
        </is>
      </c>
      <c r="D251" s="1" t="n">
        <v>3616302039548</v>
      </c>
      <c r="E251" t="inlineStr">
        <is>
          <t>GG PF21 EDT NS 10 ML IV</t>
        </is>
      </c>
      <c r="F251" t="inlineStr">
        <is>
          <t>P_US_ALL_OTHERS</t>
        </is>
      </c>
      <c r="G251" t="inlineStr">
        <is>
          <t>Month-2026.M09.W38</t>
        </is>
      </c>
      <c r="H251" t="inlineStr">
        <is>
          <t>Total Demand Assumption</t>
        </is>
      </c>
      <c r="I251" t="n">
        <v>0</v>
      </c>
      <c r="J251" t="n">
        <v>-835</v>
      </c>
    </row>
    <row r="252">
      <c r="A252" t="inlineStr">
        <is>
          <t>Gucci</t>
        </is>
      </c>
      <c r="B252" t="inlineStr">
        <is>
          <t>Gucci Guilty (00840)</t>
        </is>
      </c>
      <c r="C252" t="inlineStr">
        <is>
          <t>Gucci Guilty PF 21 (00005854)</t>
        </is>
      </c>
      <c r="D252" s="1" t="n">
        <v>3616302039548</v>
      </c>
      <c r="E252" t="inlineStr">
        <is>
          <t>GG PF21 EDT NS 10 ML IV</t>
        </is>
      </c>
      <c r="F252" t="inlineStr">
        <is>
          <t>P_US_ALL_OTHERS</t>
        </is>
      </c>
      <c r="G252" t="inlineStr">
        <is>
          <t>Month-2026.M09.W38</t>
        </is>
      </c>
      <c r="H252" t="inlineStr">
        <is>
          <t>Consensus - Final</t>
        </is>
      </c>
      <c r="I252" t="n">
        <v>383</v>
      </c>
      <c r="J252" t="n">
        <v>626</v>
      </c>
      <c r="K252" t="n">
        <v>713.405529953917</v>
      </c>
      <c r="L252" t="n">
        <v>1861</v>
      </c>
      <c r="M252" t="n">
        <v>68</v>
      </c>
      <c r="N252" t="n">
        <v>67</v>
      </c>
      <c r="O252" t="n">
        <v>66</v>
      </c>
      <c r="P252" t="n">
        <v>68</v>
      </c>
      <c r="Q252" t="n">
        <v>221</v>
      </c>
      <c r="R252" t="n">
        <v>68</v>
      </c>
      <c r="S252" t="n">
        <v>66</v>
      </c>
      <c r="T252" t="n">
        <v>455</v>
      </c>
    </row>
    <row r="253">
      <c r="A253" t="inlineStr">
        <is>
          <t>Gucci</t>
        </is>
      </c>
      <c r="B253" t="inlineStr">
        <is>
          <t>Gucci Guilty (00840)</t>
        </is>
      </c>
      <c r="C253" t="inlineStr">
        <is>
          <t>Gucci Guilty PF 21 (00005854)</t>
        </is>
      </c>
      <c r="D253" s="1" t="n">
        <v>3616302039548</v>
      </c>
      <c r="E253" t="inlineStr">
        <is>
          <t>GG PF21 EDT NS 10 ML IV</t>
        </is>
      </c>
      <c r="F253" t="inlineStr">
        <is>
          <t>P_US_ALL_OTHERS</t>
        </is>
      </c>
      <c r="G253" t="inlineStr">
        <is>
          <t>Month-2026.M09.W38</t>
        </is>
      </c>
      <c r="H253" t="inlineStr">
        <is>
          <t>Supply Cuts</t>
        </is>
      </c>
    </row>
    <row r="254">
      <c r="A254" t="inlineStr">
        <is>
          <t>Gucci</t>
        </is>
      </c>
      <c r="B254" t="inlineStr">
        <is>
          <t>Gucci Guilty (00840)</t>
        </is>
      </c>
      <c r="C254" t="inlineStr">
        <is>
          <t>Gucci Guilty PF 21 (00005854)</t>
        </is>
      </c>
      <c r="D254" s="1" t="n">
        <v>3616302039548</v>
      </c>
      <c r="E254" t="inlineStr">
        <is>
          <t>GG PF21 EDT NS 10 ML IV</t>
        </is>
      </c>
      <c r="F254" t="inlineStr">
        <is>
          <t>P_US_FG</t>
        </is>
      </c>
      <c r="G254" t="inlineStr">
        <is>
          <t>CurrentWorkingView</t>
        </is>
      </c>
      <c r="H254" t="inlineStr">
        <is>
          <t>Consensus - Final LY M</t>
        </is>
      </c>
      <c r="P254" t="n">
        <v>10</v>
      </c>
    </row>
    <row r="255">
      <c r="A255" t="inlineStr">
        <is>
          <t>Gucci</t>
        </is>
      </c>
      <c r="B255" t="inlineStr">
        <is>
          <t>Gucci Guilty (00840)</t>
        </is>
      </c>
      <c r="C255" t="inlineStr">
        <is>
          <t>Gucci Guilty PF 21 (00005854)</t>
        </is>
      </c>
      <c r="D255" s="1" t="n">
        <v>3616302039548</v>
      </c>
      <c r="E255" t="inlineStr">
        <is>
          <t>GG PF21 EDT NS 10 ML IV</t>
        </is>
      </c>
      <c r="F255" t="inlineStr">
        <is>
          <t>P_US_FG</t>
        </is>
      </c>
      <c r="G255" t="inlineStr">
        <is>
          <t>CurrentWorkingView</t>
        </is>
      </c>
      <c r="H255" t="inlineStr">
        <is>
          <t>System FC - Final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Gucci</t>
        </is>
      </c>
      <c r="B256" t="inlineStr">
        <is>
          <t>Gucci Guilty (00840)</t>
        </is>
      </c>
      <c r="C256" t="inlineStr">
        <is>
          <t>Gucci Guilty PF 21 (00005854)</t>
        </is>
      </c>
      <c r="D256" s="1" t="n">
        <v>3616302039548</v>
      </c>
      <c r="E256" t="inlineStr">
        <is>
          <t>GG PF21 EDT NS 10 ML IV</t>
        </is>
      </c>
      <c r="F256" t="inlineStr">
        <is>
          <t>P_US_FG</t>
        </is>
      </c>
      <c r="G256" t="inlineStr">
        <is>
          <t>CurrentWorkingView</t>
        </is>
      </c>
      <c r="H256" t="inlineStr">
        <is>
          <t>EPOS</t>
        </is>
      </c>
    </row>
    <row r="257">
      <c r="A257" t="inlineStr">
        <is>
          <t>Gucci</t>
        </is>
      </c>
      <c r="B257" t="inlineStr">
        <is>
          <t>Gucci Guilty (00840)</t>
        </is>
      </c>
      <c r="C257" t="inlineStr">
        <is>
          <t>Gucci Guilty PF 21 (00005854)</t>
        </is>
      </c>
      <c r="D257" s="1" t="n">
        <v>3616302039548</v>
      </c>
      <c r="E257" t="inlineStr">
        <is>
          <t>GG PF21 EDT NS 10 ML IV</t>
        </is>
      </c>
      <c r="F257" t="inlineStr">
        <is>
          <t>P_US_FG</t>
        </is>
      </c>
      <c r="G257" t="inlineStr">
        <is>
          <t>CurrentWorkingView</t>
        </is>
      </c>
      <c r="H257" t="inlineStr">
        <is>
          <t>Reasonability Adjustment</t>
        </is>
      </c>
    </row>
    <row r="258">
      <c r="A258" t="inlineStr">
        <is>
          <t>Gucci</t>
        </is>
      </c>
      <c r="B258" t="inlineStr">
        <is>
          <t>Gucci Guilty (00840)</t>
        </is>
      </c>
      <c r="C258" t="inlineStr">
        <is>
          <t>Gucci Guilty PF 21 (00005854)</t>
        </is>
      </c>
      <c r="D258" s="1" t="n">
        <v>3616302039548</v>
      </c>
      <c r="E258" t="inlineStr">
        <is>
          <t>GG PF21 EDT NS 10 ML IV</t>
        </is>
      </c>
      <c r="F258" t="inlineStr">
        <is>
          <t>P_US_FG</t>
        </is>
      </c>
      <c r="G258" t="inlineStr">
        <is>
          <t>CurrentWorkingView</t>
        </is>
      </c>
      <c r="H258" t="inlineStr">
        <is>
          <t>Total Demand Assumption</t>
        </is>
      </c>
    </row>
    <row r="259">
      <c r="A259" t="inlineStr">
        <is>
          <t>Gucci</t>
        </is>
      </c>
      <c r="B259" t="inlineStr">
        <is>
          <t>Gucci Guilty (00840)</t>
        </is>
      </c>
      <c r="C259" t="inlineStr">
        <is>
          <t>Gucci Guilty PF 21 (00005854)</t>
        </is>
      </c>
      <c r="D259" s="1" t="n">
        <v>3616302039548</v>
      </c>
      <c r="E259" t="inlineStr">
        <is>
          <t>GG PF21 EDT NS 10 ML IV</t>
        </is>
      </c>
      <c r="F259" t="inlineStr">
        <is>
          <t>P_US_FG</t>
        </is>
      </c>
      <c r="G259" t="inlineStr">
        <is>
          <t>CurrentWorkingView</t>
        </is>
      </c>
      <c r="H259" t="inlineStr">
        <is>
          <t>Consensus - Final</t>
        </is>
      </c>
      <c r="K259" t="n">
        <v>0</v>
      </c>
    </row>
    <row r="260">
      <c r="A260" t="inlineStr">
        <is>
          <t>Gucci</t>
        </is>
      </c>
      <c r="B260" t="inlineStr">
        <is>
          <t>Gucci Guilty (00840)</t>
        </is>
      </c>
      <c r="C260" t="inlineStr">
        <is>
          <t>Gucci Guilty PF 21 (00005854)</t>
        </is>
      </c>
      <c r="D260" s="1" t="n">
        <v>3616302039548</v>
      </c>
      <c r="E260" t="inlineStr">
        <is>
          <t>GG PF21 EDT NS 10 ML IV</t>
        </is>
      </c>
      <c r="F260" t="inlineStr">
        <is>
          <t>P_US_FG</t>
        </is>
      </c>
      <c r="G260" t="inlineStr">
        <is>
          <t>CurrentWorkingView</t>
        </is>
      </c>
      <c r="H260" t="inlineStr">
        <is>
          <t>Supply Cuts</t>
        </is>
      </c>
    </row>
    <row r="261">
      <c r="A261" t="inlineStr">
        <is>
          <t>Gucci</t>
        </is>
      </c>
      <c r="B261" t="inlineStr">
        <is>
          <t>Gucci Guilty (00840)</t>
        </is>
      </c>
      <c r="C261" t="inlineStr">
        <is>
          <t>Gucci Guilty PF 21 (00005854)</t>
        </is>
      </c>
      <c r="D261" s="1" t="n">
        <v>3616302039548</v>
      </c>
      <c r="E261" t="inlineStr">
        <is>
          <t>GG PF21 EDT NS 10 ML IV</t>
        </is>
      </c>
      <c r="F261" t="inlineStr">
        <is>
          <t>P_US_FG</t>
        </is>
      </c>
      <c r="G261" t="inlineStr">
        <is>
          <t>Month-2026.M09.W38</t>
        </is>
      </c>
      <c r="H261" t="inlineStr">
        <is>
          <t>Consensus - Final LY M</t>
        </is>
      </c>
      <c r="P261" t="n">
        <v>10</v>
      </c>
    </row>
    <row r="262">
      <c r="A262" t="inlineStr">
        <is>
          <t>Gucci</t>
        </is>
      </c>
      <c r="B262" t="inlineStr">
        <is>
          <t>Gucci Guilty (00840)</t>
        </is>
      </c>
      <c r="C262" t="inlineStr">
        <is>
          <t>Gucci Guilty PF 21 (00005854)</t>
        </is>
      </c>
      <c r="D262" s="1" t="n">
        <v>3616302039548</v>
      </c>
      <c r="E262" t="inlineStr">
        <is>
          <t>GG PF21 EDT NS 10 ML IV</t>
        </is>
      </c>
      <c r="F262" t="inlineStr">
        <is>
          <t>P_US_FG</t>
        </is>
      </c>
      <c r="G262" t="inlineStr">
        <is>
          <t>Month-2026.M09.W38</t>
        </is>
      </c>
      <c r="H262" t="inlineStr">
        <is>
          <t>System FC - Final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Gucci</t>
        </is>
      </c>
      <c r="B263" t="inlineStr">
        <is>
          <t>Gucci Guilty (00840)</t>
        </is>
      </c>
      <c r="C263" t="inlineStr">
        <is>
          <t>Gucci Guilty PF 21 (00005854)</t>
        </is>
      </c>
      <c r="D263" s="1" t="n">
        <v>3616302039548</v>
      </c>
      <c r="E263" t="inlineStr">
        <is>
          <t>GG PF21 EDT NS 10 ML IV</t>
        </is>
      </c>
      <c r="F263" t="inlineStr">
        <is>
          <t>P_US_FG</t>
        </is>
      </c>
      <c r="G263" t="inlineStr">
        <is>
          <t>Month-2026.M09.W38</t>
        </is>
      </c>
      <c r="H263" t="inlineStr">
        <is>
          <t>EPOS</t>
        </is>
      </c>
    </row>
    <row r="264">
      <c r="A264" t="inlineStr">
        <is>
          <t>Gucci</t>
        </is>
      </c>
      <c r="B264" t="inlineStr">
        <is>
          <t>Gucci Guilty (00840)</t>
        </is>
      </c>
      <c r="C264" t="inlineStr">
        <is>
          <t>Gucci Guilty PF 21 (00005854)</t>
        </is>
      </c>
      <c r="D264" s="1" t="n">
        <v>3616302039548</v>
      </c>
      <c r="E264" t="inlineStr">
        <is>
          <t>GG PF21 EDT NS 10 ML IV</t>
        </is>
      </c>
      <c r="F264" t="inlineStr">
        <is>
          <t>P_US_FG</t>
        </is>
      </c>
      <c r="G264" t="inlineStr">
        <is>
          <t>Month-2026.M09.W38</t>
        </is>
      </c>
      <c r="H264" t="inlineStr">
        <is>
          <t>Reasonability Adjustment</t>
        </is>
      </c>
    </row>
    <row r="265">
      <c r="A265" t="inlineStr">
        <is>
          <t>Gucci</t>
        </is>
      </c>
      <c r="B265" t="inlineStr">
        <is>
          <t>Gucci Guilty (00840)</t>
        </is>
      </c>
      <c r="C265" t="inlineStr">
        <is>
          <t>Gucci Guilty PF 21 (00005854)</t>
        </is>
      </c>
      <c r="D265" s="1" t="n">
        <v>3616302039548</v>
      </c>
      <c r="E265" t="inlineStr">
        <is>
          <t>GG PF21 EDT NS 10 ML IV</t>
        </is>
      </c>
      <c r="F265" t="inlineStr">
        <is>
          <t>P_US_FG</t>
        </is>
      </c>
      <c r="G265" t="inlineStr">
        <is>
          <t>Month-2026.M09.W38</t>
        </is>
      </c>
      <c r="H265" t="inlineStr">
        <is>
          <t>Total Demand Assumption</t>
        </is>
      </c>
    </row>
    <row r="266">
      <c r="A266" t="inlineStr">
        <is>
          <t>Gucci</t>
        </is>
      </c>
      <c r="B266" t="inlineStr">
        <is>
          <t>Gucci Guilty (00840)</t>
        </is>
      </c>
      <c r="C266" t="inlineStr">
        <is>
          <t>Gucci Guilty PF 21 (00005854)</t>
        </is>
      </c>
      <c r="D266" s="1" t="n">
        <v>3616302039548</v>
      </c>
      <c r="E266" t="inlineStr">
        <is>
          <t>GG PF21 EDT NS 10 ML IV</t>
        </is>
      </c>
      <c r="F266" t="inlineStr">
        <is>
          <t>P_US_FG</t>
        </is>
      </c>
      <c r="G266" t="inlineStr">
        <is>
          <t>Month-2026.M09.W38</t>
        </is>
      </c>
      <c r="H266" t="inlineStr">
        <is>
          <t>Consensus - Final</t>
        </is>
      </c>
      <c r="K266" t="n">
        <v>0</v>
      </c>
    </row>
    <row r="267">
      <c r="A267" t="inlineStr">
        <is>
          <t>Gucci</t>
        </is>
      </c>
      <c r="B267" t="inlineStr">
        <is>
          <t>Gucci Guilty (00840)</t>
        </is>
      </c>
      <c r="C267" t="inlineStr">
        <is>
          <t>Gucci Guilty PF 21 (00005854)</t>
        </is>
      </c>
      <c r="D267" s="1" t="n">
        <v>3616302039548</v>
      </c>
      <c r="E267" t="inlineStr">
        <is>
          <t>GG PF21 EDT NS 10 ML IV</t>
        </is>
      </c>
      <c r="F267" t="inlineStr">
        <is>
          <t>P_US_FG</t>
        </is>
      </c>
      <c r="G267" t="inlineStr">
        <is>
          <t>Month-2026.M09.W38</t>
        </is>
      </c>
      <c r="H267" t="inlineStr">
        <is>
          <t>Supply Cuts</t>
        </is>
      </c>
    </row>
    <row r="268">
      <c r="A268" t="inlineStr">
        <is>
          <t>Gucci</t>
        </is>
      </c>
      <c r="B268" t="inlineStr">
        <is>
          <t>Gucci Guilty (00840)</t>
        </is>
      </c>
      <c r="C268" t="inlineStr">
        <is>
          <t>Gucci Guilty PF 21 (00005854)</t>
        </is>
      </c>
      <c r="D268" s="1" t="n">
        <v>3616302039548</v>
      </c>
      <c r="E268" t="inlineStr">
        <is>
          <t>GG PF21 EDT NS 10 ML IV</t>
        </is>
      </c>
      <c r="F268" t="inlineStr">
        <is>
          <t>P_US_ULTA</t>
        </is>
      </c>
      <c r="G268" t="inlineStr">
        <is>
          <t>CurrentWorkingView</t>
        </is>
      </c>
      <c r="H268" t="inlineStr">
        <is>
          <t>Consensus - Final LY M</t>
        </is>
      </c>
      <c r="I268" t="n">
        <v>27</v>
      </c>
      <c r="J268" t="n">
        <v>1963</v>
      </c>
      <c r="K268" t="n">
        <v>2896</v>
      </c>
      <c r="L268" t="n">
        <v>28</v>
      </c>
      <c r="M268" t="n">
        <v>1183</v>
      </c>
      <c r="N268" t="n">
        <v>1220</v>
      </c>
      <c r="O268" t="n">
        <v>414</v>
      </c>
      <c r="P268" t="n">
        <v>1891</v>
      </c>
      <c r="Q268" t="n">
        <v>1992</v>
      </c>
      <c r="R268" t="n">
        <v>130</v>
      </c>
      <c r="S268" t="n">
        <v>262</v>
      </c>
      <c r="T268" t="n">
        <v>545</v>
      </c>
    </row>
    <row r="269">
      <c r="A269" t="inlineStr">
        <is>
          <t>Gucci</t>
        </is>
      </c>
      <c r="B269" t="inlineStr">
        <is>
          <t>Gucci Guilty (00840)</t>
        </is>
      </c>
      <c r="C269" t="inlineStr">
        <is>
          <t>Gucci Guilty PF 21 (00005854)</t>
        </is>
      </c>
      <c r="D269" s="1" t="n">
        <v>3616302039548</v>
      </c>
      <c r="E269" t="inlineStr">
        <is>
          <t>GG PF21 EDT NS 10 ML IV</t>
        </is>
      </c>
      <c r="F269" t="inlineStr">
        <is>
          <t>P_US_ULTA</t>
        </is>
      </c>
      <c r="G269" t="inlineStr">
        <is>
          <t>CurrentWorkingView</t>
        </is>
      </c>
      <c r="H269" t="inlineStr">
        <is>
          <t>System FC - Final</t>
        </is>
      </c>
      <c r="I269" t="n">
        <v>413</v>
      </c>
      <c r="J269" t="n">
        <v>2053</v>
      </c>
      <c r="K269" t="n">
        <v>1644</v>
      </c>
      <c r="L269" t="n">
        <v>554</v>
      </c>
      <c r="M269" t="n">
        <v>972</v>
      </c>
      <c r="N269" t="n">
        <v>438</v>
      </c>
      <c r="O269" t="n">
        <v>602</v>
      </c>
      <c r="P269" t="n">
        <v>1960</v>
      </c>
      <c r="Q269" t="n">
        <v>1785</v>
      </c>
      <c r="R269" t="n">
        <v>875</v>
      </c>
      <c r="S269" t="n">
        <v>252</v>
      </c>
      <c r="T269" t="n">
        <v>570</v>
      </c>
    </row>
    <row r="270">
      <c r="A270" t="inlineStr">
        <is>
          <t>Gucci</t>
        </is>
      </c>
      <c r="B270" t="inlineStr">
        <is>
          <t>Gucci Guilty (00840)</t>
        </is>
      </c>
      <c r="C270" t="inlineStr">
        <is>
          <t>Gucci Guilty PF 21 (00005854)</t>
        </is>
      </c>
      <c r="D270" s="1" t="n">
        <v>3616302039548</v>
      </c>
      <c r="E270" t="inlineStr">
        <is>
          <t>GG PF21 EDT NS 10 ML IV</t>
        </is>
      </c>
      <c r="F270" t="inlineStr">
        <is>
          <t>P_US_ULTA</t>
        </is>
      </c>
      <c r="G270" t="inlineStr">
        <is>
          <t>CurrentWorkingView</t>
        </is>
      </c>
      <c r="H270" t="inlineStr">
        <is>
          <t>EPOS</t>
        </is>
      </c>
      <c r="I270" t="n">
        <v>796</v>
      </c>
    </row>
    <row r="271">
      <c r="A271" t="inlineStr">
        <is>
          <t>Gucci</t>
        </is>
      </c>
      <c r="B271" t="inlineStr">
        <is>
          <t>Gucci Guilty (00840)</t>
        </is>
      </c>
      <c r="C271" t="inlineStr">
        <is>
          <t>Gucci Guilty PF 21 (00005854)</t>
        </is>
      </c>
      <c r="D271" s="1" t="n">
        <v>3616302039548</v>
      </c>
      <c r="E271" t="inlineStr">
        <is>
          <t>GG PF21 EDT NS 10 ML IV</t>
        </is>
      </c>
      <c r="F271" t="inlineStr">
        <is>
          <t>P_US_ULTA</t>
        </is>
      </c>
      <c r="G271" t="inlineStr">
        <is>
          <t>CurrentWorkingView</t>
        </is>
      </c>
      <c r="H271" t="inlineStr">
        <is>
          <t>Reasonability Adjustment</t>
        </is>
      </c>
      <c r="I271" t="n">
        <v>-35</v>
      </c>
      <c r="J271" t="n">
        <v>-179</v>
      </c>
      <c r="L271" t="n">
        <v>-71</v>
      </c>
    </row>
    <row r="272">
      <c r="A272" t="inlineStr">
        <is>
          <t>Gucci</t>
        </is>
      </c>
      <c r="B272" t="inlineStr">
        <is>
          <t>Gucci Guilty (00840)</t>
        </is>
      </c>
      <c r="C272" t="inlineStr">
        <is>
          <t>Gucci Guilty PF 21 (00005854)</t>
        </is>
      </c>
      <c r="D272" s="1" t="n">
        <v>3616302039548</v>
      </c>
      <c r="E272" t="inlineStr">
        <is>
          <t>GG PF21 EDT NS 10 ML IV</t>
        </is>
      </c>
      <c r="F272" t="inlineStr">
        <is>
          <t>P_US_ULTA</t>
        </is>
      </c>
      <c r="G272" t="inlineStr">
        <is>
          <t>CurrentWorkingView</t>
        </is>
      </c>
      <c r="H272" t="inlineStr">
        <is>
          <t>Total Demand Assumption</t>
        </is>
      </c>
    </row>
    <row r="273">
      <c r="A273" t="inlineStr">
        <is>
          <t>Gucci</t>
        </is>
      </c>
      <c r="B273" t="inlineStr">
        <is>
          <t>Gucci Guilty (00840)</t>
        </is>
      </c>
      <c r="C273" t="inlineStr">
        <is>
          <t>Gucci Guilty PF 21 (00005854)</t>
        </is>
      </c>
      <c r="D273" s="1" t="n">
        <v>3616302039548</v>
      </c>
      <c r="E273" t="inlineStr">
        <is>
          <t>GG PF21 EDT NS 10 ML IV</t>
        </is>
      </c>
      <c r="F273" t="inlineStr">
        <is>
          <t>P_US_ULTA</t>
        </is>
      </c>
      <c r="G273" t="inlineStr">
        <is>
          <t>CurrentWorkingView</t>
        </is>
      </c>
      <c r="H273" t="inlineStr">
        <is>
          <t>Consensus - Final</t>
        </is>
      </c>
      <c r="I273" t="n">
        <v>413</v>
      </c>
      <c r="J273" t="n">
        <v>2053</v>
      </c>
      <c r="K273" t="n">
        <v>1700.59447004608</v>
      </c>
      <c r="L273" t="n">
        <v>483</v>
      </c>
      <c r="M273" t="n">
        <v>972</v>
      </c>
      <c r="N273" t="n">
        <v>438</v>
      </c>
      <c r="O273" t="n">
        <v>602</v>
      </c>
      <c r="P273" t="n">
        <v>1960</v>
      </c>
      <c r="Q273" t="n">
        <v>1785</v>
      </c>
      <c r="R273" t="n">
        <v>875</v>
      </c>
      <c r="S273" t="n">
        <v>252</v>
      </c>
      <c r="T273" t="n">
        <v>570</v>
      </c>
    </row>
    <row r="274">
      <c r="A274" t="inlineStr">
        <is>
          <t>Gucci</t>
        </is>
      </c>
      <c r="B274" t="inlineStr">
        <is>
          <t>Gucci Guilty (00840)</t>
        </is>
      </c>
      <c r="C274" t="inlineStr">
        <is>
          <t>Gucci Guilty PF 21 (00005854)</t>
        </is>
      </c>
      <c r="D274" s="1" t="n">
        <v>3616302039548</v>
      </c>
      <c r="E274" t="inlineStr">
        <is>
          <t>GG PF21 EDT NS 10 ML IV</t>
        </is>
      </c>
      <c r="F274" t="inlineStr">
        <is>
          <t>P_US_ULTA</t>
        </is>
      </c>
      <c r="G274" t="inlineStr">
        <is>
          <t>CurrentWorkingView</t>
        </is>
      </c>
      <c r="H274" t="inlineStr">
        <is>
          <t>Supply Cuts</t>
        </is>
      </c>
    </row>
    <row r="275">
      <c r="A275" t="inlineStr">
        <is>
          <t>Gucci</t>
        </is>
      </c>
      <c r="B275" t="inlineStr">
        <is>
          <t>Gucci Guilty (00840)</t>
        </is>
      </c>
      <c r="C275" t="inlineStr">
        <is>
          <t>Gucci Guilty PF 21 (00005854)</t>
        </is>
      </c>
      <c r="D275" s="1" t="n">
        <v>3616302039548</v>
      </c>
      <c r="E275" t="inlineStr">
        <is>
          <t>GG PF21 EDT NS 10 ML IV</t>
        </is>
      </c>
      <c r="F275" t="inlineStr">
        <is>
          <t>P_US_ULTA</t>
        </is>
      </c>
      <c r="G275" t="inlineStr">
        <is>
          <t>Month-2026.M09.W38</t>
        </is>
      </c>
      <c r="H275" t="inlineStr">
        <is>
          <t>Consensus - Final LY M</t>
        </is>
      </c>
      <c r="I275" t="n">
        <v>27</v>
      </c>
      <c r="J275" t="n">
        <v>1963</v>
      </c>
      <c r="K275" t="n">
        <v>2896</v>
      </c>
      <c r="L275" t="n">
        <v>28</v>
      </c>
      <c r="M275" t="n">
        <v>1183</v>
      </c>
      <c r="N275" t="n">
        <v>1220</v>
      </c>
      <c r="O275" t="n">
        <v>414</v>
      </c>
      <c r="P275" t="n">
        <v>1891</v>
      </c>
      <c r="Q275" t="n">
        <v>1992</v>
      </c>
      <c r="R275" t="n">
        <v>130</v>
      </c>
      <c r="S275" t="n">
        <v>262</v>
      </c>
      <c r="T275" t="n">
        <v>545</v>
      </c>
    </row>
    <row r="276">
      <c r="A276" t="inlineStr">
        <is>
          <t>Gucci</t>
        </is>
      </c>
      <c r="B276" t="inlineStr">
        <is>
          <t>Gucci Guilty (00840)</t>
        </is>
      </c>
      <c r="C276" t="inlineStr">
        <is>
          <t>Gucci Guilty PF 21 (00005854)</t>
        </is>
      </c>
      <c r="D276" s="1" t="n">
        <v>3616302039548</v>
      </c>
      <c r="E276" t="inlineStr">
        <is>
          <t>GG PF21 EDT NS 10 ML IV</t>
        </is>
      </c>
      <c r="F276" t="inlineStr">
        <is>
          <t>P_US_ULTA</t>
        </is>
      </c>
      <c r="G276" t="inlineStr">
        <is>
          <t>Month-2026.M09.W38</t>
        </is>
      </c>
      <c r="H276" t="inlineStr">
        <is>
          <t>System FC - Final</t>
        </is>
      </c>
      <c r="I276" t="n">
        <v>413</v>
      </c>
      <c r="J276" t="n">
        <v>2053</v>
      </c>
      <c r="K276" t="n">
        <v>1017</v>
      </c>
      <c r="L276" t="n">
        <v>213</v>
      </c>
      <c r="M276" t="n">
        <v>1118</v>
      </c>
      <c r="N276" t="n">
        <v>372</v>
      </c>
      <c r="O276" t="n">
        <v>394</v>
      </c>
      <c r="P276" t="n">
        <v>1100</v>
      </c>
      <c r="Q276" t="n">
        <v>766</v>
      </c>
      <c r="R276" t="n">
        <v>699</v>
      </c>
      <c r="S276" t="n">
        <v>10</v>
      </c>
      <c r="T276" t="n">
        <v>486</v>
      </c>
    </row>
    <row r="277">
      <c r="A277" t="inlineStr">
        <is>
          <t>Gucci</t>
        </is>
      </c>
      <c r="B277" t="inlineStr">
        <is>
          <t>Gucci Guilty (00840)</t>
        </is>
      </c>
      <c r="C277" t="inlineStr">
        <is>
          <t>Gucci Guilty PF 21 (00005854)</t>
        </is>
      </c>
      <c r="D277" s="1" t="n">
        <v>3616302039548</v>
      </c>
      <c r="E277" t="inlineStr">
        <is>
          <t>GG PF21 EDT NS 10 ML IV</t>
        </is>
      </c>
      <c r="F277" t="inlineStr">
        <is>
          <t>P_US_ULTA</t>
        </is>
      </c>
      <c r="G277" t="inlineStr">
        <is>
          <t>Month-2026.M09.W38</t>
        </is>
      </c>
      <c r="H277" t="inlineStr">
        <is>
          <t>EPOS</t>
        </is>
      </c>
      <c r="I277" t="n">
        <v>796</v>
      </c>
    </row>
    <row r="278">
      <c r="A278" t="inlineStr">
        <is>
          <t>Gucci</t>
        </is>
      </c>
      <c r="B278" t="inlineStr">
        <is>
          <t>Gucci Guilty (00840)</t>
        </is>
      </c>
      <c r="C278" t="inlineStr">
        <is>
          <t>Gucci Guilty PF 21 (00005854)</t>
        </is>
      </c>
      <c r="D278" s="1" t="n">
        <v>3616302039548</v>
      </c>
      <c r="E278" t="inlineStr">
        <is>
          <t>GG PF21 EDT NS 10 ML IV</t>
        </is>
      </c>
      <c r="F278" t="inlineStr">
        <is>
          <t>P_US_ULTA</t>
        </is>
      </c>
      <c r="G278" t="inlineStr">
        <is>
          <t>Month-2026.M09.W38</t>
        </is>
      </c>
      <c r="H278" t="inlineStr">
        <is>
          <t>Reasonability Adjustment</t>
        </is>
      </c>
      <c r="I278" t="n">
        <v>-35</v>
      </c>
      <c r="J278" t="n">
        <v>-179</v>
      </c>
      <c r="L278" t="n">
        <v>-71</v>
      </c>
    </row>
    <row r="279">
      <c r="A279" t="inlineStr">
        <is>
          <t>Gucci</t>
        </is>
      </c>
      <c r="B279" t="inlineStr">
        <is>
          <t>Gucci Guilty (00840)</t>
        </is>
      </c>
      <c r="C279" t="inlineStr">
        <is>
          <t>Gucci Guilty PF 21 (00005854)</t>
        </is>
      </c>
      <c r="D279" s="1" t="n">
        <v>3616302039548</v>
      </c>
      <c r="E279" t="inlineStr">
        <is>
          <t>GG PF21 EDT NS 10 ML IV</t>
        </is>
      </c>
      <c r="F279" t="inlineStr">
        <is>
          <t>P_US_ULTA</t>
        </is>
      </c>
      <c r="G279" t="inlineStr">
        <is>
          <t>Month-2026.M09.W38</t>
        </is>
      </c>
      <c r="H279" t="inlineStr">
        <is>
          <t>Total Demand Assumption</t>
        </is>
      </c>
    </row>
    <row r="280">
      <c r="A280" t="inlineStr">
        <is>
          <t>Gucci</t>
        </is>
      </c>
      <c r="B280" t="inlineStr">
        <is>
          <t>Gucci Guilty (00840)</t>
        </is>
      </c>
      <c r="C280" t="inlineStr">
        <is>
          <t>Gucci Guilty PF 21 (00005854)</t>
        </is>
      </c>
      <c r="D280" s="1" t="n">
        <v>3616302039548</v>
      </c>
      <c r="E280" t="inlineStr">
        <is>
          <t>GG PF21 EDT NS 10 ML IV</t>
        </is>
      </c>
      <c r="F280" t="inlineStr">
        <is>
          <t>P_US_ULTA</t>
        </is>
      </c>
      <c r="G280" t="inlineStr">
        <is>
          <t>Month-2026.M09.W38</t>
        </is>
      </c>
      <c r="H280" t="inlineStr">
        <is>
          <t>Consensus - Final</t>
        </is>
      </c>
      <c r="I280" t="n">
        <v>413</v>
      </c>
      <c r="J280" t="n">
        <v>2053</v>
      </c>
      <c r="K280" t="n">
        <v>1700.59447004608</v>
      </c>
      <c r="L280" t="n">
        <v>142</v>
      </c>
      <c r="M280" t="n">
        <v>1118</v>
      </c>
      <c r="N280" t="n">
        <v>372</v>
      </c>
      <c r="O280" t="n">
        <v>394</v>
      </c>
      <c r="P280" t="n">
        <v>1100</v>
      </c>
      <c r="Q280" t="n">
        <v>766</v>
      </c>
      <c r="R280" t="n">
        <v>699</v>
      </c>
      <c r="S280" t="n">
        <v>10</v>
      </c>
      <c r="T280" t="n">
        <v>486</v>
      </c>
    </row>
    <row r="281">
      <c r="A281" t="inlineStr">
        <is>
          <t>Gucci</t>
        </is>
      </c>
      <c r="B281" t="inlineStr">
        <is>
          <t>Gucci Guilty (00840)</t>
        </is>
      </c>
      <c r="C281" t="inlineStr">
        <is>
          <t>Gucci Guilty PF 21 (00005854)</t>
        </is>
      </c>
      <c r="D281" s="1" t="n">
        <v>3616302039548</v>
      </c>
      <c r="E281" t="inlineStr">
        <is>
          <t>GG PF21 EDT NS 10 ML IV</t>
        </is>
      </c>
      <c r="F281" t="inlineStr">
        <is>
          <t>P_US_ULTA</t>
        </is>
      </c>
      <c r="G281" t="inlineStr">
        <is>
          <t>Month-2026.M09.W38</t>
        </is>
      </c>
      <c r="H281" t="inlineStr">
        <is>
          <t>Supply Cuts</t>
        </is>
      </c>
    </row>
    <row r="282">
      <c r="A282" t="inlineStr">
        <is>
          <t>Gucci</t>
        </is>
      </c>
      <c r="B282" t="inlineStr">
        <is>
          <t>Gucci Bloom (01043)</t>
        </is>
      </c>
      <c r="C282" t="inlineStr">
        <is>
          <t>Gucci Bloom EDT (00005943)</t>
        </is>
      </c>
      <c r="D282" s="1" t="n">
        <v>3616302514298</v>
      </c>
      <c r="E282" t="inlineStr">
        <is>
          <t>GUCCI BM EDT NS 100 ML RG IV</t>
        </is>
      </c>
      <c r="F282" t="inlineStr">
        <is>
          <t>P_US_ALL_OTHERS</t>
        </is>
      </c>
      <c r="G282" t="inlineStr">
        <is>
          <t>CurrentWorkingView</t>
        </is>
      </c>
      <c r="H282" t="inlineStr">
        <is>
          <t>Consensus - Final LY M</t>
        </is>
      </c>
      <c r="I282" t="n">
        <v>2497</v>
      </c>
      <c r="J282" t="n">
        <v>211</v>
      </c>
      <c r="K282" t="n">
        <v>72</v>
      </c>
      <c r="L282" t="n">
        <v>1887</v>
      </c>
      <c r="M282" t="n">
        <v>279</v>
      </c>
      <c r="N282" t="n">
        <v>950</v>
      </c>
      <c r="O282" t="n">
        <v>946</v>
      </c>
      <c r="P282" t="n">
        <v>314</v>
      </c>
      <c r="Q282" t="n">
        <v>468</v>
      </c>
      <c r="R282" t="n">
        <v>1657</v>
      </c>
      <c r="S282" t="n">
        <v>606</v>
      </c>
      <c r="T282" t="n">
        <v>149</v>
      </c>
    </row>
    <row r="283">
      <c r="A283" t="inlineStr">
        <is>
          <t>Gucci</t>
        </is>
      </c>
      <c r="B283" t="inlineStr">
        <is>
          <t>Gucci Bloom (01043)</t>
        </is>
      </c>
      <c r="C283" t="inlineStr">
        <is>
          <t>Gucci Bloom EDT (00005943)</t>
        </is>
      </c>
      <c r="D283" s="1" t="n">
        <v>3616302514298</v>
      </c>
      <c r="E283" t="inlineStr">
        <is>
          <t>GUCCI BM EDT NS 100 ML RG IV</t>
        </is>
      </c>
      <c r="F283" t="inlineStr">
        <is>
          <t>P_US_ALL_OTHERS</t>
        </is>
      </c>
      <c r="G283" t="inlineStr">
        <is>
          <t>CurrentWorkingView</t>
        </is>
      </c>
      <c r="H283" t="inlineStr">
        <is>
          <t>System FC - Final</t>
        </is>
      </c>
      <c r="I283" t="n">
        <v>4099</v>
      </c>
      <c r="J283" t="n">
        <v>1223</v>
      </c>
      <c r="K283" t="n">
        <v>905</v>
      </c>
      <c r="L283" t="n">
        <v>1187</v>
      </c>
      <c r="M283" t="n">
        <v>799</v>
      </c>
      <c r="N283" t="n">
        <v>1032</v>
      </c>
      <c r="O283" t="n">
        <v>647</v>
      </c>
      <c r="P283" t="n">
        <v>732</v>
      </c>
      <c r="Q283" t="n">
        <v>965</v>
      </c>
      <c r="R283" t="n">
        <v>895</v>
      </c>
      <c r="S283" t="n">
        <v>686</v>
      </c>
      <c r="T283" t="n">
        <v>287</v>
      </c>
    </row>
    <row r="284">
      <c r="A284" t="inlineStr">
        <is>
          <t>Gucci</t>
        </is>
      </c>
      <c r="B284" t="inlineStr">
        <is>
          <t>Gucci Bloom (01043)</t>
        </is>
      </c>
      <c r="C284" t="inlineStr">
        <is>
          <t>Gucci Bloom EDT (00005943)</t>
        </is>
      </c>
      <c r="D284" s="1" t="n">
        <v>3616302514298</v>
      </c>
      <c r="E284" t="inlineStr">
        <is>
          <t>GUCCI BM EDT NS 100 ML RG IV</t>
        </is>
      </c>
      <c r="F284" t="inlineStr">
        <is>
          <t>P_US_ALL_OTHERS</t>
        </is>
      </c>
      <c r="G284" t="inlineStr">
        <is>
          <t>CurrentWorkingView</t>
        </is>
      </c>
      <c r="H284" t="inlineStr">
        <is>
          <t>EPOS</t>
        </is>
      </c>
      <c r="I284" t="n">
        <v>194</v>
      </c>
    </row>
    <row r="285">
      <c r="A285" t="inlineStr">
        <is>
          <t>Gucci</t>
        </is>
      </c>
      <c r="B285" t="inlineStr">
        <is>
          <t>Gucci Bloom (01043)</t>
        </is>
      </c>
      <c r="C285" t="inlineStr">
        <is>
          <t>Gucci Bloom EDT (00005943)</t>
        </is>
      </c>
      <c r="D285" s="1" t="n">
        <v>3616302514298</v>
      </c>
      <c r="E285" t="inlineStr">
        <is>
          <t>GUCCI BM EDT NS 100 ML RG IV</t>
        </is>
      </c>
      <c r="F285" t="inlineStr">
        <is>
          <t>P_US_ALL_OTHERS</t>
        </is>
      </c>
      <c r="G285" t="inlineStr">
        <is>
          <t>CurrentWorkingView</t>
        </is>
      </c>
      <c r="H285" t="inlineStr">
        <is>
          <t>Reasonability Adjustment</t>
        </is>
      </c>
      <c r="J285" t="n">
        <v>105</v>
      </c>
      <c r="K285" t="n">
        <v>-343</v>
      </c>
      <c r="L285" t="n">
        <v>-175</v>
      </c>
      <c r="M285" t="n">
        <v>0</v>
      </c>
      <c r="N285" t="n">
        <v>-409</v>
      </c>
      <c r="O285" t="n">
        <v>0</v>
      </c>
      <c r="P285" t="n">
        <v>-280</v>
      </c>
      <c r="Q285" t="n">
        <v>-176</v>
      </c>
      <c r="R285" t="n">
        <v>-146</v>
      </c>
    </row>
    <row r="286">
      <c r="A286" t="inlineStr">
        <is>
          <t>Gucci</t>
        </is>
      </c>
      <c r="B286" t="inlineStr">
        <is>
          <t>Gucci Bloom (01043)</t>
        </is>
      </c>
      <c r="C286" t="inlineStr">
        <is>
          <t>Gucci Bloom EDT (00005943)</t>
        </is>
      </c>
      <c r="D286" s="1" t="n">
        <v>3616302514298</v>
      </c>
      <c r="E286" t="inlineStr">
        <is>
          <t>GUCCI BM EDT NS 100 ML RG IV</t>
        </is>
      </c>
      <c r="F286" t="inlineStr">
        <is>
          <t>P_US_ALL_OTHERS</t>
        </is>
      </c>
      <c r="G286" t="inlineStr">
        <is>
          <t>CurrentWorkingView</t>
        </is>
      </c>
      <c r="H286" t="inlineStr">
        <is>
          <t>Total Demand Assumption</t>
        </is>
      </c>
      <c r="I286" t="n">
        <v>-100</v>
      </c>
      <c r="J286" t="n">
        <v>900</v>
      </c>
      <c r="K286" t="n">
        <v>3383</v>
      </c>
      <c r="L286" t="n">
        <v>-146</v>
      </c>
      <c r="M286" t="n">
        <v>-76</v>
      </c>
      <c r="N286" t="n">
        <v>-138</v>
      </c>
    </row>
    <row r="287">
      <c r="A287" t="inlineStr">
        <is>
          <t>Gucci</t>
        </is>
      </c>
      <c r="B287" t="inlineStr">
        <is>
          <t>Gucci Bloom (01043)</t>
        </is>
      </c>
      <c r="C287" t="inlineStr">
        <is>
          <t>Gucci Bloom EDT (00005943)</t>
        </is>
      </c>
      <c r="D287" s="1" t="n">
        <v>3616302514298</v>
      </c>
      <c r="E287" t="inlineStr">
        <is>
          <t>GUCCI BM EDT NS 100 ML RG IV</t>
        </is>
      </c>
      <c r="F287" t="inlineStr">
        <is>
          <t>P_US_ALL_OTHERS</t>
        </is>
      </c>
      <c r="G287" t="inlineStr">
        <is>
          <t>CurrentWorkingView</t>
        </is>
      </c>
      <c r="H287" t="inlineStr">
        <is>
          <t>Consensus - Final</t>
        </is>
      </c>
      <c r="I287" t="n">
        <v>4099</v>
      </c>
      <c r="J287" t="n">
        <v>1223</v>
      </c>
      <c r="K287" t="n">
        <v>4211.98832684824</v>
      </c>
      <c r="L287" t="n">
        <v>886</v>
      </c>
      <c r="M287" t="n">
        <v>736</v>
      </c>
      <c r="N287" t="n">
        <v>485</v>
      </c>
      <c r="O287" t="n">
        <v>647</v>
      </c>
      <c r="P287" t="n">
        <v>452</v>
      </c>
      <c r="Q287" t="n">
        <v>789</v>
      </c>
      <c r="R287" t="n">
        <v>749</v>
      </c>
      <c r="S287" t="n">
        <v>686</v>
      </c>
      <c r="T287" t="n">
        <v>287</v>
      </c>
    </row>
    <row r="288">
      <c r="A288" t="inlineStr">
        <is>
          <t>Gucci</t>
        </is>
      </c>
      <c r="B288" t="inlineStr">
        <is>
          <t>Gucci Bloom (01043)</t>
        </is>
      </c>
      <c r="C288" t="inlineStr">
        <is>
          <t>Gucci Bloom EDT (00005943)</t>
        </is>
      </c>
      <c r="D288" s="1" t="n">
        <v>3616302514298</v>
      </c>
      <c r="E288" t="inlineStr">
        <is>
          <t>GUCCI BM EDT NS 100 ML RG IV</t>
        </is>
      </c>
      <c r="F288" t="inlineStr">
        <is>
          <t>P_US_ALL_OTHERS</t>
        </is>
      </c>
      <c r="G288" t="inlineStr">
        <is>
          <t>CurrentWorkingView</t>
        </is>
      </c>
      <c r="H288" t="inlineStr">
        <is>
          <t>Supply Cuts</t>
        </is>
      </c>
    </row>
    <row r="289">
      <c r="A289" t="inlineStr">
        <is>
          <t>Gucci</t>
        </is>
      </c>
      <c r="B289" t="inlineStr">
        <is>
          <t>Gucci Bloom (01043)</t>
        </is>
      </c>
      <c r="C289" t="inlineStr">
        <is>
          <t>Gucci Bloom EDT (00005943)</t>
        </is>
      </c>
      <c r="D289" s="1" t="n">
        <v>3616302514298</v>
      </c>
      <c r="E289" t="inlineStr">
        <is>
          <t>GUCCI BM EDT NS 100 ML RG IV</t>
        </is>
      </c>
      <c r="F289" t="inlineStr">
        <is>
          <t>P_US_ALL_OTHERS</t>
        </is>
      </c>
      <c r="G289" t="inlineStr">
        <is>
          <t>Month-2026.M09.W38</t>
        </is>
      </c>
      <c r="H289" t="inlineStr">
        <is>
          <t>Consensus - Final LY M</t>
        </is>
      </c>
      <c r="I289" t="n">
        <v>2497</v>
      </c>
      <c r="J289" t="n">
        <v>211</v>
      </c>
      <c r="K289" t="n">
        <v>72</v>
      </c>
      <c r="L289" t="n">
        <v>1887</v>
      </c>
      <c r="M289" t="n">
        <v>279</v>
      </c>
      <c r="N289" t="n">
        <v>950</v>
      </c>
      <c r="O289" t="n">
        <v>946</v>
      </c>
      <c r="P289" t="n">
        <v>314</v>
      </c>
      <c r="Q289" t="n">
        <v>468</v>
      </c>
      <c r="R289" t="n">
        <v>1657</v>
      </c>
      <c r="S289" t="n">
        <v>606</v>
      </c>
      <c r="T289" t="n">
        <v>149</v>
      </c>
    </row>
    <row r="290">
      <c r="A290" t="inlineStr">
        <is>
          <t>Gucci</t>
        </is>
      </c>
      <c r="B290" t="inlineStr">
        <is>
          <t>Gucci Bloom (01043)</t>
        </is>
      </c>
      <c r="C290" t="inlineStr">
        <is>
          <t>Gucci Bloom EDT (00005943)</t>
        </is>
      </c>
      <c r="D290" s="1" t="n">
        <v>3616302514298</v>
      </c>
      <c r="E290" t="inlineStr">
        <is>
          <t>GUCCI BM EDT NS 100 ML RG IV</t>
        </is>
      </c>
      <c r="F290" t="inlineStr">
        <is>
          <t>P_US_ALL_OTHERS</t>
        </is>
      </c>
      <c r="G290" t="inlineStr">
        <is>
          <t>Month-2026.M09.W38</t>
        </is>
      </c>
      <c r="H290" t="inlineStr">
        <is>
          <t>System FC - Final</t>
        </is>
      </c>
      <c r="I290" t="n">
        <v>4099</v>
      </c>
      <c r="J290" t="n">
        <v>1223</v>
      </c>
      <c r="K290" t="n">
        <v>693</v>
      </c>
      <c r="L290" t="n">
        <v>1187</v>
      </c>
      <c r="M290" t="n">
        <v>798</v>
      </c>
      <c r="N290" t="n">
        <v>1032</v>
      </c>
      <c r="O290" t="n">
        <v>647</v>
      </c>
      <c r="P290" t="n">
        <v>732</v>
      </c>
      <c r="Q290" t="n">
        <v>965</v>
      </c>
      <c r="R290" t="n">
        <v>895</v>
      </c>
      <c r="S290" t="n">
        <v>686</v>
      </c>
      <c r="T290" t="n">
        <v>564</v>
      </c>
    </row>
    <row r="291">
      <c r="A291" t="inlineStr">
        <is>
          <t>Gucci</t>
        </is>
      </c>
      <c r="B291" t="inlineStr">
        <is>
          <t>Gucci Bloom (01043)</t>
        </is>
      </c>
      <c r="C291" t="inlineStr">
        <is>
          <t>Gucci Bloom EDT (00005943)</t>
        </is>
      </c>
      <c r="D291" s="1" t="n">
        <v>3616302514298</v>
      </c>
      <c r="E291" t="inlineStr">
        <is>
          <t>GUCCI BM EDT NS 100 ML RG IV</t>
        </is>
      </c>
      <c r="F291" t="inlineStr">
        <is>
          <t>P_US_ALL_OTHERS</t>
        </is>
      </c>
      <c r="G291" t="inlineStr">
        <is>
          <t>Month-2026.M09.W38</t>
        </is>
      </c>
      <c r="H291" t="inlineStr">
        <is>
          <t>EPOS</t>
        </is>
      </c>
      <c r="I291" t="n">
        <v>194</v>
      </c>
    </row>
    <row r="292">
      <c r="A292" t="inlineStr">
        <is>
          <t>Gucci</t>
        </is>
      </c>
      <c r="B292" t="inlineStr">
        <is>
          <t>Gucci Bloom (01043)</t>
        </is>
      </c>
      <c r="C292" t="inlineStr">
        <is>
          <t>Gucci Bloom EDT (00005943)</t>
        </is>
      </c>
      <c r="D292" s="1" t="n">
        <v>3616302514298</v>
      </c>
      <c r="E292" t="inlineStr">
        <is>
          <t>GUCCI BM EDT NS 100 ML RG IV</t>
        </is>
      </c>
      <c r="F292" t="inlineStr">
        <is>
          <t>P_US_ALL_OTHERS</t>
        </is>
      </c>
      <c r="G292" t="inlineStr">
        <is>
          <t>Month-2026.M09.W38</t>
        </is>
      </c>
      <c r="H292" t="inlineStr">
        <is>
          <t>Reasonability Adjustment</t>
        </is>
      </c>
      <c r="J292" t="n">
        <v>105</v>
      </c>
      <c r="K292" t="n">
        <v>-343</v>
      </c>
      <c r="L292" t="n">
        <v>-175</v>
      </c>
      <c r="M292" t="n">
        <v>0</v>
      </c>
      <c r="N292" t="n">
        <v>-409</v>
      </c>
      <c r="O292" t="n">
        <v>0</v>
      </c>
      <c r="P292" t="n">
        <v>-280</v>
      </c>
      <c r="Q292" t="n">
        <v>-176</v>
      </c>
      <c r="R292" t="n">
        <v>-146</v>
      </c>
    </row>
    <row r="293">
      <c r="A293" t="inlineStr">
        <is>
          <t>Gucci</t>
        </is>
      </c>
      <c r="B293" t="inlineStr">
        <is>
          <t>Gucci Bloom (01043)</t>
        </is>
      </c>
      <c r="C293" t="inlineStr">
        <is>
          <t>Gucci Bloom EDT (00005943)</t>
        </is>
      </c>
      <c r="D293" s="1" t="n">
        <v>3616302514298</v>
      </c>
      <c r="E293" t="inlineStr">
        <is>
          <t>GUCCI BM EDT NS 100 ML RG IV</t>
        </is>
      </c>
      <c r="F293" t="inlineStr">
        <is>
          <t>P_US_ALL_OTHERS</t>
        </is>
      </c>
      <c r="G293" t="inlineStr">
        <is>
          <t>Month-2026.M09.W38</t>
        </is>
      </c>
      <c r="H293" t="inlineStr">
        <is>
          <t>Total Demand Assumption</t>
        </is>
      </c>
      <c r="I293" t="n">
        <v>-100</v>
      </c>
      <c r="J293" t="n">
        <v>900</v>
      </c>
      <c r="K293" t="n">
        <v>3383</v>
      </c>
      <c r="L293" t="n">
        <v>-146</v>
      </c>
      <c r="M293" t="n">
        <v>-76</v>
      </c>
      <c r="N293" t="n">
        <v>-138</v>
      </c>
    </row>
    <row r="294">
      <c r="A294" t="inlineStr">
        <is>
          <t>Gucci</t>
        </is>
      </c>
      <c r="B294" t="inlineStr">
        <is>
          <t>Gucci Bloom (01043)</t>
        </is>
      </c>
      <c r="C294" t="inlineStr">
        <is>
          <t>Gucci Bloom EDT (00005943)</t>
        </is>
      </c>
      <c r="D294" s="1" t="n">
        <v>3616302514298</v>
      </c>
      <c r="E294" t="inlineStr">
        <is>
          <t>GUCCI BM EDT NS 100 ML RG IV</t>
        </is>
      </c>
      <c r="F294" t="inlineStr">
        <is>
          <t>P_US_ALL_OTHERS</t>
        </is>
      </c>
      <c r="G294" t="inlineStr">
        <is>
          <t>Month-2026.M09.W38</t>
        </is>
      </c>
      <c r="H294" t="inlineStr">
        <is>
          <t>Consensus - Final</t>
        </is>
      </c>
      <c r="I294" t="n">
        <v>4099</v>
      </c>
      <c r="J294" t="n">
        <v>1223</v>
      </c>
      <c r="K294" t="n">
        <v>4211.98832684824</v>
      </c>
      <c r="L294" t="n">
        <v>866</v>
      </c>
      <c r="M294" t="n">
        <v>722</v>
      </c>
      <c r="N294" t="n">
        <v>485</v>
      </c>
      <c r="O294" t="n">
        <v>647</v>
      </c>
      <c r="P294" t="n">
        <v>452</v>
      </c>
      <c r="Q294" t="n">
        <v>789</v>
      </c>
      <c r="R294" t="n">
        <v>749</v>
      </c>
      <c r="S294" t="n">
        <v>686</v>
      </c>
      <c r="T294" t="n">
        <v>564</v>
      </c>
    </row>
    <row r="295">
      <c r="A295" t="inlineStr">
        <is>
          <t>Gucci</t>
        </is>
      </c>
      <c r="B295" t="inlineStr">
        <is>
          <t>Gucci Bloom (01043)</t>
        </is>
      </c>
      <c r="C295" t="inlineStr">
        <is>
          <t>Gucci Bloom EDT (00005943)</t>
        </is>
      </c>
      <c r="D295" s="1" t="n">
        <v>3616302514298</v>
      </c>
      <c r="E295" t="inlineStr">
        <is>
          <t>GUCCI BM EDT NS 100 ML RG IV</t>
        </is>
      </c>
      <c r="F295" t="inlineStr">
        <is>
          <t>P_US_ALL_OTHERS</t>
        </is>
      </c>
      <c r="G295" t="inlineStr">
        <is>
          <t>Month-2026.M09.W38</t>
        </is>
      </c>
      <c r="H295" t="inlineStr">
        <is>
          <t>Supply Cuts</t>
        </is>
      </c>
    </row>
    <row r="296">
      <c r="A296" t="inlineStr">
        <is>
          <t>Gucci</t>
        </is>
      </c>
      <c r="B296" t="inlineStr">
        <is>
          <t>Gucci Bloom (01043)</t>
        </is>
      </c>
      <c r="C296" t="inlineStr">
        <is>
          <t>Gucci Bloom EDT (00005943)</t>
        </is>
      </c>
      <c r="D296" s="1" t="n">
        <v>3616302514298</v>
      </c>
      <c r="E296" t="inlineStr">
        <is>
          <t>GUCCI BM EDT NS 100 ML RG IV</t>
        </is>
      </c>
      <c r="F296" t="inlineStr">
        <is>
          <t>P_US_FG</t>
        </is>
      </c>
      <c r="G296" t="inlineStr">
        <is>
          <t>CurrentWorkingView</t>
        </is>
      </c>
      <c r="H296" t="inlineStr">
        <is>
          <t>Consensus - Final LY M</t>
        </is>
      </c>
      <c r="M296" t="n">
        <v>15</v>
      </c>
    </row>
    <row r="297">
      <c r="A297" t="inlineStr">
        <is>
          <t>Gucci</t>
        </is>
      </c>
      <c r="B297" t="inlineStr">
        <is>
          <t>Gucci Bloom (01043)</t>
        </is>
      </c>
      <c r="C297" t="inlineStr">
        <is>
          <t>Gucci Bloom EDT (00005943)</t>
        </is>
      </c>
      <c r="D297" s="1" t="n">
        <v>3616302514298</v>
      </c>
      <c r="E297" t="inlineStr">
        <is>
          <t>GUCCI BM EDT NS 100 ML RG IV</t>
        </is>
      </c>
      <c r="F297" t="inlineStr">
        <is>
          <t>P_US_FG</t>
        </is>
      </c>
      <c r="G297" t="inlineStr">
        <is>
          <t>CurrentWorkingView</t>
        </is>
      </c>
      <c r="H297" t="inlineStr">
        <is>
          <t>System FC - Final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Gucci</t>
        </is>
      </c>
      <c r="B298" t="inlineStr">
        <is>
          <t>Gucci Bloom (01043)</t>
        </is>
      </c>
      <c r="C298" t="inlineStr">
        <is>
          <t>Gucci Bloom EDT (00005943)</t>
        </is>
      </c>
      <c r="D298" s="1" t="n">
        <v>3616302514298</v>
      </c>
      <c r="E298" t="inlineStr">
        <is>
          <t>GUCCI BM EDT NS 100 ML RG IV</t>
        </is>
      </c>
      <c r="F298" t="inlineStr">
        <is>
          <t>P_US_FG</t>
        </is>
      </c>
      <c r="G298" t="inlineStr">
        <is>
          <t>CurrentWorkingView</t>
        </is>
      </c>
      <c r="H298" t="inlineStr">
        <is>
          <t>EPOS</t>
        </is>
      </c>
    </row>
    <row r="299">
      <c r="A299" t="inlineStr">
        <is>
          <t>Gucci</t>
        </is>
      </c>
      <c r="B299" t="inlineStr">
        <is>
          <t>Gucci Bloom (01043)</t>
        </is>
      </c>
      <c r="C299" t="inlineStr">
        <is>
          <t>Gucci Bloom EDT (00005943)</t>
        </is>
      </c>
      <c r="D299" s="1" t="n">
        <v>3616302514298</v>
      </c>
      <c r="E299" t="inlineStr">
        <is>
          <t>GUCCI BM EDT NS 100 ML RG IV</t>
        </is>
      </c>
      <c r="F299" t="inlineStr">
        <is>
          <t>P_US_FG</t>
        </is>
      </c>
      <c r="G299" t="inlineStr">
        <is>
          <t>CurrentWorkingView</t>
        </is>
      </c>
      <c r="H299" t="inlineStr">
        <is>
          <t>Reasonability Adjustment</t>
        </is>
      </c>
    </row>
    <row r="300">
      <c r="A300" t="inlineStr">
        <is>
          <t>Gucci</t>
        </is>
      </c>
      <c r="B300" t="inlineStr">
        <is>
          <t>Gucci Bloom (01043)</t>
        </is>
      </c>
      <c r="C300" t="inlineStr">
        <is>
          <t>Gucci Bloom EDT (00005943)</t>
        </is>
      </c>
      <c r="D300" s="1" t="n">
        <v>3616302514298</v>
      </c>
      <c r="E300" t="inlineStr">
        <is>
          <t>GUCCI BM EDT NS 100 ML RG IV</t>
        </is>
      </c>
      <c r="F300" t="inlineStr">
        <is>
          <t>P_US_FG</t>
        </is>
      </c>
      <c r="G300" t="inlineStr">
        <is>
          <t>CurrentWorkingView</t>
        </is>
      </c>
      <c r="H300" t="inlineStr">
        <is>
          <t>Total Demand Assumption</t>
        </is>
      </c>
    </row>
    <row r="301">
      <c r="A301" t="inlineStr">
        <is>
          <t>Gucci</t>
        </is>
      </c>
      <c r="B301" t="inlineStr">
        <is>
          <t>Gucci Bloom (01043)</t>
        </is>
      </c>
      <c r="C301" t="inlineStr">
        <is>
          <t>Gucci Bloom EDT (00005943)</t>
        </is>
      </c>
      <c r="D301" s="1" t="n">
        <v>3616302514298</v>
      </c>
      <c r="E301" t="inlineStr">
        <is>
          <t>GUCCI BM EDT NS 100 ML RG IV</t>
        </is>
      </c>
      <c r="F301" t="inlineStr">
        <is>
          <t>P_US_FG</t>
        </is>
      </c>
      <c r="G301" t="inlineStr">
        <is>
          <t>CurrentWorkingView</t>
        </is>
      </c>
      <c r="H301" t="inlineStr">
        <is>
          <t>Consensus - Final</t>
        </is>
      </c>
      <c r="K301" t="n">
        <v>0</v>
      </c>
    </row>
    <row r="302">
      <c r="A302" t="inlineStr">
        <is>
          <t>Gucci</t>
        </is>
      </c>
      <c r="B302" t="inlineStr">
        <is>
          <t>Gucci Bloom (01043)</t>
        </is>
      </c>
      <c r="C302" t="inlineStr">
        <is>
          <t>Gucci Bloom EDT (00005943)</t>
        </is>
      </c>
      <c r="D302" s="1" t="n">
        <v>3616302514298</v>
      </c>
      <c r="E302" t="inlineStr">
        <is>
          <t>GUCCI BM EDT NS 100 ML RG IV</t>
        </is>
      </c>
      <c r="F302" t="inlineStr">
        <is>
          <t>P_US_FG</t>
        </is>
      </c>
      <c r="G302" t="inlineStr">
        <is>
          <t>CurrentWorkingView</t>
        </is>
      </c>
      <c r="H302" t="inlineStr">
        <is>
          <t>Supply Cuts</t>
        </is>
      </c>
    </row>
    <row r="303">
      <c r="A303" t="inlineStr">
        <is>
          <t>Gucci</t>
        </is>
      </c>
      <c r="B303" t="inlineStr">
        <is>
          <t>Gucci Bloom (01043)</t>
        </is>
      </c>
      <c r="C303" t="inlineStr">
        <is>
          <t>Gucci Bloom EDT (00005943)</t>
        </is>
      </c>
      <c r="D303" s="1" t="n">
        <v>3616302514298</v>
      </c>
      <c r="E303" t="inlineStr">
        <is>
          <t>GUCCI BM EDT NS 100 ML RG IV</t>
        </is>
      </c>
      <c r="F303" t="inlineStr">
        <is>
          <t>P_US_FG</t>
        </is>
      </c>
      <c r="G303" t="inlineStr">
        <is>
          <t>Month-2026.M09.W38</t>
        </is>
      </c>
      <c r="H303" t="inlineStr">
        <is>
          <t>Consensus - Final LY M</t>
        </is>
      </c>
      <c r="M303" t="n">
        <v>15</v>
      </c>
    </row>
    <row r="304">
      <c r="A304" t="inlineStr">
        <is>
          <t>Gucci</t>
        </is>
      </c>
      <c r="B304" t="inlineStr">
        <is>
          <t>Gucci Bloom (01043)</t>
        </is>
      </c>
      <c r="C304" t="inlineStr">
        <is>
          <t>Gucci Bloom EDT (00005943)</t>
        </is>
      </c>
      <c r="D304" s="1" t="n">
        <v>3616302514298</v>
      </c>
      <c r="E304" t="inlineStr">
        <is>
          <t>GUCCI BM EDT NS 100 ML RG IV</t>
        </is>
      </c>
      <c r="F304" t="inlineStr">
        <is>
          <t>P_US_FG</t>
        </is>
      </c>
      <c r="G304" t="inlineStr">
        <is>
          <t>Month-2026.M09.W38</t>
        </is>
      </c>
      <c r="H304" t="inlineStr">
        <is>
          <t>System FC - Final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Gucci</t>
        </is>
      </c>
      <c r="B305" t="inlineStr">
        <is>
          <t>Gucci Bloom (01043)</t>
        </is>
      </c>
      <c r="C305" t="inlineStr">
        <is>
          <t>Gucci Bloom EDT (00005943)</t>
        </is>
      </c>
      <c r="D305" s="1" t="n">
        <v>3616302514298</v>
      </c>
      <c r="E305" t="inlineStr">
        <is>
          <t>GUCCI BM EDT NS 100 ML RG IV</t>
        </is>
      </c>
      <c r="F305" t="inlineStr">
        <is>
          <t>P_US_FG</t>
        </is>
      </c>
      <c r="G305" t="inlineStr">
        <is>
          <t>Month-2026.M09.W38</t>
        </is>
      </c>
      <c r="H305" t="inlineStr">
        <is>
          <t>EPOS</t>
        </is>
      </c>
    </row>
    <row r="306">
      <c r="A306" t="inlineStr">
        <is>
          <t>Gucci</t>
        </is>
      </c>
      <c r="B306" t="inlineStr">
        <is>
          <t>Gucci Bloom (01043)</t>
        </is>
      </c>
      <c r="C306" t="inlineStr">
        <is>
          <t>Gucci Bloom EDT (00005943)</t>
        </is>
      </c>
      <c r="D306" s="1" t="n">
        <v>3616302514298</v>
      </c>
      <c r="E306" t="inlineStr">
        <is>
          <t>GUCCI BM EDT NS 100 ML RG IV</t>
        </is>
      </c>
      <c r="F306" t="inlineStr">
        <is>
          <t>P_US_FG</t>
        </is>
      </c>
      <c r="G306" t="inlineStr">
        <is>
          <t>Month-2026.M09.W38</t>
        </is>
      </c>
      <c r="H306" t="inlineStr">
        <is>
          <t>Reasonability Adjustment</t>
        </is>
      </c>
    </row>
    <row r="307">
      <c r="A307" t="inlineStr">
        <is>
          <t>Gucci</t>
        </is>
      </c>
      <c r="B307" t="inlineStr">
        <is>
          <t>Gucci Bloom (01043)</t>
        </is>
      </c>
      <c r="C307" t="inlineStr">
        <is>
          <t>Gucci Bloom EDT (00005943)</t>
        </is>
      </c>
      <c r="D307" s="1" t="n">
        <v>3616302514298</v>
      </c>
      <c r="E307" t="inlineStr">
        <is>
          <t>GUCCI BM EDT NS 100 ML RG IV</t>
        </is>
      </c>
      <c r="F307" t="inlineStr">
        <is>
          <t>P_US_FG</t>
        </is>
      </c>
      <c r="G307" t="inlineStr">
        <is>
          <t>Month-2026.M09.W38</t>
        </is>
      </c>
      <c r="H307" t="inlineStr">
        <is>
          <t>Total Demand Assumption</t>
        </is>
      </c>
    </row>
    <row r="308">
      <c r="A308" t="inlineStr">
        <is>
          <t>Gucci</t>
        </is>
      </c>
      <c r="B308" t="inlineStr">
        <is>
          <t>Gucci Bloom (01043)</t>
        </is>
      </c>
      <c r="C308" t="inlineStr">
        <is>
          <t>Gucci Bloom EDT (00005943)</t>
        </is>
      </c>
      <c r="D308" s="1" t="n">
        <v>3616302514298</v>
      </c>
      <c r="E308" t="inlineStr">
        <is>
          <t>GUCCI BM EDT NS 100 ML RG IV</t>
        </is>
      </c>
      <c r="F308" t="inlineStr">
        <is>
          <t>P_US_FG</t>
        </is>
      </c>
      <c r="G308" t="inlineStr">
        <is>
          <t>Month-2026.M09.W38</t>
        </is>
      </c>
      <c r="H308" t="inlineStr">
        <is>
          <t>Consensus - Final</t>
        </is>
      </c>
      <c r="K308" t="n">
        <v>0</v>
      </c>
    </row>
    <row r="309">
      <c r="A309" t="inlineStr">
        <is>
          <t>Gucci</t>
        </is>
      </c>
      <c r="B309" t="inlineStr">
        <is>
          <t>Gucci Bloom (01043)</t>
        </is>
      </c>
      <c r="C309" t="inlineStr">
        <is>
          <t>Gucci Bloom EDT (00005943)</t>
        </is>
      </c>
      <c r="D309" s="1" t="n">
        <v>3616302514298</v>
      </c>
      <c r="E309" t="inlineStr">
        <is>
          <t>GUCCI BM EDT NS 100 ML RG IV</t>
        </is>
      </c>
      <c r="F309" t="inlineStr">
        <is>
          <t>P_US_FG</t>
        </is>
      </c>
      <c r="G309" t="inlineStr">
        <is>
          <t>Month-2026.M09.W38</t>
        </is>
      </c>
      <c r="H309" t="inlineStr">
        <is>
          <t>Supply Cuts</t>
        </is>
      </c>
    </row>
    <row r="310">
      <c r="A310" t="inlineStr">
        <is>
          <t>Gucci</t>
        </is>
      </c>
      <c r="B310" t="inlineStr">
        <is>
          <t>Gucci Bloom (01043)</t>
        </is>
      </c>
      <c r="C310" t="inlineStr">
        <is>
          <t>Gucci Bloom EDT (00005943)</t>
        </is>
      </c>
      <c r="D310" s="1" t="n">
        <v>3616302514298</v>
      </c>
      <c r="E310" t="inlineStr">
        <is>
          <t>GUCCI BM EDT NS 100 ML RG IV</t>
        </is>
      </c>
      <c r="F310" t="inlineStr">
        <is>
          <t>P_US_ULTA</t>
        </is>
      </c>
      <c r="G310" t="inlineStr">
        <is>
          <t>CurrentWorkingView</t>
        </is>
      </c>
      <c r="H310" t="inlineStr">
        <is>
          <t>Consensus - Final LY M</t>
        </is>
      </c>
      <c r="K310" t="n">
        <v>39</v>
      </c>
      <c r="L310" t="n">
        <v>1100</v>
      </c>
      <c r="M310" t="n">
        <v>2021</v>
      </c>
      <c r="N310" t="n">
        <v>729</v>
      </c>
      <c r="O310" t="n">
        <v>8725</v>
      </c>
      <c r="P310" t="n">
        <v>13273</v>
      </c>
      <c r="Q310" t="n">
        <v>644</v>
      </c>
      <c r="R310" t="n">
        <v>414</v>
      </c>
      <c r="S310" t="n">
        <v>869</v>
      </c>
      <c r="T310" t="n">
        <v>257</v>
      </c>
    </row>
    <row r="311">
      <c r="A311" t="inlineStr">
        <is>
          <t>Gucci</t>
        </is>
      </c>
      <c r="B311" t="inlineStr">
        <is>
          <t>Gucci Bloom (01043)</t>
        </is>
      </c>
      <c r="C311" t="inlineStr">
        <is>
          <t>Gucci Bloom EDT (00005943)</t>
        </is>
      </c>
      <c r="D311" s="1" t="n">
        <v>3616302514298</v>
      </c>
      <c r="E311" t="inlineStr">
        <is>
          <t>GUCCI BM EDT NS 100 ML RG IV</t>
        </is>
      </c>
      <c r="F311" t="inlineStr">
        <is>
          <t>P_US_ULTA</t>
        </is>
      </c>
      <c r="G311" t="inlineStr">
        <is>
          <t>CurrentWorkingView</t>
        </is>
      </c>
      <c r="H311" t="inlineStr">
        <is>
          <t>System FC - Final</t>
        </is>
      </c>
      <c r="I311" t="n">
        <v>57</v>
      </c>
      <c r="J311" t="n">
        <v>224</v>
      </c>
      <c r="K311" t="n">
        <v>723</v>
      </c>
      <c r="L311" t="n">
        <v>1633</v>
      </c>
      <c r="M311" t="n">
        <v>1059</v>
      </c>
      <c r="N311" t="n">
        <v>2104</v>
      </c>
      <c r="O311" t="n">
        <v>943</v>
      </c>
      <c r="P311" t="n">
        <v>2228</v>
      </c>
      <c r="Q311" t="n">
        <v>1829</v>
      </c>
      <c r="R311" t="n">
        <v>1598</v>
      </c>
      <c r="S311" t="n">
        <v>1855</v>
      </c>
      <c r="T311" t="n">
        <v>667</v>
      </c>
    </row>
    <row r="312">
      <c r="A312" t="inlineStr">
        <is>
          <t>Gucci</t>
        </is>
      </c>
      <c r="B312" t="inlineStr">
        <is>
          <t>Gucci Bloom (01043)</t>
        </is>
      </c>
      <c r="C312" t="inlineStr">
        <is>
          <t>Gucci Bloom EDT (00005943)</t>
        </is>
      </c>
      <c r="D312" s="1" t="n">
        <v>3616302514298</v>
      </c>
      <c r="E312" t="inlineStr">
        <is>
          <t>GUCCI BM EDT NS 100 ML RG IV</t>
        </is>
      </c>
      <c r="F312" t="inlineStr">
        <is>
          <t>P_US_ULTA</t>
        </is>
      </c>
      <c r="G312" t="inlineStr">
        <is>
          <t>CurrentWorkingView</t>
        </is>
      </c>
      <c r="H312" t="inlineStr">
        <is>
          <t>EPOS</t>
        </is>
      </c>
      <c r="I312" t="n">
        <v>217</v>
      </c>
    </row>
    <row r="313">
      <c r="A313" t="inlineStr">
        <is>
          <t>Gucci</t>
        </is>
      </c>
      <c r="B313" t="inlineStr">
        <is>
          <t>Gucci Bloom (01043)</t>
        </is>
      </c>
      <c r="C313" t="inlineStr">
        <is>
          <t>Gucci Bloom EDT (00005943)</t>
        </is>
      </c>
      <c r="D313" s="1" t="n">
        <v>3616302514298</v>
      </c>
      <c r="E313" t="inlineStr">
        <is>
          <t>GUCCI BM EDT NS 100 ML RG IV</t>
        </is>
      </c>
      <c r="F313" t="inlineStr">
        <is>
          <t>P_US_ULTA</t>
        </is>
      </c>
      <c r="G313" t="inlineStr">
        <is>
          <t>CurrentWorkingView</t>
        </is>
      </c>
      <c r="H313" t="inlineStr">
        <is>
          <t>Reasonability Adjustment</t>
        </is>
      </c>
      <c r="J313" t="n">
        <v>195</v>
      </c>
      <c r="K313" t="n">
        <v>-355</v>
      </c>
      <c r="L313" t="n">
        <v>-318</v>
      </c>
      <c r="M313" t="n">
        <v>0</v>
      </c>
      <c r="N313" t="n">
        <v>-915</v>
      </c>
      <c r="O313" t="n">
        <v>0</v>
      </c>
      <c r="P313" t="n">
        <v>-702</v>
      </c>
      <c r="Q313" t="n">
        <v>-334</v>
      </c>
      <c r="R313" t="n">
        <v>-103</v>
      </c>
    </row>
    <row r="314">
      <c r="A314" t="inlineStr">
        <is>
          <t>Gucci</t>
        </is>
      </c>
      <c r="B314" t="inlineStr">
        <is>
          <t>Gucci Bloom (01043)</t>
        </is>
      </c>
      <c r="C314" t="inlineStr">
        <is>
          <t>Gucci Bloom EDT (00005943)</t>
        </is>
      </c>
      <c r="D314" s="1" t="n">
        <v>3616302514298</v>
      </c>
      <c r="E314" t="inlineStr">
        <is>
          <t>GUCCI BM EDT NS 100 ML RG IV</t>
        </is>
      </c>
      <c r="F314" t="inlineStr">
        <is>
          <t>P_US_ULTA</t>
        </is>
      </c>
      <c r="G314" t="inlineStr">
        <is>
          <t>CurrentWorkingView</t>
        </is>
      </c>
      <c r="H314" t="inlineStr">
        <is>
          <t>Total Demand Assumption</t>
        </is>
      </c>
      <c r="I314" t="n">
        <v>-126</v>
      </c>
      <c r="J314" t="n">
        <v>-124</v>
      </c>
      <c r="K314" t="n">
        <v>-147</v>
      </c>
      <c r="L314" t="n">
        <v>-183</v>
      </c>
      <c r="M314" t="n">
        <v>-96</v>
      </c>
      <c r="N314" t="n">
        <v>-173</v>
      </c>
    </row>
    <row r="315">
      <c r="A315" t="inlineStr">
        <is>
          <t>Gucci</t>
        </is>
      </c>
      <c r="B315" t="inlineStr">
        <is>
          <t>Gucci Bloom (01043)</t>
        </is>
      </c>
      <c r="C315" t="inlineStr">
        <is>
          <t>Gucci Bloom EDT (00005943)</t>
        </is>
      </c>
      <c r="D315" s="1" t="n">
        <v>3616302514298</v>
      </c>
      <c r="E315" t="inlineStr">
        <is>
          <t>GUCCI BM EDT NS 100 ML RG IV</t>
        </is>
      </c>
      <c r="F315" t="inlineStr">
        <is>
          <t>P_US_ULTA</t>
        </is>
      </c>
      <c r="G315" t="inlineStr">
        <is>
          <t>CurrentWorkingView</t>
        </is>
      </c>
      <c r="H315" t="inlineStr">
        <is>
          <t>Consensus - Final</t>
        </is>
      </c>
      <c r="I315" t="n">
        <v>57</v>
      </c>
      <c r="J315" t="n">
        <v>224</v>
      </c>
      <c r="K315" t="n">
        <v>706.011673151751</v>
      </c>
      <c r="L315" t="n">
        <v>1166</v>
      </c>
      <c r="M315" t="n">
        <v>979</v>
      </c>
      <c r="N315" t="n">
        <v>1016</v>
      </c>
      <c r="O315" t="n">
        <v>943</v>
      </c>
      <c r="P315" t="n">
        <v>1526</v>
      </c>
      <c r="Q315" t="n">
        <v>1495</v>
      </c>
      <c r="R315" t="n">
        <v>1495</v>
      </c>
      <c r="S315" t="n">
        <v>1855</v>
      </c>
      <c r="T315" t="n">
        <v>667</v>
      </c>
    </row>
    <row r="316">
      <c r="A316" t="inlineStr">
        <is>
          <t>Gucci</t>
        </is>
      </c>
      <c r="B316" t="inlineStr">
        <is>
          <t>Gucci Bloom (01043)</t>
        </is>
      </c>
      <c r="C316" t="inlineStr">
        <is>
          <t>Gucci Bloom EDT (00005943)</t>
        </is>
      </c>
      <c r="D316" s="1" t="n">
        <v>3616302514298</v>
      </c>
      <c r="E316" t="inlineStr">
        <is>
          <t>GUCCI BM EDT NS 100 ML RG IV</t>
        </is>
      </c>
      <c r="F316" t="inlineStr">
        <is>
          <t>P_US_ULTA</t>
        </is>
      </c>
      <c r="G316" t="inlineStr">
        <is>
          <t>CurrentWorkingView</t>
        </is>
      </c>
      <c r="H316" t="inlineStr">
        <is>
          <t>Supply Cuts</t>
        </is>
      </c>
    </row>
    <row r="317">
      <c r="A317" t="inlineStr">
        <is>
          <t>Gucci</t>
        </is>
      </c>
      <c r="B317" t="inlineStr">
        <is>
          <t>Gucci Bloom (01043)</t>
        </is>
      </c>
      <c r="C317" t="inlineStr">
        <is>
          <t>Gucci Bloom EDT (00005943)</t>
        </is>
      </c>
      <c r="D317" s="1" t="n">
        <v>3616302514298</v>
      </c>
      <c r="E317" t="inlineStr">
        <is>
          <t>GUCCI BM EDT NS 100 ML RG IV</t>
        </is>
      </c>
      <c r="F317" t="inlineStr">
        <is>
          <t>P_US_ULTA</t>
        </is>
      </c>
      <c r="G317" t="inlineStr">
        <is>
          <t>Month-2026.M09.W38</t>
        </is>
      </c>
      <c r="H317" t="inlineStr">
        <is>
          <t>Consensus - Final LY M</t>
        </is>
      </c>
      <c r="K317" t="n">
        <v>39</v>
      </c>
      <c r="L317" t="n">
        <v>1100</v>
      </c>
      <c r="M317" t="n">
        <v>2021</v>
      </c>
      <c r="N317" t="n">
        <v>729</v>
      </c>
      <c r="O317" t="n">
        <v>8725</v>
      </c>
      <c r="P317" t="n">
        <v>13273</v>
      </c>
      <c r="Q317" t="n">
        <v>644</v>
      </c>
      <c r="R317" t="n">
        <v>414</v>
      </c>
      <c r="S317" t="n">
        <v>869</v>
      </c>
      <c r="T317" t="n">
        <v>257</v>
      </c>
    </row>
    <row r="318">
      <c r="A318" t="inlineStr">
        <is>
          <t>Gucci</t>
        </is>
      </c>
      <c r="B318" t="inlineStr">
        <is>
          <t>Gucci Bloom (01043)</t>
        </is>
      </c>
      <c r="C318" t="inlineStr">
        <is>
          <t>Gucci Bloom EDT (00005943)</t>
        </is>
      </c>
      <c r="D318" s="1" t="n">
        <v>3616302514298</v>
      </c>
      <c r="E318" t="inlineStr">
        <is>
          <t>GUCCI BM EDT NS 100 ML RG IV</t>
        </is>
      </c>
      <c r="F318" t="inlineStr">
        <is>
          <t>P_US_ULTA</t>
        </is>
      </c>
      <c r="G318" t="inlineStr">
        <is>
          <t>Month-2026.M09.W38</t>
        </is>
      </c>
      <c r="H318" t="inlineStr">
        <is>
          <t>System FC - Final</t>
        </is>
      </c>
      <c r="I318" t="n">
        <v>57</v>
      </c>
      <c r="J318" t="n">
        <v>224</v>
      </c>
      <c r="K318" t="n">
        <v>742</v>
      </c>
      <c r="L318" t="n">
        <v>2161</v>
      </c>
      <c r="M318" t="n">
        <v>690</v>
      </c>
      <c r="N318" t="n">
        <v>2307</v>
      </c>
      <c r="O318" t="n">
        <v>832</v>
      </c>
      <c r="P318" t="n">
        <v>1832</v>
      </c>
      <c r="Q318" t="n">
        <v>1838</v>
      </c>
      <c r="R318" t="n">
        <v>635</v>
      </c>
      <c r="S318" t="n">
        <v>974</v>
      </c>
      <c r="T318" t="n">
        <v>617</v>
      </c>
    </row>
    <row r="319">
      <c r="A319" t="inlineStr">
        <is>
          <t>Gucci</t>
        </is>
      </c>
      <c r="B319" t="inlineStr">
        <is>
          <t>Gucci Bloom (01043)</t>
        </is>
      </c>
      <c r="C319" t="inlineStr">
        <is>
          <t>Gucci Bloom EDT (00005943)</t>
        </is>
      </c>
      <c r="D319" s="1" t="n">
        <v>3616302514298</v>
      </c>
      <c r="E319" t="inlineStr">
        <is>
          <t>GUCCI BM EDT NS 100 ML RG IV</t>
        </is>
      </c>
      <c r="F319" t="inlineStr">
        <is>
          <t>P_US_ULTA</t>
        </is>
      </c>
      <c r="G319" t="inlineStr">
        <is>
          <t>Month-2026.M09.W38</t>
        </is>
      </c>
      <c r="H319" t="inlineStr">
        <is>
          <t>EPOS</t>
        </is>
      </c>
      <c r="I319" t="n">
        <v>217</v>
      </c>
    </row>
    <row r="320">
      <c r="A320" t="inlineStr">
        <is>
          <t>Gucci</t>
        </is>
      </c>
      <c r="B320" t="inlineStr">
        <is>
          <t>Gucci Bloom (01043)</t>
        </is>
      </c>
      <c r="C320" t="inlineStr">
        <is>
          <t>Gucci Bloom EDT (00005943)</t>
        </is>
      </c>
      <c r="D320" s="1" t="n">
        <v>3616302514298</v>
      </c>
      <c r="E320" t="inlineStr">
        <is>
          <t>GUCCI BM EDT NS 100 ML RG IV</t>
        </is>
      </c>
      <c r="F320" t="inlineStr">
        <is>
          <t>P_US_ULTA</t>
        </is>
      </c>
      <c r="G320" t="inlineStr">
        <is>
          <t>Month-2026.M09.W38</t>
        </is>
      </c>
      <c r="H320" t="inlineStr">
        <is>
          <t>Reasonability Adjustment</t>
        </is>
      </c>
      <c r="J320" t="n">
        <v>195</v>
      </c>
      <c r="K320" t="n">
        <v>-355</v>
      </c>
      <c r="L320" t="n">
        <v>-318</v>
      </c>
      <c r="M320" t="n">
        <v>0</v>
      </c>
      <c r="N320" t="n">
        <v>-915</v>
      </c>
      <c r="O320" t="n">
        <v>0</v>
      </c>
      <c r="P320" t="n">
        <v>-702</v>
      </c>
      <c r="Q320" t="n">
        <v>-334</v>
      </c>
      <c r="R320" t="n">
        <v>-103</v>
      </c>
    </row>
    <row r="321">
      <c r="A321" t="inlineStr">
        <is>
          <t>Gucci</t>
        </is>
      </c>
      <c r="B321" t="inlineStr">
        <is>
          <t>Gucci Bloom (01043)</t>
        </is>
      </c>
      <c r="C321" t="inlineStr">
        <is>
          <t>Gucci Bloom EDT (00005943)</t>
        </is>
      </c>
      <c r="D321" s="1" t="n">
        <v>3616302514298</v>
      </c>
      <c r="E321" t="inlineStr">
        <is>
          <t>GUCCI BM EDT NS 100 ML RG IV</t>
        </is>
      </c>
      <c r="F321" t="inlineStr">
        <is>
          <t>P_US_ULTA</t>
        </is>
      </c>
      <c r="G321" t="inlineStr">
        <is>
          <t>Month-2026.M09.W38</t>
        </is>
      </c>
      <c r="H321" t="inlineStr">
        <is>
          <t>Total Demand Assumption</t>
        </is>
      </c>
      <c r="I321" t="n">
        <v>-126</v>
      </c>
      <c r="J321" t="n">
        <v>-124</v>
      </c>
      <c r="K321" t="n">
        <v>-147</v>
      </c>
      <c r="L321" t="n">
        <v>-183</v>
      </c>
      <c r="M321" t="n">
        <v>-96</v>
      </c>
      <c r="N321" t="n">
        <v>-173</v>
      </c>
    </row>
    <row r="322">
      <c r="A322" t="inlineStr">
        <is>
          <t>Gucci</t>
        </is>
      </c>
      <c r="B322" t="inlineStr">
        <is>
          <t>Gucci Bloom (01043)</t>
        </is>
      </c>
      <c r="C322" t="inlineStr">
        <is>
          <t>Gucci Bloom EDT (00005943)</t>
        </is>
      </c>
      <c r="D322" s="1" t="n">
        <v>3616302514298</v>
      </c>
      <c r="E322" t="inlineStr">
        <is>
          <t>GUCCI BM EDT NS 100 ML RG IV</t>
        </is>
      </c>
      <c r="F322" t="inlineStr">
        <is>
          <t>P_US_ULTA</t>
        </is>
      </c>
      <c r="G322" t="inlineStr">
        <is>
          <t>Month-2026.M09.W38</t>
        </is>
      </c>
      <c r="H322" t="inlineStr">
        <is>
          <t>Consensus - Final</t>
        </is>
      </c>
      <c r="I322" t="n">
        <v>57</v>
      </c>
      <c r="J322" t="n">
        <v>224</v>
      </c>
      <c r="K322" t="n">
        <v>706.011673151751</v>
      </c>
      <c r="L322" t="n">
        <v>1660</v>
      </c>
      <c r="M322" t="n">
        <v>594</v>
      </c>
      <c r="N322" t="n">
        <v>1219</v>
      </c>
      <c r="O322" t="n">
        <v>832</v>
      </c>
      <c r="P322" t="n">
        <v>1130</v>
      </c>
      <c r="Q322" t="n">
        <v>1504</v>
      </c>
      <c r="R322" t="n">
        <v>532</v>
      </c>
      <c r="S322" t="n">
        <v>974</v>
      </c>
      <c r="T322" t="n">
        <v>617</v>
      </c>
    </row>
    <row r="323">
      <c r="A323" t="inlineStr">
        <is>
          <t>Gucci</t>
        </is>
      </c>
      <c r="B323" t="inlineStr">
        <is>
          <t>Gucci Bloom (01043)</t>
        </is>
      </c>
      <c r="C323" t="inlineStr">
        <is>
          <t>Gucci Bloom EDT (00005943)</t>
        </is>
      </c>
      <c r="D323" s="1" t="n">
        <v>3616302514298</v>
      </c>
      <c r="E323" t="inlineStr">
        <is>
          <t>GUCCI BM EDT NS 100 ML RG IV</t>
        </is>
      </c>
      <c r="F323" t="inlineStr">
        <is>
          <t>P_US_ULTA</t>
        </is>
      </c>
      <c r="G323" t="inlineStr">
        <is>
          <t>Month-2026.M09.W38</t>
        </is>
      </c>
      <c r="H323" t="inlineStr">
        <is>
          <t>Supply Cuts</t>
        </is>
      </c>
    </row>
    <row r="324">
      <c r="A324" t="inlineStr">
        <is>
          <t>Gucci</t>
        </is>
      </c>
      <c r="B324" t="inlineStr">
        <is>
          <t>Gucci Bloom (01043)</t>
        </is>
      </c>
      <c r="C324" t="inlineStr">
        <is>
          <t>Gucci Bloom EDT (00005943)</t>
        </is>
      </c>
      <c r="D324" s="1" t="n">
        <v>3616302514298</v>
      </c>
      <c r="E324" t="inlineStr">
        <is>
          <t>GUCCI BM EDT NS 100 ML RG IV</t>
        </is>
      </c>
      <c r="F324" t="inlineStr">
        <is>
          <t>P_US_VALDIST</t>
        </is>
      </c>
      <c r="G324" t="inlineStr">
        <is>
          <t>CurrentWorkingView</t>
        </is>
      </c>
      <c r="H324" t="inlineStr">
        <is>
          <t>Consensus - Final LY M</t>
        </is>
      </c>
      <c r="L324" t="n">
        <v>288</v>
      </c>
      <c r="T324" t="n">
        <v>2832</v>
      </c>
    </row>
    <row r="325">
      <c r="A325" t="inlineStr">
        <is>
          <t>Gucci</t>
        </is>
      </c>
      <c r="B325" t="inlineStr">
        <is>
          <t>Gucci Bloom (01043)</t>
        </is>
      </c>
      <c r="C325" t="inlineStr">
        <is>
          <t>Gucci Bloom EDT (00005943)</t>
        </is>
      </c>
      <c r="D325" s="1" t="n">
        <v>3616302514298</v>
      </c>
      <c r="E325" t="inlineStr">
        <is>
          <t>GUCCI BM EDT NS 100 ML RG IV</t>
        </is>
      </c>
      <c r="F325" t="inlineStr">
        <is>
          <t>P_US_VALDIST</t>
        </is>
      </c>
      <c r="G325" t="inlineStr">
        <is>
          <t>CurrentWorkingView</t>
        </is>
      </c>
      <c r="H325" t="inlineStr">
        <is>
          <t>System FC - Final</t>
        </is>
      </c>
      <c r="K325" t="n">
        <v>96</v>
      </c>
      <c r="L325" t="n">
        <v>169</v>
      </c>
      <c r="M325" t="n">
        <v>168</v>
      </c>
      <c r="N325" t="n">
        <v>168</v>
      </c>
      <c r="O325" t="n">
        <v>168</v>
      </c>
      <c r="P325" t="n">
        <v>168</v>
      </c>
      <c r="Q325" t="n">
        <v>168</v>
      </c>
      <c r="R325" t="n">
        <v>167</v>
      </c>
      <c r="S325" t="n">
        <v>168</v>
      </c>
      <c r="T325" t="n">
        <v>167</v>
      </c>
    </row>
    <row r="326">
      <c r="A326" t="inlineStr">
        <is>
          <t>Gucci</t>
        </is>
      </c>
      <c r="B326" t="inlineStr">
        <is>
          <t>Gucci Bloom (01043)</t>
        </is>
      </c>
      <c r="C326" t="inlineStr">
        <is>
          <t>Gucci Bloom EDT (00005943)</t>
        </is>
      </c>
      <c r="D326" s="1" t="n">
        <v>3616302514298</v>
      </c>
      <c r="E326" t="inlineStr">
        <is>
          <t>GUCCI BM EDT NS 100 ML RG IV</t>
        </is>
      </c>
      <c r="F326" t="inlineStr">
        <is>
          <t>P_US_VALDIST</t>
        </is>
      </c>
      <c r="G326" t="inlineStr">
        <is>
          <t>CurrentWorkingView</t>
        </is>
      </c>
      <c r="H326" t="inlineStr">
        <is>
          <t>EPOS</t>
        </is>
      </c>
    </row>
    <row r="327">
      <c r="A327" t="inlineStr">
        <is>
          <t>Gucci</t>
        </is>
      </c>
      <c r="B327" t="inlineStr">
        <is>
          <t>Gucci Bloom (01043)</t>
        </is>
      </c>
      <c r="C327" t="inlineStr">
        <is>
          <t>Gucci Bloom EDT (00005943)</t>
        </is>
      </c>
      <c r="D327" s="1" t="n">
        <v>3616302514298</v>
      </c>
      <c r="E327" t="inlineStr">
        <is>
          <t>GUCCI BM EDT NS 100 ML RG IV</t>
        </is>
      </c>
      <c r="F327" t="inlineStr">
        <is>
          <t>P_US_VALDIST</t>
        </is>
      </c>
      <c r="G327" t="inlineStr">
        <is>
          <t>CurrentWorkingView</t>
        </is>
      </c>
      <c r="H327" t="inlineStr">
        <is>
          <t>Reasonability Adjustment</t>
        </is>
      </c>
    </row>
    <row r="328">
      <c r="A328" t="inlineStr">
        <is>
          <t>Gucci</t>
        </is>
      </c>
      <c r="B328" t="inlineStr">
        <is>
          <t>Gucci Bloom (01043)</t>
        </is>
      </c>
      <c r="C328" t="inlineStr">
        <is>
          <t>Gucci Bloom EDT (00005943)</t>
        </is>
      </c>
      <c r="D328" s="1" t="n">
        <v>3616302514298</v>
      </c>
      <c r="E328" t="inlineStr">
        <is>
          <t>GUCCI BM EDT NS 100 ML RG IV</t>
        </is>
      </c>
      <c r="F328" t="inlineStr">
        <is>
          <t>P_US_VALDIST</t>
        </is>
      </c>
      <c r="G328" t="inlineStr">
        <is>
          <t>CurrentWorkingView</t>
        </is>
      </c>
      <c r="H328" t="inlineStr">
        <is>
          <t>Total Demand Assumption</t>
        </is>
      </c>
    </row>
    <row r="329">
      <c r="A329" t="inlineStr">
        <is>
          <t>Gucci</t>
        </is>
      </c>
      <c r="B329" t="inlineStr">
        <is>
          <t>Gucci Bloom (01043)</t>
        </is>
      </c>
      <c r="C329" t="inlineStr">
        <is>
          <t>Gucci Bloom EDT (00005943)</t>
        </is>
      </c>
      <c r="D329" s="1" t="n">
        <v>3616302514298</v>
      </c>
      <c r="E329" t="inlineStr">
        <is>
          <t>GUCCI BM EDT NS 100 ML RG IV</t>
        </is>
      </c>
      <c r="F329" t="inlineStr">
        <is>
          <t>P_US_VALDIST</t>
        </is>
      </c>
      <c r="G329" t="inlineStr">
        <is>
          <t>CurrentWorkingView</t>
        </is>
      </c>
      <c r="H329" t="inlineStr">
        <is>
          <t>Consensus - Final</t>
        </is>
      </c>
    </row>
    <row r="330">
      <c r="A330" t="inlineStr">
        <is>
          <t>Gucci</t>
        </is>
      </c>
      <c r="B330" t="inlineStr">
        <is>
          <t>Gucci Bloom (01043)</t>
        </is>
      </c>
      <c r="C330" t="inlineStr">
        <is>
          <t>Gucci Bloom EDT (00005943)</t>
        </is>
      </c>
      <c r="D330" s="1" t="n">
        <v>3616302514298</v>
      </c>
      <c r="E330" t="inlineStr">
        <is>
          <t>GUCCI BM EDT NS 100 ML RG IV</t>
        </is>
      </c>
      <c r="F330" t="inlineStr">
        <is>
          <t>P_US_VALDIST</t>
        </is>
      </c>
      <c r="G330" t="inlineStr">
        <is>
          <t>CurrentWorkingView</t>
        </is>
      </c>
      <c r="H330" t="inlineStr">
        <is>
          <t>Supply Cuts</t>
        </is>
      </c>
    </row>
    <row r="331">
      <c r="A331" t="inlineStr">
        <is>
          <t>Gucci</t>
        </is>
      </c>
      <c r="B331" t="inlineStr">
        <is>
          <t>Gucci Bloom (01043)</t>
        </is>
      </c>
      <c r="C331" t="inlineStr">
        <is>
          <t>Gucci Bloom EDT (00005943)</t>
        </is>
      </c>
      <c r="D331" s="1" t="n">
        <v>3616302514298</v>
      </c>
      <c r="E331" t="inlineStr">
        <is>
          <t>GUCCI BM EDT NS 100 ML RG IV</t>
        </is>
      </c>
      <c r="F331" t="inlineStr">
        <is>
          <t>P_US_VALDIST</t>
        </is>
      </c>
      <c r="G331" t="inlineStr">
        <is>
          <t>Month-2026.M09.W38</t>
        </is>
      </c>
      <c r="H331" t="inlineStr">
        <is>
          <t>Consensus - Final LY M</t>
        </is>
      </c>
      <c r="L331" t="n">
        <v>288</v>
      </c>
      <c r="T331" t="n">
        <v>2832</v>
      </c>
    </row>
    <row r="332">
      <c r="A332" t="inlineStr">
        <is>
          <t>Gucci</t>
        </is>
      </c>
      <c r="B332" t="inlineStr">
        <is>
          <t>Gucci Bloom (01043)</t>
        </is>
      </c>
      <c r="C332" t="inlineStr">
        <is>
          <t>Gucci Bloom EDT (00005943)</t>
        </is>
      </c>
      <c r="D332" s="1" t="n">
        <v>3616302514298</v>
      </c>
      <c r="E332" t="inlineStr">
        <is>
          <t>GUCCI BM EDT NS 100 ML RG IV</t>
        </is>
      </c>
      <c r="F332" t="inlineStr">
        <is>
          <t>P_US_VALDIST</t>
        </is>
      </c>
      <c r="G332" t="inlineStr">
        <is>
          <t>Month-2026.M09.W38</t>
        </is>
      </c>
      <c r="H332" t="inlineStr">
        <is>
          <t>System FC - Final</t>
        </is>
      </c>
      <c r="K332" t="n">
        <v>141</v>
      </c>
      <c r="L332" t="n">
        <v>194</v>
      </c>
      <c r="M332" t="n">
        <v>192</v>
      </c>
      <c r="N332" t="n">
        <v>194</v>
      </c>
      <c r="O332" t="n">
        <v>195</v>
      </c>
      <c r="P332" t="n">
        <v>192</v>
      </c>
      <c r="Q332" t="n">
        <v>195</v>
      </c>
      <c r="R332" t="n">
        <v>193</v>
      </c>
      <c r="S332" t="n">
        <v>194</v>
      </c>
      <c r="T332" t="n">
        <v>62</v>
      </c>
    </row>
    <row r="333">
      <c r="A333" t="inlineStr">
        <is>
          <t>Gucci</t>
        </is>
      </c>
      <c r="B333" t="inlineStr">
        <is>
          <t>Gucci Bloom (01043)</t>
        </is>
      </c>
      <c r="C333" t="inlineStr">
        <is>
          <t>Gucci Bloom EDT (00005943)</t>
        </is>
      </c>
      <c r="D333" s="1" t="n">
        <v>3616302514298</v>
      </c>
      <c r="E333" t="inlineStr">
        <is>
          <t>GUCCI BM EDT NS 100 ML RG IV</t>
        </is>
      </c>
      <c r="F333" t="inlineStr">
        <is>
          <t>P_US_VALDIST</t>
        </is>
      </c>
      <c r="G333" t="inlineStr">
        <is>
          <t>Month-2026.M09.W38</t>
        </is>
      </c>
      <c r="H333" t="inlineStr">
        <is>
          <t>EPOS</t>
        </is>
      </c>
    </row>
    <row r="334">
      <c r="A334" t="inlineStr">
        <is>
          <t>Gucci</t>
        </is>
      </c>
      <c r="B334" t="inlineStr">
        <is>
          <t>Gucci Bloom (01043)</t>
        </is>
      </c>
      <c r="C334" t="inlineStr">
        <is>
          <t>Gucci Bloom EDT (00005943)</t>
        </is>
      </c>
      <c r="D334" s="1" t="n">
        <v>3616302514298</v>
      </c>
      <c r="E334" t="inlineStr">
        <is>
          <t>GUCCI BM EDT NS 100 ML RG IV</t>
        </is>
      </c>
      <c r="F334" t="inlineStr">
        <is>
          <t>P_US_VALDIST</t>
        </is>
      </c>
      <c r="G334" t="inlineStr">
        <is>
          <t>Month-2026.M09.W38</t>
        </is>
      </c>
      <c r="H334" t="inlineStr">
        <is>
          <t>Reasonability Adjustment</t>
        </is>
      </c>
    </row>
    <row r="335">
      <c r="A335" t="inlineStr">
        <is>
          <t>Gucci</t>
        </is>
      </c>
      <c r="B335" t="inlineStr">
        <is>
          <t>Gucci Bloom (01043)</t>
        </is>
      </c>
      <c r="C335" t="inlineStr">
        <is>
          <t>Gucci Bloom EDT (00005943)</t>
        </is>
      </c>
      <c r="D335" s="1" t="n">
        <v>3616302514298</v>
      </c>
      <c r="E335" t="inlineStr">
        <is>
          <t>GUCCI BM EDT NS 100 ML RG IV</t>
        </is>
      </c>
      <c r="F335" t="inlineStr">
        <is>
          <t>P_US_VALDIST</t>
        </is>
      </c>
      <c r="G335" t="inlineStr">
        <is>
          <t>Month-2026.M09.W38</t>
        </is>
      </c>
      <c r="H335" t="inlineStr">
        <is>
          <t>Total Demand Assumption</t>
        </is>
      </c>
    </row>
    <row r="336">
      <c r="A336" t="inlineStr">
        <is>
          <t>Gucci</t>
        </is>
      </c>
      <c r="B336" t="inlineStr">
        <is>
          <t>Gucci Bloom (01043)</t>
        </is>
      </c>
      <c r="C336" t="inlineStr">
        <is>
          <t>Gucci Bloom EDT (00005943)</t>
        </is>
      </c>
      <c r="D336" s="1" t="n">
        <v>3616302514298</v>
      </c>
      <c r="E336" t="inlineStr">
        <is>
          <t>GUCCI BM EDT NS 100 ML RG IV</t>
        </is>
      </c>
      <c r="F336" t="inlineStr">
        <is>
          <t>P_US_VALDIST</t>
        </is>
      </c>
      <c r="G336" t="inlineStr">
        <is>
          <t>Month-2026.M09.W38</t>
        </is>
      </c>
      <c r="H336" t="inlineStr">
        <is>
          <t>Consensus - Final</t>
        </is>
      </c>
    </row>
    <row r="337">
      <c r="A337" t="inlineStr">
        <is>
          <t>Gucci</t>
        </is>
      </c>
      <c r="B337" t="inlineStr">
        <is>
          <t>Gucci Bloom (01043)</t>
        </is>
      </c>
      <c r="C337" t="inlineStr">
        <is>
          <t>Gucci Bloom EDT (00005943)</t>
        </is>
      </c>
      <c r="D337" s="1" t="n">
        <v>3616302514298</v>
      </c>
      <c r="E337" t="inlineStr">
        <is>
          <t>GUCCI BM EDT NS 100 ML RG IV</t>
        </is>
      </c>
      <c r="F337" t="inlineStr">
        <is>
          <t>P_US_VALDIST</t>
        </is>
      </c>
      <c r="G337" t="inlineStr">
        <is>
          <t>Month-2026.M09.W38</t>
        </is>
      </c>
      <c r="H337" t="inlineStr">
        <is>
          <t>Supply Cuts</t>
        </is>
      </c>
    </row>
    <row r="338">
      <c r="A338" t="inlineStr">
        <is>
          <t>Gucci</t>
        </is>
      </c>
      <c r="B338" t="inlineStr">
        <is>
          <t>Gucci Flora (01228)</t>
        </is>
      </c>
      <c r="C338" t="inlineStr">
        <is>
          <t>Flora Gorgeous Jasmine  (00005984)</t>
        </is>
      </c>
      <c r="D338" s="1" t="n">
        <v>3616302968534</v>
      </c>
      <c r="E338" t="inlineStr">
        <is>
          <t>GUCCI FL G JSM EDP 50 ML IV</t>
        </is>
      </c>
      <c r="F338" t="inlineStr">
        <is>
          <t>P_US_ALL_OTHERS</t>
        </is>
      </c>
      <c r="G338" t="inlineStr">
        <is>
          <t>CurrentWorkingView</t>
        </is>
      </c>
      <c r="H338" t="inlineStr">
        <is>
          <t>Consensus - Final LY M</t>
        </is>
      </c>
      <c r="I338" t="n">
        <v>1159</v>
      </c>
      <c r="J338" t="n">
        <v>670</v>
      </c>
      <c r="K338" t="n">
        <v>1302</v>
      </c>
      <c r="L338" t="n">
        <v>557</v>
      </c>
      <c r="M338" t="n">
        <v>53</v>
      </c>
      <c r="N338" t="n">
        <v>15</v>
      </c>
      <c r="O338" t="n">
        <v>1244</v>
      </c>
      <c r="P338" t="n">
        <v>250</v>
      </c>
      <c r="Q338" t="n">
        <v>533</v>
      </c>
      <c r="R338" t="n">
        <v>246</v>
      </c>
      <c r="S338" t="n">
        <v>322</v>
      </c>
      <c r="T338" t="n">
        <v>242</v>
      </c>
    </row>
    <row r="339">
      <c r="A339" t="inlineStr">
        <is>
          <t>Gucci</t>
        </is>
      </c>
      <c r="B339" t="inlineStr">
        <is>
          <t>Gucci Flora (01228)</t>
        </is>
      </c>
      <c r="C339" t="inlineStr">
        <is>
          <t>Flora Gorgeous Jasmine  (00005984)</t>
        </is>
      </c>
      <c r="D339" s="1" t="n">
        <v>3616302968534</v>
      </c>
      <c r="E339" t="inlineStr">
        <is>
          <t>GUCCI FL G JSM EDP 50 ML IV</t>
        </is>
      </c>
      <c r="F339" t="inlineStr">
        <is>
          <t>P_US_ALL_OTHERS</t>
        </is>
      </c>
      <c r="G339" t="inlineStr">
        <is>
          <t>CurrentWorkingView</t>
        </is>
      </c>
      <c r="H339" t="inlineStr">
        <is>
          <t>System FC - Final</t>
        </is>
      </c>
      <c r="I339" t="n">
        <v>1170</v>
      </c>
      <c r="J339" t="n">
        <v>424</v>
      </c>
      <c r="K339" t="n">
        <v>478</v>
      </c>
      <c r="L339" t="n">
        <v>659</v>
      </c>
      <c r="M339" t="n">
        <v>258</v>
      </c>
      <c r="N339" t="n">
        <v>327</v>
      </c>
      <c r="O339" t="n">
        <v>651</v>
      </c>
      <c r="P339" t="n">
        <v>316</v>
      </c>
      <c r="Q339" t="n">
        <v>394</v>
      </c>
      <c r="R339" t="n">
        <v>365</v>
      </c>
      <c r="S339" t="n">
        <v>226</v>
      </c>
      <c r="T339" t="n">
        <v>197</v>
      </c>
    </row>
    <row r="340">
      <c r="A340" t="inlineStr">
        <is>
          <t>Gucci</t>
        </is>
      </c>
      <c r="B340" t="inlineStr">
        <is>
          <t>Gucci Flora (01228)</t>
        </is>
      </c>
      <c r="C340" t="inlineStr">
        <is>
          <t>Flora Gorgeous Jasmine  (00005984)</t>
        </is>
      </c>
      <c r="D340" s="1" t="n">
        <v>3616302968534</v>
      </c>
      <c r="E340" t="inlineStr">
        <is>
          <t>GUCCI FL G JSM EDP 50 ML IV</t>
        </is>
      </c>
      <c r="F340" t="inlineStr">
        <is>
          <t>P_US_ALL_OTHERS</t>
        </is>
      </c>
      <c r="G340" t="inlineStr">
        <is>
          <t>CurrentWorkingView</t>
        </is>
      </c>
      <c r="H340" t="inlineStr">
        <is>
          <t>EPOS</t>
        </is>
      </c>
      <c r="I340" t="n">
        <v>320</v>
      </c>
    </row>
    <row r="341">
      <c r="A341" t="inlineStr">
        <is>
          <t>Gucci</t>
        </is>
      </c>
      <c r="B341" t="inlineStr">
        <is>
          <t>Gucci Flora (01228)</t>
        </is>
      </c>
      <c r="C341" t="inlineStr">
        <is>
          <t>Flora Gorgeous Jasmine  (00005984)</t>
        </is>
      </c>
      <c r="D341" s="1" t="n">
        <v>3616302968534</v>
      </c>
      <c r="E341" t="inlineStr">
        <is>
          <t>GUCCI FL G JSM EDP 50 ML IV</t>
        </is>
      </c>
      <c r="F341" t="inlineStr">
        <is>
          <t>P_US_ALL_OTHERS</t>
        </is>
      </c>
      <c r="G341" t="inlineStr">
        <is>
          <t>CurrentWorkingView</t>
        </is>
      </c>
      <c r="H341" t="inlineStr">
        <is>
          <t>Reasonability Adjustment</t>
        </is>
      </c>
      <c r="K341" t="n">
        <v>471</v>
      </c>
      <c r="Q341" t="n">
        <v>-268</v>
      </c>
      <c r="S341" t="n">
        <v>-102</v>
      </c>
      <c r="T341" t="n">
        <v>-309</v>
      </c>
    </row>
    <row r="342">
      <c r="A342" t="inlineStr">
        <is>
          <t>Gucci</t>
        </is>
      </c>
      <c r="B342" t="inlineStr">
        <is>
          <t>Gucci Flora (01228)</t>
        </is>
      </c>
      <c r="C342" t="inlineStr">
        <is>
          <t>Flora Gorgeous Jasmine  (00005984)</t>
        </is>
      </c>
      <c r="D342" s="1" t="n">
        <v>3616302968534</v>
      </c>
      <c r="E342" t="inlineStr">
        <is>
          <t>GUCCI FL G JSM EDP 50 ML IV</t>
        </is>
      </c>
      <c r="F342" t="inlineStr">
        <is>
          <t>P_US_ALL_OTHERS</t>
        </is>
      </c>
      <c r="G342" t="inlineStr">
        <is>
          <t>CurrentWorkingView</t>
        </is>
      </c>
      <c r="H342" t="inlineStr">
        <is>
          <t>Total Demand Assumption</t>
        </is>
      </c>
      <c r="J342" t="n">
        <v>62</v>
      </c>
    </row>
    <row r="343">
      <c r="A343" t="inlineStr">
        <is>
          <t>Gucci</t>
        </is>
      </c>
      <c r="B343" t="inlineStr">
        <is>
          <t>Gucci Flora (01228)</t>
        </is>
      </c>
      <c r="C343" t="inlineStr">
        <is>
          <t>Flora Gorgeous Jasmine  (00005984)</t>
        </is>
      </c>
      <c r="D343" s="1" t="n">
        <v>3616302968534</v>
      </c>
      <c r="E343" t="inlineStr">
        <is>
          <t>GUCCI FL G JSM EDP 50 ML IV</t>
        </is>
      </c>
      <c r="F343" t="inlineStr">
        <is>
          <t>P_US_ALL_OTHERS</t>
        </is>
      </c>
      <c r="G343" t="inlineStr">
        <is>
          <t>CurrentWorkingView</t>
        </is>
      </c>
      <c r="H343" t="inlineStr">
        <is>
          <t>Consensus - Final</t>
        </is>
      </c>
      <c r="I343" t="n">
        <v>1170</v>
      </c>
      <c r="J343" t="n">
        <v>424</v>
      </c>
      <c r="K343" t="n">
        <v>650.335849056603</v>
      </c>
      <c r="L343" t="n">
        <v>659</v>
      </c>
      <c r="M343" t="n">
        <v>258</v>
      </c>
      <c r="N343" t="n">
        <v>327</v>
      </c>
      <c r="O343" t="n">
        <v>651</v>
      </c>
      <c r="P343" t="n">
        <v>316</v>
      </c>
      <c r="Q343" t="n">
        <v>126</v>
      </c>
      <c r="R343" t="n">
        <v>365</v>
      </c>
      <c r="S343" t="n">
        <v>124</v>
      </c>
      <c r="T343" t="n">
        <v>20</v>
      </c>
    </row>
    <row r="344">
      <c r="A344" t="inlineStr">
        <is>
          <t>Gucci</t>
        </is>
      </c>
      <c r="B344" t="inlineStr">
        <is>
          <t>Gucci Flora (01228)</t>
        </is>
      </c>
      <c r="C344" t="inlineStr">
        <is>
          <t>Flora Gorgeous Jasmine  (00005984)</t>
        </is>
      </c>
      <c r="D344" s="1" t="n">
        <v>3616302968534</v>
      </c>
      <c r="E344" t="inlineStr">
        <is>
          <t>GUCCI FL G JSM EDP 50 ML IV</t>
        </is>
      </c>
      <c r="F344" t="inlineStr">
        <is>
          <t>P_US_ALL_OTHERS</t>
        </is>
      </c>
      <c r="G344" t="inlineStr">
        <is>
          <t>CurrentWorkingView</t>
        </is>
      </c>
      <c r="H344" t="inlineStr">
        <is>
          <t>Supply Cuts</t>
        </is>
      </c>
    </row>
    <row r="345">
      <c r="A345" t="inlineStr">
        <is>
          <t>Gucci</t>
        </is>
      </c>
      <c r="B345" t="inlineStr">
        <is>
          <t>Gucci Flora (01228)</t>
        </is>
      </c>
      <c r="C345" t="inlineStr">
        <is>
          <t>Flora Gorgeous Jasmine  (00005984)</t>
        </is>
      </c>
      <c r="D345" s="1" t="n">
        <v>3616302968534</v>
      </c>
      <c r="E345" t="inlineStr">
        <is>
          <t>GUCCI FL G JSM EDP 50 ML IV</t>
        </is>
      </c>
      <c r="F345" t="inlineStr">
        <is>
          <t>P_US_ALL_OTHERS</t>
        </is>
      </c>
      <c r="G345" t="inlineStr">
        <is>
          <t>Month-2026.M09.W38</t>
        </is>
      </c>
      <c r="H345" t="inlineStr">
        <is>
          <t>Consensus - Final LY M</t>
        </is>
      </c>
      <c r="I345" t="n">
        <v>1159</v>
      </c>
      <c r="J345" t="n">
        <v>670</v>
      </c>
      <c r="K345" t="n">
        <v>1302</v>
      </c>
      <c r="L345" t="n">
        <v>557</v>
      </c>
      <c r="M345" t="n">
        <v>53</v>
      </c>
      <c r="N345" t="n">
        <v>15</v>
      </c>
      <c r="O345" t="n">
        <v>1244</v>
      </c>
      <c r="P345" t="n">
        <v>250</v>
      </c>
      <c r="Q345" t="n">
        <v>533</v>
      </c>
      <c r="R345" t="n">
        <v>246</v>
      </c>
      <c r="S345" t="n">
        <v>322</v>
      </c>
      <c r="T345" t="n">
        <v>242</v>
      </c>
    </row>
    <row r="346">
      <c r="A346" t="inlineStr">
        <is>
          <t>Gucci</t>
        </is>
      </c>
      <c r="B346" t="inlineStr">
        <is>
          <t>Gucci Flora (01228)</t>
        </is>
      </c>
      <c r="C346" t="inlineStr">
        <is>
          <t>Flora Gorgeous Jasmine  (00005984)</t>
        </is>
      </c>
      <c r="D346" s="1" t="n">
        <v>3616302968534</v>
      </c>
      <c r="E346" t="inlineStr">
        <is>
          <t>GUCCI FL G JSM EDP 50 ML IV</t>
        </is>
      </c>
      <c r="F346" t="inlineStr">
        <is>
          <t>P_US_ALL_OTHERS</t>
        </is>
      </c>
      <c r="G346" t="inlineStr">
        <is>
          <t>Month-2026.M09.W38</t>
        </is>
      </c>
      <c r="H346" t="inlineStr">
        <is>
          <t>System FC - Final</t>
        </is>
      </c>
      <c r="I346" t="n">
        <v>1170</v>
      </c>
      <c r="J346" t="n">
        <v>424</v>
      </c>
      <c r="K346" t="n">
        <v>650</v>
      </c>
      <c r="L346" t="n">
        <v>470</v>
      </c>
      <c r="M346" t="n">
        <v>394</v>
      </c>
      <c r="N346" t="n">
        <v>607</v>
      </c>
      <c r="O346" t="n">
        <v>952</v>
      </c>
      <c r="P346" t="n">
        <v>380</v>
      </c>
      <c r="Q346" t="n">
        <v>593</v>
      </c>
      <c r="R346" t="n">
        <v>300</v>
      </c>
      <c r="S346" t="n">
        <v>314</v>
      </c>
      <c r="T346" t="n">
        <v>648</v>
      </c>
    </row>
    <row r="347">
      <c r="A347" t="inlineStr">
        <is>
          <t>Gucci</t>
        </is>
      </c>
      <c r="B347" t="inlineStr">
        <is>
          <t>Gucci Flora (01228)</t>
        </is>
      </c>
      <c r="C347" t="inlineStr">
        <is>
          <t>Flora Gorgeous Jasmine  (00005984)</t>
        </is>
      </c>
      <c r="D347" s="1" t="n">
        <v>3616302968534</v>
      </c>
      <c r="E347" t="inlineStr">
        <is>
          <t>GUCCI FL G JSM EDP 50 ML IV</t>
        </is>
      </c>
      <c r="F347" t="inlineStr">
        <is>
          <t>P_US_ALL_OTHERS</t>
        </is>
      </c>
      <c r="G347" t="inlineStr">
        <is>
          <t>Month-2026.M09.W38</t>
        </is>
      </c>
      <c r="H347" t="inlineStr">
        <is>
          <t>EPOS</t>
        </is>
      </c>
      <c r="I347" t="n">
        <v>320</v>
      </c>
    </row>
    <row r="348">
      <c r="A348" t="inlineStr">
        <is>
          <t>Gucci</t>
        </is>
      </c>
      <c r="B348" t="inlineStr">
        <is>
          <t>Gucci Flora (01228)</t>
        </is>
      </c>
      <c r="C348" t="inlineStr">
        <is>
          <t>Flora Gorgeous Jasmine  (00005984)</t>
        </is>
      </c>
      <c r="D348" s="1" t="n">
        <v>3616302968534</v>
      </c>
      <c r="E348" t="inlineStr">
        <is>
          <t>GUCCI FL G JSM EDP 50 ML IV</t>
        </is>
      </c>
      <c r="F348" t="inlineStr">
        <is>
          <t>P_US_ALL_OTHERS</t>
        </is>
      </c>
      <c r="G348" t="inlineStr">
        <is>
          <t>Month-2026.M09.W38</t>
        </is>
      </c>
      <c r="H348" t="inlineStr">
        <is>
          <t>Reasonability Adjustment</t>
        </is>
      </c>
      <c r="K348" t="n">
        <v>471</v>
      </c>
      <c r="Q348" t="n">
        <v>-268</v>
      </c>
      <c r="S348" t="n">
        <v>-102</v>
      </c>
      <c r="T348" t="n">
        <v>-309</v>
      </c>
    </row>
    <row r="349">
      <c r="A349" t="inlineStr">
        <is>
          <t>Gucci</t>
        </is>
      </c>
      <c r="B349" t="inlineStr">
        <is>
          <t>Gucci Flora (01228)</t>
        </is>
      </c>
      <c r="C349" t="inlineStr">
        <is>
          <t>Flora Gorgeous Jasmine  (00005984)</t>
        </is>
      </c>
      <c r="D349" s="1" t="n">
        <v>3616302968534</v>
      </c>
      <c r="E349" t="inlineStr">
        <is>
          <t>GUCCI FL G JSM EDP 50 ML IV</t>
        </is>
      </c>
      <c r="F349" t="inlineStr">
        <is>
          <t>P_US_ALL_OTHERS</t>
        </is>
      </c>
      <c r="G349" t="inlineStr">
        <is>
          <t>Month-2026.M09.W38</t>
        </is>
      </c>
      <c r="H349" t="inlineStr">
        <is>
          <t>Total Demand Assumption</t>
        </is>
      </c>
      <c r="J349" t="n">
        <v>62</v>
      </c>
    </row>
    <row r="350">
      <c r="A350" t="inlineStr">
        <is>
          <t>Gucci</t>
        </is>
      </c>
      <c r="B350" t="inlineStr">
        <is>
          <t>Gucci Flora (01228)</t>
        </is>
      </c>
      <c r="C350" t="inlineStr">
        <is>
          <t>Flora Gorgeous Jasmine  (00005984)</t>
        </is>
      </c>
      <c r="D350" s="1" t="n">
        <v>3616302968534</v>
      </c>
      <c r="E350" t="inlineStr">
        <is>
          <t>GUCCI FL G JSM EDP 50 ML IV</t>
        </is>
      </c>
      <c r="F350" t="inlineStr">
        <is>
          <t>P_US_ALL_OTHERS</t>
        </is>
      </c>
      <c r="G350" t="inlineStr">
        <is>
          <t>Month-2026.M09.W38</t>
        </is>
      </c>
      <c r="H350" t="inlineStr">
        <is>
          <t>Consensus - Final</t>
        </is>
      </c>
      <c r="I350" t="n">
        <v>1170</v>
      </c>
      <c r="J350" t="n">
        <v>424</v>
      </c>
      <c r="K350" t="n">
        <v>650.335849056603</v>
      </c>
      <c r="L350" t="n">
        <v>470</v>
      </c>
      <c r="M350" t="n">
        <v>394</v>
      </c>
      <c r="N350" t="n">
        <v>607</v>
      </c>
      <c r="O350" t="n">
        <v>952</v>
      </c>
      <c r="P350" t="n">
        <v>380</v>
      </c>
      <c r="Q350" t="n">
        <v>325</v>
      </c>
      <c r="R350" t="n">
        <v>300</v>
      </c>
      <c r="S350" t="n">
        <v>212</v>
      </c>
      <c r="T350" t="n">
        <v>339</v>
      </c>
    </row>
    <row r="351">
      <c r="A351" t="inlineStr">
        <is>
          <t>Gucci</t>
        </is>
      </c>
      <c r="B351" t="inlineStr">
        <is>
          <t>Gucci Flora (01228)</t>
        </is>
      </c>
      <c r="C351" t="inlineStr">
        <is>
          <t>Flora Gorgeous Jasmine  (00005984)</t>
        </is>
      </c>
      <c r="D351" s="1" t="n">
        <v>3616302968534</v>
      </c>
      <c r="E351" t="inlineStr">
        <is>
          <t>GUCCI FL G JSM EDP 50 ML IV</t>
        </is>
      </c>
      <c r="F351" t="inlineStr">
        <is>
          <t>P_US_ALL_OTHERS</t>
        </is>
      </c>
      <c r="G351" t="inlineStr">
        <is>
          <t>Month-2026.M09.W38</t>
        </is>
      </c>
      <c r="H351" t="inlineStr">
        <is>
          <t>Supply Cuts</t>
        </is>
      </c>
    </row>
    <row r="352">
      <c r="A352" t="inlineStr">
        <is>
          <t>Gucci</t>
        </is>
      </c>
      <c r="B352" t="inlineStr">
        <is>
          <t>Gucci Flora (01228)</t>
        </is>
      </c>
      <c r="C352" t="inlineStr">
        <is>
          <t>Flora Gorgeous Jasmine  (00005984)</t>
        </is>
      </c>
      <c r="D352" s="1" t="n">
        <v>3616302968534</v>
      </c>
      <c r="E352" t="inlineStr">
        <is>
          <t>GUCCI FL G JSM EDP 50 ML IV</t>
        </is>
      </c>
      <c r="F352" t="inlineStr">
        <is>
          <t>P_US_FG</t>
        </is>
      </c>
      <c r="G352" t="inlineStr">
        <is>
          <t>CurrentWorkingView</t>
        </is>
      </c>
      <c r="H352" t="inlineStr">
        <is>
          <t>Consensus - Final LY M</t>
        </is>
      </c>
    </row>
    <row r="353">
      <c r="A353" t="inlineStr">
        <is>
          <t>Gucci</t>
        </is>
      </c>
      <c r="B353" t="inlineStr">
        <is>
          <t>Gucci Flora (01228)</t>
        </is>
      </c>
      <c r="C353" t="inlineStr">
        <is>
          <t>Flora Gorgeous Jasmine  (00005984)</t>
        </is>
      </c>
      <c r="D353" s="1" t="n">
        <v>3616302968534</v>
      </c>
      <c r="E353" t="inlineStr">
        <is>
          <t>GUCCI FL G JSM EDP 50 ML IV</t>
        </is>
      </c>
      <c r="F353" t="inlineStr">
        <is>
          <t>P_US_FG</t>
        </is>
      </c>
      <c r="G353" t="inlineStr">
        <is>
          <t>CurrentWorkingView</t>
        </is>
      </c>
      <c r="H353" t="inlineStr">
        <is>
          <t>System FC - Final</t>
        </is>
      </c>
    </row>
    <row r="354">
      <c r="A354" t="inlineStr">
        <is>
          <t>Gucci</t>
        </is>
      </c>
      <c r="B354" t="inlineStr">
        <is>
          <t>Gucci Flora (01228)</t>
        </is>
      </c>
      <c r="C354" t="inlineStr">
        <is>
          <t>Flora Gorgeous Jasmine  (00005984)</t>
        </is>
      </c>
      <c r="D354" s="1" t="n">
        <v>3616302968534</v>
      </c>
      <c r="E354" t="inlineStr">
        <is>
          <t>GUCCI FL G JSM EDP 50 ML IV</t>
        </is>
      </c>
      <c r="F354" t="inlineStr">
        <is>
          <t>P_US_FG</t>
        </is>
      </c>
      <c r="G354" t="inlineStr">
        <is>
          <t>CurrentWorkingView</t>
        </is>
      </c>
      <c r="H354" t="inlineStr">
        <is>
          <t>EPOS</t>
        </is>
      </c>
    </row>
    <row r="355">
      <c r="A355" t="inlineStr">
        <is>
          <t>Gucci</t>
        </is>
      </c>
      <c r="B355" t="inlineStr">
        <is>
          <t>Gucci Flora (01228)</t>
        </is>
      </c>
      <c r="C355" t="inlineStr">
        <is>
          <t>Flora Gorgeous Jasmine  (00005984)</t>
        </is>
      </c>
      <c r="D355" s="1" t="n">
        <v>3616302968534</v>
      </c>
      <c r="E355" t="inlineStr">
        <is>
          <t>GUCCI FL G JSM EDP 50 ML IV</t>
        </is>
      </c>
      <c r="F355" t="inlineStr">
        <is>
          <t>P_US_FG</t>
        </is>
      </c>
      <c r="G355" t="inlineStr">
        <is>
          <t>CurrentWorkingView</t>
        </is>
      </c>
      <c r="H355" t="inlineStr">
        <is>
          <t>Reasonability Adjustment</t>
        </is>
      </c>
    </row>
    <row r="356">
      <c r="A356" t="inlineStr">
        <is>
          <t>Gucci</t>
        </is>
      </c>
      <c r="B356" t="inlineStr">
        <is>
          <t>Gucci Flora (01228)</t>
        </is>
      </c>
      <c r="C356" t="inlineStr">
        <is>
          <t>Flora Gorgeous Jasmine  (00005984)</t>
        </is>
      </c>
      <c r="D356" s="1" t="n">
        <v>3616302968534</v>
      </c>
      <c r="E356" t="inlineStr">
        <is>
          <t>GUCCI FL G JSM EDP 50 ML IV</t>
        </is>
      </c>
      <c r="F356" t="inlineStr">
        <is>
          <t>P_US_FG</t>
        </is>
      </c>
      <c r="G356" t="inlineStr">
        <is>
          <t>CurrentWorkingView</t>
        </is>
      </c>
      <c r="H356" t="inlineStr">
        <is>
          <t>Total Demand Assumption</t>
        </is>
      </c>
    </row>
    <row r="357">
      <c r="A357" t="inlineStr">
        <is>
          <t>Gucci</t>
        </is>
      </c>
      <c r="B357" t="inlineStr">
        <is>
          <t>Gucci Flora (01228)</t>
        </is>
      </c>
      <c r="C357" t="inlineStr">
        <is>
          <t>Flora Gorgeous Jasmine  (00005984)</t>
        </is>
      </c>
      <c r="D357" s="1" t="n">
        <v>3616302968534</v>
      </c>
      <c r="E357" t="inlineStr">
        <is>
          <t>GUCCI FL G JSM EDP 50 ML IV</t>
        </is>
      </c>
      <c r="F357" t="inlineStr">
        <is>
          <t>P_US_FG</t>
        </is>
      </c>
      <c r="G357" t="inlineStr">
        <is>
          <t>CurrentWorkingView</t>
        </is>
      </c>
      <c r="H357" t="inlineStr">
        <is>
          <t>Consensus - Final</t>
        </is>
      </c>
      <c r="K357" t="n">
        <v>0</v>
      </c>
    </row>
    <row r="358">
      <c r="A358" t="inlineStr">
        <is>
          <t>Gucci</t>
        </is>
      </c>
      <c r="B358" t="inlineStr">
        <is>
          <t>Gucci Flora (01228)</t>
        </is>
      </c>
      <c r="C358" t="inlineStr">
        <is>
          <t>Flora Gorgeous Jasmine  (00005984)</t>
        </is>
      </c>
      <c r="D358" s="1" t="n">
        <v>3616302968534</v>
      </c>
      <c r="E358" t="inlineStr">
        <is>
          <t>GUCCI FL G JSM EDP 50 ML IV</t>
        </is>
      </c>
      <c r="F358" t="inlineStr">
        <is>
          <t>P_US_FG</t>
        </is>
      </c>
      <c r="G358" t="inlineStr">
        <is>
          <t>CurrentWorkingView</t>
        </is>
      </c>
      <c r="H358" t="inlineStr">
        <is>
          <t>Supply Cuts</t>
        </is>
      </c>
    </row>
    <row r="359">
      <c r="A359" t="inlineStr">
        <is>
          <t>Gucci</t>
        </is>
      </c>
      <c r="B359" t="inlineStr">
        <is>
          <t>Gucci Flora (01228)</t>
        </is>
      </c>
      <c r="C359" t="inlineStr">
        <is>
          <t>Flora Gorgeous Jasmine  (00005984)</t>
        </is>
      </c>
      <c r="D359" s="1" t="n">
        <v>3616302968534</v>
      </c>
      <c r="E359" t="inlineStr">
        <is>
          <t>GUCCI FL G JSM EDP 50 ML IV</t>
        </is>
      </c>
      <c r="F359" t="inlineStr">
        <is>
          <t>P_US_FG</t>
        </is>
      </c>
      <c r="G359" t="inlineStr">
        <is>
          <t>Month-2026.M09.W38</t>
        </is>
      </c>
      <c r="H359" t="inlineStr">
        <is>
          <t>Consensus - Final LY M</t>
        </is>
      </c>
    </row>
    <row r="360">
      <c r="A360" t="inlineStr">
        <is>
          <t>Gucci</t>
        </is>
      </c>
      <c r="B360" t="inlineStr">
        <is>
          <t>Gucci Flora (01228)</t>
        </is>
      </c>
      <c r="C360" t="inlineStr">
        <is>
          <t>Flora Gorgeous Jasmine  (00005984)</t>
        </is>
      </c>
      <c r="D360" s="1" t="n">
        <v>3616302968534</v>
      </c>
      <c r="E360" t="inlineStr">
        <is>
          <t>GUCCI FL G JSM EDP 50 ML IV</t>
        </is>
      </c>
      <c r="F360" t="inlineStr">
        <is>
          <t>P_US_FG</t>
        </is>
      </c>
      <c r="G360" t="inlineStr">
        <is>
          <t>Month-2026.M09.W38</t>
        </is>
      </c>
      <c r="H360" t="inlineStr">
        <is>
          <t>System FC - Final</t>
        </is>
      </c>
    </row>
    <row r="361">
      <c r="A361" t="inlineStr">
        <is>
          <t>Gucci</t>
        </is>
      </c>
      <c r="B361" t="inlineStr">
        <is>
          <t>Gucci Flora (01228)</t>
        </is>
      </c>
      <c r="C361" t="inlineStr">
        <is>
          <t>Flora Gorgeous Jasmine  (00005984)</t>
        </is>
      </c>
      <c r="D361" s="1" t="n">
        <v>3616302968534</v>
      </c>
      <c r="E361" t="inlineStr">
        <is>
          <t>GUCCI FL G JSM EDP 50 ML IV</t>
        </is>
      </c>
      <c r="F361" t="inlineStr">
        <is>
          <t>P_US_FG</t>
        </is>
      </c>
      <c r="G361" t="inlineStr">
        <is>
          <t>Month-2026.M09.W38</t>
        </is>
      </c>
      <c r="H361" t="inlineStr">
        <is>
          <t>EPOS</t>
        </is>
      </c>
    </row>
    <row r="362">
      <c r="A362" t="inlineStr">
        <is>
          <t>Gucci</t>
        </is>
      </c>
      <c r="B362" t="inlineStr">
        <is>
          <t>Gucci Flora (01228)</t>
        </is>
      </c>
      <c r="C362" t="inlineStr">
        <is>
          <t>Flora Gorgeous Jasmine  (00005984)</t>
        </is>
      </c>
      <c r="D362" s="1" t="n">
        <v>3616302968534</v>
      </c>
      <c r="E362" t="inlineStr">
        <is>
          <t>GUCCI FL G JSM EDP 50 ML IV</t>
        </is>
      </c>
      <c r="F362" t="inlineStr">
        <is>
          <t>P_US_FG</t>
        </is>
      </c>
      <c r="G362" t="inlineStr">
        <is>
          <t>Month-2026.M09.W38</t>
        </is>
      </c>
      <c r="H362" t="inlineStr">
        <is>
          <t>Reasonability Adjustment</t>
        </is>
      </c>
    </row>
    <row r="363">
      <c r="A363" t="inlineStr">
        <is>
          <t>Gucci</t>
        </is>
      </c>
      <c r="B363" t="inlineStr">
        <is>
          <t>Gucci Flora (01228)</t>
        </is>
      </c>
      <c r="C363" t="inlineStr">
        <is>
          <t>Flora Gorgeous Jasmine  (00005984)</t>
        </is>
      </c>
      <c r="D363" s="1" t="n">
        <v>3616302968534</v>
      </c>
      <c r="E363" t="inlineStr">
        <is>
          <t>GUCCI FL G JSM EDP 50 ML IV</t>
        </is>
      </c>
      <c r="F363" t="inlineStr">
        <is>
          <t>P_US_FG</t>
        </is>
      </c>
      <c r="G363" t="inlineStr">
        <is>
          <t>Month-2026.M09.W38</t>
        </is>
      </c>
      <c r="H363" t="inlineStr">
        <is>
          <t>Total Demand Assumption</t>
        </is>
      </c>
    </row>
    <row r="364">
      <c r="A364" t="inlineStr">
        <is>
          <t>Gucci</t>
        </is>
      </c>
      <c r="B364" t="inlineStr">
        <is>
          <t>Gucci Flora (01228)</t>
        </is>
      </c>
      <c r="C364" t="inlineStr">
        <is>
          <t>Flora Gorgeous Jasmine  (00005984)</t>
        </is>
      </c>
      <c r="D364" s="1" t="n">
        <v>3616302968534</v>
      </c>
      <c r="E364" t="inlineStr">
        <is>
          <t>GUCCI FL G JSM EDP 50 ML IV</t>
        </is>
      </c>
      <c r="F364" t="inlineStr">
        <is>
          <t>P_US_FG</t>
        </is>
      </c>
      <c r="G364" t="inlineStr">
        <is>
          <t>Month-2026.M09.W38</t>
        </is>
      </c>
      <c r="H364" t="inlineStr">
        <is>
          <t>Consensus - Final</t>
        </is>
      </c>
      <c r="K364" t="n">
        <v>0</v>
      </c>
    </row>
    <row r="365">
      <c r="A365" t="inlineStr">
        <is>
          <t>Gucci</t>
        </is>
      </c>
      <c r="B365" t="inlineStr">
        <is>
          <t>Gucci Flora (01228)</t>
        </is>
      </c>
      <c r="C365" t="inlineStr">
        <is>
          <t>Flora Gorgeous Jasmine  (00005984)</t>
        </is>
      </c>
      <c r="D365" s="1" t="n">
        <v>3616302968534</v>
      </c>
      <c r="E365" t="inlineStr">
        <is>
          <t>GUCCI FL G JSM EDP 50 ML IV</t>
        </is>
      </c>
      <c r="F365" t="inlineStr">
        <is>
          <t>P_US_FG</t>
        </is>
      </c>
      <c r="G365" t="inlineStr">
        <is>
          <t>Month-2026.M09.W38</t>
        </is>
      </c>
      <c r="H365" t="inlineStr">
        <is>
          <t>Supply Cuts</t>
        </is>
      </c>
    </row>
    <row r="366">
      <c r="A366" t="inlineStr">
        <is>
          <t>Gucci</t>
        </is>
      </c>
      <c r="B366" t="inlineStr">
        <is>
          <t>Gucci Flora (01228)</t>
        </is>
      </c>
      <c r="C366" t="inlineStr">
        <is>
          <t>Flora Gorgeous Jasmine  (00005984)</t>
        </is>
      </c>
      <c r="D366" s="1" t="n">
        <v>3616302968534</v>
      </c>
      <c r="E366" t="inlineStr">
        <is>
          <t>GUCCI FL G JSM EDP 50 ML IV</t>
        </is>
      </c>
      <c r="F366" t="inlineStr">
        <is>
          <t>P_US_ULTA</t>
        </is>
      </c>
      <c r="G366" t="inlineStr">
        <is>
          <t>CurrentWorkingView</t>
        </is>
      </c>
      <c r="H366" t="inlineStr">
        <is>
          <t>Consensus - Final LY M</t>
        </is>
      </c>
      <c r="K366" t="n">
        <v>300</v>
      </c>
      <c r="L366" t="n">
        <v>1288</v>
      </c>
      <c r="M366" t="n">
        <v>2008</v>
      </c>
      <c r="N366" t="n">
        <v>1259</v>
      </c>
      <c r="O366" t="n">
        <v>2</v>
      </c>
      <c r="P366" t="n">
        <v>1</v>
      </c>
      <c r="Q366" t="n">
        <v>1</v>
      </c>
      <c r="S366" t="n">
        <v>2</v>
      </c>
      <c r="T366" t="n">
        <v>1</v>
      </c>
    </row>
    <row r="367">
      <c r="A367" t="inlineStr">
        <is>
          <t>Gucci</t>
        </is>
      </c>
      <c r="B367" t="inlineStr">
        <is>
          <t>Gucci Flora (01228)</t>
        </is>
      </c>
      <c r="C367" t="inlineStr">
        <is>
          <t>Flora Gorgeous Jasmine  (00005984)</t>
        </is>
      </c>
      <c r="D367" s="1" t="n">
        <v>3616302968534</v>
      </c>
      <c r="E367" t="inlineStr">
        <is>
          <t>GUCCI FL G JSM EDP 50 ML IV</t>
        </is>
      </c>
      <c r="F367" t="inlineStr">
        <is>
          <t>P_US_ULTA</t>
        </is>
      </c>
      <c r="G367" t="inlineStr">
        <is>
          <t>CurrentWorkingView</t>
        </is>
      </c>
      <c r="H367" t="inlineStr">
        <is>
          <t>System FC - Final</t>
        </is>
      </c>
      <c r="I367" t="n">
        <v>1</v>
      </c>
      <c r="K367" t="n">
        <v>34</v>
      </c>
      <c r="L367" t="n">
        <v>269</v>
      </c>
      <c r="M367" t="n">
        <v>305</v>
      </c>
      <c r="N367" t="n">
        <v>359</v>
      </c>
      <c r="O367" t="n">
        <v>0</v>
      </c>
      <c r="P367" t="n">
        <v>148</v>
      </c>
      <c r="Q367" t="n">
        <v>66</v>
      </c>
      <c r="R367" t="n">
        <v>0</v>
      </c>
      <c r="S367" t="n">
        <v>252</v>
      </c>
      <c r="T367" t="n">
        <v>133</v>
      </c>
    </row>
    <row r="368">
      <c r="A368" t="inlineStr">
        <is>
          <t>Gucci</t>
        </is>
      </c>
      <c r="B368" t="inlineStr">
        <is>
          <t>Gucci Flora (01228)</t>
        </is>
      </c>
      <c r="C368" t="inlineStr">
        <is>
          <t>Flora Gorgeous Jasmine  (00005984)</t>
        </is>
      </c>
      <c r="D368" s="1" t="n">
        <v>3616302968534</v>
      </c>
      <c r="E368" t="inlineStr">
        <is>
          <t>GUCCI FL G JSM EDP 50 ML IV</t>
        </is>
      </c>
      <c r="F368" t="inlineStr">
        <is>
          <t>P_US_ULTA</t>
        </is>
      </c>
      <c r="G368" t="inlineStr">
        <is>
          <t>CurrentWorkingView</t>
        </is>
      </c>
      <c r="H368" t="inlineStr">
        <is>
          <t>EPOS</t>
        </is>
      </c>
      <c r="I368" t="n">
        <v>18</v>
      </c>
    </row>
    <row r="369">
      <c r="A369" t="inlineStr">
        <is>
          <t>Gucci</t>
        </is>
      </c>
      <c r="B369" t="inlineStr">
        <is>
          <t>Gucci Flora (01228)</t>
        </is>
      </c>
      <c r="C369" t="inlineStr">
        <is>
          <t>Flora Gorgeous Jasmine  (00005984)</t>
        </is>
      </c>
      <c r="D369" s="1" t="n">
        <v>3616302968534</v>
      </c>
      <c r="E369" t="inlineStr">
        <is>
          <t>GUCCI FL G JSM EDP 50 ML IV</t>
        </is>
      </c>
      <c r="F369" t="inlineStr">
        <is>
          <t>P_US_ULTA</t>
        </is>
      </c>
      <c r="G369" t="inlineStr">
        <is>
          <t>CurrentWorkingView</t>
        </is>
      </c>
      <c r="H369" t="inlineStr">
        <is>
          <t>Reasonability Adjustment</t>
        </is>
      </c>
      <c r="K369" t="n">
        <v>29</v>
      </c>
      <c r="Q369" t="n">
        <v>-88</v>
      </c>
      <c r="S369" t="n">
        <v>-110</v>
      </c>
      <c r="T369" t="n">
        <v>-63</v>
      </c>
    </row>
    <row r="370">
      <c r="A370" t="inlineStr">
        <is>
          <t>Gucci</t>
        </is>
      </c>
      <c r="B370" t="inlineStr">
        <is>
          <t>Gucci Flora (01228)</t>
        </is>
      </c>
      <c r="C370" t="inlineStr">
        <is>
          <t>Flora Gorgeous Jasmine  (00005984)</t>
        </is>
      </c>
      <c r="D370" s="1" t="n">
        <v>3616302968534</v>
      </c>
      <c r="E370" t="inlineStr">
        <is>
          <t>GUCCI FL G JSM EDP 50 ML IV</t>
        </is>
      </c>
      <c r="F370" t="inlineStr">
        <is>
          <t>P_US_ULTA</t>
        </is>
      </c>
      <c r="G370" t="inlineStr">
        <is>
          <t>CurrentWorkingView</t>
        </is>
      </c>
      <c r="H370" t="inlineStr">
        <is>
          <t>Total Demand Assumption</t>
        </is>
      </c>
    </row>
    <row r="371">
      <c r="A371" t="inlineStr">
        <is>
          <t>Gucci</t>
        </is>
      </c>
      <c r="B371" t="inlineStr">
        <is>
          <t>Gucci Flora (01228)</t>
        </is>
      </c>
      <c r="C371" t="inlineStr">
        <is>
          <t>Flora Gorgeous Jasmine  (00005984)</t>
        </is>
      </c>
      <c r="D371" s="1" t="n">
        <v>3616302968534</v>
      </c>
      <c r="E371" t="inlineStr">
        <is>
          <t>GUCCI FL G JSM EDP 50 ML IV</t>
        </is>
      </c>
      <c r="F371" t="inlineStr">
        <is>
          <t>P_US_ULTA</t>
        </is>
      </c>
      <c r="G371" t="inlineStr">
        <is>
          <t>CurrentWorkingView</t>
        </is>
      </c>
      <c r="H371" t="inlineStr">
        <is>
          <t>Consensus - Final</t>
        </is>
      </c>
      <c r="I371" t="n">
        <v>1</v>
      </c>
      <c r="K371" t="n">
        <v>53.6641509433962</v>
      </c>
      <c r="L371" t="n">
        <v>269</v>
      </c>
      <c r="M371" t="n">
        <v>305</v>
      </c>
      <c r="N371" t="n">
        <v>359</v>
      </c>
      <c r="P371" t="n">
        <v>148</v>
      </c>
      <c r="S371" t="n">
        <v>142</v>
      </c>
      <c r="T371" t="n">
        <v>70</v>
      </c>
    </row>
    <row r="372">
      <c r="A372" t="inlineStr">
        <is>
          <t>Gucci</t>
        </is>
      </c>
      <c r="B372" t="inlineStr">
        <is>
          <t>Gucci Flora (01228)</t>
        </is>
      </c>
      <c r="C372" t="inlineStr">
        <is>
          <t>Flora Gorgeous Jasmine  (00005984)</t>
        </is>
      </c>
      <c r="D372" s="1" t="n">
        <v>3616302968534</v>
      </c>
      <c r="E372" t="inlineStr">
        <is>
          <t>GUCCI FL G JSM EDP 50 ML IV</t>
        </is>
      </c>
      <c r="F372" t="inlineStr">
        <is>
          <t>P_US_ULTA</t>
        </is>
      </c>
      <c r="G372" t="inlineStr">
        <is>
          <t>CurrentWorkingView</t>
        </is>
      </c>
      <c r="H372" t="inlineStr">
        <is>
          <t>Supply Cuts</t>
        </is>
      </c>
    </row>
    <row r="373">
      <c r="A373" t="inlineStr">
        <is>
          <t>Gucci</t>
        </is>
      </c>
      <c r="B373" t="inlineStr">
        <is>
          <t>Gucci Flora (01228)</t>
        </is>
      </c>
      <c r="C373" t="inlineStr">
        <is>
          <t>Flora Gorgeous Jasmine  (00005984)</t>
        </is>
      </c>
      <c r="D373" s="1" t="n">
        <v>3616302968534</v>
      </c>
      <c r="E373" t="inlineStr">
        <is>
          <t>GUCCI FL G JSM EDP 50 ML IV</t>
        </is>
      </c>
      <c r="F373" t="inlineStr">
        <is>
          <t>P_US_ULTA</t>
        </is>
      </c>
      <c r="G373" t="inlineStr">
        <is>
          <t>Month-2026.M09.W38</t>
        </is>
      </c>
      <c r="H373" t="inlineStr">
        <is>
          <t>Consensus - Final LY M</t>
        </is>
      </c>
      <c r="K373" t="n">
        <v>300</v>
      </c>
      <c r="L373" t="n">
        <v>1288</v>
      </c>
      <c r="M373" t="n">
        <v>2008</v>
      </c>
      <c r="N373" t="n">
        <v>1259</v>
      </c>
      <c r="O373" t="n">
        <v>2</v>
      </c>
      <c r="P373" t="n">
        <v>1</v>
      </c>
      <c r="Q373" t="n">
        <v>1</v>
      </c>
      <c r="S373" t="n">
        <v>2</v>
      </c>
      <c r="T373" t="n">
        <v>1</v>
      </c>
    </row>
    <row r="374">
      <c r="A374" t="inlineStr">
        <is>
          <t>Gucci</t>
        </is>
      </c>
      <c r="B374" t="inlineStr">
        <is>
          <t>Gucci Flora (01228)</t>
        </is>
      </c>
      <c r="C374" t="inlineStr">
        <is>
          <t>Flora Gorgeous Jasmine  (00005984)</t>
        </is>
      </c>
      <c r="D374" s="1" t="n">
        <v>3616302968534</v>
      </c>
      <c r="E374" t="inlineStr">
        <is>
          <t>GUCCI FL G JSM EDP 50 ML IV</t>
        </is>
      </c>
      <c r="F374" t="inlineStr">
        <is>
          <t>P_US_ULTA</t>
        </is>
      </c>
      <c r="G374" t="inlineStr">
        <is>
          <t>Month-2026.M09.W38</t>
        </is>
      </c>
      <c r="H374" t="inlineStr">
        <is>
          <t>System FC - Final</t>
        </is>
      </c>
      <c r="I374" t="n">
        <v>1</v>
      </c>
      <c r="K374" t="n">
        <v>50</v>
      </c>
      <c r="L374" t="n">
        <v>496</v>
      </c>
      <c r="M374" t="n">
        <v>390</v>
      </c>
      <c r="N374" t="n">
        <v>363</v>
      </c>
      <c r="O374" t="n">
        <v>27</v>
      </c>
      <c r="P374" t="n">
        <v>48</v>
      </c>
      <c r="Q374" t="n">
        <v>195</v>
      </c>
      <c r="R374" t="n">
        <v>202</v>
      </c>
      <c r="S374" t="n">
        <v>337</v>
      </c>
      <c r="T374" t="n">
        <v>131</v>
      </c>
    </row>
    <row r="375">
      <c r="A375" t="inlineStr">
        <is>
          <t>Gucci</t>
        </is>
      </c>
      <c r="B375" t="inlineStr">
        <is>
          <t>Gucci Flora (01228)</t>
        </is>
      </c>
      <c r="C375" t="inlineStr">
        <is>
          <t>Flora Gorgeous Jasmine  (00005984)</t>
        </is>
      </c>
      <c r="D375" s="1" t="n">
        <v>3616302968534</v>
      </c>
      <c r="E375" t="inlineStr">
        <is>
          <t>GUCCI FL G JSM EDP 50 ML IV</t>
        </is>
      </c>
      <c r="F375" t="inlineStr">
        <is>
          <t>P_US_ULTA</t>
        </is>
      </c>
      <c r="G375" t="inlineStr">
        <is>
          <t>Month-2026.M09.W38</t>
        </is>
      </c>
      <c r="H375" t="inlineStr">
        <is>
          <t>EPOS</t>
        </is>
      </c>
      <c r="I375" t="n">
        <v>18</v>
      </c>
    </row>
    <row r="376">
      <c r="A376" t="inlineStr">
        <is>
          <t>Gucci</t>
        </is>
      </c>
      <c r="B376" t="inlineStr">
        <is>
          <t>Gucci Flora (01228)</t>
        </is>
      </c>
      <c r="C376" t="inlineStr">
        <is>
          <t>Flora Gorgeous Jasmine  (00005984)</t>
        </is>
      </c>
      <c r="D376" s="1" t="n">
        <v>3616302968534</v>
      </c>
      <c r="E376" t="inlineStr">
        <is>
          <t>GUCCI FL G JSM EDP 50 ML IV</t>
        </is>
      </c>
      <c r="F376" t="inlineStr">
        <is>
          <t>P_US_ULTA</t>
        </is>
      </c>
      <c r="G376" t="inlineStr">
        <is>
          <t>Month-2026.M09.W38</t>
        </is>
      </c>
      <c r="H376" t="inlineStr">
        <is>
          <t>Reasonability Adjustment</t>
        </is>
      </c>
      <c r="K376" t="n">
        <v>29</v>
      </c>
      <c r="Q376" t="n">
        <v>-88</v>
      </c>
      <c r="S376" t="n">
        <v>-110</v>
      </c>
      <c r="T376" t="n">
        <v>-63</v>
      </c>
    </row>
    <row r="377">
      <c r="A377" t="inlineStr">
        <is>
          <t>Gucci</t>
        </is>
      </c>
      <c r="B377" t="inlineStr">
        <is>
          <t>Gucci Flora (01228)</t>
        </is>
      </c>
      <c r="C377" t="inlineStr">
        <is>
          <t>Flora Gorgeous Jasmine  (00005984)</t>
        </is>
      </c>
      <c r="D377" s="1" t="n">
        <v>3616302968534</v>
      </c>
      <c r="E377" t="inlineStr">
        <is>
          <t>GUCCI FL G JSM EDP 50 ML IV</t>
        </is>
      </c>
      <c r="F377" t="inlineStr">
        <is>
          <t>P_US_ULTA</t>
        </is>
      </c>
      <c r="G377" t="inlineStr">
        <is>
          <t>Month-2026.M09.W38</t>
        </is>
      </c>
      <c r="H377" t="inlineStr">
        <is>
          <t>Total Demand Assumption</t>
        </is>
      </c>
    </row>
    <row r="378">
      <c r="A378" t="inlineStr">
        <is>
          <t>Gucci</t>
        </is>
      </c>
      <c r="B378" t="inlineStr">
        <is>
          <t>Gucci Flora (01228)</t>
        </is>
      </c>
      <c r="C378" t="inlineStr">
        <is>
          <t>Flora Gorgeous Jasmine  (00005984)</t>
        </is>
      </c>
      <c r="D378" s="1" t="n">
        <v>3616302968534</v>
      </c>
      <c r="E378" t="inlineStr">
        <is>
          <t>GUCCI FL G JSM EDP 50 ML IV</t>
        </is>
      </c>
      <c r="F378" t="inlineStr">
        <is>
          <t>P_US_ULTA</t>
        </is>
      </c>
      <c r="G378" t="inlineStr">
        <is>
          <t>Month-2026.M09.W38</t>
        </is>
      </c>
      <c r="H378" t="inlineStr">
        <is>
          <t>Consensus - Final</t>
        </is>
      </c>
      <c r="I378" t="n">
        <v>1</v>
      </c>
      <c r="K378" t="n">
        <v>53.6641509433962</v>
      </c>
      <c r="L378" t="n">
        <v>496</v>
      </c>
      <c r="M378" t="n">
        <v>390</v>
      </c>
      <c r="N378" t="n">
        <v>363</v>
      </c>
      <c r="O378" t="n">
        <v>27</v>
      </c>
      <c r="P378" t="n">
        <v>48</v>
      </c>
      <c r="Q378" t="n">
        <v>107</v>
      </c>
      <c r="R378" t="n">
        <v>202</v>
      </c>
      <c r="S378" t="n">
        <v>227</v>
      </c>
      <c r="T378" t="n">
        <v>68</v>
      </c>
    </row>
    <row r="379">
      <c r="A379" t="inlineStr">
        <is>
          <t>Gucci</t>
        </is>
      </c>
      <c r="B379" t="inlineStr">
        <is>
          <t>Gucci Flora (01228)</t>
        </is>
      </c>
      <c r="C379" t="inlineStr">
        <is>
          <t>Flora Gorgeous Jasmine  (00005984)</t>
        </is>
      </c>
      <c r="D379" s="1" t="n">
        <v>3616302968534</v>
      </c>
      <c r="E379" t="inlineStr">
        <is>
          <t>GUCCI FL G JSM EDP 50 ML IV</t>
        </is>
      </c>
      <c r="F379" t="inlineStr">
        <is>
          <t>P_US_ULTA</t>
        </is>
      </c>
      <c r="G379" t="inlineStr">
        <is>
          <t>Month-2026.M09.W38</t>
        </is>
      </c>
      <c r="H379" t="inlineStr">
        <is>
          <t>Supply Cuts</t>
        </is>
      </c>
    </row>
    <row r="380">
      <c r="A380" t="inlineStr">
        <is>
          <t>Gucci</t>
        </is>
      </c>
      <c r="B380" t="inlineStr">
        <is>
          <t>Gucci Flora (01228)</t>
        </is>
      </c>
      <c r="C380" t="inlineStr">
        <is>
          <t>Flora Gorgeous Jasmine  (00005984)</t>
        </is>
      </c>
      <c r="D380" s="1" t="n">
        <v>3616303048198</v>
      </c>
      <c r="E380" t="inlineStr">
        <is>
          <t>GUCCI FL G JSM EDP 10 ML IV</t>
        </is>
      </c>
      <c r="F380" t="inlineStr">
        <is>
          <t>P_US_ALL_OTHERS</t>
        </is>
      </c>
      <c r="G380" t="inlineStr">
        <is>
          <t>CurrentWorkingView</t>
        </is>
      </c>
      <c r="H380" t="inlineStr">
        <is>
          <t>Consensus - Final LY M</t>
        </is>
      </c>
      <c r="I380" t="n">
        <v>5631</v>
      </c>
      <c r="J380" t="n">
        <v>711</v>
      </c>
      <c r="K380" t="n">
        <v>5826</v>
      </c>
      <c r="L380" t="n">
        <v>3242</v>
      </c>
      <c r="M380" t="n">
        <v>1363</v>
      </c>
      <c r="N380" t="n">
        <v>2501</v>
      </c>
      <c r="O380" t="n">
        <v>1280</v>
      </c>
      <c r="P380" t="n">
        <v>1254</v>
      </c>
      <c r="Q380" t="n">
        <v>2327</v>
      </c>
      <c r="R380" t="n">
        <v>940</v>
      </c>
      <c r="S380" t="n">
        <v>1014</v>
      </c>
      <c r="T380" t="n">
        <v>3676</v>
      </c>
    </row>
    <row r="381">
      <c r="A381" t="inlineStr">
        <is>
          <t>Gucci</t>
        </is>
      </c>
      <c r="B381" t="inlineStr">
        <is>
          <t>Gucci Flora (01228)</t>
        </is>
      </c>
      <c r="C381" t="inlineStr">
        <is>
          <t>Flora Gorgeous Jasmine  (00005984)</t>
        </is>
      </c>
      <c r="D381" s="1" t="n">
        <v>3616303048198</v>
      </c>
      <c r="E381" t="inlineStr">
        <is>
          <t>GUCCI FL G JSM EDP 10 ML IV</t>
        </is>
      </c>
      <c r="F381" t="inlineStr">
        <is>
          <t>P_US_ALL_OTHERS</t>
        </is>
      </c>
      <c r="G381" t="inlineStr">
        <is>
          <t>CurrentWorkingView</t>
        </is>
      </c>
      <c r="H381" t="inlineStr">
        <is>
          <t>System FC - Final</t>
        </is>
      </c>
      <c r="I381" t="n">
        <v>2733</v>
      </c>
      <c r="J381" t="n">
        <v>2569</v>
      </c>
      <c r="K381" t="n">
        <v>1954</v>
      </c>
      <c r="L381" t="n">
        <v>3273</v>
      </c>
      <c r="M381" t="n">
        <v>563</v>
      </c>
      <c r="N381" t="n">
        <v>2454</v>
      </c>
      <c r="O381" t="n">
        <v>1138</v>
      </c>
      <c r="P381" t="n">
        <v>1120</v>
      </c>
      <c r="Q381" t="n">
        <v>3034</v>
      </c>
      <c r="R381" t="n">
        <v>995</v>
      </c>
      <c r="S381" t="n">
        <v>1532</v>
      </c>
      <c r="T381" t="n">
        <v>3120</v>
      </c>
    </row>
    <row r="382">
      <c r="A382" t="inlineStr">
        <is>
          <t>Gucci</t>
        </is>
      </c>
      <c r="B382" t="inlineStr">
        <is>
          <t>Gucci Flora (01228)</t>
        </is>
      </c>
      <c r="C382" t="inlineStr">
        <is>
          <t>Flora Gorgeous Jasmine  (00005984)</t>
        </is>
      </c>
      <c r="D382" s="1" t="n">
        <v>3616303048198</v>
      </c>
      <c r="E382" t="inlineStr">
        <is>
          <t>GUCCI FL G JSM EDP 10 ML IV</t>
        </is>
      </c>
      <c r="F382" t="inlineStr">
        <is>
          <t>P_US_ALL_OTHERS</t>
        </is>
      </c>
      <c r="G382" t="inlineStr">
        <is>
          <t>CurrentWorkingView</t>
        </is>
      </c>
      <c r="H382" t="inlineStr">
        <is>
          <t>EPOS</t>
        </is>
      </c>
      <c r="I382" t="n">
        <v>1294</v>
      </c>
    </row>
    <row r="383">
      <c r="A383" t="inlineStr">
        <is>
          <t>Gucci</t>
        </is>
      </c>
      <c r="B383" t="inlineStr">
        <is>
          <t>Gucci Flora (01228)</t>
        </is>
      </c>
      <c r="C383" t="inlineStr">
        <is>
          <t>Flora Gorgeous Jasmine  (00005984)</t>
        </is>
      </c>
      <c r="D383" s="1" t="n">
        <v>3616303048198</v>
      </c>
      <c r="E383" t="inlineStr">
        <is>
          <t>GUCCI FL G JSM EDP 10 ML IV</t>
        </is>
      </c>
      <c r="F383" t="inlineStr">
        <is>
          <t>P_US_ALL_OTHERS</t>
        </is>
      </c>
      <c r="G383" t="inlineStr">
        <is>
          <t>CurrentWorkingView</t>
        </is>
      </c>
      <c r="H383" t="inlineStr">
        <is>
          <t>Reasonability Adjustment</t>
        </is>
      </c>
      <c r="I383" t="n">
        <v>-705</v>
      </c>
      <c r="J383" t="n">
        <v>-1017</v>
      </c>
      <c r="K383" t="n">
        <v>1186</v>
      </c>
      <c r="L383" t="n">
        <v>774</v>
      </c>
      <c r="M383" t="n">
        <v>765</v>
      </c>
      <c r="N383" t="n">
        <v>0</v>
      </c>
      <c r="O383" t="n">
        <v>514</v>
      </c>
      <c r="P383" t="n">
        <v>0</v>
      </c>
      <c r="Q383" t="n">
        <v>-923</v>
      </c>
      <c r="R383" t="n">
        <v>0</v>
      </c>
    </row>
    <row r="384">
      <c r="A384" t="inlineStr">
        <is>
          <t>Gucci</t>
        </is>
      </c>
      <c r="B384" t="inlineStr">
        <is>
          <t>Gucci Flora (01228)</t>
        </is>
      </c>
      <c r="C384" t="inlineStr">
        <is>
          <t>Flora Gorgeous Jasmine  (00005984)</t>
        </is>
      </c>
      <c r="D384" s="1" t="n">
        <v>3616303048198</v>
      </c>
      <c r="E384" t="inlineStr">
        <is>
          <t>GUCCI FL G JSM EDP 10 ML IV</t>
        </is>
      </c>
      <c r="F384" t="inlineStr">
        <is>
          <t>P_US_ALL_OTHERS</t>
        </is>
      </c>
      <c r="G384" t="inlineStr">
        <is>
          <t>CurrentWorkingView</t>
        </is>
      </c>
      <c r="H384" t="inlineStr">
        <is>
          <t>Total Demand Assumption</t>
        </is>
      </c>
      <c r="I384" t="n">
        <v>595</v>
      </c>
      <c r="J384" t="n">
        <v>1330</v>
      </c>
      <c r="K384" t="n">
        <v>-2517</v>
      </c>
      <c r="L384" t="n">
        <v>-2873</v>
      </c>
      <c r="M384" t="n">
        <v>-1367</v>
      </c>
      <c r="N384" t="n">
        <v>-1031</v>
      </c>
    </row>
    <row r="385">
      <c r="A385" t="inlineStr">
        <is>
          <t>Gucci</t>
        </is>
      </c>
      <c r="B385" t="inlineStr">
        <is>
          <t>Gucci Flora (01228)</t>
        </is>
      </c>
      <c r="C385" t="inlineStr">
        <is>
          <t>Flora Gorgeous Jasmine  (00005984)</t>
        </is>
      </c>
      <c r="D385" s="1" t="n">
        <v>3616303048198</v>
      </c>
      <c r="E385" t="inlineStr">
        <is>
          <t>GUCCI FL G JSM EDP 10 ML IV</t>
        </is>
      </c>
      <c r="F385" t="inlineStr">
        <is>
          <t>P_US_ALL_OTHERS</t>
        </is>
      </c>
      <c r="G385" t="inlineStr">
        <is>
          <t>CurrentWorkingView</t>
        </is>
      </c>
      <c r="H385" t="inlineStr">
        <is>
          <t>Consensus - Final</t>
        </is>
      </c>
      <c r="I385" t="n">
        <v>2733</v>
      </c>
      <c r="J385" t="n">
        <v>2569</v>
      </c>
      <c r="K385" t="n">
        <v>1570.20140280561</v>
      </c>
      <c r="L385" t="n">
        <v>1560</v>
      </c>
      <c r="M385" t="n">
        <v>308</v>
      </c>
      <c r="N385" t="n">
        <v>1423</v>
      </c>
      <c r="O385" t="n">
        <v>1652</v>
      </c>
      <c r="P385" t="n">
        <v>1120</v>
      </c>
      <c r="Q385" t="n">
        <v>2111</v>
      </c>
      <c r="R385" t="n">
        <v>995</v>
      </c>
      <c r="S385" t="n">
        <v>1532</v>
      </c>
      <c r="T385" t="n">
        <v>3120</v>
      </c>
    </row>
    <row r="386">
      <c r="A386" t="inlineStr">
        <is>
          <t>Gucci</t>
        </is>
      </c>
      <c r="B386" t="inlineStr">
        <is>
          <t>Gucci Flora (01228)</t>
        </is>
      </c>
      <c r="C386" t="inlineStr">
        <is>
          <t>Flora Gorgeous Jasmine  (00005984)</t>
        </is>
      </c>
      <c r="D386" s="1" t="n">
        <v>3616303048198</v>
      </c>
      <c r="E386" t="inlineStr">
        <is>
          <t>GUCCI FL G JSM EDP 10 ML IV</t>
        </is>
      </c>
      <c r="F386" t="inlineStr">
        <is>
          <t>P_US_ALL_OTHERS</t>
        </is>
      </c>
      <c r="G386" t="inlineStr">
        <is>
          <t>CurrentWorkingView</t>
        </is>
      </c>
      <c r="H386" t="inlineStr">
        <is>
          <t>Supply Cuts</t>
        </is>
      </c>
    </row>
    <row r="387">
      <c r="A387" t="inlineStr">
        <is>
          <t>Gucci</t>
        </is>
      </c>
      <c r="B387" t="inlineStr">
        <is>
          <t>Gucci Flora (01228)</t>
        </is>
      </c>
      <c r="C387" t="inlineStr">
        <is>
          <t>Flora Gorgeous Jasmine  (00005984)</t>
        </is>
      </c>
      <c r="D387" s="1" t="n">
        <v>3616303048198</v>
      </c>
      <c r="E387" t="inlineStr">
        <is>
          <t>GUCCI FL G JSM EDP 10 ML IV</t>
        </is>
      </c>
      <c r="F387" t="inlineStr">
        <is>
          <t>P_US_ALL_OTHERS</t>
        </is>
      </c>
      <c r="G387" t="inlineStr">
        <is>
          <t>Month-2026.M09.W38</t>
        </is>
      </c>
      <c r="H387" t="inlineStr">
        <is>
          <t>Consensus - Final LY M</t>
        </is>
      </c>
      <c r="I387" t="n">
        <v>5631</v>
      </c>
      <c r="J387" t="n">
        <v>711</v>
      </c>
      <c r="K387" t="n">
        <v>5826</v>
      </c>
      <c r="L387" t="n">
        <v>3242</v>
      </c>
      <c r="M387" t="n">
        <v>1363</v>
      </c>
      <c r="N387" t="n">
        <v>2501</v>
      </c>
      <c r="O387" t="n">
        <v>1280</v>
      </c>
      <c r="P387" t="n">
        <v>1254</v>
      </c>
      <c r="Q387" t="n">
        <v>2327</v>
      </c>
      <c r="R387" t="n">
        <v>940</v>
      </c>
      <c r="S387" t="n">
        <v>1014</v>
      </c>
      <c r="T387" t="n">
        <v>3676</v>
      </c>
    </row>
    <row r="388">
      <c r="A388" t="inlineStr">
        <is>
          <t>Gucci</t>
        </is>
      </c>
      <c r="B388" t="inlineStr">
        <is>
          <t>Gucci Flora (01228)</t>
        </is>
      </c>
      <c r="C388" t="inlineStr">
        <is>
          <t>Flora Gorgeous Jasmine  (00005984)</t>
        </is>
      </c>
      <c r="D388" s="1" t="n">
        <v>3616303048198</v>
      </c>
      <c r="E388" t="inlineStr">
        <is>
          <t>GUCCI FL G JSM EDP 10 ML IV</t>
        </is>
      </c>
      <c r="F388" t="inlineStr">
        <is>
          <t>P_US_ALL_OTHERS</t>
        </is>
      </c>
      <c r="G388" t="inlineStr">
        <is>
          <t>Month-2026.M09.W38</t>
        </is>
      </c>
      <c r="H388" t="inlineStr">
        <is>
          <t>System FC - Final</t>
        </is>
      </c>
      <c r="I388" t="n">
        <v>2733</v>
      </c>
      <c r="J388" t="n">
        <v>2569</v>
      </c>
      <c r="K388" t="n">
        <v>2461</v>
      </c>
      <c r="L388" t="n">
        <v>1263</v>
      </c>
      <c r="M388" t="n">
        <v>86</v>
      </c>
      <c r="N388" t="n">
        <v>2516</v>
      </c>
      <c r="O388" t="n">
        <v>84</v>
      </c>
      <c r="P388" t="n">
        <v>84</v>
      </c>
      <c r="Q388" t="n">
        <v>1329</v>
      </c>
      <c r="R388" t="n">
        <v>85</v>
      </c>
      <c r="S388" t="n">
        <v>84</v>
      </c>
      <c r="T388" t="n">
        <v>2908</v>
      </c>
    </row>
    <row r="389">
      <c r="A389" t="inlineStr">
        <is>
          <t>Gucci</t>
        </is>
      </c>
      <c r="B389" t="inlineStr">
        <is>
          <t>Gucci Flora (01228)</t>
        </is>
      </c>
      <c r="C389" t="inlineStr">
        <is>
          <t>Flora Gorgeous Jasmine  (00005984)</t>
        </is>
      </c>
      <c r="D389" s="1" t="n">
        <v>3616303048198</v>
      </c>
      <c r="E389" t="inlineStr">
        <is>
          <t>GUCCI FL G JSM EDP 10 ML IV</t>
        </is>
      </c>
      <c r="F389" t="inlineStr">
        <is>
          <t>P_US_ALL_OTHERS</t>
        </is>
      </c>
      <c r="G389" t="inlineStr">
        <is>
          <t>Month-2026.M09.W38</t>
        </is>
      </c>
      <c r="H389" t="inlineStr">
        <is>
          <t>EPOS</t>
        </is>
      </c>
      <c r="I389" t="n">
        <v>1294</v>
      </c>
    </row>
    <row r="390">
      <c r="A390" t="inlineStr">
        <is>
          <t>Gucci</t>
        </is>
      </c>
      <c r="B390" t="inlineStr">
        <is>
          <t>Gucci Flora (01228)</t>
        </is>
      </c>
      <c r="C390" t="inlineStr">
        <is>
          <t>Flora Gorgeous Jasmine  (00005984)</t>
        </is>
      </c>
      <c r="D390" s="1" t="n">
        <v>3616303048198</v>
      </c>
      <c r="E390" t="inlineStr">
        <is>
          <t>GUCCI FL G JSM EDP 10 ML IV</t>
        </is>
      </c>
      <c r="F390" t="inlineStr">
        <is>
          <t>P_US_ALL_OTHERS</t>
        </is>
      </c>
      <c r="G390" t="inlineStr">
        <is>
          <t>Month-2026.M09.W38</t>
        </is>
      </c>
      <c r="H390" t="inlineStr">
        <is>
          <t>Reasonability Adjustment</t>
        </is>
      </c>
      <c r="I390" t="n">
        <v>-705</v>
      </c>
      <c r="J390" t="n">
        <v>-1017</v>
      </c>
      <c r="K390" t="n">
        <v>1186</v>
      </c>
      <c r="L390" t="n">
        <v>774</v>
      </c>
      <c r="M390" t="n">
        <v>765</v>
      </c>
      <c r="N390" t="n">
        <v>0</v>
      </c>
      <c r="O390" t="n">
        <v>514</v>
      </c>
      <c r="P390" t="n">
        <v>0</v>
      </c>
      <c r="Q390" t="n">
        <v>-923</v>
      </c>
      <c r="R390" t="n">
        <v>0</v>
      </c>
    </row>
    <row r="391">
      <c r="A391" t="inlineStr">
        <is>
          <t>Gucci</t>
        </is>
      </c>
      <c r="B391" t="inlineStr">
        <is>
          <t>Gucci Flora (01228)</t>
        </is>
      </c>
      <c r="C391" t="inlineStr">
        <is>
          <t>Flora Gorgeous Jasmine  (00005984)</t>
        </is>
      </c>
      <c r="D391" s="1" t="n">
        <v>3616303048198</v>
      </c>
      <c r="E391" t="inlineStr">
        <is>
          <t>GUCCI FL G JSM EDP 10 ML IV</t>
        </is>
      </c>
      <c r="F391" t="inlineStr">
        <is>
          <t>P_US_ALL_OTHERS</t>
        </is>
      </c>
      <c r="G391" t="inlineStr">
        <is>
          <t>Month-2026.M09.W38</t>
        </is>
      </c>
      <c r="H391" t="inlineStr">
        <is>
          <t>Total Demand Assumption</t>
        </is>
      </c>
      <c r="I391" t="n">
        <v>595</v>
      </c>
      <c r="J391" t="n">
        <v>1330</v>
      </c>
      <c r="K391" t="n">
        <v>-2517</v>
      </c>
      <c r="L391" t="n">
        <v>-2873</v>
      </c>
      <c r="M391" t="n">
        <v>-1367</v>
      </c>
      <c r="N391" t="n">
        <v>-1031</v>
      </c>
    </row>
    <row r="392">
      <c r="A392" t="inlineStr">
        <is>
          <t>Gucci</t>
        </is>
      </c>
      <c r="B392" t="inlineStr">
        <is>
          <t>Gucci Flora (01228)</t>
        </is>
      </c>
      <c r="C392" t="inlineStr">
        <is>
          <t>Flora Gorgeous Jasmine  (00005984)</t>
        </is>
      </c>
      <c r="D392" s="1" t="n">
        <v>3616303048198</v>
      </c>
      <c r="E392" t="inlineStr">
        <is>
          <t>GUCCI FL G JSM EDP 10 ML IV</t>
        </is>
      </c>
      <c r="F392" t="inlineStr">
        <is>
          <t>P_US_ALL_OTHERS</t>
        </is>
      </c>
      <c r="G392" t="inlineStr">
        <is>
          <t>Month-2026.M09.W38</t>
        </is>
      </c>
      <c r="H392" t="inlineStr">
        <is>
          <t>Consensus - Final</t>
        </is>
      </c>
      <c r="I392" t="n">
        <v>2733</v>
      </c>
      <c r="J392" t="n">
        <v>2569</v>
      </c>
      <c r="K392" t="n">
        <v>1570.20140280561</v>
      </c>
      <c r="N392" t="n">
        <v>1485</v>
      </c>
      <c r="O392" t="n">
        <v>598</v>
      </c>
      <c r="P392" t="n">
        <v>84</v>
      </c>
      <c r="Q392" t="n">
        <v>406</v>
      </c>
      <c r="R392" t="n">
        <v>85</v>
      </c>
      <c r="S392" t="n">
        <v>84</v>
      </c>
      <c r="T392" t="n">
        <v>2908</v>
      </c>
    </row>
    <row r="393">
      <c r="A393" t="inlineStr">
        <is>
          <t>Gucci</t>
        </is>
      </c>
      <c r="B393" t="inlineStr">
        <is>
          <t>Gucci Flora (01228)</t>
        </is>
      </c>
      <c r="C393" t="inlineStr">
        <is>
          <t>Flora Gorgeous Jasmine  (00005984)</t>
        </is>
      </c>
      <c r="D393" s="1" t="n">
        <v>3616303048198</v>
      </c>
      <c r="E393" t="inlineStr">
        <is>
          <t>GUCCI FL G JSM EDP 10 ML IV</t>
        </is>
      </c>
      <c r="F393" t="inlineStr">
        <is>
          <t>P_US_ALL_OTHERS</t>
        </is>
      </c>
      <c r="G393" t="inlineStr">
        <is>
          <t>Month-2026.M09.W38</t>
        </is>
      </c>
      <c r="H393" t="inlineStr">
        <is>
          <t>Supply Cuts</t>
        </is>
      </c>
    </row>
    <row r="394">
      <c r="A394" t="inlineStr">
        <is>
          <t>Gucci</t>
        </is>
      </c>
      <c r="B394" t="inlineStr">
        <is>
          <t>Gucci Flora (01228)</t>
        </is>
      </c>
      <c r="C394" t="inlineStr">
        <is>
          <t>Flora Gorgeous Jasmine  (00005984)</t>
        </is>
      </c>
      <c r="D394" s="1" t="n">
        <v>3616303048198</v>
      </c>
      <c r="E394" t="inlineStr">
        <is>
          <t>GUCCI FL G JSM EDP 10 ML IV</t>
        </is>
      </c>
      <c r="F394" t="inlineStr">
        <is>
          <t>P_US_FG</t>
        </is>
      </c>
      <c r="G394" t="inlineStr">
        <is>
          <t>CurrentWorkingView</t>
        </is>
      </c>
      <c r="H394" t="inlineStr">
        <is>
          <t>Consensus - Final LY M</t>
        </is>
      </c>
      <c r="P394" t="n">
        <v>10</v>
      </c>
    </row>
    <row r="395">
      <c r="A395" t="inlineStr">
        <is>
          <t>Gucci</t>
        </is>
      </c>
      <c r="B395" t="inlineStr">
        <is>
          <t>Gucci Flora (01228)</t>
        </is>
      </c>
      <c r="C395" t="inlineStr">
        <is>
          <t>Flora Gorgeous Jasmine  (00005984)</t>
        </is>
      </c>
      <c r="D395" s="1" t="n">
        <v>3616303048198</v>
      </c>
      <c r="E395" t="inlineStr">
        <is>
          <t>GUCCI FL G JSM EDP 10 ML IV</t>
        </is>
      </c>
      <c r="F395" t="inlineStr">
        <is>
          <t>P_US_FG</t>
        </is>
      </c>
      <c r="G395" t="inlineStr">
        <is>
          <t>CurrentWorkingView</t>
        </is>
      </c>
      <c r="H395" t="inlineStr">
        <is>
          <t>System FC - Final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</v>
      </c>
      <c r="Q395" t="n">
        <v>0</v>
      </c>
      <c r="R395" t="n">
        <v>0</v>
      </c>
      <c r="S395" t="n">
        <v>4</v>
      </c>
      <c r="T395" t="n">
        <v>4</v>
      </c>
    </row>
    <row r="396">
      <c r="A396" t="inlineStr">
        <is>
          <t>Gucci</t>
        </is>
      </c>
      <c r="B396" t="inlineStr">
        <is>
          <t>Gucci Flora (01228)</t>
        </is>
      </c>
      <c r="C396" t="inlineStr">
        <is>
          <t>Flora Gorgeous Jasmine  (00005984)</t>
        </is>
      </c>
      <c r="D396" s="1" t="n">
        <v>3616303048198</v>
      </c>
      <c r="E396" t="inlineStr">
        <is>
          <t>GUCCI FL G JSM EDP 10 ML IV</t>
        </is>
      </c>
      <c r="F396" t="inlineStr">
        <is>
          <t>P_US_FG</t>
        </is>
      </c>
      <c r="G396" t="inlineStr">
        <is>
          <t>CurrentWorkingView</t>
        </is>
      </c>
      <c r="H396" t="inlineStr">
        <is>
          <t>EPOS</t>
        </is>
      </c>
    </row>
    <row r="397">
      <c r="A397" t="inlineStr">
        <is>
          <t>Gucci</t>
        </is>
      </c>
      <c r="B397" t="inlineStr">
        <is>
          <t>Gucci Flora (01228)</t>
        </is>
      </c>
      <c r="C397" t="inlineStr">
        <is>
          <t>Flora Gorgeous Jasmine  (00005984)</t>
        </is>
      </c>
      <c r="D397" s="1" t="n">
        <v>3616303048198</v>
      </c>
      <c r="E397" t="inlineStr">
        <is>
          <t>GUCCI FL G JSM EDP 10 ML IV</t>
        </is>
      </c>
      <c r="F397" t="inlineStr">
        <is>
          <t>P_US_FG</t>
        </is>
      </c>
      <c r="G397" t="inlineStr">
        <is>
          <t>CurrentWorkingView</t>
        </is>
      </c>
      <c r="H397" t="inlineStr">
        <is>
          <t>Reasonability Adjustment</t>
        </is>
      </c>
    </row>
    <row r="398">
      <c r="A398" t="inlineStr">
        <is>
          <t>Gucci</t>
        </is>
      </c>
      <c r="B398" t="inlineStr">
        <is>
          <t>Gucci Flora (01228)</t>
        </is>
      </c>
      <c r="C398" t="inlineStr">
        <is>
          <t>Flora Gorgeous Jasmine  (00005984)</t>
        </is>
      </c>
      <c r="D398" s="1" t="n">
        <v>3616303048198</v>
      </c>
      <c r="E398" t="inlineStr">
        <is>
          <t>GUCCI FL G JSM EDP 10 ML IV</t>
        </is>
      </c>
      <c r="F398" t="inlineStr">
        <is>
          <t>P_US_FG</t>
        </is>
      </c>
      <c r="G398" t="inlineStr">
        <is>
          <t>CurrentWorkingView</t>
        </is>
      </c>
      <c r="H398" t="inlineStr">
        <is>
          <t>Total Demand Assumption</t>
        </is>
      </c>
    </row>
    <row r="399">
      <c r="A399" t="inlineStr">
        <is>
          <t>Gucci</t>
        </is>
      </c>
      <c r="B399" t="inlineStr">
        <is>
          <t>Gucci Flora (01228)</t>
        </is>
      </c>
      <c r="C399" t="inlineStr">
        <is>
          <t>Flora Gorgeous Jasmine  (00005984)</t>
        </is>
      </c>
      <c r="D399" s="1" t="n">
        <v>3616303048198</v>
      </c>
      <c r="E399" t="inlineStr">
        <is>
          <t>GUCCI FL G JSM EDP 10 ML IV</t>
        </is>
      </c>
      <c r="F399" t="inlineStr">
        <is>
          <t>P_US_FG</t>
        </is>
      </c>
      <c r="G399" t="inlineStr">
        <is>
          <t>CurrentWorkingView</t>
        </is>
      </c>
      <c r="H399" t="inlineStr">
        <is>
          <t>Consensus - Final</t>
        </is>
      </c>
      <c r="K399" t="n">
        <v>0</v>
      </c>
    </row>
    <row r="400">
      <c r="A400" t="inlineStr">
        <is>
          <t>Gucci</t>
        </is>
      </c>
      <c r="B400" t="inlineStr">
        <is>
          <t>Gucci Flora (01228)</t>
        </is>
      </c>
      <c r="C400" t="inlineStr">
        <is>
          <t>Flora Gorgeous Jasmine  (00005984)</t>
        </is>
      </c>
      <c r="D400" s="1" t="n">
        <v>3616303048198</v>
      </c>
      <c r="E400" t="inlineStr">
        <is>
          <t>GUCCI FL G JSM EDP 10 ML IV</t>
        </is>
      </c>
      <c r="F400" t="inlineStr">
        <is>
          <t>P_US_FG</t>
        </is>
      </c>
      <c r="G400" t="inlineStr">
        <is>
          <t>CurrentWorkingView</t>
        </is>
      </c>
      <c r="H400" t="inlineStr">
        <is>
          <t>Supply Cuts</t>
        </is>
      </c>
    </row>
    <row r="401">
      <c r="A401" t="inlineStr">
        <is>
          <t>Gucci</t>
        </is>
      </c>
      <c r="B401" t="inlineStr">
        <is>
          <t>Gucci Flora (01228)</t>
        </is>
      </c>
      <c r="C401" t="inlineStr">
        <is>
          <t>Flora Gorgeous Jasmine  (00005984)</t>
        </is>
      </c>
      <c r="D401" s="1" t="n">
        <v>3616303048198</v>
      </c>
      <c r="E401" t="inlineStr">
        <is>
          <t>GUCCI FL G JSM EDP 10 ML IV</t>
        </is>
      </c>
      <c r="F401" t="inlineStr">
        <is>
          <t>P_US_FG</t>
        </is>
      </c>
      <c r="G401" t="inlineStr">
        <is>
          <t>Month-2026.M09.W38</t>
        </is>
      </c>
      <c r="H401" t="inlineStr">
        <is>
          <t>Consensus - Final LY M</t>
        </is>
      </c>
      <c r="P401" t="n">
        <v>10</v>
      </c>
    </row>
    <row r="402">
      <c r="A402" t="inlineStr">
        <is>
          <t>Gucci</t>
        </is>
      </c>
      <c r="B402" t="inlineStr">
        <is>
          <t>Gucci Flora (01228)</t>
        </is>
      </c>
      <c r="C402" t="inlineStr">
        <is>
          <t>Flora Gorgeous Jasmine  (00005984)</t>
        </is>
      </c>
      <c r="D402" s="1" t="n">
        <v>3616303048198</v>
      </c>
      <c r="E402" t="inlineStr">
        <is>
          <t>GUCCI FL G JSM EDP 10 ML IV</t>
        </is>
      </c>
      <c r="F402" t="inlineStr">
        <is>
          <t>P_US_FG</t>
        </is>
      </c>
      <c r="G402" t="inlineStr">
        <is>
          <t>Month-2026.M09.W38</t>
        </is>
      </c>
      <c r="H402" t="inlineStr">
        <is>
          <t>System FC - Final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n">
        <v>0</v>
      </c>
      <c r="R402" t="n">
        <v>0</v>
      </c>
      <c r="S402" t="n">
        <v>4</v>
      </c>
      <c r="T402" t="n">
        <v>0</v>
      </c>
    </row>
    <row r="403">
      <c r="A403" t="inlineStr">
        <is>
          <t>Gucci</t>
        </is>
      </c>
      <c r="B403" t="inlineStr">
        <is>
          <t>Gucci Flora (01228)</t>
        </is>
      </c>
      <c r="C403" t="inlineStr">
        <is>
          <t>Flora Gorgeous Jasmine  (00005984)</t>
        </is>
      </c>
      <c r="D403" s="1" t="n">
        <v>3616303048198</v>
      </c>
      <c r="E403" t="inlineStr">
        <is>
          <t>GUCCI FL G JSM EDP 10 ML IV</t>
        </is>
      </c>
      <c r="F403" t="inlineStr">
        <is>
          <t>P_US_FG</t>
        </is>
      </c>
      <c r="G403" t="inlineStr">
        <is>
          <t>Month-2026.M09.W38</t>
        </is>
      </c>
      <c r="H403" t="inlineStr">
        <is>
          <t>EPOS</t>
        </is>
      </c>
    </row>
    <row r="404">
      <c r="A404" t="inlineStr">
        <is>
          <t>Gucci</t>
        </is>
      </c>
      <c r="B404" t="inlineStr">
        <is>
          <t>Gucci Flora (01228)</t>
        </is>
      </c>
      <c r="C404" t="inlineStr">
        <is>
          <t>Flora Gorgeous Jasmine  (00005984)</t>
        </is>
      </c>
      <c r="D404" s="1" t="n">
        <v>3616303048198</v>
      </c>
      <c r="E404" t="inlineStr">
        <is>
          <t>GUCCI FL G JSM EDP 10 ML IV</t>
        </is>
      </c>
      <c r="F404" t="inlineStr">
        <is>
          <t>P_US_FG</t>
        </is>
      </c>
      <c r="G404" t="inlineStr">
        <is>
          <t>Month-2026.M09.W38</t>
        </is>
      </c>
      <c r="H404" t="inlineStr">
        <is>
          <t>Reasonability Adjustment</t>
        </is>
      </c>
    </row>
    <row r="405">
      <c r="A405" t="inlineStr">
        <is>
          <t>Gucci</t>
        </is>
      </c>
      <c r="B405" t="inlineStr">
        <is>
          <t>Gucci Flora (01228)</t>
        </is>
      </c>
      <c r="C405" t="inlineStr">
        <is>
          <t>Flora Gorgeous Jasmine  (00005984)</t>
        </is>
      </c>
      <c r="D405" s="1" t="n">
        <v>3616303048198</v>
      </c>
      <c r="E405" t="inlineStr">
        <is>
          <t>GUCCI FL G JSM EDP 10 ML IV</t>
        </is>
      </c>
      <c r="F405" t="inlineStr">
        <is>
          <t>P_US_FG</t>
        </is>
      </c>
      <c r="G405" t="inlineStr">
        <is>
          <t>Month-2026.M09.W38</t>
        </is>
      </c>
      <c r="H405" t="inlineStr">
        <is>
          <t>Total Demand Assumption</t>
        </is>
      </c>
    </row>
    <row r="406">
      <c r="A406" t="inlineStr">
        <is>
          <t>Gucci</t>
        </is>
      </c>
      <c r="B406" t="inlineStr">
        <is>
          <t>Gucci Flora (01228)</t>
        </is>
      </c>
      <c r="C406" t="inlineStr">
        <is>
          <t>Flora Gorgeous Jasmine  (00005984)</t>
        </is>
      </c>
      <c r="D406" s="1" t="n">
        <v>3616303048198</v>
      </c>
      <c r="E406" t="inlineStr">
        <is>
          <t>GUCCI FL G JSM EDP 10 ML IV</t>
        </is>
      </c>
      <c r="F406" t="inlineStr">
        <is>
          <t>P_US_FG</t>
        </is>
      </c>
      <c r="G406" t="inlineStr">
        <is>
          <t>Month-2026.M09.W38</t>
        </is>
      </c>
      <c r="H406" t="inlineStr">
        <is>
          <t>Consensus - Final</t>
        </is>
      </c>
      <c r="K406" t="n">
        <v>0</v>
      </c>
    </row>
    <row r="407">
      <c r="A407" t="inlineStr">
        <is>
          <t>Gucci</t>
        </is>
      </c>
      <c r="B407" t="inlineStr">
        <is>
          <t>Gucci Flora (01228)</t>
        </is>
      </c>
      <c r="C407" t="inlineStr">
        <is>
          <t>Flora Gorgeous Jasmine  (00005984)</t>
        </is>
      </c>
      <c r="D407" s="1" t="n">
        <v>3616303048198</v>
      </c>
      <c r="E407" t="inlineStr">
        <is>
          <t>GUCCI FL G JSM EDP 10 ML IV</t>
        </is>
      </c>
      <c r="F407" t="inlineStr">
        <is>
          <t>P_US_FG</t>
        </is>
      </c>
      <c r="G407" t="inlineStr">
        <is>
          <t>Month-2026.M09.W38</t>
        </is>
      </c>
      <c r="H407" t="inlineStr">
        <is>
          <t>Supply Cuts</t>
        </is>
      </c>
    </row>
    <row r="408">
      <c r="A408" t="inlineStr">
        <is>
          <t>Gucci</t>
        </is>
      </c>
      <c r="B408" t="inlineStr">
        <is>
          <t>Gucci Flora (01228)</t>
        </is>
      </c>
      <c r="C408" t="inlineStr">
        <is>
          <t>Flora Gorgeous Jasmine  (00005984)</t>
        </is>
      </c>
      <c r="D408" s="1" t="n">
        <v>3616303048198</v>
      </c>
      <c r="E408" t="inlineStr">
        <is>
          <t>GUCCI FL G JSM EDP 10 ML IV</t>
        </is>
      </c>
      <c r="F408" t="inlineStr">
        <is>
          <t>P_US_ULTA</t>
        </is>
      </c>
      <c r="G408" t="inlineStr">
        <is>
          <t>CurrentWorkingView</t>
        </is>
      </c>
      <c r="H408" t="inlineStr">
        <is>
          <t>Consensus - Final LY M</t>
        </is>
      </c>
      <c r="I408" t="n">
        <v>798</v>
      </c>
      <c r="J408" t="n">
        <v>1637</v>
      </c>
      <c r="K408" t="n">
        <v>2018</v>
      </c>
      <c r="L408" t="n">
        <v>3744</v>
      </c>
      <c r="M408" t="n">
        <v>2012</v>
      </c>
      <c r="N408" t="n">
        <v>14</v>
      </c>
      <c r="P408" t="n">
        <v>9</v>
      </c>
      <c r="Q408" t="n">
        <v>186</v>
      </c>
      <c r="R408" t="n">
        <v>392</v>
      </c>
      <c r="S408" t="n">
        <v>771</v>
      </c>
      <c r="T408" t="n">
        <v>298</v>
      </c>
    </row>
    <row r="409">
      <c r="A409" t="inlineStr">
        <is>
          <t>Gucci</t>
        </is>
      </c>
      <c r="B409" t="inlineStr">
        <is>
          <t>Gucci Flora (01228)</t>
        </is>
      </c>
      <c r="C409" t="inlineStr">
        <is>
          <t>Flora Gorgeous Jasmine  (00005984)</t>
        </is>
      </c>
      <c r="D409" s="1" t="n">
        <v>3616303048198</v>
      </c>
      <c r="E409" t="inlineStr">
        <is>
          <t>GUCCI FL G JSM EDP 10 ML IV</t>
        </is>
      </c>
      <c r="F409" t="inlineStr">
        <is>
          <t>P_US_ULTA</t>
        </is>
      </c>
      <c r="G409" t="inlineStr">
        <is>
          <t>CurrentWorkingView</t>
        </is>
      </c>
      <c r="H409" t="inlineStr">
        <is>
          <t>System FC - Final</t>
        </is>
      </c>
      <c r="I409" t="n">
        <v>101</v>
      </c>
      <c r="J409" t="n">
        <v>48</v>
      </c>
      <c r="K409" t="n">
        <v>205</v>
      </c>
      <c r="L409" t="n">
        <v>442</v>
      </c>
      <c r="M409" t="n">
        <v>402</v>
      </c>
      <c r="N409" t="n">
        <v>372</v>
      </c>
      <c r="O409" t="n">
        <v>350</v>
      </c>
      <c r="P409" t="n">
        <v>328</v>
      </c>
      <c r="Q409" t="n">
        <v>314</v>
      </c>
      <c r="R409" t="n">
        <v>300</v>
      </c>
      <c r="S409" t="n">
        <v>292</v>
      </c>
      <c r="T409" t="n">
        <v>283</v>
      </c>
    </row>
    <row r="410">
      <c r="A410" t="inlineStr">
        <is>
          <t>Gucci</t>
        </is>
      </c>
      <c r="B410" t="inlineStr">
        <is>
          <t>Gucci Flora (01228)</t>
        </is>
      </c>
      <c r="C410" t="inlineStr">
        <is>
          <t>Flora Gorgeous Jasmine  (00005984)</t>
        </is>
      </c>
      <c r="D410" s="1" t="n">
        <v>3616303048198</v>
      </c>
      <c r="E410" t="inlineStr">
        <is>
          <t>GUCCI FL G JSM EDP 10 ML IV</t>
        </is>
      </c>
      <c r="F410" t="inlineStr">
        <is>
          <t>P_US_ULTA</t>
        </is>
      </c>
      <c r="G410" t="inlineStr">
        <is>
          <t>CurrentWorkingView</t>
        </is>
      </c>
      <c r="H410" t="inlineStr">
        <is>
          <t>EPOS</t>
        </is>
      </c>
      <c r="I410" t="n">
        <v>558</v>
      </c>
    </row>
    <row r="411">
      <c r="A411" t="inlineStr">
        <is>
          <t>Gucci</t>
        </is>
      </c>
      <c r="B411" t="inlineStr">
        <is>
          <t>Gucci Flora (01228)</t>
        </is>
      </c>
      <c r="C411" t="inlineStr">
        <is>
          <t>Flora Gorgeous Jasmine  (00005984)</t>
        </is>
      </c>
      <c r="D411" s="1" t="n">
        <v>3616303048198</v>
      </c>
      <c r="E411" t="inlineStr">
        <is>
          <t>GUCCI FL G JSM EDP 10 ML IV</t>
        </is>
      </c>
      <c r="F411" t="inlineStr">
        <is>
          <t>P_US_ULTA</t>
        </is>
      </c>
      <c r="G411" t="inlineStr">
        <is>
          <t>CurrentWorkingView</t>
        </is>
      </c>
      <c r="H411" t="inlineStr">
        <is>
          <t>Reasonability Adjustment</t>
        </is>
      </c>
      <c r="I411" t="n">
        <v>-295</v>
      </c>
      <c r="J411" t="n">
        <v>-483</v>
      </c>
      <c r="K411" t="n">
        <v>21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Gucci</t>
        </is>
      </c>
      <c r="B412" t="inlineStr">
        <is>
          <t>Gucci Flora (01228)</t>
        </is>
      </c>
      <c r="C412" t="inlineStr">
        <is>
          <t>Flora Gorgeous Jasmine  (00005984)</t>
        </is>
      </c>
      <c r="D412" s="1" t="n">
        <v>3616303048198</v>
      </c>
      <c r="E412" t="inlineStr">
        <is>
          <t>GUCCI FL G JSM EDP 10 ML IV</t>
        </is>
      </c>
      <c r="F412" t="inlineStr">
        <is>
          <t>P_US_ULTA</t>
        </is>
      </c>
      <c r="G412" t="inlineStr">
        <is>
          <t>CurrentWorkingView</t>
        </is>
      </c>
      <c r="H412" t="inlineStr">
        <is>
          <t>Total Demand Assumption</t>
        </is>
      </c>
    </row>
    <row r="413">
      <c r="A413" t="inlineStr">
        <is>
          <t>Gucci</t>
        </is>
      </c>
      <c r="B413" t="inlineStr">
        <is>
          <t>Gucci Flora (01228)</t>
        </is>
      </c>
      <c r="C413" t="inlineStr">
        <is>
          <t>Flora Gorgeous Jasmine  (00005984)</t>
        </is>
      </c>
      <c r="D413" s="1" t="n">
        <v>3616303048198</v>
      </c>
      <c r="E413" t="inlineStr">
        <is>
          <t>GUCCI FL G JSM EDP 10 ML IV</t>
        </is>
      </c>
      <c r="F413" t="inlineStr">
        <is>
          <t>P_US_ULTA</t>
        </is>
      </c>
      <c r="G413" t="inlineStr">
        <is>
          <t>CurrentWorkingView</t>
        </is>
      </c>
      <c r="H413" t="inlineStr">
        <is>
          <t>Consensus - Final</t>
        </is>
      </c>
      <c r="I413" t="n">
        <v>101</v>
      </c>
      <c r="J413" t="n">
        <v>48</v>
      </c>
      <c r="K413" t="n">
        <v>185</v>
      </c>
      <c r="L413" t="n">
        <v>442</v>
      </c>
      <c r="M413" t="n">
        <v>402</v>
      </c>
      <c r="N413" t="n">
        <v>372</v>
      </c>
      <c r="O413" t="n">
        <v>350</v>
      </c>
      <c r="P413" t="n">
        <v>328</v>
      </c>
      <c r="Q413" t="n">
        <v>314</v>
      </c>
      <c r="R413" t="n">
        <v>300</v>
      </c>
      <c r="S413" t="n">
        <v>292</v>
      </c>
      <c r="T413" t="n">
        <v>283</v>
      </c>
    </row>
    <row r="414">
      <c r="A414" t="inlineStr">
        <is>
          <t>Gucci</t>
        </is>
      </c>
      <c r="B414" t="inlineStr">
        <is>
          <t>Gucci Flora (01228)</t>
        </is>
      </c>
      <c r="C414" t="inlineStr">
        <is>
          <t>Flora Gorgeous Jasmine  (00005984)</t>
        </is>
      </c>
      <c r="D414" s="1" t="n">
        <v>3616303048198</v>
      </c>
      <c r="E414" t="inlineStr">
        <is>
          <t>GUCCI FL G JSM EDP 10 ML IV</t>
        </is>
      </c>
      <c r="F414" t="inlineStr">
        <is>
          <t>P_US_ULTA</t>
        </is>
      </c>
      <c r="G414" t="inlineStr">
        <is>
          <t>CurrentWorkingView</t>
        </is>
      </c>
      <c r="H414" t="inlineStr">
        <is>
          <t>Supply Cuts</t>
        </is>
      </c>
    </row>
    <row r="415">
      <c r="A415" t="inlineStr">
        <is>
          <t>Gucci</t>
        </is>
      </c>
      <c r="B415" t="inlineStr">
        <is>
          <t>Gucci Flora (01228)</t>
        </is>
      </c>
      <c r="C415" t="inlineStr">
        <is>
          <t>Flora Gorgeous Jasmine  (00005984)</t>
        </is>
      </c>
      <c r="D415" s="1" t="n">
        <v>3616303048198</v>
      </c>
      <c r="E415" t="inlineStr">
        <is>
          <t>GUCCI FL G JSM EDP 10 ML IV</t>
        </is>
      </c>
      <c r="F415" t="inlineStr">
        <is>
          <t>P_US_ULTA</t>
        </is>
      </c>
      <c r="G415" t="inlineStr">
        <is>
          <t>Month-2026.M09.W38</t>
        </is>
      </c>
      <c r="H415" t="inlineStr">
        <is>
          <t>Consensus - Final LY M</t>
        </is>
      </c>
      <c r="I415" t="n">
        <v>798</v>
      </c>
      <c r="J415" t="n">
        <v>1637</v>
      </c>
      <c r="K415" t="n">
        <v>2018</v>
      </c>
      <c r="L415" t="n">
        <v>3744</v>
      </c>
      <c r="M415" t="n">
        <v>2012</v>
      </c>
      <c r="N415" t="n">
        <v>14</v>
      </c>
      <c r="P415" t="n">
        <v>9</v>
      </c>
      <c r="Q415" t="n">
        <v>186</v>
      </c>
      <c r="R415" t="n">
        <v>392</v>
      </c>
      <c r="S415" t="n">
        <v>771</v>
      </c>
      <c r="T415" t="n">
        <v>298</v>
      </c>
    </row>
    <row r="416">
      <c r="A416" t="inlineStr">
        <is>
          <t>Gucci</t>
        </is>
      </c>
      <c r="B416" t="inlineStr">
        <is>
          <t>Gucci Flora (01228)</t>
        </is>
      </c>
      <c r="C416" t="inlineStr">
        <is>
          <t>Flora Gorgeous Jasmine  (00005984)</t>
        </is>
      </c>
      <c r="D416" s="1" t="n">
        <v>3616303048198</v>
      </c>
      <c r="E416" t="inlineStr">
        <is>
          <t>GUCCI FL G JSM EDP 10 ML IV</t>
        </is>
      </c>
      <c r="F416" t="inlineStr">
        <is>
          <t>P_US_ULTA</t>
        </is>
      </c>
      <c r="G416" t="inlineStr">
        <is>
          <t>Month-2026.M09.W38</t>
        </is>
      </c>
      <c r="H416" t="inlineStr">
        <is>
          <t>System FC - Final</t>
        </is>
      </c>
      <c r="I416" t="n">
        <v>101</v>
      </c>
      <c r="J416" t="n">
        <v>48</v>
      </c>
      <c r="K416" t="n">
        <v>63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826</v>
      </c>
    </row>
    <row r="417">
      <c r="A417" t="inlineStr">
        <is>
          <t>Gucci</t>
        </is>
      </c>
      <c r="B417" t="inlineStr">
        <is>
          <t>Gucci Flora (01228)</t>
        </is>
      </c>
      <c r="C417" t="inlineStr">
        <is>
          <t>Flora Gorgeous Jasmine  (00005984)</t>
        </is>
      </c>
      <c r="D417" s="1" t="n">
        <v>3616303048198</v>
      </c>
      <c r="E417" t="inlineStr">
        <is>
          <t>GUCCI FL G JSM EDP 10 ML IV</t>
        </is>
      </c>
      <c r="F417" t="inlineStr">
        <is>
          <t>P_US_ULTA</t>
        </is>
      </c>
      <c r="G417" t="inlineStr">
        <is>
          <t>Month-2026.M09.W38</t>
        </is>
      </c>
      <c r="H417" t="inlineStr">
        <is>
          <t>EPOS</t>
        </is>
      </c>
      <c r="I417" t="n">
        <v>558</v>
      </c>
    </row>
    <row r="418">
      <c r="A418" t="inlineStr">
        <is>
          <t>Gucci</t>
        </is>
      </c>
      <c r="B418" t="inlineStr">
        <is>
          <t>Gucci Flora (01228)</t>
        </is>
      </c>
      <c r="C418" t="inlineStr">
        <is>
          <t>Flora Gorgeous Jasmine  (00005984)</t>
        </is>
      </c>
      <c r="D418" s="1" t="n">
        <v>3616303048198</v>
      </c>
      <c r="E418" t="inlineStr">
        <is>
          <t>GUCCI FL G JSM EDP 10 ML IV</t>
        </is>
      </c>
      <c r="F418" t="inlineStr">
        <is>
          <t>P_US_ULTA</t>
        </is>
      </c>
      <c r="G418" t="inlineStr">
        <is>
          <t>Month-2026.M09.W38</t>
        </is>
      </c>
      <c r="H418" t="inlineStr">
        <is>
          <t>Reasonability Adjustment</t>
        </is>
      </c>
      <c r="I418" t="n">
        <v>-295</v>
      </c>
      <c r="J418" t="n">
        <v>-483</v>
      </c>
      <c r="K418" t="n">
        <v>21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Gucci</t>
        </is>
      </c>
      <c r="B419" t="inlineStr">
        <is>
          <t>Gucci Flora (01228)</t>
        </is>
      </c>
      <c r="C419" t="inlineStr">
        <is>
          <t>Flora Gorgeous Jasmine  (00005984)</t>
        </is>
      </c>
      <c r="D419" s="1" t="n">
        <v>3616303048198</v>
      </c>
      <c r="E419" t="inlineStr">
        <is>
          <t>GUCCI FL G JSM EDP 10 ML IV</t>
        </is>
      </c>
      <c r="F419" t="inlineStr">
        <is>
          <t>P_US_ULTA</t>
        </is>
      </c>
      <c r="G419" t="inlineStr">
        <is>
          <t>Month-2026.M09.W38</t>
        </is>
      </c>
      <c r="H419" t="inlineStr">
        <is>
          <t>Total Demand Assumption</t>
        </is>
      </c>
    </row>
    <row r="420">
      <c r="A420" t="inlineStr">
        <is>
          <t>Gucci</t>
        </is>
      </c>
      <c r="B420" t="inlineStr">
        <is>
          <t>Gucci Flora (01228)</t>
        </is>
      </c>
      <c r="C420" t="inlineStr">
        <is>
          <t>Flora Gorgeous Jasmine  (00005984)</t>
        </is>
      </c>
      <c r="D420" s="1" t="n">
        <v>3616303048198</v>
      </c>
      <c r="E420" t="inlineStr">
        <is>
          <t>GUCCI FL G JSM EDP 10 ML IV</t>
        </is>
      </c>
      <c r="F420" t="inlineStr">
        <is>
          <t>P_US_ULTA</t>
        </is>
      </c>
      <c r="G420" t="inlineStr">
        <is>
          <t>Month-2026.M09.W38</t>
        </is>
      </c>
      <c r="H420" t="inlineStr">
        <is>
          <t>Consensus - Final</t>
        </is>
      </c>
      <c r="I420" t="n">
        <v>101</v>
      </c>
      <c r="J420" t="n">
        <v>48</v>
      </c>
      <c r="K420" t="n">
        <v>67.79859719438871</v>
      </c>
      <c r="T420" t="n">
        <v>826</v>
      </c>
    </row>
    <row r="421">
      <c r="A421" t="inlineStr">
        <is>
          <t>Gucci</t>
        </is>
      </c>
      <c r="B421" t="inlineStr">
        <is>
          <t>Gucci Flora (01228)</t>
        </is>
      </c>
      <c r="C421" t="inlineStr">
        <is>
          <t>Flora Gorgeous Jasmine  (00005984)</t>
        </is>
      </c>
      <c r="D421" s="1" t="n">
        <v>3616303048198</v>
      </c>
      <c r="E421" t="inlineStr">
        <is>
          <t>GUCCI FL G JSM EDP 10 ML IV</t>
        </is>
      </c>
      <c r="F421" t="inlineStr">
        <is>
          <t>P_US_ULTA</t>
        </is>
      </c>
      <c r="G421" t="inlineStr">
        <is>
          <t>Month-2026.M09.W38</t>
        </is>
      </c>
      <c r="H421" t="inlineStr">
        <is>
          <t>Supply Cuts</t>
        </is>
      </c>
    </row>
    <row r="422">
      <c r="A422" t="inlineStr">
        <is>
          <t>Gucci</t>
        </is>
      </c>
      <c r="B422" t="inlineStr">
        <is>
          <t>Gucci Flora (01228)</t>
        </is>
      </c>
      <c r="C422" t="inlineStr">
        <is>
          <t>Gucci Flora Gorgeous Magnolia (00006454)</t>
        </is>
      </c>
      <c r="D422" s="1" t="n">
        <v>3616303470777</v>
      </c>
      <c r="E422" t="inlineStr">
        <is>
          <t>GUCCI FL G MAG RG EDP 10 ML IV</t>
        </is>
      </c>
      <c r="F422" t="inlineStr">
        <is>
          <t>P_US_ALL_OTHERS</t>
        </is>
      </c>
      <c r="G422" t="inlineStr">
        <is>
          <t>CurrentWorkingView</t>
        </is>
      </c>
      <c r="H422" t="inlineStr">
        <is>
          <t>Consensus - Final LY M</t>
        </is>
      </c>
      <c r="I422" t="n">
        <v>6428</v>
      </c>
      <c r="J422" t="n">
        <v>1878</v>
      </c>
      <c r="K422" t="n">
        <v>4711</v>
      </c>
      <c r="L422" t="n">
        <v>2721</v>
      </c>
      <c r="M422" t="n">
        <v>1085</v>
      </c>
      <c r="N422" t="n">
        <v>3086</v>
      </c>
      <c r="O422" t="n">
        <v>1879</v>
      </c>
      <c r="P422" t="n">
        <v>2478</v>
      </c>
      <c r="Q422" t="n">
        <v>4777</v>
      </c>
      <c r="R422" t="n">
        <v>2112</v>
      </c>
      <c r="S422" t="n">
        <v>3395</v>
      </c>
      <c r="T422" t="n">
        <v>2274</v>
      </c>
    </row>
    <row r="423">
      <c r="A423" t="inlineStr">
        <is>
          <t>Gucci</t>
        </is>
      </c>
      <c r="B423" t="inlineStr">
        <is>
          <t>Gucci Flora (01228)</t>
        </is>
      </c>
      <c r="C423" t="inlineStr">
        <is>
          <t>Gucci Flora Gorgeous Magnolia (00006454)</t>
        </is>
      </c>
      <c r="D423" s="1" t="n">
        <v>3616303470777</v>
      </c>
      <c r="E423" t="inlineStr">
        <is>
          <t>GUCCI FL G MAG RG EDP 10 ML IV</t>
        </is>
      </c>
      <c r="F423" t="inlineStr">
        <is>
          <t>P_US_ALL_OTHERS</t>
        </is>
      </c>
      <c r="G423" t="inlineStr">
        <is>
          <t>CurrentWorkingView</t>
        </is>
      </c>
      <c r="H423" t="inlineStr">
        <is>
          <t>System FC - Final</t>
        </is>
      </c>
      <c r="I423" t="n">
        <v>2233</v>
      </c>
      <c r="J423" t="n">
        <v>2399</v>
      </c>
      <c r="K423" t="n">
        <v>6300</v>
      </c>
      <c r="L423" t="n">
        <v>3641</v>
      </c>
      <c r="M423" t="n">
        <v>738</v>
      </c>
      <c r="N423" t="n">
        <v>4018</v>
      </c>
      <c r="O423" t="n">
        <v>3968</v>
      </c>
      <c r="P423" t="n">
        <v>2080</v>
      </c>
      <c r="Q423" t="n">
        <v>4477</v>
      </c>
      <c r="R423" t="n">
        <v>2310</v>
      </c>
      <c r="S423" t="n">
        <v>3149</v>
      </c>
      <c r="T423" t="n">
        <v>2880</v>
      </c>
    </row>
    <row r="424">
      <c r="A424" t="inlineStr">
        <is>
          <t>Gucci</t>
        </is>
      </c>
      <c r="B424" t="inlineStr">
        <is>
          <t>Gucci Flora (01228)</t>
        </is>
      </c>
      <c r="C424" t="inlineStr">
        <is>
          <t>Gucci Flora Gorgeous Magnolia (00006454)</t>
        </is>
      </c>
      <c r="D424" s="1" t="n">
        <v>3616303470777</v>
      </c>
      <c r="E424" t="inlineStr">
        <is>
          <t>GUCCI FL G MAG RG EDP 10 ML IV</t>
        </is>
      </c>
      <c r="F424" t="inlineStr">
        <is>
          <t>P_US_ALL_OTHERS</t>
        </is>
      </c>
      <c r="G424" t="inlineStr">
        <is>
          <t>CurrentWorkingView</t>
        </is>
      </c>
      <c r="H424" t="inlineStr">
        <is>
          <t>EPOS</t>
        </is>
      </c>
      <c r="I424" t="n">
        <v>1803</v>
      </c>
    </row>
    <row r="425">
      <c r="A425" t="inlineStr">
        <is>
          <t>Gucci</t>
        </is>
      </c>
      <c r="B425" t="inlineStr">
        <is>
          <t>Gucci Flora (01228)</t>
        </is>
      </c>
      <c r="C425" t="inlineStr">
        <is>
          <t>Gucci Flora Gorgeous Magnolia (00006454)</t>
        </is>
      </c>
      <c r="D425" s="1" t="n">
        <v>3616303470777</v>
      </c>
      <c r="E425" t="inlineStr">
        <is>
          <t>GUCCI FL G MAG RG EDP 10 ML IV</t>
        </is>
      </c>
      <c r="F425" t="inlineStr">
        <is>
          <t>P_US_ALL_OTHERS</t>
        </is>
      </c>
      <c r="G425" t="inlineStr">
        <is>
          <t>CurrentWorkingView</t>
        </is>
      </c>
      <c r="H425" t="inlineStr">
        <is>
          <t>Reasonability Adjustment</t>
        </is>
      </c>
      <c r="I425" t="n">
        <v>-711</v>
      </c>
      <c r="J425" t="n">
        <v>-8525</v>
      </c>
      <c r="K425" t="n">
        <v>-1037</v>
      </c>
      <c r="L425" t="n">
        <v>-1577</v>
      </c>
      <c r="N425" t="n">
        <v>-1400</v>
      </c>
      <c r="O425" t="n">
        <v>-2312</v>
      </c>
      <c r="S425" t="n">
        <v>-713</v>
      </c>
      <c r="T425" t="n">
        <v>-713</v>
      </c>
    </row>
    <row r="426">
      <c r="A426" t="inlineStr">
        <is>
          <t>Gucci</t>
        </is>
      </c>
      <c r="B426" t="inlineStr">
        <is>
          <t>Gucci Flora (01228)</t>
        </is>
      </c>
      <c r="C426" t="inlineStr">
        <is>
          <t>Gucci Flora Gorgeous Magnolia (00006454)</t>
        </is>
      </c>
      <c r="D426" s="1" t="n">
        <v>3616303470777</v>
      </c>
      <c r="E426" t="inlineStr">
        <is>
          <t>GUCCI FL G MAG RG EDP 10 ML IV</t>
        </is>
      </c>
      <c r="F426" t="inlineStr">
        <is>
          <t>P_US_ALL_OTHERS</t>
        </is>
      </c>
      <c r="G426" t="inlineStr">
        <is>
          <t>CurrentWorkingView</t>
        </is>
      </c>
      <c r="H426" t="inlineStr">
        <is>
          <t>Total Demand Assumption</t>
        </is>
      </c>
      <c r="I426" t="n">
        <v>-2395</v>
      </c>
      <c r="J426" t="n">
        <v>0</v>
      </c>
    </row>
    <row r="427">
      <c r="A427" t="inlineStr">
        <is>
          <t>Gucci</t>
        </is>
      </c>
      <c r="B427" t="inlineStr">
        <is>
          <t>Gucci Flora (01228)</t>
        </is>
      </c>
      <c r="C427" t="inlineStr">
        <is>
          <t>Gucci Flora Gorgeous Magnolia (00006454)</t>
        </is>
      </c>
      <c r="D427" s="1" t="n">
        <v>3616303470777</v>
      </c>
      <c r="E427" t="inlineStr">
        <is>
          <t>GUCCI FL G MAG RG EDP 10 ML IV</t>
        </is>
      </c>
      <c r="F427" t="inlineStr">
        <is>
          <t>P_US_ALL_OTHERS</t>
        </is>
      </c>
      <c r="G427" t="inlineStr">
        <is>
          <t>CurrentWorkingView</t>
        </is>
      </c>
      <c r="H427" t="inlineStr">
        <is>
          <t>Consensus - Final</t>
        </is>
      </c>
      <c r="I427" t="n">
        <v>2233</v>
      </c>
      <c r="J427" t="n">
        <v>2399</v>
      </c>
      <c r="K427" t="n">
        <v>5580.14952116156</v>
      </c>
      <c r="L427" t="n">
        <v>2064</v>
      </c>
      <c r="M427" t="n">
        <v>738</v>
      </c>
      <c r="N427" t="n">
        <v>2618</v>
      </c>
      <c r="O427" t="n">
        <v>1656</v>
      </c>
      <c r="P427" t="n">
        <v>2080</v>
      </c>
      <c r="Q427" t="n">
        <v>4477</v>
      </c>
      <c r="R427" t="n">
        <v>2310</v>
      </c>
      <c r="S427" t="n">
        <v>2436</v>
      </c>
      <c r="T427" t="n">
        <v>2167</v>
      </c>
    </row>
    <row r="428">
      <c r="A428" t="inlineStr">
        <is>
          <t>Gucci</t>
        </is>
      </c>
      <c r="B428" t="inlineStr">
        <is>
          <t>Gucci Flora (01228)</t>
        </is>
      </c>
      <c r="C428" t="inlineStr">
        <is>
          <t>Gucci Flora Gorgeous Magnolia (00006454)</t>
        </is>
      </c>
      <c r="D428" s="1" t="n">
        <v>3616303470777</v>
      </c>
      <c r="E428" t="inlineStr">
        <is>
          <t>GUCCI FL G MAG RG EDP 10 ML IV</t>
        </is>
      </c>
      <c r="F428" t="inlineStr">
        <is>
          <t>P_US_ALL_OTHERS</t>
        </is>
      </c>
      <c r="G428" t="inlineStr">
        <is>
          <t>CurrentWorkingView</t>
        </is>
      </c>
      <c r="H428" t="inlineStr">
        <is>
          <t>Supply Cuts</t>
        </is>
      </c>
    </row>
    <row r="429">
      <c r="A429" t="inlineStr">
        <is>
          <t>Gucci</t>
        </is>
      </c>
      <c r="B429" t="inlineStr">
        <is>
          <t>Gucci Flora (01228)</t>
        </is>
      </c>
      <c r="C429" t="inlineStr">
        <is>
          <t>Gucci Flora Gorgeous Magnolia (00006454)</t>
        </is>
      </c>
      <c r="D429" s="1" t="n">
        <v>3616303470777</v>
      </c>
      <c r="E429" t="inlineStr">
        <is>
          <t>GUCCI FL G MAG RG EDP 10 ML IV</t>
        </is>
      </c>
      <c r="F429" t="inlineStr">
        <is>
          <t>P_US_ALL_OTHERS</t>
        </is>
      </c>
      <c r="G429" t="inlineStr">
        <is>
          <t>Month-2026.M09.W38</t>
        </is>
      </c>
      <c r="H429" t="inlineStr">
        <is>
          <t>Consensus - Final LY M</t>
        </is>
      </c>
      <c r="I429" t="n">
        <v>6428</v>
      </c>
      <c r="J429" t="n">
        <v>1878</v>
      </c>
      <c r="K429" t="n">
        <v>4711</v>
      </c>
      <c r="L429" t="n">
        <v>2721</v>
      </c>
      <c r="M429" t="n">
        <v>1085</v>
      </c>
      <c r="N429" t="n">
        <v>3086</v>
      </c>
      <c r="O429" t="n">
        <v>1879</v>
      </c>
      <c r="P429" t="n">
        <v>2478</v>
      </c>
      <c r="Q429" t="n">
        <v>4777</v>
      </c>
      <c r="R429" t="n">
        <v>2112</v>
      </c>
      <c r="S429" t="n">
        <v>3395</v>
      </c>
      <c r="T429" t="n">
        <v>2274</v>
      </c>
    </row>
    <row r="430">
      <c r="A430" t="inlineStr">
        <is>
          <t>Gucci</t>
        </is>
      </c>
      <c r="B430" t="inlineStr">
        <is>
          <t>Gucci Flora (01228)</t>
        </is>
      </c>
      <c r="C430" t="inlineStr">
        <is>
          <t>Gucci Flora Gorgeous Magnolia (00006454)</t>
        </is>
      </c>
      <c r="D430" s="1" t="n">
        <v>3616303470777</v>
      </c>
      <c r="E430" t="inlineStr">
        <is>
          <t>GUCCI FL G MAG RG EDP 10 ML IV</t>
        </is>
      </c>
      <c r="F430" t="inlineStr">
        <is>
          <t>P_US_ALL_OTHERS</t>
        </is>
      </c>
      <c r="G430" t="inlineStr">
        <is>
          <t>Month-2026.M09.W38</t>
        </is>
      </c>
      <c r="H430" t="inlineStr">
        <is>
          <t>System FC - Final</t>
        </is>
      </c>
      <c r="I430" t="n">
        <v>2233</v>
      </c>
      <c r="J430" t="n">
        <v>2399</v>
      </c>
      <c r="K430" t="n">
        <v>5254</v>
      </c>
      <c r="L430" t="n">
        <v>4547</v>
      </c>
      <c r="M430" t="n">
        <v>738</v>
      </c>
      <c r="N430" t="n">
        <v>4018</v>
      </c>
      <c r="O430" t="n">
        <v>3968</v>
      </c>
      <c r="P430" t="n">
        <v>2080</v>
      </c>
      <c r="Q430" t="n">
        <v>4477</v>
      </c>
      <c r="R430" t="n">
        <v>2310</v>
      </c>
      <c r="S430" t="n">
        <v>3149</v>
      </c>
      <c r="T430" t="n">
        <v>2442</v>
      </c>
    </row>
    <row r="431">
      <c r="A431" t="inlineStr">
        <is>
          <t>Gucci</t>
        </is>
      </c>
      <c r="B431" t="inlineStr">
        <is>
          <t>Gucci Flora (01228)</t>
        </is>
      </c>
      <c r="C431" t="inlineStr">
        <is>
          <t>Gucci Flora Gorgeous Magnolia (00006454)</t>
        </is>
      </c>
      <c r="D431" s="1" t="n">
        <v>3616303470777</v>
      </c>
      <c r="E431" t="inlineStr">
        <is>
          <t>GUCCI FL G MAG RG EDP 10 ML IV</t>
        </is>
      </c>
      <c r="F431" t="inlineStr">
        <is>
          <t>P_US_ALL_OTHERS</t>
        </is>
      </c>
      <c r="G431" t="inlineStr">
        <is>
          <t>Month-2026.M09.W38</t>
        </is>
      </c>
      <c r="H431" t="inlineStr">
        <is>
          <t>EPOS</t>
        </is>
      </c>
      <c r="I431" t="n">
        <v>1803</v>
      </c>
    </row>
    <row r="432">
      <c r="A432" t="inlineStr">
        <is>
          <t>Gucci</t>
        </is>
      </c>
      <c r="B432" t="inlineStr">
        <is>
          <t>Gucci Flora (01228)</t>
        </is>
      </c>
      <c r="C432" t="inlineStr">
        <is>
          <t>Gucci Flora Gorgeous Magnolia (00006454)</t>
        </is>
      </c>
      <c r="D432" s="1" t="n">
        <v>3616303470777</v>
      </c>
      <c r="E432" t="inlineStr">
        <is>
          <t>GUCCI FL G MAG RG EDP 10 ML IV</t>
        </is>
      </c>
      <c r="F432" t="inlineStr">
        <is>
          <t>P_US_ALL_OTHERS</t>
        </is>
      </c>
      <c r="G432" t="inlineStr">
        <is>
          <t>Month-2026.M09.W38</t>
        </is>
      </c>
      <c r="H432" t="inlineStr">
        <is>
          <t>Reasonability Adjustment</t>
        </is>
      </c>
      <c r="I432" t="n">
        <v>-711</v>
      </c>
      <c r="J432" t="n">
        <v>-8525</v>
      </c>
      <c r="K432" t="n">
        <v>-1037</v>
      </c>
      <c r="L432" t="n">
        <v>-1577</v>
      </c>
      <c r="N432" t="n">
        <v>-1400</v>
      </c>
      <c r="O432" t="n">
        <v>-2312</v>
      </c>
      <c r="S432" t="n">
        <v>-713</v>
      </c>
      <c r="T432" t="n">
        <v>-713</v>
      </c>
    </row>
    <row r="433">
      <c r="A433" t="inlineStr">
        <is>
          <t>Gucci</t>
        </is>
      </c>
      <c r="B433" t="inlineStr">
        <is>
          <t>Gucci Flora (01228)</t>
        </is>
      </c>
      <c r="C433" t="inlineStr">
        <is>
          <t>Gucci Flora Gorgeous Magnolia (00006454)</t>
        </is>
      </c>
      <c r="D433" s="1" t="n">
        <v>3616303470777</v>
      </c>
      <c r="E433" t="inlineStr">
        <is>
          <t>GUCCI FL G MAG RG EDP 10 ML IV</t>
        </is>
      </c>
      <c r="F433" t="inlineStr">
        <is>
          <t>P_US_ALL_OTHERS</t>
        </is>
      </c>
      <c r="G433" t="inlineStr">
        <is>
          <t>Month-2026.M09.W38</t>
        </is>
      </c>
      <c r="H433" t="inlineStr">
        <is>
          <t>Total Demand Assumption</t>
        </is>
      </c>
      <c r="I433" t="n">
        <v>-2395</v>
      </c>
      <c r="J433" t="n">
        <v>0</v>
      </c>
    </row>
    <row r="434">
      <c r="A434" t="inlineStr">
        <is>
          <t>Gucci</t>
        </is>
      </c>
      <c r="B434" t="inlineStr">
        <is>
          <t>Gucci Flora (01228)</t>
        </is>
      </c>
      <c r="C434" t="inlineStr">
        <is>
          <t>Gucci Flora Gorgeous Magnolia (00006454)</t>
        </is>
      </c>
      <c r="D434" s="1" t="n">
        <v>3616303470777</v>
      </c>
      <c r="E434" t="inlineStr">
        <is>
          <t>GUCCI FL G MAG RG EDP 10 ML IV</t>
        </is>
      </c>
      <c r="F434" t="inlineStr">
        <is>
          <t>P_US_ALL_OTHERS</t>
        </is>
      </c>
      <c r="G434" t="inlineStr">
        <is>
          <t>Month-2026.M09.W38</t>
        </is>
      </c>
      <c r="H434" t="inlineStr">
        <is>
          <t>Consensus - Final</t>
        </is>
      </c>
      <c r="I434" t="n">
        <v>2233</v>
      </c>
      <c r="J434" t="n">
        <v>2399</v>
      </c>
      <c r="K434" t="n">
        <v>5580.14952116156</v>
      </c>
      <c r="L434" t="n">
        <v>2970</v>
      </c>
      <c r="M434" t="n">
        <v>738</v>
      </c>
      <c r="N434" t="n">
        <v>2618</v>
      </c>
      <c r="O434" t="n">
        <v>1656</v>
      </c>
      <c r="P434" t="n">
        <v>2080</v>
      </c>
      <c r="Q434" t="n">
        <v>4477</v>
      </c>
      <c r="R434" t="n">
        <v>2310</v>
      </c>
      <c r="S434" t="n">
        <v>2436</v>
      </c>
      <c r="T434" t="n">
        <v>1800</v>
      </c>
    </row>
    <row r="435">
      <c r="A435" t="inlineStr">
        <is>
          <t>Gucci</t>
        </is>
      </c>
      <c r="B435" t="inlineStr">
        <is>
          <t>Gucci Flora (01228)</t>
        </is>
      </c>
      <c r="C435" t="inlineStr">
        <is>
          <t>Gucci Flora Gorgeous Magnolia (00006454)</t>
        </is>
      </c>
      <c r="D435" s="1" t="n">
        <v>3616303470777</v>
      </c>
      <c r="E435" t="inlineStr">
        <is>
          <t>GUCCI FL G MAG RG EDP 10 ML IV</t>
        </is>
      </c>
      <c r="F435" t="inlineStr">
        <is>
          <t>P_US_ALL_OTHERS</t>
        </is>
      </c>
      <c r="G435" t="inlineStr">
        <is>
          <t>Month-2026.M09.W38</t>
        </is>
      </c>
      <c r="H435" t="inlineStr">
        <is>
          <t>Supply Cuts</t>
        </is>
      </c>
    </row>
    <row r="436">
      <c r="A436" t="inlineStr">
        <is>
          <t>Gucci</t>
        </is>
      </c>
      <c r="B436" t="inlineStr">
        <is>
          <t>Gucci Flora (01228)</t>
        </is>
      </c>
      <c r="C436" t="inlineStr">
        <is>
          <t>Gucci Flora Gorgeous Magnolia (00006454)</t>
        </is>
      </c>
      <c r="D436" s="1" t="n">
        <v>3616303470777</v>
      </c>
      <c r="E436" t="inlineStr">
        <is>
          <t>GUCCI FL G MAG RG EDP 10 ML IV</t>
        </is>
      </c>
      <c r="F436" t="inlineStr">
        <is>
          <t>P_US_FG</t>
        </is>
      </c>
      <c r="G436" t="inlineStr">
        <is>
          <t>CurrentWorkingView</t>
        </is>
      </c>
      <c r="H436" t="inlineStr">
        <is>
          <t>Consensus - Final LY M</t>
        </is>
      </c>
      <c r="P436" t="n">
        <v>10</v>
      </c>
    </row>
    <row r="437">
      <c r="A437" t="inlineStr">
        <is>
          <t>Gucci</t>
        </is>
      </c>
      <c r="B437" t="inlineStr">
        <is>
          <t>Gucci Flora (01228)</t>
        </is>
      </c>
      <c r="C437" t="inlineStr">
        <is>
          <t>Gucci Flora Gorgeous Magnolia (00006454)</t>
        </is>
      </c>
      <c r="D437" s="1" t="n">
        <v>3616303470777</v>
      </c>
      <c r="E437" t="inlineStr">
        <is>
          <t>GUCCI FL G MAG RG EDP 10 ML IV</t>
        </is>
      </c>
      <c r="F437" t="inlineStr">
        <is>
          <t>P_US_FG</t>
        </is>
      </c>
      <c r="G437" t="inlineStr">
        <is>
          <t>CurrentWorkingView</t>
        </is>
      </c>
      <c r="H437" t="inlineStr">
        <is>
          <t>System FC - Final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Gucci</t>
        </is>
      </c>
      <c r="B438" t="inlineStr">
        <is>
          <t>Gucci Flora (01228)</t>
        </is>
      </c>
      <c r="C438" t="inlineStr">
        <is>
          <t>Gucci Flora Gorgeous Magnolia (00006454)</t>
        </is>
      </c>
      <c r="D438" s="1" t="n">
        <v>3616303470777</v>
      </c>
      <c r="E438" t="inlineStr">
        <is>
          <t>GUCCI FL G MAG RG EDP 10 ML IV</t>
        </is>
      </c>
      <c r="F438" t="inlineStr">
        <is>
          <t>P_US_FG</t>
        </is>
      </c>
      <c r="G438" t="inlineStr">
        <is>
          <t>CurrentWorkingView</t>
        </is>
      </c>
      <c r="H438" t="inlineStr">
        <is>
          <t>EPOS</t>
        </is>
      </c>
    </row>
    <row r="439">
      <c r="A439" t="inlineStr">
        <is>
          <t>Gucci</t>
        </is>
      </c>
      <c r="B439" t="inlineStr">
        <is>
          <t>Gucci Flora (01228)</t>
        </is>
      </c>
      <c r="C439" t="inlineStr">
        <is>
          <t>Gucci Flora Gorgeous Magnolia (00006454)</t>
        </is>
      </c>
      <c r="D439" s="1" t="n">
        <v>3616303470777</v>
      </c>
      <c r="E439" t="inlineStr">
        <is>
          <t>GUCCI FL G MAG RG EDP 10 ML IV</t>
        </is>
      </c>
      <c r="F439" t="inlineStr">
        <is>
          <t>P_US_FG</t>
        </is>
      </c>
      <c r="G439" t="inlineStr">
        <is>
          <t>CurrentWorkingView</t>
        </is>
      </c>
      <c r="H439" t="inlineStr">
        <is>
          <t>Reasonability Adjustment</t>
        </is>
      </c>
    </row>
    <row r="440">
      <c r="A440" t="inlineStr">
        <is>
          <t>Gucci</t>
        </is>
      </c>
      <c r="B440" t="inlineStr">
        <is>
          <t>Gucci Flora (01228)</t>
        </is>
      </c>
      <c r="C440" t="inlineStr">
        <is>
          <t>Gucci Flora Gorgeous Magnolia (00006454)</t>
        </is>
      </c>
      <c r="D440" s="1" t="n">
        <v>3616303470777</v>
      </c>
      <c r="E440" t="inlineStr">
        <is>
          <t>GUCCI FL G MAG RG EDP 10 ML IV</t>
        </is>
      </c>
      <c r="F440" t="inlineStr">
        <is>
          <t>P_US_FG</t>
        </is>
      </c>
      <c r="G440" t="inlineStr">
        <is>
          <t>CurrentWorkingView</t>
        </is>
      </c>
      <c r="H440" t="inlineStr">
        <is>
          <t>Total Demand Assumption</t>
        </is>
      </c>
    </row>
    <row r="441">
      <c r="A441" t="inlineStr">
        <is>
          <t>Gucci</t>
        </is>
      </c>
      <c r="B441" t="inlineStr">
        <is>
          <t>Gucci Flora (01228)</t>
        </is>
      </c>
      <c r="C441" t="inlineStr">
        <is>
          <t>Gucci Flora Gorgeous Magnolia (00006454)</t>
        </is>
      </c>
      <c r="D441" s="1" t="n">
        <v>3616303470777</v>
      </c>
      <c r="E441" t="inlineStr">
        <is>
          <t>GUCCI FL G MAG RG EDP 10 ML IV</t>
        </is>
      </c>
      <c r="F441" t="inlineStr">
        <is>
          <t>P_US_FG</t>
        </is>
      </c>
      <c r="G441" t="inlineStr">
        <is>
          <t>CurrentWorkingView</t>
        </is>
      </c>
      <c r="H441" t="inlineStr">
        <is>
          <t>Consensus - Final</t>
        </is>
      </c>
      <c r="K441" t="n">
        <v>0</v>
      </c>
    </row>
    <row r="442">
      <c r="A442" t="inlineStr">
        <is>
          <t>Gucci</t>
        </is>
      </c>
      <c r="B442" t="inlineStr">
        <is>
          <t>Gucci Flora (01228)</t>
        </is>
      </c>
      <c r="C442" t="inlineStr">
        <is>
          <t>Gucci Flora Gorgeous Magnolia (00006454)</t>
        </is>
      </c>
      <c r="D442" s="1" t="n">
        <v>3616303470777</v>
      </c>
      <c r="E442" t="inlineStr">
        <is>
          <t>GUCCI FL G MAG RG EDP 10 ML IV</t>
        </is>
      </c>
      <c r="F442" t="inlineStr">
        <is>
          <t>P_US_FG</t>
        </is>
      </c>
      <c r="G442" t="inlineStr">
        <is>
          <t>CurrentWorkingView</t>
        </is>
      </c>
      <c r="H442" t="inlineStr">
        <is>
          <t>Supply Cuts</t>
        </is>
      </c>
    </row>
    <row r="443">
      <c r="A443" t="inlineStr">
        <is>
          <t>Gucci</t>
        </is>
      </c>
      <c r="B443" t="inlineStr">
        <is>
          <t>Gucci Flora (01228)</t>
        </is>
      </c>
      <c r="C443" t="inlineStr">
        <is>
          <t>Gucci Flora Gorgeous Magnolia (00006454)</t>
        </is>
      </c>
      <c r="D443" s="1" t="n">
        <v>3616303470777</v>
      </c>
      <c r="E443" t="inlineStr">
        <is>
          <t>GUCCI FL G MAG RG EDP 10 ML IV</t>
        </is>
      </c>
      <c r="F443" t="inlineStr">
        <is>
          <t>P_US_FG</t>
        </is>
      </c>
      <c r="G443" t="inlineStr">
        <is>
          <t>Month-2026.M09.W38</t>
        </is>
      </c>
      <c r="H443" t="inlineStr">
        <is>
          <t>Consensus - Final LY M</t>
        </is>
      </c>
      <c r="P443" t="n">
        <v>10</v>
      </c>
    </row>
    <row r="444">
      <c r="A444" t="inlineStr">
        <is>
          <t>Gucci</t>
        </is>
      </c>
      <c r="B444" t="inlineStr">
        <is>
          <t>Gucci Flora (01228)</t>
        </is>
      </c>
      <c r="C444" t="inlineStr">
        <is>
          <t>Gucci Flora Gorgeous Magnolia (00006454)</t>
        </is>
      </c>
      <c r="D444" s="1" t="n">
        <v>3616303470777</v>
      </c>
      <c r="E444" t="inlineStr">
        <is>
          <t>GUCCI FL G MAG RG EDP 10 ML IV</t>
        </is>
      </c>
      <c r="F444" t="inlineStr">
        <is>
          <t>P_US_FG</t>
        </is>
      </c>
      <c r="G444" t="inlineStr">
        <is>
          <t>Month-2026.M09.W38</t>
        </is>
      </c>
      <c r="H444" t="inlineStr">
        <is>
          <t>System FC - Final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Gucci</t>
        </is>
      </c>
      <c r="B445" t="inlineStr">
        <is>
          <t>Gucci Flora (01228)</t>
        </is>
      </c>
      <c r="C445" t="inlineStr">
        <is>
          <t>Gucci Flora Gorgeous Magnolia (00006454)</t>
        </is>
      </c>
      <c r="D445" s="1" t="n">
        <v>3616303470777</v>
      </c>
      <c r="E445" t="inlineStr">
        <is>
          <t>GUCCI FL G MAG RG EDP 10 ML IV</t>
        </is>
      </c>
      <c r="F445" t="inlineStr">
        <is>
          <t>P_US_FG</t>
        </is>
      </c>
      <c r="G445" t="inlineStr">
        <is>
          <t>Month-2026.M09.W38</t>
        </is>
      </c>
      <c r="H445" t="inlineStr">
        <is>
          <t>EPOS</t>
        </is>
      </c>
    </row>
    <row r="446">
      <c r="A446" t="inlineStr">
        <is>
          <t>Gucci</t>
        </is>
      </c>
      <c r="B446" t="inlineStr">
        <is>
          <t>Gucci Flora (01228)</t>
        </is>
      </c>
      <c r="C446" t="inlineStr">
        <is>
          <t>Gucci Flora Gorgeous Magnolia (00006454)</t>
        </is>
      </c>
      <c r="D446" s="1" t="n">
        <v>3616303470777</v>
      </c>
      <c r="E446" t="inlineStr">
        <is>
          <t>GUCCI FL G MAG RG EDP 10 ML IV</t>
        </is>
      </c>
      <c r="F446" t="inlineStr">
        <is>
          <t>P_US_FG</t>
        </is>
      </c>
      <c r="G446" t="inlineStr">
        <is>
          <t>Month-2026.M09.W38</t>
        </is>
      </c>
      <c r="H446" t="inlineStr">
        <is>
          <t>Reasonability Adjustment</t>
        </is>
      </c>
    </row>
    <row r="447">
      <c r="A447" t="inlineStr">
        <is>
          <t>Gucci</t>
        </is>
      </c>
      <c r="B447" t="inlineStr">
        <is>
          <t>Gucci Flora (01228)</t>
        </is>
      </c>
      <c r="C447" t="inlineStr">
        <is>
          <t>Gucci Flora Gorgeous Magnolia (00006454)</t>
        </is>
      </c>
      <c r="D447" s="1" t="n">
        <v>3616303470777</v>
      </c>
      <c r="E447" t="inlineStr">
        <is>
          <t>GUCCI FL G MAG RG EDP 10 ML IV</t>
        </is>
      </c>
      <c r="F447" t="inlineStr">
        <is>
          <t>P_US_FG</t>
        </is>
      </c>
      <c r="G447" t="inlineStr">
        <is>
          <t>Month-2026.M09.W38</t>
        </is>
      </c>
      <c r="H447" t="inlineStr">
        <is>
          <t>Total Demand Assumption</t>
        </is>
      </c>
    </row>
    <row r="448">
      <c r="A448" t="inlineStr">
        <is>
          <t>Gucci</t>
        </is>
      </c>
      <c r="B448" t="inlineStr">
        <is>
          <t>Gucci Flora (01228)</t>
        </is>
      </c>
      <c r="C448" t="inlineStr">
        <is>
          <t>Gucci Flora Gorgeous Magnolia (00006454)</t>
        </is>
      </c>
      <c r="D448" s="1" t="n">
        <v>3616303470777</v>
      </c>
      <c r="E448" t="inlineStr">
        <is>
          <t>GUCCI FL G MAG RG EDP 10 ML IV</t>
        </is>
      </c>
      <c r="F448" t="inlineStr">
        <is>
          <t>P_US_FG</t>
        </is>
      </c>
      <c r="G448" t="inlineStr">
        <is>
          <t>Month-2026.M09.W38</t>
        </is>
      </c>
      <c r="H448" t="inlineStr">
        <is>
          <t>Consensus - Final</t>
        </is>
      </c>
      <c r="K448" t="n">
        <v>0</v>
      </c>
    </row>
    <row r="449">
      <c r="A449" t="inlineStr">
        <is>
          <t>Gucci</t>
        </is>
      </c>
      <c r="B449" t="inlineStr">
        <is>
          <t>Gucci Flora (01228)</t>
        </is>
      </c>
      <c r="C449" t="inlineStr">
        <is>
          <t>Gucci Flora Gorgeous Magnolia (00006454)</t>
        </is>
      </c>
      <c r="D449" s="1" t="n">
        <v>3616303470777</v>
      </c>
      <c r="E449" t="inlineStr">
        <is>
          <t>GUCCI FL G MAG RG EDP 10 ML IV</t>
        </is>
      </c>
      <c r="F449" t="inlineStr">
        <is>
          <t>P_US_FG</t>
        </is>
      </c>
      <c r="G449" t="inlineStr">
        <is>
          <t>Month-2026.M09.W38</t>
        </is>
      </c>
      <c r="H449" t="inlineStr">
        <is>
          <t>Supply Cuts</t>
        </is>
      </c>
    </row>
    <row r="450">
      <c r="A450" t="inlineStr">
        <is>
          <t>Gucci</t>
        </is>
      </c>
      <c r="B450" t="inlineStr">
        <is>
          <t>Gucci Flora (01228)</t>
        </is>
      </c>
      <c r="C450" t="inlineStr">
        <is>
          <t>Gucci Flora Gorgeous Magnolia (00006454)</t>
        </is>
      </c>
      <c r="D450" s="1" t="n">
        <v>3616303470777</v>
      </c>
      <c r="E450" t="inlineStr">
        <is>
          <t>GUCCI FL G MAG RG EDP 10 ML IV</t>
        </is>
      </c>
      <c r="F450" t="inlineStr">
        <is>
          <t>P_US_ULTA</t>
        </is>
      </c>
      <c r="G450" t="inlineStr">
        <is>
          <t>CurrentWorkingView</t>
        </is>
      </c>
      <c r="H450" t="inlineStr">
        <is>
          <t>Consensus - Final LY M</t>
        </is>
      </c>
      <c r="I450" t="n">
        <v>660</v>
      </c>
      <c r="J450" t="n">
        <v>2795</v>
      </c>
      <c r="K450" t="n">
        <v>6081</v>
      </c>
      <c r="L450" t="n">
        <v>2003</v>
      </c>
      <c r="M450" t="n">
        <v>18</v>
      </c>
      <c r="N450" t="n">
        <v>9</v>
      </c>
      <c r="P450" t="n">
        <v>268</v>
      </c>
      <c r="Q450" t="n">
        <v>678</v>
      </c>
      <c r="R450" t="n">
        <v>549</v>
      </c>
      <c r="S450" t="n">
        <v>921</v>
      </c>
      <c r="T450" t="n">
        <v>516</v>
      </c>
    </row>
    <row r="451">
      <c r="A451" t="inlineStr">
        <is>
          <t>Gucci</t>
        </is>
      </c>
      <c r="B451" t="inlineStr">
        <is>
          <t>Gucci Flora (01228)</t>
        </is>
      </c>
      <c r="C451" t="inlineStr">
        <is>
          <t>Gucci Flora Gorgeous Magnolia (00006454)</t>
        </is>
      </c>
      <c r="D451" s="1" t="n">
        <v>3616303470777</v>
      </c>
      <c r="E451" t="inlineStr">
        <is>
          <t>GUCCI FL G MAG RG EDP 10 ML IV</t>
        </is>
      </c>
      <c r="F451" t="inlineStr">
        <is>
          <t>P_US_ULTA</t>
        </is>
      </c>
      <c r="G451" t="inlineStr">
        <is>
          <t>CurrentWorkingView</t>
        </is>
      </c>
      <c r="H451" t="inlineStr">
        <is>
          <t>System FC - Final</t>
        </is>
      </c>
      <c r="I451" t="n">
        <v>447</v>
      </c>
      <c r="J451" t="n">
        <v>1424</v>
      </c>
      <c r="K451" t="n">
        <v>2458</v>
      </c>
      <c r="L451" t="n">
        <v>1944</v>
      </c>
      <c r="M451" t="n">
        <v>731</v>
      </c>
      <c r="N451" t="n">
        <v>935</v>
      </c>
      <c r="O451" t="n">
        <v>806</v>
      </c>
      <c r="P451" t="n">
        <v>932</v>
      </c>
      <c r="Q451" t="n">
        <v>1111</v>
      </c>
      <c r="R451" t="n">
        <v>737</v>
      </c>
      <c r="S451" t="n">
        <v>1147</v>
      </c>
      <c r="T451" t="n">
        <v>737</v>
      </c>
    </row>
    <row r="452">
      <c r="A452" t="inlineStr">
        <is>
          <t>Gucci</t>
        </is>
      </c>
      <c r="B452" t="inlineStr">
        <is>
          <t>Gucci Flora (01228)</t>
        </is>
      </c>
      <c r="C452" t="inlineStr">
        <is>
          <t>Gucci Flora Gorgeous Magnolia (00006454)</t>
        </is>
      </c>
      <c r="D452" s="1" t="n">
        <v>3616303470777</v>
      </c>
      <c r="E452" t="inlineStr">
        <is>
          <t>GUCCI FL G MAG RG EDP 10 ML IV</t>
        </is>
      </c>
      <c r="F452" t="inlineStr">
        <is>
          <t>P_US_ULTA</t>
        </is>
      </c>
      <c r="G452" t="inlineStr">
        <is>
          <t>CurrentWorkingView</t>
        </is>
      </c>
      <c r="H452" t="inlineStr">
        <is>
          <t>EPOS</t>
        </is>
      </c>
      <c r="I452" t="n">
        <v>855</v>
      </c>
    </row>
    <row r="453">
      <c r="A453" t="inlineStr">
        <is>
          <t>Gucci</t>
        </is>
      </c>
      <c r="B453" t="inlineStr">
        <is>
          <t>Gucci Flora (01228)</t>
        </is>
      </c>
      <c r="C453" t="inlineStr">
        <is>
          <t>Gucci Flora Gorgeous Magnolia (00006454)</t>
        </is>
      </c>
      <c r="D453" s="1" t="n">
        <v>3616303470777</v>
      </c>
      <c r="E453" t="inlineStr">
        <is>
          <t>GUCCI FL G MAG RG EDP 10 ML IV</t>
        </is>
      </c>
      <c r="F453" t="inlineStr">
        <is>
          <t>P_US_ULTA</t>
        </is>
      </c>
      <c r="G453" t="inlineStr">
        <is>
          <t>CurrentWorkingView</t>
        </is>
      </c>
      <c r="H453" t="inlineStr">
        <is>
          <t>Reasonability Adjustment</t>
        </is>
      </c>
      <c r="I453" t="n">
        <v>-289</v>
      </c>
      <c r="J453" t="n">
        <v>-2475</v>
      </c>
      <c r="K453" t="n">
        <v>-551</v>
      </c>
      <c r="L453" t="n">
        <v>-827</v>
      </c>
      <c r="N453" t="n">
        <v>-400</v>
      </c>
      <c r="O453" t="n">
        <v>-576</v>
      </c>
      <c r="S453" t="n">
        <v>-287</v>
      </c>
      <c r="T453" t="n">
        <v>-287</v>
      </c>
    </row>
    <row r="454">
      <c r="A454" t="inlineStr">
        <is>
          <t>Gucci</t>
        </is>
      </c>
      <c r="B454" t="inlineStr">
        <is>
          <t>Gucci Flora (01228)</t>
        </is>
      </c>
      <c r="C454" t="inlineStr">
        <is>
          <t>Gucci Flora Gorgeous Magnolia (00006454)</t>
        </is>
      </c>
      <c r="D454" s="1" t="n">
        <v>3616303470777</v>
      </c>
      <c r="E454" t="inlineStr">
        <is>
          <t>GUCCI FL G MAG RG EDP 10 ML IV</t>
        </is>
      </c>
      <c r="F454" t="inlineStr">
        <is>
          <t>P_US_ULTA</t>
        </is>
      </c>
      <c r="G454" t="inlineStr">
        <is>
          <t>CurrentWorkingView</t>
        </is>
      </c>
      <c r="H454" t="inlineStr">
        <is>
          <t>Total Demand Assumption</t>
        </is>
      </c>
    </row>
    <row r="455">
      <c r="A455" t="inlineStr">
        <is>
          <t>Gucci</t>
        </is>
      </c>
      <c r="B455" t="inlineStr">
        <is>
          <t>Gucci Flora (01228)</t>
        </is>
      </c>
      <c r="C455" t="inlineStr">
        <is>
          <t>Gucci Flora Gorgeous Magnolia (00006454)</t>
        </is>
      </c>
      <c r="D455" s="1" t="n">
        <v>3616303470777</v>
      </c>
      <c r="E455" t="inlineStr">
        <is>
          <t>GUCCI FL G MAG RG EDP 10 ML IV</t>
        </is>
      </c>
      <c r="F455" t="inlineStr">
        <is>
          <t>P_US_ULTA</t>
        </is>
      </c>
      <c r="G455" t="inlineStr">
        <is>
          <t>CurrentWorkingView</t>
        </is>
      </c>
      <c r="H455" t="inlineStr">
        <is>
          <t>Consensus - Final</t>
        </is>
      </c>
      <c r="I455" t="n">
        <v>447</v>
      </c>
      <c r="J455" t="n">
        <v>1424</v>
      </c>
      <c r="K455" t="n">
        <v>3011.85047883843</v>
      </c>
      <c r="L455" t="n">
        <v>1117</v>
      </c>
      <c r="M455" t="n">
        <v>731</v>
      </c>
      <c r="N455" t="n">
        <v>535</v>
      </c>
      <c r="O455" t="n">
        <v>230</v>
      </c>
      <c r="P455" t="n">
        <v>932</v>
      </c>
      <c r="Q455" t="n">
        <v>1111</v>
      </c>
      <c r="R455" t="n">
        <v>737</v>
      </c>
      <c r="S455" t="n">
        <v>860</v>
      </c>
      <c r="T455" t="n">
        <v>479</v>
      </c>
    </row>
    <row r="456">
      <c r="A456" t="inlineStr">
        <is>
          <t>Gucci</t>
        </is>
      </c>
      <c r="B456" t="inlineStr">
        <is>
          <t>Gucci Flora (01228)</t>
        </is>
      </c>
      <c r="C456" t="inlineStr">
        <is>
          <t>Gucci Flora Gorgeous Magnolia (00006454)</t>
        </is>
      </c>
      <c r="D456" s="1" t="n">
        <v>3616303470777</v>
      </c>
      <c r="E456" t="inlineStr">
        <is>
          <t>GUCCI FL G MAG RG EDP 10 ML IV</t>
        </is>
      </c>
      <c r="F456" t="inlineStr">
        <is>
          <t>P_US_ULTA</t>
        </is>
      </c>
      <c r="G456" t="inlineStr">
        <is>
          <t>CurrentWorkingView</t>
        </is>
      </c>
      <c r="H456" t="inlineStr">
        <is>
          <t>Supply Cuts</t>
        </is>
      </c>
    </row>
    <row r="457">
      <c r="A457" t="inlineStr">
        <is>
          <t>Gucci</t>
        </is>
      </c>
      <c r="B457" t="inlineStr">
        <is>
          <t>Gucci Flora (01228)</t>
        </is>
      </c>
      <c r="C457" t="inlineStr">
        <is>
          <t>Gucci Flora Gorgeous Magnolia (00006454)</t>
        </is>
      </c>
      <c r="D457" s="1" t="n">
        <v>3616303470777</v>
      </c>
      <c r="E457" t="inlineStr">
        <is>
          <t>GUCCI FL G MAG RG EDP 10 ML IV</t>
        </is>
      </c>
      <c r="F457" t="inlineStr">
        <is>
          <t>P_US_ULTA</t>
        </is>
      </c>
      <c r="G457" t="inlineStr">
        <is>
          <t>Month-2026.M09.W38</t>
        </is>
      </c>
      <c r="H457" t="inlineStr">
        <is>
          <t>Consensus - Final LY M</t>
        </is>
      </c>
      <c r="I457" t="n">
        <v>660</v>
      </c>
      <c r="J457" t="n">
        <v>2795</v>
      </c>
      <c r="K457" t="n">
        <v>6081</v>
      </c>
      <c r="L457" t="n">
        <v>2003</v>
      </c>
      <c r="M457" t="n">
        <v>18</v>
      </c>
      <c r="N457" t="n">
        <v>9</v>
      </c>
      <c r="P457" t="n">
        <v>268</v>
      </c>
      <c r="Q457" t="n">
        <v>678</v>
      </c>
      <c r="R457" t="n">
        <v>549</v>
      </c>
      <c r="S457" t="n">
        <v>921</v>
      </c>
      <c r="T457" t="n">
        <v>516</v>
      </c>
    </row>
    <row r="458">
      <c r="A458" t="inlineStr">
        <is>
          <t>Gucci</t>
        </is>
      </c>
      <c r="B458" t="inlineStr">
        <is>
          <t>Gucci Flora (01228)</t>
        </is>
      </c>
      <c r="C458" t="inlineStr">
        <is>
          <t>Gucci Flora Gorgeous Magnolia (00006454)</t>
        </is>
      </c>
      <c r="D458" s="1" t="n">
        <v>3616303470777</v>
      </c>
      <c r="E458" t="inlineStr">
        <is>
          <t>GUCCI FL G MAG RG EDP 10 ML IV</t>
        </is>
      </c>
      <c r="F458" t="inlineStr">
        <is>
          <t>P_US_ULTA</t>
        </is>
      </c>
      <c r="G458" t="inlineStr">
        <is>
          <t>Month-2026.M09.W38</t>
        </is>
      </c>
      <c r="H458" t="inlineStr">
        <is>
          <t>System FC - Final</t>
        </is>
      </c>
      <c r="I458" t="n">
        <v>447</v>
      </c>
      <c r="J458" t="n">
        <v>1424</v>
      </c>
      <c r="K458" t="n">
        <v>2528</v>
      </c>
      <c r="L458" t="n">
        <v>2384</v>
      </c>
      <c r="M458" t="n">
        <v>900</v>
      </c>
      <c r="N458" t="n">
        <v>1147</v>
      </c>
      <c r="O458" t="n">
        <v>988</v>
      </c>
      <c r="P458" t="n">
        <v>1144</v>
      </c>
      <c r="Q458" t="n">
        <v>1364</v>
      </c>
      <c r="R458" t="n">
        <v>905</v>
      </c>
      <c r="S458" t="n">
        <v>1408</v>
      </c>
      <c r="T458" t="n">
        <v>906</v>
      </c>
    </row>
    <row r="459">
      <c r="A459" t="inlineStr">
        <is>
          <t>Gucci</t>
        </is>
      </c>
      <c r="B459" t="inlineStr">
        <is>
          <t>Gucci Flora (01228)</t>
        </is>
      </c>
      <c r="C459" t="inlineStr">
        <is>
          <t>Gucci Flora Gorgeous Magnolia (00006454)</t>
        </is>
      </c>
      <c r="D459" s="1" t="n">
        <v>3616303470777</v>
      </c>
      <c r="E459" t="inlineStr">
        <is>
          <t>GUCCI FL G MAG RG EDP 10 ML IV</t>
        </is>
      </c>
      <c r="F459" t="inlineStr">
        <is>
          <t>P_US_ULTA</t>
        </is>
      </c>
      <c r="G459" t="inlineStr">
        <is>
          <t>Month-2026.M09.W38</t>
        </is>
      </c>
      <c r="H459" t="inlineStr">
        <is>
          <t>EPOS</t>
        </is>
      </c>
      <c r="I459" t="n">
        <v>855</v>
      </c>
    </row>
    <row r="460">
      <c r="A460" t="inlineStr">
        <is>
          <t>Gucci</t>
        </is>
      </c>
      <c r="B460" t="inlineStr">
        <is>
          <t>Gucci Flora (01228)</t>
        </is>
      </c>
      <c r="C460" t="inlineStr">
        <is>
          <t>Gucci Flora Gorgeous Magnolia (00006454)</t>
        </is>
      </c>
      <c r="D460" s="1" t="n">
        <v>3616303470777</v>
      </c>
      <c r="E460" t="inlineStr">
        <is>
          <t>GUCCI FL G MAG RG EDP 10 ML IV</t>
        </is>
      </c>
      <c r="F460" t="inlineStr">
        <is>
          <t>P_US_ULTA</t>
        </is>
      </c>
      <c r="G460" t="inlineStr">
        <is>
          <t>Month-2026.M09.W38</t>
        </is>
      </c>
      <c r="H460" t="inlineStr">
        <is>
          <t>Reasonability Adjustment</t>
        </is>
      </c>
      <c r="I460" t="n">
        <v>-289</v>
      </c>
      <c r="J460" t="n">
        <v>-2475</v>
      </c>
      <c r="K460" t="n">
        <v>-551</v>
      </c>
      <c r="L460" t="n">
        <v>-827</v>
      </c>
      <c r="N460" t="n">
        <v>-400</v>
      </c>
      <c r="O460" t="n">
        <v>-576</v>
      </c>
      <c r="S460" t="n">
        <v>-287</v>
      </c>
      <c r="T460" t="n">
        <v>-287</v>
      </c>
    </row>
    <row r="461">
      <c r="A461" t="inlineStr">
        <is>
          <t>Gucci</t>
        </is>
      </c>
      <c r="B461" t="inlineStr">
        <is>
          <t>Gucci Flora (01228)</t>
        </is>
      </c>
      <c r="C461" t="inlineStr">
        <is>
          <t>Gucci Flora Gorgeous Magnolia (00006454)</t>
        </is>
      </c>
      <c r="D461" s="1" t="n">
        <v>3616303470777</v>
      </c>
      <c r="E461" t="inlineStr">
        <is>
          <t>GUCCI FL G MAG RG EDP 10 ML IV</t>
        </is>
      </c>
      <c r="F461" t="inlineStr">
        <is>
          <t>P_US_ULTA</t>
        </is>
      </c>
      <c r="G461" t="inlineStr">
        <is>
          <t>Month-2026.M09.W38</t>
        </is>
      </c>
      <c r="H461" t="inlineStr">
        <is>
          <t>Total Demand Assumption</t>
        </is>
      </c>
    </row>
    <row r="462">
      <c r="A462" t="inlineStr">
        <is>
          <t>Gucci</t>
        </is>
      </c>
      <c r="B462" t="inlineStr">
        <is>
          <t>Gucci Flora (01228)</t>
        </is>
      </c>
      <c r="C462" t="inlineStr">
        <is>
          <t>Gucci Flora Gorgeous Magnolia (00006454)</t>
        </is>
      </c>
      <c r="D462" s="1" t="n">
        <v>3616303470777</v>
      </c>
      <c r="E462" t="inlineStr">
        <is>
          <t>GUCCI FL G MAG RG EDP 10 ML IV</t>
        </is>
      </c>
      <c r="F462" t="inlineStr">
        <is>
          <t>P_US_ULTA</t>
        </is>
      </c>
      <c r="G462" t="inlineStr">
        <is>
          <t>Month-2026.M09.W38</t>
        </is>
      </c>
      <c r="H462" t="inlineStr">
        <is>
          <t>Consensus - Final</t>
        </is>
      </c>
      <c r="I462" t="n">
        <v>447</v>
      </c>
      <c r="J462" t="n">
        <v>1424</v>
      </c>
      <c r="K462" t="n">
        <v>3011.85047883843</v>
      </c>
      <c r="L462" t="n">
        <v>1557</v>
      </c>
      <c r="M462" t="n">
        <v>900</v>
      </c>
      <c r="N462" t="n">
        <v>747</v>
      </c>
      <c r="O462" t="n">
        <v>412</v>
      </c>
      <c r="P462" t="n">
        <v>1144</v>
      </c>
      <c r="Q462" t="n">
        <v>1364</v>
      </c>
      <c r="R462" t="n">
        <v>905</v>
      </c>
      <c r="S462" t="n">
        <v>1121</v>
      </c>
      <c r="T462" t="n">
        <v>648</v>
      </c>
    </row>
    <row r="463">
      <c r="A463" t="inlineStr">
        <is>
          <t>Gucci</t>
        </is>
      </c>
      <c r="B463" t="inlineStr">
        <is>
          <t>Gucci Flora (01228)</t>
        </is>
      </c>
      <c r="C463" t="inlineStr">
        <is>
          <t>Gucci Flora Gorgeous Magnolia (00006454)</t>
        </is>
      </c>
      <c r="D463" s="1" t="n">
        <v>3616303470777</v>
      </c>
      <c r="E463" t="inlineStr">
        <is>
          <t>GUCCI FL G MAG RG EDP 10 ML IV</t>
        </is>
      </c>
      <c r="F463" t="inlineStr">
        <is>
          <t>P_US_ULTA</t>
        </is>
      </c>
      <c r="G463" t="inlineStr">
        <is>
          <t>Month-2026.M09.W38</t>
        </is>
      </c>
      <c r="H463" t="inlineStr">
        <is>
          <t>Supply Cuts</t>
        </is>
      </c>
    </row>
    <row r="464">
      <c r="A464" t="inlineStr">
        <is>
          <t>Gucci</t>
        </is>
      </c>
      <c r="B464" t="inlineStr">
        <is>
          <t>Gucci Flora (01228)</t>
        </is>
      </c>
      <c r="C464" t="inlineStr">
        <is>
          <t>Gucci Flora Gorgeous Magnolia (00006454)</t>
        </is>
      </c>
      <c r="D464" s="1" t="n">
        <v>3616303470791</v>
      </c>
      <c r="E464" t="inlineStr">
        <is>
          <t>GUCCI FL G MAG RG EDP 100 ML SCREW IV</t>
        </is>
      </c>
      <c r="F464" t="inlineStr">
        <is>
          <t>P_US_ALL_OTHERS</t>
        </is>
      </c>
      <c r="G464" t="inlineStr">
        <is>
          <t>CurrentWorkingView</t>
        </is>
      </c>
      <c r="H464" t="inlineStr">
        <is>
          <t>Consensus - Final LY M</t>
        </is>
      </c>
      <c r="I464" t="n">
        <v>3728</v>
      </c>
      <c r="J464" t="n">
        <v>1435</v>
      </c>
      <c r="K464" t="n">
        <v>2099</v>
      </c>
      <c r="L464" t="n">
        <v>4675</v>
      </c>
      <c r="M464" t="n">
        <v>1014</v>
      </c>
      <c r="N464" t="n">
        <v>1068</v>
      </c>
      <c r="O464" t="n">
        <v>654</v>
      </c>
      <c r="P464" t="n">
        <v>2284</v>
      </c>
      <c r="Q464" t="n">
        <v>1745</v>
      </c>
      <c r="R464" t="n">
        <v>1964</v>
      </c>
      <c r="S464" t="n">
        <v>3358</v>
      </c>
      <c r="T464" t="n">
        <v>1035</v>
      </c>
    </row>
    <row r="465">
      <c r="A465" t="inlineStr">
        <is>
          <t>Gucci</t>
        </is>
      </c>
      <c r="B465" t="inlineStr">
        <is>
          <t>Gucci Flora (01228)</t>
        </is>
      </c>
      <c r="C465" t="inlineStr">
        <is>
          <t>Gucci Flora Gorgeous Magnolia (00006454)</t>
        </is>
      </c>
      <c r="D465" s="1" t="n">
        <v>3616303470791</v>
      </c>
      <c r="E465" t="inlineStr">
        <is>
          <t>GUCCI FL G MAG RG EDP 100 ML SCREW IV</t>
        </is>
      </c>
      <c r="F465" t="inlineStr">
        <is>
          <t>P_US_ALL_OTHERS</t>
        </is>
      </c>
      <c r="G465" t="inlineStr">
        <is>
          <t>CurrentWorkingView</t>
        </is>
      </c>
      <c r="H465" t="inlineStr">
        <is>
          <t>System FC - Final</t>
        </is>
      </c>
      <c r="I465" t="n">
        <v>1111</v>
      </c>
      <c r="J465" t="n">
        <v>647</v>
      </c>
      <c r="K465" t="n">
        <v>1173</v>
      </c>
      <c r="L465" t="n">
        <v>4145</v>
      </c>
      <c r="M465" t="n">
        <v>1470</v>
      </c>
      <c r="N465" t="n">
        <v>646</v>
      </c>
      <c r="O465" t="n">
        <v>647</v>
      </c>
      <c r="P465" t="n">
        <v>1720</v>
      </c>
      <c r="Q465" t="n">
        <v>1005</v>
      </c>
      <c r="R465" t="n">
        <v>1299</v>
      </c>
      <c r="S465" t="n">
        <v>2728</v>
      </c>
      <c r="T465" t="n">
        <v>1110</v>
      </c>
    </row>
    <row r="466">
      <c r="A466" t="inlineStr">
        <is>
          <t>Gucci</t>
        </is>
      </c>
      <c r="B466" t="inlineStr">
        <is>
          <t>Gucci Flora (01228)</t>
        </is>
      </c>
      <c r="C466" t="inlineStr">
        <is>
          <t>Gucci Flora Gorgeous Magnolia (00006454)</t>
        </is>
      </c>
      <c r="D466" s="1" t="n">
        <v>3616303470791</v>
      </c>
      <c r="E466" t="inlineStr">
        <is>
          <t>GUCCI FL G MAG RG EDP 100 ML SCREW IV</t>
        </is>
      </c>
      <c r="F466" t="inlineStr">
        <is>
          <t>P_US_ALL_OTHERS</t>
        </is>
      </c>
      <c r="G466" t="inlineStr">
        <is>
          <t>CurrentWorkingView</t>
        </is>
      </c>
      <c r="H466" t="inlineStr">
        <is>
          <t>EPOS</t>
        </is>
      </c>
      <c r="I466" t="n">
        <v>935</v>
      </c>
    </row>
    <row r="467">
      <c r="A467" t="inlineStr">
        <is>
          <t>Gucci</t>
        </is>
      </c>
      <c r="B467" t="inlineStr">
        <is>
          <t>Gucci Flora (01228)</t>
        </is>
      </c>
      <c r="C467" t="inlineStr">
        <is>
          <t>Gucci Flora Gorgeous Magnolia (00006454)</t>
        </is>
      </c>
      <c r="D467" s="1" t="n">
        <v>3616303470791</v>
      </c>
      <c r="E467" t="inlineStr">
        <is>
          <t>GUCCI FL G MAG RG EDP 100 ML SCREW IV</t>
        </is>
      </c>
      <c r="F467" t="inlineStr">
        <is>
          <t>P_US_ALL_OTHERS</t>
        </is>
      </c>
      <c r="G467" t="inlineStr">
        <is>
          <t>CurrentWorkingView</t>
        </is>
      </c>
      <c r="H467" t="inlineStr">
        <is>
          <t>Reasonability Adjustment</t>
        </is>
      </c>
      <c r="I467" t="n">
        <v>-1617</v>
      </c>
      <c r="J467" t="n">
        <v>-1794</v>
      </c>
      <c r="N467" t="n">
        <v>201</v>
      </c>
      <c r="O467" t="n">
        <v>252</v>
      </c>
      <c r="Q467" t="n">
        <v>300</v>
      </c>
      <c r="T467" t="n">
        <v>-408</v>
      </c>
    </row>
    <row r="468">
      <c r="A468" t="inlineStr">
        <is>
          <t>Gucci</t>
        </is>
      </c>
      <c r="B468" t="inlineStr">
        <is>
          <t>Gucci Flora (01228)</t>
        </is>
      </c>
      <c r="C468" t="inlineStr">
        <is>
          <t>Gucci Flora Gorgeous Magnolia (00006454)</t>
        </is>
      </c>
      <c r="D468" s="1" t="n">
        <v>3616303470791</v>
      </c>
      <c r="E468" t="inlineStr">
        <is>
          <t>GUCCI FL G MAG RG EDP 100 ML SCREW IV</t>
        </is>
      </c>
      <c r="F468" t="inlineStr">
        <is>
          <t>P_US_ALL_OTHERS</t>
        </is>
      </c>
      <c r="G468" t="inlineStr">
        <is>
          <t>CurrentWorkingView</t>
        </is>
      </c>
      <c r="H468" t="inlineStr">
        <is>
          <t>Total Demand Assumption</t>
        </is>
      </c>
      <c r="I468" t="n">
        <v>1456</v>
      </c>
      <c r="J468" t="n">
        <v>-1737</v>
      </c>
      <c r="L468" t="n">
        <v>2300</v>
      </c>
    </row>
    <row r="469">
      <c r="A469" t="inlineStr">
        <is>
          <t>Gucci</t>
        </is>
      </c>
      <c r="B469" t="inlineStr">
        <is>
          <t>Gucci Flora (01228)</t>
        </is>
      </c>
      <c r="C469" t="inlineStr">
        <is>
          <t>Gucci Flora Gorgeous Magnolia (00006454)</t>
        </is>
      </c>
      <c r="D469" s="1" t="n">
        <v>3616303470791</v>
      </c>
      <c r="E469" t="inlineStr">
        <is>
          <t>GUCCI FL G MAG RG EDP 100 ML SCREW IV</t>
        </is>
      </c>
      <c r="F469" t="inlineStr">
        <is>
          <t>P_US_ALL_OTHERS</t>
        </is>
      </c>
      <c r="G469" t="inlineStr">
        <is>
          <t>CurrentWorkingView</t>
        </is>
      </c>
      <c r="H469" t="inlineStr">
        <is>
          <t>Consensus - Final</t>
        </is>
      </c>
      <c r="I469" t="n">
        <v>1111</v>
      </c>
      <c r="J469" t="n">
        <v>647</v>
      </c>
      <c r="K469" t="n">
        <v>1763</v>
      </c>
      <c r="L469" t="n">
        <v>6445</v>
      </c>
      <c r="M469" t="n">
        <v>1470</v>
      </c>
      <c r="N469" t="n">
        <v>847</v>
      </c>
      <c r="O469" t="n">
        <v>899</v>
      </c>
      <c r="P469" t="n">
        <v>1720</v>
      </c>
      <c r="Q469" t="n">
        <v>1305</v>
      </c>
      <c r="R469" t="n">
        <v>1299</v>
      </c>
      <c r="S469" t="n">
        <v>2728</v>
      </c>
      <c r="T469" t="n">
        <v>702</v>
      </c>
    </row>
    <row r="470">
      <c r="A470" t="inlineStr">
        <is>
          <t>Gucci</t>
        </is>
      </c>
      <c r="B470" t="inlineStr">
        <is>
          <t>Gucci Flora (01228)</t>
        </is>
      </c>
      <c r="C470" t="inlineStr">
        <is>
          <t>Gucci Flora Gorgeous Magnolia (00006454)</t>
        </is>
      </c>
      <c r="D470" s="1" t="n">
        <v>3616303470791</v>
      </c>
      <c r="E470" t="inlineStr">
        <is>
          <t>GUCCI FL G MAG RG EDP 100 ML SCREW IV</t>
        </is>
      </c>
      <c r="F470" t="inlineStr">
        <is>
          <t>P_US_ALL_OTHERS</t>
        </is>
      </c>
      <c r="G470" t="inlineStr">
        <is>
          <t>CurrentWorkingView</t>
        </is>
      </c>
      <c r="H470" t="inlineStr">
        <is>
          <t>Supply Cuts</t>
        </is>
      </c>
    </row>
    <row r="471">
      <c r="A471" t="inlineStr">
        <is>
          <t>Gucci</t>
        </is>
      </c>
      <c r="B471" t="inlineStr">
        <is>
          <t>Gucci Flora (01228)</t>
        </is>
      </c>
      <c r="C471" t="inlineStr">
        <is>
          <t>Gucci Flora Gorgeous Magnolia (00006454)</t>
        </is>
      </c>
      <c r="D471" s="1" t="n">
        <v>3616303470791</v>
      </c>
      <c r="E471" t="inlineStr">
        <is>
          <t>GUCCI FL G MAG RG EDP 100 ML SCREW IV</t>
        </is>
      </c>
      <c r="F471" t="inlineStr">
        <is>
          <t>P_US_ALL_OTHERS</t>
        </is>
      </c>
      <c r="G471" t="inlineStr">
        <is>
          <t>Month-2026.M09.W38</t>
        </is>
      </c>
      <c r="H471" t="inlineStr">
        <is>
          <t>Consensus - Final LY M</t>
        </is>
      </c>
      <c r="I471" t="n">
        <v>3728</v>
      </c>
      <c r="J471" t="n">
        <v>1435</v>
      </c>
      <c r="K471" t="n">
        <v>2099</v>
      </c>
      <c r="L471" t="n">
        <v>4675</v>
      </c>
      <c r="M471" t="n">
        <v>1014</v>
      </c>
      <c r="N471" t="n">
        <v>1068</v>
      </c>
      <c r="O471" t="n">
        <v>654</v>
      </c>
      <c r="P471" t="n">
        <v>2284</v>
      </c>
      <c r="Q471" t="n">
        <v>1745</v>
      </c>
      <c r="R471" t="n">
        <v>1964</v>
      </c>
      <c r="S471" t="n">
        <v>3358</v>
      </c>
      <c r="T471" t="n">
        <v>1035</v>
      </c>
    </row>
    <row r="472">
      <c r="A472" t="inlineStr">
        <is>
          <t>Gucci</t>
        </is>
      </c>
      <c r="B472" t="inlineStr">
        <is>
          <t>Gucci Flora (01228)</t>
        </is>
      </c>
      <c r="C472" t="inlineStr">
        <is>
          <t>Gucci Flora Gorgeous Magnolia (00006454)</t>
        </is>
      </c>
      <c r="D472" s="1" t="n">
        <v>3616303470791</v>
      </c>
      <c r="E472" t="inlineStr">
        <is>
          <t>GUCCI FL G MAG RG EDP 100 ML SCREW IV</t>
        </is>
      </c>
      <c r="F472" t="inlineStr">
        <is>
          <t>P_US_ALL_OTHERS</t>
        </is>
      </c>
      <c r="G472" t="inlineStr">
        <is>
          <t>Month-2026.M09.W38</t>
        </is>
      </c>
      <c r="H472" t="inlineStr">
        <is>
          <t>System FC - Final</t>
        </is>
      </c>
      <c r="I472" t="n">
        <v>1111</v>
      </c>
      <c r="J472" t="n">
        <v>647</v>
      </c>
      <c r="K472" t="n">
        <v>807</v>
      </c>
      <c r="L472" t="n">
        <v>3166</v>
      </c>
      <c r="M472" t="n">
        <v>1328</v>
      </c>
      <c r="N472" t="n">
        <v>655</v>
      </c>
      <c r="O472" t="n">
        <v>655</v>
      </c>
      <c r="P472" t="n">
        <v>1756</v>
      </c>
      <c r="Q472" t="n">
        <v>819</v>
      </c>
      <c r="R472" t="n">
        <v>1787</v>
      </c>
      <c r="S472" t="n">
        <v>2135</v>
      </c>
      <c r="T472" t="n">
        <v>1385</v>
      </c>
    </row>
    <row r="473">
      <c r="A473" t="inlineStr">
        <is>
          <t>Gucci</t>
        </is>
      </c>
      <c r="B473" t="inlineStr">
        <is>
          <t>Gucci Flora (01228)</t>
        </is>
      </c>
      <c r="C473" t="inlineStr">
        <is>
          <t>Gucci Flora Gorgeous Magnolia (00006454)</t>
        </is>
      </c>
      <c r="D473" s="1" t="n">
        <v>3616303470791</v>
      </c>
      <c r="E473" t="inlineStr">
        <is>
          <t>GUCCI FL G MAG RG EDP 100 ML SCREW IV</t>
        </is>
      </c>
      <c r="F473" t="inlineStr">
        <is>
          <t>P_US_ALL_OTHERS</t>
        </is>
      </c>
      <c r="G473" t="inlineStr">
        <is>
          <t>Month-2026.M09.W38</t>
        </is>
      </c>
      <c r="H473" t="inlineStr">
        <is>
          <t>EPOS</t>
        </is>
      </c>
      <c r="I473" t="n">
        <v>935</v>
      </c>
    </row>
    <row r="474">
      <c r="A474" t="inlineStr">
        <is>
          <t>Gucci</t>
        </is>
      </c>
      <c r="B474" t="inlineStr">
        <is>
          <t>Gucci Flora (01228)</t>
        </is>
      </c>
      <c r="C474" t="inlineStr">
        <is>
          <t>Gucci Flora Gorgeous Magnolia (00006454)</t>
        </is>
      </c>
      <c r="D474" s="1" t="n">
        <v>3616303470791</v>
      </c>
      <c r="E474" t="inlineStr">
        <is>
          <t>GUCCI FL G MAG RG EDP 100 ML SCREW IV</t>
        </is>
      </c>
      <c r="F474" t="inlineStr">
        <is>
          <t>P_US_ALL_OTHERS</t>
        </is>
      </c>
      <c r="G474" t="inlineStr">
        <is>
          <t>Month-2026.M09.W38</t>
        </is>
      </c>
      <c r="H474" t="inlineStr">
        <is>
          <t>Reasonability Adjustment</t>
        </is>
      </c>
      <c r="I474" t="n">
        <v>-1617</v>
      </c>
      <c r="J474" t="n">
        <v>-1794</v>
      </c>
      <c r="N474" t="n">
        <v>201</v>
      </c>
      <c r="O474" t="n">
        <v>252</v>
      </c>
      <c r="Q474" t="n">
        <v>300</v>
      </c>
      <c r="T474" t="n">
        <v>-408</v>
      </c>
    </row>
    <row r="475">
      <c r="A475" t="inlineStr">
        <is>
          <t>Gucci</t>
        </is>
      </c>
      <c r="B475" t="inlineStr">
        <is>
          <t>Gucci Flora (01228)</t>
        </is>
      </c>
      <c r="C475" t="inlineStr">
        <is>
          <t>Gucci Flora Gorgeous Magnolia (00006454)</t>
        </is>
      </c>
      <c r="D475" s="1" t="n">
        <v>3616303470791</v>
      </c>
      <c r="E475" t="inlineStr">
        <is>
          <t>GUCCI FL G MAG RG EDP 100 ML SCREW IV</t>
        </is>
      </c>
      <c r="F475" t="inlineStr">
        <is>
          <t>P_US_ALL_OTHERS</t>
        </is>
      </c>
      <c r="G475" t="inlineStr">
        <is>
          <t>Month-2026.M09.W38</t>
        </is>
      </c>
      <c r="H475" t="inlineStr">
        <is>
          <t>Total Demand Assumption</t>
        </is>
      </c>
      <c r="I475" t="n">
        <v>1456</v>
      </c>
      <c r="J475" t="n">
        <v>-1737</v>
      </c>
      <c r="L475" t="n">
        <v>2300</v>
      </c>
    </row>
    <row r="476">
      <c r="A476" t="inlineStr">
        <is>
          <t>Gucci</t>
        </is>
      </c>
      <c r="B476" t="inlineStr">
        <is>
          <t>Gucci Flora (01228)</t>
        </is>
      </c>
      <c r="C476" t="inlineStr">
        <is>
          <t>Gucci Flora Gorgeous Magnolia (00006454)</t>
        </is>
      </c>
      <c r="D476" s="1" t="n">
        <v>3616303470791</v>
      </c>
      <c r="E476" t="inlineStr">
        <is>
          <t>GUCCI FL G MAG RG EDP 100 ML SCREW IV</t>
        </is>
      </c>
      <c r="F476" t="inlineStr">
        <is>
          <t>P_US_ALL_OTHERS</t>
        </is>
      </c>
      <c r="G476" t="inlineStr">
        <is>
          <t>Month-2026.M09.W38</t>
        </is>
      </c>
      <c r="H476" t="inlineStr">
        <is>
          <t>Consensus - Final</t>
        </is>
      </c>
      <c r="I476" t="n">
        <v>1111</v>
      </c>
      <c r="J476" t="n">
        <v>647</v>
      </c>
      <c r="K476" t="n">
        <v>1763</v>
      </c>
      <c r="L476" t="n">
        <v>5466</v>
      </c>
      <c r="M476" t="n">
        <v>1328</v>
      </c>
      <c r="N476" t="n">
        <v>856</v>
      </c>
      <c r="O476" t="n">
        <v>907</v>
      </c>
      <c r="P476" t="n">
        <v>1756</v>
      </c>
      <c r="Q476" t="n">
        <v>1119</v>
      </c>
      <c r="R476" t="n">
        <v>1787</v>
      </c>
      <c r="S476" t="n">
        <v>2135</v>
      </c>
      <c r="T476" t="n">
        <v>1018</v>
      </c>
    </row>
    <row r="477">
      <c r="A477" t="inlineStr">
        <is>
          <t>Gucci</t>
        </is>
      </c>
      <c r="B477" t="inlineStr">
        <is>
          <t>Gucci Flora (01228)</t>
        </is>
      </c>
      <c r="C477" t="inlineStr">
        <is>
          <t>Gucci Flora Gorgeous Magnolia (00006454)</t>
        </is>
      </c>
      <c r="D477" s="1" t="n">
        <v>3616303470791</v>
      </c>
      <c r="E477" t="inlineStr">
        <is>
          <t>GUCCI FL G MAG RG EDP 100 ML SCREW IV</t>
        </is>
      </c>
      <c r="F477" t="inlineStr">
        <is>
          <t>P_US_ALL_OTHERS</t>
        </is>
      </c>
      <c r="G477" t="inlineStr">
        <is>
          <t>Month-2026.M09.W38</t>
        </is>
      </c>
      <c r="H477" t="inlineStr">
        <is>
          <t>Supply Cuts</t>
        </is>
      </c>
    </row>
    <row r="478">
      <c r="A478" t="inlineStr">
        <is>
          <t>Gucci</t>
        </is>
      </c>
      <c r="B478" t="inlineStr">
        <is>
          <t>Gucci Flora (01228)</t>
        </is>
      </c>
      <c r="C478" t="inlineStr">
        <is>
          <t>Gucci Flora Gorgeous Magnolia (00006454)</t>
        </is>
      </c>
      <c r="D478" s="1" t="n">
        <v>3616303470791</v>
      </c>
      <c r="E478" t="inlineStr">
        <is>
          <t>GUCCI FL G MAG RG EDP 100 ML SCREW IV</t>
        </is>
      </c>
      <c r="F478" t="inlineStr">
        <is>
          <t>P_US_FG</t>
        </is>
      </c>
      <c r="G478" t="inlineStr">
        <is>
          <t>CurrentWorkingView</t>
        </is>
      </c>
      <c r="H478" t="inlineStr">
        <is>
          <t>Consensus - Final LY M</t>
        </is>
      </c>
      <c r="I478" t="n">
        <v>1</v>
      </c>
      <c r="J478" t="n">
        <v>10</v>
      </c>
      <c r="K478" t="n">
        <v>1</v>
      </c>
      <c r="M478" t="n">
        <v>21</v>
      </c>
      <c r="P478" t="n">
        <v>50</v>
      </c>
      <c r="Q478" t="n">
        <v>5</v>
      </c>
    </row>
    <row r="479">
      <c r="A479" t="inlineStr">
        <is>
          <t>Gucci</t>
        </is>
      </c>
      <c r="B479" t="inlineStr">
        <is>
          <t>Gucci Flora (01228)</t>
        </is>
      </c>
      <c r="C479" t="inlineStr">
        <is>
          <t>Gucci Flora Gorgeous Magnolia (00006454)</t>
        </is>
      </c>
      <c r="D479" s="1" t="n">
        <v>3616303470791</v>
      </c>
      <c r="E479" t="inlineStr">
        <is>
          <t>GUCCI FL G MAG RG EDP 100 ML SCREW IV</t>
        </is>
      </c>
      <c r="F479" t="inlineStr">
        <is>
          <t>P_US_FG</t>
        </is>
      </c>
      <c r="G479" t="inlineStr">
        <is>
          <t>CurrentWorkingView</t>
        </is>
      </c>
      <c r="H479" t="inlineStr">
        <is>
          <t>System FC - Final</t>
        </is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Gucci</t>
        </is>
      </c>
      <c r="B480" t="inlineStr">
        <is>
          <t>Gucci Flora (01228)</t>
        </is>
      </c>
      <c r="C480" t="inlineStr">
        <is>
          <t>Gucci Flora Gorgeous Magnolia (00006454)</t>
        </is>
      </c>
      <c r="D480" s="1" t="n">
        <v>3616303470791</v>
      </c>
      <c r="E480" t="inlineStr">
        <is>
          <t>GUCCI FL G MAG RG EDP 100 ML SCREW IV</t>
        </is>
      </c>
      <c r="F480" t="inlineStr">
        <is>
          <t>P_US_FG</t>
        </is>
      </c>
      <c r="G480" t="inlineStr">
        <is>
          <t>CurrentWorkingView</t>
        </is>
      </c>
      <c r="H480" t="inlineStr">
        <is>
          <t>EPOS</t>
        </is>
      </c>
    </row>
    <row r="481">
      <c r="A481" t="inlineStr">
        <is>
          <t>Gucci</t>
        </is>
      </c>
      <c r="B481" t="inlineStr">
        <is>
          <t>Gucci Flora (01228)</t>
        </is>
      </c>
      <c r="C481" t="inlineStr">
        <is>
          <t>Gucci Flora Gorgeous Magnolia (00006454)</t>
        </is>
      </c>
      <c r="D481" s="1" t="n">
        <v>3616303470791</v>
      </c>
      <c r="E481" t="inlineStr">
        <is>
          <t>GUCCI FL G MAG RG EDP 100 ML SCREW IV</t>
        </is>
      </c>
      <c r="F481" t="inlineStr">
        <is>
          <t>P_US_FG</t>
        </is>
      </c>
      <c r="G481" t="inlineStr">
        <is>
          <t>CurrentWorkingView</t>
        </is>
      </c>
      <c r="H481" t="inlineStr">
        <is>
          <t>Reasonability Adjustment</t>
        </is>
      </c>
      <c r="N481" t="n">
        <v>0</v>
      </c>
      <c r="O481" t="n">
        <v>0</v>
      </c>
      <c r="Q481" t="n">
        <v>0</v>
      </c>
    </row>
    <row r="482">
      <c r="A482" t="inlineStr">
        <is>
          <t>Gucci</t>
        </is>
      </c>
      <c r="B482" t="inlineStr">
        <is>
          <t>Gucci Flora (01228)</t>
        </is>
      </c>
      <c r="C482" t="inlineStr">
        <is>
          <t>Gucci Flora Gorgeous Magnolia (00006454)</t>
        </is>
      </c>
      <c r="D482" s="1" t="n">
        <v>3616303470791</v>
      </c>
      <c r="E482" t="inlineStr">
        <is>
          <t>GUCCI FL G MAG RG EDP 100 ML SCREW IV</t>
        </is>
      </c>
      <c r="F482" t="inlineStr">
        <is>
          <t>P_US_FG</t>
        </is>
      </c>
      <c r="G482" t="inlineStr">
        <is>
          <t>CurrentWorkingView</t>
        </is>
      </c>
      <c r="H482" t="inlineStr">
        <is>
          <t>Total Demand Assumption</t>
        </is>
      </c>
    </row>
    <row r="483">
      <c r="A483" t="inlineStr">
        <is>
          <t>Gucci</t>
        </is>
      </c>
      <c r="B483" t="inlineStr">
        <is>
          <t>Gucci Flora (01228)</t>
        </is>
      </c>
      <c r="C483" t="inlineStr">
        <is>
          <t>Gucci Flora Gorgeous Magnolia (00006454)</t>
        </is>
      </c>
      <c r="D483" s="1" t="n">
        <v>3616303470791</v>
      </c>
      <c r="E483" t="inlineStr">
        <is>
          <t>GUCCI FL G MAG RG EDP 100 ML SCREW IV</t>
        </is>
      </c>
      <c r="F483" t="inlineStr">
        <is>
          <t>P_US_FG</t>
        </is>
      </c>
      <c r="G483" t="inlineStr">
        <is>
          <t>CurrentWorkingView</t>
        </is>
      </c>
      <c r="H483" t="inlineStr">
        <is>
          <t>Consensus - Final</t>
        </is>
      </c>
      <c r="K483" t="n">
        <v>1</v>
      </c>
      <c r="N483" t="n">
        <v>0</v>
      </c>
      <c r="O483" t="n">
        <v>0</v>
      </c>
      <c r="Q483" t="n">
        <v>0</v>
      </c>
    </row>
    <row r="484">
      <c r="A484" t="inlineStr">
        <is>
          <t>Gucci</t>
        </is>
      </c>
      <c r="B484" t="inlineStr">
        <is>
          <t>Gucci Flora (01228)</t>
        </is>
      </c>
      <c r="C484" t="inlineStr">
        <is>
          <t>Gucci Flora Gorgeous Magnolia (00006454)</t>
        </is>
      </c>
      <c r="D484" s="1" t="n">
        <v>3616303470791</v>
      </c>
      <c r="E484" t="inlineStr">
        <is>
          <t>GUCCI FL G MAG RG EDP 100 ML SCREW IV</t>
        </is>
      </c>
      <c r="F484" t="inlineStr">
        <is>
          <t>P_US_FG</t>
        </is>
      </c>
      <c r="G484" t="inlineStr">
        <is>
          <t>CurrentWorkingView</t>
        </is>
      </c>
      <c r="H484" t="inlineStr">
        <is>
          <t>Supply Cuts</t>
        </is>
      </c>
    </row>
    <row r="485">
      <c r="A485" t="inlineStr">
        <is>
          <t>Gucci</t>
        </is>
      </c>
      <c r="B485" t="inlineStr">
        <is>
          <t>Gucci Flora (01228)</t>
        </is>
      </c>
      <c r="C485" t="inlineStr">
        <is>
          <t>Gucci Flora Gorgeous Magnolia (00006454)</t>
        </is>
      </c>
      <c r="D485" s="1" t="n">
        <v>3616303470791</v>
      </c>
      <c r="E485" t="inlineStr">
        <is>
          <t>GUCCI FL G MAG RG EDP 100 ML SCREW IV</t>
        </is>
      </c>
      <c r="F485" t="inlineStr">
        <is>
          <t>P_US_FG</t>
        </is>
      </c>
      <c r="G485" t="inlineStr">
        <is>
          <t>Month-2026.M09.W38</t>
        </is>
      </c>
      <c r="H485" t="inlineStr">
        <is>
          <t>Consensus - Final LY M</t>
        </is>
      </c>
      <c r="I485" t="n">
        <v>1</v>
      </c>
      <c r="J485" t="n">
        <v>10</v>
      </c>
      <c r="K485" t="n">
        <v>1</v>
      </c>
      <c r="M485" t="n">
        <v>21</v>
      </c>
      <c r="P485" t="n">
        <v>50</v>
      </c>
      <c r="Q485" t="n">
        <v>5</v>
      </c>
    </row>
    <row r="486">
      <c r="A486" t="inlineStr">
        <is>
          <t>Gucci</t>
        </is>
      </c>
      <c r="B486" t="inlineStr">
        <is>
          <t>Gucci Flora (01228)</t>
        </is>
      </c>
      <c r="C486" t="inlineStr">
        <is>
          <t>Gucci Flora Gorgeous Magnolia (00006454)</t>
        </is>
      </c>
      <c r="D486" s="1" t="n">
        <v>3616303470791</v>
      </c>
      <c r="E486" t="inlineStr">
        <is>
          <t>GUCCI FL G MAG RG EDP 100 ML SCREW IV</t>
        </is>
      </c>
      <c r="F486" t="inlineStr">
        <is>
          <t>P_US_FG</t>
        </is>
      </c>
      <c r="G486" t="inlineStr">
        <is>
          <t>Month-2026.M09.W38</t>
        </is>
      </c>
      <c r="H486" t="inlineStr">
        <is>
          <t>System FC - Final</t>
        </is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Gucci</t>
        </is>
      </c>
      <c r="B487" t="inlineStr">
        <is>
          <t>Gucci Flora (01228)</t>
        </is>
      </c>
      <c r="C487" t="inlineStr">
        <is>
          <t>Gucci Flora Gorgeous Magnolia (00006454)</t>
        </is>
      </c>
      <c r="D487" s="1" t="n">
        <v>3616303470791</v>
      </c>
      <c r="E487" t="inlineStr">
        <is>
          <t>GUCCI FL G MAG RG EDP 100 ML SCREW IV</t>
        </is>
      </c>
      <c r="F487" t="inlineStr">
        <is>
          <t>P_US_FG</t>
        </is>
      </c>
      <c r="G487" t="inlineStr">
        <is>
          <t>Month-2026.M09.W38</t>
        </is>
      </c>
      <c r="H487" t="inlineStr">
        <is>
          <t>EPOS</t>
        </is>
      </c>
    </row>
    <row r="488">
      <c r="A488" t="inlineStr">
        <is>
          <t>Gucci</t>
        </is>
      </c>
      <c r="B488" t="inlineStr">
        <is>
          <t>Gucci Flora (01228)</t>
        </is>
      </c>
      <c r="C488" t="inlineStr">
        <is>
          <t>Gucci Flora Gorgeous Magnolia (00006454)</t>
        </is>
      </c>
      <c r="D488" s="1" t="n">
        <v>3616303470791</v>
      </c>
      <c r="E488" t="inlineStr">
        <is>
          <t>GUCCI FL G MAG RG EDP 100 ML SCREW IV</t>
        </is>
      </c>
      <c r="F488" t="inlineStr">
        <is>
          <t>P_US_FG</t>
        </is>
      </c>
      <c r="G488" t="inlineStr">
        <is>
          <t>Month-2026.M09.W38</t>
        </is>
      </c>
      <c r="H488" t="inlineStr">
        <is>
          <t>Reasonability Adjustment</t>
        </is>
      </c>
      <c r="N488" t="n">
        <v>0</v>
      </c>
      <c r="O488" t="n">
        <v>0</v>
      </c>
      <c r="Q488" t="n">
        <v>0</v>
      </c>
    </row>
    <row r="489">
      <c r="A489" t="inlineStr">
        <is>
          <t>Gucci</t>
        </is>
      </c>
      <c r="B489" t="inlineStr">
        <is>
          <t>Gucci Flora (01228)</t>
        </is>
      </c>
      <c r="C489" t="inlineStr">
        <is>
          <t>Gucci Flora Gorgeous Magnolia (00006454)</t>
        </is>
      </c>
      <c r="D489" s="1" t="n">
        <v>3616303470791</v>
      </c>
      <c r="E489" t="inlineStr">
        <is>
          <t>GUCCI FL G MAG RG EDP 100 ML SCREW IV</t>
        </is>
      </c>
      <c r="F489" t="inlineStr">
        <is>
          <t>P_US_FG</t>
        </is>
      </c>
      <c r="G489" t="inlineStr">
        <is>
          <t>Month-2026.M09.W38</t>
        </is>
      </c>
      <c r="H489" t="inlineStr">
        <is>
          <t>Total Demand Assumption</t>
        </is>
      </c>
    </row>
    <row r="490">
      <c r="A490" t="inlineStr">
        <is>
          <t>Gucci</t>
        </is>
      </c>
      <c r="B490" t="inlineStr">
        <is>
          <t>Gucci Flora (01228)</t>
        </is>
      </c>
      <c r="C490" t="inlineStr">
        <is>
          <t>Gucci Flora Gorgeous Magnolia (00006454)</t>
        </is>
      </c>
      <c r="D490" s="1" t="n">
        <v>3616303470791</v>
      </c>
      <c r="E490" t="inlineStr">
        <is>
          <t>GUCCI FL G MAG RG EDP 100 ML SCREW IV</t>
        </is>
      </c>
      <c r="F490" t="inlineStr">
        <is>
          <t>P_US_FG</t>
        </is>
      </c>
      <c r="G490" t="inlineStr">
        <is>
          <t>Month-2026.M09.W38</t>
        </is>
      </c>
      <c r="H490" t="inlineStr">
        <is>
          <t>Consensus - Final</t>
        </is>
      </c>
      <c r="K490" t="n">
        <v>1</v>
      </c>
      <c r="N490" t="n">
        <v>0</v>
      </c>
      <c r="O490" t="n">
        <v>0</v>
      </c>
      <c r="Q490" t="n">
        <v>0</v>
      </c>
    </row>
    <row r="491">
      <c r="A491" t="inlineStr">
        <is>
          <t>Gucci</t>
        </is>
      </c>
      <c r="B491" t="inlineStr">
        <is>
          <t>Gucci Flora (01228)</t>
        </is>
      </c>
      <c r="C491" t="inlineStr">
        <is>
          <t>Gucci Flora Gorgeous Magnolia (00006454)</t>
        </is>
      </c>
      <c r="D491" s="1" t="n">
        <v>3616303470791</v>
      </c>
      <c r="E491" t="inlineStr">
        <is>
          <t>GUCCI FL G MAG RG EDP 100 ML SCREW IV</t>
        </is>
      </c>
      <c r="F491" t="inlineStr">
        <is>
          <t>P_US_FG</t>
        </is>
      </c>
      <c r="G491" t="inlineStr">
        <is>
          <t>Month-2026.M09.W38</t>
        </is>
      </c>
      <c r="H491" t="inlineStr">
        <is>
          <t>Supply Cuts</t>
        </is>
      </c>
    </row>
    <row r="492">
      <c r="A492" t="inlineStr">
        <is>
          <t>Gucci</t>
        </is>
      </c>
      <c r="B492" t="inlineStr">
        <is>
          <t>Gucci Flora (01228)</t>
        </is>
      </c>
      <c r="C492" t="inlineStr">
        <is>
          <t>Gucci Flora Gorgeous Magnolia (00006454)</t>
        </is>
      </c>
      <c r="D492" s="1" t="n">
        <v>3616303470791</v>
      </c>
      <c r="E492" t="inlineStr">
        <is>
          <t>GUCCI FL G MAG RG EDP 100 ML SCREW IV</t>
        </is>
      </c>
      <c r="F492" t="inlineStr">
        <is>
          <t>P_US_ULTA</t>
        </is>
      </c>
      <c r="G492" t="inlineStr">
        <is>
          <t>CurrentWorkingView</t>
        </is>
      </c>
      <c r="H492" t="inlineStr">
        <is>
          <t>Consensus - Final LY M</t>
        </is>
      </c>
      <c r="I492" t="n">
        <v>703</v>
      </c>
      <c r="J492" t="n">
        <v>347</v>
      </c>
      <c r="K492" t="n">
        <v>438</v>
      </c>
      <c r="L492" t="n">
        <v>12</v>
      </c>
      <c r="M492" t="n">
        <v>189</v>
      </c>
      <c r="N492" t="n">
        <v>379</v>
      </c>
      <c r="O492" t="n">
        <v>230</v>
      </c>
      <c r="P492" t="n">
        <v>293</v>
      </c>
      <c r="Q492" t="n">
        <v>431</v>
      </c>
      <c r="R492" t="n">
        <v>339</v>
      </c>
      <c r="S492" t="n">
        <v>406</v>
      </c>
      <c r="T492" t="n">
        <v>232</v>
      </c>
    </row>
    <row r="493">
      <c r="A493" t="inlineStr">
        <is>
          <t>Gucci</t>
        </is>
      </c>
      <c r="B493" t="inlineStr">
        <is>
          <t>Gucci Flora (01228)</t>
        </is>
      </c>
      <c r="C493" t="inlineStr">
        <is>
          <t>Gucci Flora Gorgeous Magnolia (00006454)</t>
        </is>
      </c>
      <c r="D493" s="1" t="n">
        <v>3616303470791</v>
      </c>
      <c r="E493" t="inlineStr">
        <is>
          <t>GUCCI FL G MAG RG EDP 100 ML SCREW IV</t>
        </is>
      </c>
      <c r="F493" t="inlineStr">
        <is>
          <t>P_US_ULTA</t>
        </is>
      </c>
      <c r="G493" t="inlineStr">
        <is>
          <t>CurrentWorkingView</t>
        </is>
      </c>
      <c r="H493" t="inlineStr">
        <is>
          <t>System FC - Final</t>
        </is>
      </c>
      <c r="I493" t="n">
        <v>21148</v>
      </c>
      <c r="J493" t="n">
        <v>2566</v>
      </c>
      <c r="K493" t="n">
        <v>778</v>
      </c>
      <c r="L493" t="n">
        <v>262</v>
      </c>
      <c r="M493" t="n">
        <v>335</v>
      </c>
      <c r="N493" t="n">
        <v>438</v>
      </c>
      <c r="O493" t="n">
        <v>226</v>
      </c>
      <c r="P493" t="n">
        <v>744</v>
      </c>
      <c r="Q493" t="n">
        <v>0</v>
      </c>
      <c r="R493" t="n">
        <v>0</v>
      </c>
      <c r="S493" t="n">
        <v>0</v>
      </c>
      <c r="T493" t="n">
        <v>192</v>
      </c>
    </row>
    <row r="494">
      <c r="A494" t="inlineStr">
        <is>
          <t>Gucci</t>
        </is>
      </c>
      <c r="B494" t="inlineStr">
        <is>
          <t>Gucci Flora (01228)</t>
        </is>
      </c>
      <c r="C494" t="inlineStr">
        <is>
          <t>Gucci Flora Gorgeous Magnolia (00006454)</t>
        </is>
      </c>
      <c r="D494" s="1" t="n">
        <v>3616303470791</v>
      </c>
      <c r="E494" t="inlineStr">
        <is>
          <t>GUCCI FL G MAG RG EDP 100 ML SCREW IV</t>
        </is>
      </c>
      <c r="F494" t="inlineStr">
        <is>
          <t>P_US_ULTA</t>
        </is>
      </c>
      <c r="G494" t="inlineStr">
        <is>
          <t>CurrentWorkingView</t>
        </is>
      </c>
      <c r="H494" t="inlineStr">
        <is>
          <t>EPOS</t>
        </is>
      </c>
      <c r="I494" t="n">
        <v>470</v>
      </c>
    </row>
    <row r="495">
      <c r="A495" t="inlineStr">
        <is>
          <t>Gucci</t>
        </is>
      </c>
      <c r="B495" t="inlineStr">
        <is>
          <t>Gucci Flora (01228)</t>
        </is>
      </c>
      <c r="C495" t="inlineStr">
        <is>
          <t>Gucci Flora Gorgeous Magnolia (00006454)</t>
        </is>
      </c>
      <c r="D495" s="1" t="n">
        <v>3616303470791</v>
      </c>
      <c r="E495" t="inlineStr">
        <is>
          <t>GUCCI FL G MAG RG EDP 100 ML SCREW IV</t>
        </is>
      </c>
      <c r="F495" t="inlineStr">
        <is>
          <t>P_US_ULTA</t>
        </is>
      </c>
      <c r="G495" t="inlineStr">
        <is>
          <t>CurrentWorkingView</t>
        </is>
      </c>
      <c r="H495" t="inlineStr">
        <is>
          <t>Reasonability Adjustment</t>
        </is>
      </c>
      <c r="I495" t="n">
        <v>-383</v>
      </c>
      <c r="J495" t="n">
        <v>-406</v>
      </c>
      <c r="N495" t="n">
        <v>99</v>
      </c>
      <c r="O495" t="n">
        <v>48</v>
      </c>
      <c r="Q495" t="n">
        <v>0</v>
      </c>
      <c r="T495" t="n">
        <v>-92</v>
      </c>
    </row>
    <row r="496">
      <c r="A496" t="inlineStr">
        <is>
          <t>Gucci</t>
        </is>
      </c>
      <c r="B496" t="inlineStr">
        <is>
          <t>Gucci Flora (01228)</t>
        </is>
      </c>
      <c r="C496" t="inlineStr">
        <is>
          <t>Gucci Flora Gorgeous Magnolia (00006454)</t>
        </is>
      </c>
      <c r="D496" s="1" t="n">
        <v>3616303470791</v>
      </c>
      <c r="E496" t="inlineStr">
        <is>
          <t>GUCCI FL G MAG RG EDP 100 ML SCREW IV</t>
        </is>
      </c>
      <c r="F496" t="inlineStr">
        <is>
          <t>P_US_ULTA</t>
        </is>
      </c>
      <c r="G496" t="inlineStr">
        <is>
          <t>CurrentWorkingView</t>
        </is>
      </c>
      <c r="H496" t="inlineStr">
        <is>
          <t>Total Demand Assumption</t>
        </is>
      </c>
      <c r="I496" t="n">
        <v>21000</v>
      </c>
    </row>
    <row r="497">
      <c r="A497" t="inlineStr">
        <is>
          <t>Gucci</t>
        </is>
      </c>
      <c r="B497" t="inlineStr">
        <is>
          <t>Gucci Flora (01228)</t>
        </is>
      </c>
      <c r="C497" t="inlineStr">
        <is>
          <t>Gucci Flora Gorgeous Magnolia (00006454)</t>
        </is>
      </c>
      <c r="D497" s="1" t="n">
        <v>3616303470791</v>
      </c>
      <c r="E497" t="inlineStr">
        <is>
          <t>GUCCI FL G MAG RG EDP 100 ML SCREW IV</t>
        </is>
      </c>
      <c r="F497" t="inlineStr">
        <is>
          <t>P_US_ULTA</t>
        </is>
      </c>
      <c r="G497" t="inlineStr">
        <is>
          <t>CurrentWorkingView</t>
        </is>
      </c>
      <c r="H497" t="inlineStr">
        <is>
          <t>Consensus - Final</t>
        </is>
      </c>
      <c r="I497" t="n">
        <v>21148</v>
      </c>
      <c r="J497" t="n">
        <v>2566</v>
      </c>
      <c r="K497" t="n">
        <v>778</v>
      </c>
      <c r="L497" t="n">
        <v>262</v>
      </c>
      <c r="M497" t="n">
        <v>335</v>
      </c>
      <c r="N497" t="n">
        <v>537</v>
      </c>
      <c r="O497" t="n">
        <v>274</v>
      </c>
      <c r="P497" t="n">
        <v>744</v>
      </c>
      <c r="T497" t="n">
        <v>100</v>
      </c>
    </row>
    <row r="498">
      <c r="A498" t="inlineStr">
        <is>
          <t>Gucci</t>
        </is>
      </c>
      <c r="B498" t="inlineStr">
        <is>
          <t>Gucci Flora (01228)</t>
        </is>
      </c>
      <c r="C498" t="inlineStr">
        <is>
          <t>Gucci Flora Gorgeous Magnolia (00006454)</t>
        </is>
      </c>
      <c r="D498" s="1" t="n">
        <v>3616303470791</v>
      </c>
      <c r="E498" t="inlineStr">
        <is>
          <t>GUCCI FL G MAG RG EDP 100 ML SCREW IV</t>
        </is>
      </c>
      <c r="F498" t="inlineStr">
        <is>
          <t>P_US_ULTA</t>
        </is>
      </c>
      <c r="G498" t="inlineStr">
        <is>
          <t>CurrentWorkingView</t>
        </is>
      </c>
      <c r="H498" t="inlineStr">
        <is>
          <t>Supply Cuts</t>
        </is>
      </c>
    </row>
    <row r="499">
      <c r="A499" t="inlineStr">
        <is>
          <t>Gucci</t>
        </is>
      </c>
      <c r="B499" t="inlineStr">
        <is>
          <t>Gucci Flora (01228)</t>
        </is>
      </c>
      <c r="C499" t="inlineStr">
        <is>
          <t>Gucci Flora Gorgeous Magnolia (00006454)</t>
        </is>
      </c>
      <c r="D499" s="1" t="n">
        <v>3616303470791</v>
      </c>
      <c r="E499" t="inlineStr">
        <is>
          <t>GUCCI FL G MAG RG EDP 100 ML SCREW IV</t>
        </is>
      </c>
      <c r="F499" t="inlineStr">
        <is>
          <t>P_US_ULTA</t>
        </is>
      </c>
      <c r="G499" t="inlineStr">
        <is>
          <t>Month-2026.M09.W38</t>
        </is>
      </c>
      <c r="H499" t="inlineStr">
        <is>
          <t>Consensus - Final LY M</t>
        </is>
      </c>
      <c r="I499" t="n">
        <v>703</v>
      </c>
      <c r="J499" t="n">
        <v>347</v>
      </c>
      <c r="K499" t="n">
        <v>438</v>
      </c>
      <c r="L499" t="n">
        <v>12</v>
      </c>
      <c r="M499" t="n">
        <v>189</v>
      </c>
      <c r="N499" t="n">
        <v>379</v>
      </c>
      <c r="O499" t="n">
        <v>230</v>
      </c>
      <c r="P499" t="n">
        <v>293</v>
      </c>
      <c r="Q499" t="n">
        <v>431</v>
      </c>
      <c r="R499" t="n">
        <v>339</v>
      </c>
      <c r="S499" t="n">
        <v>406</v>
      </c>
      <c r="T499" t="n">
        <v>232</v>
      </c>
    </row>
    <row r="500">
      <c r="A500" t="inlineStr">
        <is>
          <t>Gucci</t>
        </is>
      </c>
      <c r="B500" t="inlineStr">
        <is>
          <t>Gucci Flora (01228)</t>
        </is>
      </c>
      <c r="C500" t="inlineStr">
        <is>
          <t>Gucci Flora Gorgeous Magnolia (00006454)</t>
        </is>
      </c>
      <c r="D500" s="1" t="n">
        <v>3616303470791</v>
      </c>
      <c r="E500" t="inlineStr">
        <is>
          <t>GUCCI FL G MAG RG EDP 100 ML SCREW IV</t>
        </is>
      </c>
      <c r="F500" t="inlineStr">
        <is>
          <t>P_US_ULTA</t>
        </is>
      </c>
      <c r="G500" t="inlineStr">
        <is>
          <t>Month-2026.M09.W38</t>
        </is>
      </c>
      <c r="H500" t="inlineStr">
        <is>
          <t>System FC - Final</t>
        </is>
      </c>
      <c r="I500" t="n">
        <v>21148</v>
      </c>
      <c r="J500" t="n">
        <v>2566</v>
      </c>
      <c r="K500" t="n">
        <v>479</v>
      </c>
      <c r="L500" t="n">
        <v>119</v>
      </c>
      <c r="M500" t="n">
        <v>206</v>
      </c>
      <c r="N500" t="n">
        <v>324</v>
      </c>
      <c r="O500" t="n">
        <v>124</v>
      </c>
      <c r="P500" t="n">
        <v>664</v>
      </c>
      <c r="Q500" t="n">
        <v>0</v>
      </c>
      <c r="R500" t="n">
        <v>0</v>
      </c>
      <c r="S500" t="n">
        <v>0</v>
      </c>
      <c r="T500" t="n">
        <v>490</v>
      </c>
    </row>
    <row r="501">
      <c r="A501" t="inlineStr">
        <is>
          <t>Gucci</t>
        </is>
      </c>
      <c r="B501" t="inlineStr">
        <is>
          <t>Gucci Flora (01228)</t>
        </is>
      </c>
      <c r="C501" t="inlineStr">
        <is>
          <t>Gucci Flora Gorgeous Magnolia (00006454)</t>
        </is>
      </c>
      <c r="D501" s="1" t="n">
        <v>3616303470791</v>
      </c>
      <c r="E501" t="inlineStr">
        <is>
          <t>GUCCI FL G MAG RG EDP 100 ML SCREW IV</t>
        </is>
      </c>
      <c r="F501" t="inlineStr">
        <is>
          <t>P_US_ULTA</t>
        </is>
      </c>
      <c r="G501" t="inlineStr">
        <is>
          <t>Month-2026.M09.W38</t>
        </is>
      </c>
      <c r="H501" t="inlineStr">
        <is>
          <t>EPOS</t>
        </is>
      </c>
      <c r="I501" t="n">
        <v>470</v>
      </c>
    </row>
    <row r="502">
      <c r="A502" t="inlineStr">
        <is>
          <t>Gucci</t>
        </is>
      </c>
      <c r="B502" t="inlineStr">
        <is>
          <t>Gucci Flora (01228)</t>
        </is>
      </c>
      <c r="C502" t="inlineStr">
        <is>
          <t>Gucci Flora Gorgeous Magnolia (00006454)</t>
        </is>
      </c>
      <c r="D502" s="1" t="n">
        <v>3616303470791</v>
      </c>
      <c r="E502" t="inlineStr">
        <is>
          <t>GUCCI FL G MAG RG EDP 100 ML SCREW IV</t>
        </is>
      </c>
      <c r="F502" t="inlineStr">
        <is>
          <t>P_US_ULTA</t>
        </is>
      </c>
      <c r="G502" t="inlineStr">
        <is>
          <t>Month-2026.M09.W38</t>
        </is>
      </c>
      <c r="H502" t="inlineStr">
        <is>
          <t>Reasonability Adjustment</t>
        </is>
      </c>
      <c r="I502" t="n">
        <v>-383</v>
      </c>
      <c r="J502" t="n">
        <v>-406</v>
      </c>
      <c r="N502" t="n">
        <v>99</v>
      </c>
      <c r="O502" t="n">
        <v>48</v>
      </c>
      <c r="Q502" t="n">
        <v>0</v>
      </c>
      <c r="T502" t="n">
        <v>-92</v>
      </c>
    </row>
    <row r="503">
      <c r="A503" t="inlineStr">
        <is>
          <t>Gucci</t>
        </is>
      </c>
      <c r="B503" t="inlineStr">
        <is>
          <t>Gucci Flora (01228)</t>
        </is>
      </c>
      <c r="C503" t="inlineStr">
        <is>
          <t>Gucci Flora Gorgeous Magnolia (00006454)</t>
        </is>
      </c>
      <c r="D503" s="1" t="n">
        <v>3616303470791</v>
      </c>
      <c r="E503" t="inlineStr">
        <is>
          <t>GUCCI FL G MAG RG EDP 100 ML SCREW IV</t>
        </is>
      </c>
      <c r="F503" t="inlineStr">
        <is>
          <t>P_US_ULTA</t>
        </is>
      </c>
      <c r="G503" t="inlineStr">
        <is>
          <t>Month-2026.M09.W38</t>
        </is>
      </c>
      <c r="H503" t="inlineStr">
        <is>
          <t>Total Demand Assumption</t>
        </is>
      </c>
      <c r="I503" t="n">
        <v>21000</v>
      </c>
    </row>
    <row r="504">
      <c r="A504" t="inlineStr">
        <is>
          <t>Gucci</t>
        </is>
      </c>
      <c r="B504" t="inlineStr">
        <is>
          <t>Gucci Flora (01228)</t>
        </is>
      </c>
      <c r="C504" t="inlineStr">
        <is>
          <t>Gucci Flora Gorgeous Magnolia (00006454)</t>
        </is>
      </c>
      <c r="D504" s="1" t="n">
        <v>3616303470791</v>
      </c>
      <c r="E504" t="inlineStr">
        <is>
          <t>GUCCI FL G MAG RG EDP 100 ML SCREW IV</t>
        </is>
      </c>
      <c r="F504" t="inlineStr">
        <is>
          <t>P_US_ULTA</t>
        </is>
      </c>
      <c r="G504" t="inlineStr">
        <is>
          <t>Month-2026.M09.W38</t>
        </is>
      </c>
      <c r="H504" t="inlineStr">
        <is>
          <t>Consensus - Final</t>
        </is>
      </c>
      <c r="I504" t="n">
        <v>21148</v>
      </c>
      <c r="J504" t="n">
        <v>2566</v>
      </c>
      <c r="K504" t="n">
        <v>479</v>
      </c>
      <c r="L504" t="n">
        <v>119</v>
      </c>
      <c r="M504" t="n">
        <v>206</v>
      </c>
      <c r="N504" t="n">
        <v>423</v>
      </c>
      <c r="O504" t="n">
        <v>172</v>
      </c>
      <c r="P504" t="n">
        <v>664</v>
      </c>
      <c r="T504" t="n">
        <v>407</v>
      </c>
    </row>
    <row r="505">
      <c r="A505" t="inlineStr">
        <is>
          <t>Gucci</t>
        </is>
      </c>
      <c r="B505" t="inlineStr">
        <is>
          <t>Gucci Flora (01228)</t>
        </is>
      </c>
      <c r="C505" t="inlineStr">
        <is>
          <t>Gucci Flora Gorgeous Magnolia (00006454)</t>
        </is>
      </c>
      <c r="D505" s="1" t="n">
        <v>3616303470791</v>
      </c>
      <c r="E505" t="inlineStr">
        <is>
          <t>GUCCI FL G MAG RG EDP 100 ML SCREW IV</t>
        </is>
      </c>
      <c r="F505" t="inlineStr">
        <is>
          <t>P_US_ULTA</t>
        </is>
      </c>
      <c r="G505" t="inlineStr">
        <is>
          <t>Month-2026.M09.W38</t>
        </is>
      </c>
      <c r="H505" t="inlineStr">
        <is>
          <t>Supply Cuts</t>
        </is>
      </c>
    </row>
    <row r="506">
      <c r="A506" t="inlineStr">
        <is>
          <t>Gucci</t>
        </is>
      </c>
      <c r="B506" t="inlineStr">
        <is>
          <t>Gucci Bloom (01043)</t>
        </is>
      </c>
      <c r="C506" t="inlineStr">
        <is>
          <t>Gucci Bloom EDP (00004476)</t>
        </is>
      </c>
      <c r="D506" s="1" t="n">
        <v>3616304077005</v>
      </c>
      <c r="E506" t="inlineStr">
        <is>
          <t>GUCCI BM EDP 10ML PENSPRAY RG 24IV</t>
        </is>
      </c>
      <c r="F506" t="inlineStr">
        <is>
          <t>P_US_ALL_OTHERS</t>
        </is>
      </c>
      <c r="G506" t="inlineStr">
        <is>
          <t>CurrentWorkingView</t>
        </is>
      </c>
      <c r="H506" t="inlineStr">
        <is>
          <t>Consensus - Final LY M</t>
        </is>
      </c>
      <c r="I506" t="n">
        <v>3972</v>
      </c>
      <c r="J506" t="n">
        <v>989</v>
      </c>
      <c r="K506" t="n">
        <v>3572</v>
      </c>
      <c r="L506" t="n">
        <v>615</v>
      </c>
      <c r="M506" t="n">
        <v>299</v>
      </c>
      <c r="N506" t="n">
        <v>1731</v>
      </c>
      <c r="O506" t="n">
        <v>1177</v>
      </c>
      <c r="P506" t="n">
        <v>1346</v>
      </c>
      <c r="Q506" t="n">
        <v>3187</v>
      </c>
      <c r="R506" t="n">
        <v>1643</v>
      </c>
      <c r="S506" t="n">
        <v>2278</v>
      </c>
      <c r="T506" t="n">
        <v>2570</v>
      </c>
    </row>
    <row r="507">
      <c r="A507" t="inlineStr">
        <is>
          <t>Gucci</t>
        </is>
      </c>
      <c r="B507" t="inlineStr">
        <is>
          <t>Gucci Bloom (01043)</t>
        </is>
      </c>
      <c r="C507" t="inlineStr">
        <is>
          <t>Gucci Bloom EDP (00004476)</t>
        </is>
      </c>
      <c r="D507" s="1" t="n">
        <v>3616304077005</v>
      </c>
      <c r="E507" t="inlineStr">
        <is>
          <t>GUCCI BM EDP 10ML PENSPRAY RG 24IV</t>
        </is>
      </c>
      <c r="F507" t="inlineStr">
        <is>
          <t>P_US_ALL_OTHERS</t>
        </is>
      </c>
      <c r="G507" t="inlineStr">
        <is>
          <t>CurrentWorkingView</t>
        </is>
      </c>
      <c r="H507" t="inlineStr">
        <is>
          <t>System FC - Final</t>
        </is>
      </c>
      <c r="I507" t="n">
        <v>3216</v>
      </c>
      <c r="J507" t="n">
        <v>2585</v>
      </c>
      <c r="K507" t="n">
        <v>3166</v>
      </c>
      <c r="L507" t="n">
        <v>872</v>
      </c>
      <c r="M507" t="n">
        <v>157</v>
      </c>
      <c r="N507" t="n">
        <v>1586</v>
      </c>
      <c r="O507" t="n">
        <v>2475</v>
      </c>
      <c r="P507" t="n">
        <v>872</v>
      </c>
      <c r="Q507" t="n">
        <v>2414</v>
      </c>
      <c r="R507" t="n">
        <v>2310</v>
      </c>
      <c r="S507" t="n">
        <v>1709</v>
      </c>
      <c r="T507" t="n">
        <v>973</v>
      </c>
    </row>
    <row r="508">
      <c r="A508" t="inlineStr">
        <is>
          <t>Gucci</t>
        </is>
      </c>
      <c r="B508" t="inlineStr">
        <is>
          <t>Gucci Bloom (01043)</t>
        </is>
      </c>
      <c r="C508" t="inlineStr">
        <is>
          <t>Gucci Bloom EDP (00004476)</t>
        </is>
      </c>
      <c r="D508" s="1" t="n">
        <v>3616304077005</v>
      </c>
      <c r="E508" t="inlineStr">
        <is>
          <t>GUCCI BM EDP 10ML PENSPRAY RG 24IV</t>
        </is>
      </c>
      <c r="F508" t="inlineStr">
        <is>
          <t>P_US_ALL_OTHERS</t>
        </is>
      </c>
      <c r="G508" t="inlineStr">
        <is>
          <t>CurrentWorkingView</t>
        </is>
      </c>
      <c r="H508" t="inlineStr">
        <is>
          <t>EPOS</t>
        </is>
      </c>
      <c r="I508" t="n">
        <v>1289</v>
      </c>
    </row>
    <row r="509">
      <c r="A509" t="inlineStr">
        <is>
          <t>Gucci</t>
        </is>
      </c>
      <c r="B509" t="inlineStr">
        <is>
          <t>Gucci Bloom (01043)</t>
        </is>
      </c>
      <c r="C509" t="inlineStr">
        <is>
          <t>Gucci Bloom EDP (00004476)</t>
        </is>
      </c>
      <c r="D509" s="1" t="n">
        <v>3616304077005</v>
      </c>
      <c r="E509" t="inlineStr">
        <is>
          <t>GUCCI BM EDP 10ML PENSPRAY RG 24IV</t>
        </is>
      </c>
      <c r="F509" t="inlineStr">
        <is>
          <t>P_US_ALL_OTHERS</t>
        </is>
      </c>
      <c r="G509" t="inlineStr">
        <is>
          <t>CurrentWorkingView</t>
        </is>
      </c>
      <c r="H509" t="inlineStr">
        <is>
          <t>Reasonability Adjustment</t>
        </is>
      </c>
      <c r="K509" t="n">
        <v>0</v>
      </c>
      <c r="L509" t="n">
        <v>0</v>
      </c>
      <c r="M509" t="n">
        <v>-56</v>
      </c>
      <c r="N509" t="n">
        <v>305</v>
      </c>
      <c r="O509" t="n">
        <v>-1219</v>
      </c>
      <c r="P509" t="n">
        <v>-246</v>
      </c>
      <c r="Q509" t="n">
        <v>0</v>
      </c>
      <c r="R509" t="n">
        <v>-340</v>
      </c>
    </row>
    <row r="510">
      <c r="A510" t="inlineStr">
        <is>
          <t>Gucci</t>
        </is>
      </c>
      <c r="B510" t="inlineStr">
        <is>
          <t>Gucci Bloom (01043)</t>
        </is>
      </c>
      <c r="C510" t="inlineStr">
        <is>
          <t>Gucci Bloom EDP (00004476)</t>
        </is>
      </c>
      <c r="D510" s="1" t="n">
        <v>3616304077005</v>
      </c>
      <c r="E510" t="inlineStr">
        <is>
          <t>GUCCI BM EDP 10ML PENSPRAY RG 24IV</t>
        </is>
      </c>
      <c r="F510" t="inlineStr">
        <is>
          <t>P_US_ALL_OTHERS</t>
        </is>
      </c>
      <c r="G510" t="inlineStr">
        <is>
          <t>CurrentWorkingView</t>
        </is>
      </c>
      <c r="H510" t="inlineStr">
        <is>
          <t>Total Demand Assumption</t>
        </is>
      </c>
    </row>
    <row r="511">
      <c r="A511" t="inlineStr">
        <is>
          <t>Gucci</t>
        </is>
      </c>
      <c r="B511" t="inlineStr">
        <is>
          <t>Gucci Bloom (01043)</t>
        </is>
      </c>
      <c r="C511" t="inlineStr">
        <is>
          <t>Gucci Bloom EDP (00004476)</t>
        </is>
      </c>
      <c r="D511" s="1" t="n">
        <v>3616304077005</v>
      </c>
      <c r="E511" t="inlineStr">
        <is>
          <t>GUCCI BM EDP 10ML PENSPRAY RG 24IV</t>
        </is>
      </c>
      <c r="F511" t="inlineStr">
        <is>
          <t>P_US_ALL_OTHERS</t>
        </is>
      </c>
      <c r="G511" t="inlineStr">
        <is>
          <t>CurrentWorkingView</t>
        </is>
      </c>
      <c r="H511" t="inlineStr">
        <is>
          <t>Consensus - Final</t>
        </is>
      </c>
      <c r="I511" t="n">
        <v>3216</v>
      </c>
      <c r="J511" t="n">
        <v>2585</v>
      </c>
      <c r="K511" t="n">
        <v>3148.00361366622</v>
      </c>
      <c r="L511" t="n">
        <v>872</v>
      </c>
      <c r="M511" t="n">
        <v>103</v>
      </c>
      <c r="N511" t="n">
        <v>1891</v>
      </c>
      <c r="O511" t="n">
        <v>1256</v>
      </c>
      <c r="P511" t="n">
        <v>626</v>
      </c>
      <c r="Q511" t="n">
        <v>2414</v>
      </c>
      <c r="R511" t="n">
        <v>1970</v>
      </c>
      <c r="S511" t="n">
        <v>1709</v>
      </c>
      <c r="T511" t="n">
        <v>973</v>
      </c>
    </row>
    <row r="512">
      <c r="A512" t="inlineStr">
        <is>
          <t>Gucci</t>
        </is>
      </c>
      <c r="B512" t="inlineStr">
        <is>
          <t>Gucci Bloom (01043)</t>
        </is>
      </c>
      <c r="C512" t="inlineStr">
        <is>
          <t>Gucci Bloom EDP (00004476)</t>
        </is>
      </c>
      <c r="D512" s="1" t="n">
        <v>3616304077005</v>
      </c>
      <c r="E512" t="inlineStr">
        <is>
          <t>GUCCI BM EDP 10ML PENSPRAY RG 24IV</t>
        </is>
      </c>
      <c r="F512" t="inlineStr">
        <is>
          <t>P_US_ALL_OTHERS</t>
        </is>
      </c>
      <c r="G512" t="inlineStr">
        <is>
          <t>CurrentWorkingView</t>
        </is>
      </c>
      <c r="H512" t="inlineStr">
        <is>
          <t>Supply Cuts</t>
        </is>
      </c>
    </row>
    <row r="513">
      <c r="A513" t="inlineStr">
        <is>
          <t>Gucci</t>
        </is>
      </c>
      <c r="B513" t="inlineStr">
        <is>
          <t>Gucci Bloom (01043)</t>
        </is>
      </c>
      <c r="C513" t="inlineStr">
        <is>
          <t>Gucci Bloom EDP (00004476)</t>
        </is>
      </c>
      <c r="D513" s="1" t="n">
        <v>3616304077005</v>
      </c>
      <c r="E513" t="inlineStr">
        <is>
          <t>GUCCI BM EDP 10ML PENSPRAY RG 24IV</t>
        </is>
      </c>
      <c r="F513" t="inlineStr">
        <is>
          <t>P_US_ALL_OTHERS</t>
        </is>
      </c>
      <c r="G513" t="inlineStr">
        <is>
          <t>Month-2026.M09.W38</t>
        </is>
      </c>
      <c r="H513" t="inlineStr">
        <is>
          <t>Consensus - Final LY M</t>
        </is>
      </c>
      <c r="I513" t="n">
        <v>3972</v>
      </c>
      <c r="J513" t="n">
        <v>989</v>
      </c>
      <c r="K513" t="n">
        <v>3572</v>
      </c>
      <c r="L513" t="n">
        <v>615</v>
      </c>
      <c r="M513" t="n">
        <v>299</v>
      </c>
      <c r="N513" t="n">
        <v>1731</v>
      </c>
      <c r="O513" t="n">
        <v>1177</v>
      </c>
      <c r="P513" t="n">
        <v>1346</v>
      </c>
      <c r="Q513" t="n">
        <v>3187</v>
      </c>
      <c r="R513" t="n">
        <v>1643</v>
      </c>
      <c r="S513" t="n">
        <v>2278</v>
      </c>
      <c r="T513" t="n">
        <v>2570</v>
      </c>
    </row>
    <row r="514">
      <c r="A514" t="inlineStr">
        <is>
          <t>Gucci</t>
        </is>
      </c>
      <c r="B514" t="inlineStr">
        <is>
          <t>Gucci Bloom (01043)</t>
        </is>
      </c>
      <c r="C514" t="inlineStr">
        <is>
          <t>Gucci Bloom EDP (00004476)</t>
        </is>
      </c>
      <c r="D514" s="1" t="n">
        <v>3616304077005</v>
      </c>
      <c r="E514" t="inlineStr">
        <is>
          <t>GUCCI BM EDP 10ML PENSPRAY RG 24IV</t>
        </is>
      </c>
      <c r="F514" t="inlineStr">
        <is>
          <t>P_US_ALL_OTHERS</t>
        </is>
      </c>
      <c r="G514" t="inlineStr">
        <is>
          <t>Month-2026.M09.W38</t>
        </is>
      </c>
      <c r="H514" t="inlineStr">
        <is>
          <t>System FC - Final</t>
        </is>
      </c>
      <c r="I514" t="n">
        <v>3216</v>
      </c>
      <c r="J514" t="n">
        <v>2585</v>
      </c>
      <c r="K514" t="n">
        <v>2194</v>
      </c>
      <c r="L514" t="n">
        <v>155</v>
      </c>
      <c r="M514" t="n">
        <v>296</v>
      </c>
      <c r="N514" t="n">
        <v>1293</v>
      </c>
      <c r="O514" t="n">
        <v>2276</v>
      </c>
      <c r="P514" t="n">
        <v>1904</v>
      </c>
      <c r="Q514" t="n">
        <v>2506</v>
      </c>
      <c r="R514" t="n">
        <v>1752</v>
      </c>
      <c r="S514" t="n">
        <v>1794</v>
      </c>
      <c r="T514" t="n">
        <v>2530</v>
      </c>
    </row>
    <row r="515">
      <c r="A515" t="inlineStr">
        <is>
          <t>Gucci</t>
        </is>
      </c>
      <c r="B515" t="inlineStr">
        <is>
          <t>Gucci Bloom (01043)</t>
        </is>
      </c>
      <c r="C515" t="inlineStr">
        <is>
          <t>Gucci Bloom EDP (00004476)</t>
        </is>
      </c>
      <c r="D515" s="1" t="n">
        <v>3616304077005</v>
      </c>
      <c r="E515" t="inlineStr">
        <is>
          <t>GUCCI BM EDP 10ML PENSPRAY RG 24IV</t>
        </is>
      </c>
      <c r="F515" t="inlineStr">
        <is>
          <t>P_US_ALL_OTHERS</t>
        </is>
      </c>
      <c r="G515" t="inlineStr">
        <is>
          <t>Month-2026.M09.W38</t>
        </is>
      </c>
      <c r="H515" t="inlineStr">
        <is>
          <t>EPOS</t>
        </is>
      </c>
      <c r="I515" t="n">
        <v>1289</v>
      </c>
    </row>
    <row r="516">
      <c r="A516" t="inlineStr">
        <is>
          <t>Gucci</t>
        </is>
      </c>
      <c r="B516" t="inlineStr">
        <is>
          <t>Gucci Bloom (01043)</t>
        </is>
      </c>
      <c r="C516" t="inlineStr">
        <is>
          <t>Gucci Bloom EDP (00004476)</t>
        </is>
      </c>
      <c r="D516" s="1" t="n">
        <v>3616304077005</v>
      </c>
      <c r="E516" t="inlineStr">
        <is>
          <t>GUCCI BM EDP 10ML PENSPRAY RG 24IV</t>
        </is>
      </c>
      <c r="F516" t="inlineStr">
        <is>
          <t>P_US_ALL_OTHERS</t>
        </is>
      </c>
      <c r="G516" t="inlineStr">
        <is>
          <t>Month-2026.M09.W38</t>
        </is>
      </c>
      <c r="H516" t="inlineStr">
        <is>
          <t>Reasonability Adjustment</t>
        </is>
      </c>
      <c r="K516" t="n">
        <v>0</v>
      </c>
      <c r="L516" t="n">
        <v>0</v>
      </c>
      <c r="M516" t="n">
        <v>-56</v>
      </c>
      <c r="N516" t="n">
        <v>305</v>
      </c>
      <c r="O516" t="n">
        <v>-1219</v>
      </c>
      <c r="P516" t="n">
        <v>-246</v>
      </c>
      <c r="Q516" t="n">
        <v>0</v>
      </c>
      <c r="R516" t="n">
        <v>-340</v>
      </c>
    </row>
    <row r="517">
      <c r="A517" t="inlineStr">
        <is>
          <t>Gucci</t>
        </is>
      </c>
      <c r="B517" t="inlineStr">
        <is>
          <t>Gucci Bloom (01043)</t>
        </is>
      </c>
      <c r="C517" t="inlineStr">
        <is>
          <t>Gucci Bloom EDP (00004476)</t>
        </is>
      </c>
      <c r="D517" s="1" t="n">
        <v>3616304077005</v>
      </c>
      <c r="E517" t="inlineStr">
        <is>
          <t>GUCCI BM EDP 10ML PENSPRAY RG 24IV</t>
        </is>
      </c>
      <c r="F517" t="inlineStr">
        <is>
          <t>P_US_ALL_OTHERS</t>
        </is>
      </c>
      <c r="G517" t="inlineStr">
        <is>
          <t>Month-2026.M09.W38</t>
        </is>
      </c>
      <c r="H517" t="inlineStr">
        <is>
          <t>Total Demand Assumption</t>
        </is>
      </c>
    </row>
    <row r="518">
      <c r="A518" t="inlineStr">
        <is>
          <t>Gucci</t>
        </is>
      </c>
      <c r="B518" t="inlineStr">
        <is>
          <t>Gucci Bloom (01043)</t>
        </is>
      </c>
      <c r="C518" t="inlineStr">
        <is>
          <t>Gucci Bloom EDP (00004476)</t>
        </is>
      </c>
      <c r="D518" s="1" t="n">
        <v>3616304077005</v>
      </c>
      <c r="E518" t="inlineStr">
        <is>
          <t>GUCCI BM EDP 10ML PENSPRAY RG 24IV</t>
        </is>
      </c>
      <c r="F518" t="inlineStr">
        <is>
          <t>P_US_ALL_OTHERS</t>
        </is>
      </c>
      <c r="G518" t="inlineStr">
        <is>
          <t>Month-2026.M09.W38</t>
        </is>
      </c>
      <c r="H518" t="inlineStr">
        <is>
          <t>Consensus - Final</t>
        </is>
      </c>
      <c r="I518" t="n">
        <v>3216</v>
      </c>
      <c r="J518" t="n">
        <v>2585</v>
      </c>
      <c r="K518" t="n">
        <v>3148.00361366622</v>
      </c>
      <c r="L518" t="n">
        <v>155</v>
      </c>
      <c r="M518" t="n">
        <v>240</v>
      </c>
      <c r="N518" t="n">
        <v>1598</v>
      </c>
      <c r="O518" t="n">
        <v>1057</v>
      </c>
      <c r="P518" t="n">
        <v>1658</v>
      </c>
      <c r="Q518" t="n">
        <v>2506</v>
      </c>
      <c r="R518" t="n">
        <v>1412</v>
      </c>
      <c r="S518" t="n">
        <v>1794</v>
      </c>
      <c r="T518" t="n">
        <v>2530</v>
      </c>
    </row>
    <row r="519">
      <c r="A519" t="inlineStr">
        <is>
          <t>Gucci</t>
        </is>
      </c>
      <c r="B519" t="inlineStr">
        <is>
          <t>Gucci Bloom (01043)</t>
        </is>
      </c>
      <c r="C519" t="inlineStr">
        <is>
          <t>Gucci Bloom EDP (00004476)</t>
        </is>
      </c>
      <c r="D519" s="1" t="n">
        <v>3616304077005</v>
      </c>
      <c r="E519" t="inlineStr">
        <is>
          <t>GUCCI BM EDP 10ML PENSPRAY RG 24IV</t>
        </is>
      </c>
      <c r="F519" t="inlineStr">
        <is>
          <t>P_US_ALL_OTHERS</t>
        </is>
      </c>
      <c r="G519" t="inlineStr">
        <is>
          <t>Month-2026.M09.W38</t>
        </is>
      </c>
      <c r="H519" t="inlineStr">
        <is>
          <t>Supply Cuts</t>
        </is>
      </c>
    </row>
    <row r="520">
      <c r="A520" t="inlineStr">
        <is>
          <t>Gucci</t>
        </is>
      </c>
      <c r="B520" t="inlineStr">
        <is>
          <t>Gucci Bloom (01043)</t>
        </is>
      </c>
      <c r="C520" t="inlineStr">
        <is>
          <t>Gucci Bloom EDP (00004476)</t>
        </is>
      </c>
      <c r="D520" s="1" t="n">
        <v>3616304077005</v>
      </c>
      <c r="E520" t="inlineStr">
        <is>
          <t>GUCCI BM EDP 10ML PENSPRAY RG 24IV</t>
        </is>
      </c>
      <c r="F520" t="inlineStr">
        <is>
          <t>P_US_FG</t>
        </is>
      </c>
      <c r="G520" t="inlineStr">
        <is>
          <t>CurrentWorkingView</t>
        </is>
      </c>
      <c r="H520" t="inlineStr">
        <is>
          <t>Consensus - Final LY M</t>
        </is>
      </c>
      <c r="P520" t="n">
        <v>10</v>
      </c>
    </row>
    <row r="521">
      <c r="A521" t="inlineStr">
        <is>
          <t>Gucci</t>
        </is>
      </c>
      <c r="B521" t="inlineStr">
        <is>
          <t>Gucci Bloom (01043)</t>
        </is>
      </c>
      <c r="C521" t="inlineStr">
        <is>
          <t>Gucci Bloom EDP (00004476)</t>
        </is>
      </c>
      <c r="D521" s="1" t="n">
        <v>3616304077005</v>
      </c>
      <c r="E521" t="inlineStr">
        <is>
          <t>GUCCI BM EDP 10ML PENSPRAY RG 24IV</t>
        </is>
      </c>
      <c r="F521" t="inlineStr">
        <is>
          <t>P_US_FG</t>
        </is>
      </c>
      <c r="G521" t="inlineStr">
        <is>
          <t>CurrentWorkingView</t>
        </is>
      </c>
      <c r="H521" t="inlineStr">
        <is>
          <t>System FC - Final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Gucci</t>
        </is>
      </c>
      <c r="B522" t="inlineStr">
        <is>
          <t>Gucci Bloom (01043)</t>
        </is>
      </c>
      <c r="C522" t="inlineStr">
        <is>
          <t>Gucci Bloom EDP (00004476)</t>
        </is>
      </c>
      <c r="D522" s="1" t="n">
        <v>3616304077005</v>
      </c>
      <c r="E522" t="inlineStr">
        <is>
          <t>GUCCI BM EDP 10ML PENSPRAY RG 24IV</t>
        </is>
      </c>
      <c r="F522" t="inlineStr">
        <is>
          <t>P_US_FG</t>
        </is>
      </c>
      <c r="G522" t="inlineStr">
        <is>
          <t>CurrentWorkingView</t>
        </is>
      </c>
      <c r="H522" t="inlineStr">
        <is>
          <t>EPOS</t>
        </is>
      </c>
    </row>
    <row r="523">
      <c r="A523" t="inlineStr">
        <is>
          <t>Gucci</t>
        </is>
      </c>
      <c r="B523" t="inlineStr">
        <is>
          <t>Gucci Bloom (01043)</t>
        </is>
      </c>
      <c r="C523" t="inlineStr">
        <is>
          <t>Gucci Bloom EDP (00004476)</t>
        </is>
      </c>
      <c r="D523" s="1" t="n">
        <v>3616304077005</v>
      </c>
      <c r="E523" t="inlineStr">
        <is>
          <t>GUCCI BM EDP 10ML PENSPRAY RG 24IV</t>
        </is>
      </c>
      <c r="F523" t="inlineStr">
        <is>
          <t>P_US_FG</t>
        </is>
      </c>
      <c r="G523" t="inlineStr">
        <is>
          <t>CurrentWorkingView</t>
        </is>
      </c>
      <c r="H523" t="inlineStr">
        <is>
          <t>Reasonability Adjustment</t>
        </is>
      </c>
    </row>
    <row r="524">
      <c r="A524" t="inlineStr">
        <is>
          <t>Gucci</t>
        </is>
      </c>
      <c r="B524" t="inlineStr">
        <is>
          <t>Gucci Bloom (01043)</t>
        </is>
      </c>
      <c r="C524" t="inlineStr">
        <is>
          <t>Gucci Bloom EDP (00004476)</t>
        </is>
      </c>
      <c r="D524" s="1" t="n">
        <v>3616304077005</v>
      </c>
      <c r="E524" t="inlineStr">
        <is>
          <t>GUCCI BM EDP 10ML PENSPRAY RG 24IV</t>
        </is>
      </c>
      <c r="F524" t="inlineStr">
        <is>
          <t>P_US_FG</t>
        </is>
      </c>
      <c r="G524" t="inlineStr">
        <is>
          <t>CurrentWorkingView</t>
        </is>
      </c>
      <c r="H524" t="inlineStr">
        <is>
          <t>Total Demand Assumption</t>
        </is>
      </c>
    </row>
    <row r="525">
      <c r="A525" t="inlineStr">
        <is>
          <t>Gucci</t>
        </is>
      </c>
      <c r="B525" t="inlineStr">
        <is>
          <t>Gucci Bloom (01043)</t>
        </is>
      </c>
      <c r="C525" t="inlineStr">
        <is>
          <t>Gucci Bloom EDP (00004476)</t>
        </is>
      </c>
      <c r="D525" s="1" t="n">
        <v>3616304077005</v>
      </c>
      <c r="E525" t="inlineStr">
        <is>
          <t>GUCCI BM EDP 10ML PENSPRAY RG 24IV</t>
        </is>
      </c>
      <c r="F525" t="inlineStr">
        <is>
          <t>P_US_FG</t>
        </is>
      </c>
      <c r="G525" t="inlineStr">
        <is>
          <t>CurrentWorkingView</t>
        </is>
      </c>
      <c r="H525" t="inlineStr">
        <is>
          <t>Consensus - Final</t>
        </is>
      </c>
      <c r="K525" t="n">
        <v>0</v>
      </c>
    </row>
    <row r="526">
      <c r="A526" t="inlineStr">
        <is>
          <t>Gucci</t>
        </is>
      </c>
      <c r="B526" t="inlineStr">
        <is>
          <t>Gucci Bloom (01043)</t>
        </is>
      </c>
      <c r="C526" t="inlineStr">
        <is>
          <t>Gucci Bloom EDP (00004476)</t>
        </is>
      </c>
      <c r="D526" s="1" t="n">
        <v>3616304077005</v>
      </c>
      <c r="E526" t="inlineStr">
        <is>
          <t>GUCCI BM EDP 10ML PENSPRAY RG 24IV</t>
        </is>
      </c>
      <c r="F526" t="inlineStr">
        <is>
          <t>P_US_FG</t>
        </is>
      </c>
      <c r="G526" t="inlineStr">
        <is>
          <t>CurrentWorkingView</t>
        </is>
      </c>
      <c r="H526" t="inlineStr">
        <is>
          <t>Supply Cuts</t>
        </is>
      </c>
    </row>
    <row r="527">
      <c r="A527" t="inlineStr">
        <is>
          <t>Gucci</t>
        </is>
      </c>
      <c r="B527" t="inlineStr">
        <is>
          <t>Gucci Bloom (01043)</t>
        </is>
      </c>
      <c r="C527" t="inlineStr">
        <is>
          <t>Gucci Bloom EDP (00004476)</t>
        </is>
      </c>
      <c r="D527" s="1" t="n">
        <v>3616304077005</v>
      </c>
      <c r="E527" t="inlineStr">
        <is>
          <t>GUCCI BM EDP 10ML PENSPRAY RG 24IV</t>
        </is>
      </c>
      <c r="F527" t="inlineStr">
        <is>
          <t>P_US_FG</t>
        </is>
      </c>
      <c r="G527" t="inlineStr">
        <is>
          <t>Month-2026.M09.W38</t>
        </is>
      </c>
      <c r="H527" t="inlineStr">
        <is>
          <t>Consensus - Final LY M</t>
        </is>
      </c>
      <c r="P527" t="n">
        <v>10</v>
      </c>
    </row>
    <row r="528">
      <c r="A528" t="inlineStr">
        <is>
          <t>Gucci</t>
        </is>
      </c>
      <c r="B528" t="inlineStr">
        <is>
          <t>Gucci Bloom (01043)</t>
        </is>
      </c>
      <c r="C528" t="inlineStr">
        <is>
          <t>Gucci Bloom EDP (00004476)</t>
        </is>
      </c>
      <c r="D528" s="1" t="n">
        <v>3616304077005</v>
      </c>
      <c r="E528" t="inlineStr">
        <is>
          <t>GUCCI BM EDP 10ML PENSPRAY RG 24IV</t>
        </is>
      </c>
      <c r="F528" t="inlineStr">
        <is>
          <t>P_US_FG</t>
        </is>
      </c>
      <c r="G528" t="inlineStr">
        <is>
          <t>Month-2026.M09.W38</t>
        </is>
      </c>
      <c r="H528" t="inlineStr">
        <is>
          <t>System FC - Final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Gucci</t>
        </is>
      </c>
      <c r="B529" t="inlineStr">
        <is>
          <t>Gucci Bloom (01043)</t>
        </is>
      </c>
      <c r="C529" t="inlineStr">
        <is>
          <t>Gucci Bloom EDP (00004476)</t>
        </is>
      </c>
      <c r="D529" s="1" t="n">
        <v>3616304077005</v>
      </c>
      <c r="E529" t="inlineStr">
        <is>
          <t>GUCCI BM EDP 10ML PENSPRAY RG 24IV</t>
        </is>
      </c>
      <c r="F529" t="inlineStr">
        <is>
          <t>P_US_FG</t>
        </is>
      </c>
      <c r="G529" t="inlineStr">
        <is>
          <t>Month-2026.M09.W38</t>
        </is>
      </c>
      <c r="H529" t="inlineStr">
        <is>
          <t>EPOS</t>
        </is>
      </c>
    </row>
    <row r="530">
      <c r="A530" t="inlineStr">
        <is>
          <t>Gucci</t>
        </is>
      </c>
      <c r="B530" t="inlineStr">
        <is>
          <t>Gucci Bloom (01043)</t>
        </is>
      </c>
      <c r="C530" t="inlineStr">
        <is>
          <t>Gucci Bloom EDP (00004476)</t>
        </is>
      </c>
      <c r="D530" s="1" t="n">
        <v>3616304077005</v>
      </c>
      <c r="E530" t="inlineStr">
        <is>
          <t>GUCCI BM EDP 10ML PENSPRAY RG 24IV</t>
        </is>
      </c>
      <c r="F530" t="inlineStr">
        <is>
          <t>P_US_FG</t>
        </is>
      </c>
      <c r="G530" t="inlineStr">
        <is>
          <t>Month-2026.M09.W38</t>
        </is>
      </c>
      <c r="H530" t="inlineStr">
        <is>
          <t>Reasonability Adjustment</t>
        </is>
      </c>
    </row>
    <row r="531">
      <c r="A531" t="inlineStr">
        <is>
          <t>Gucci</t>
        </is>
      </c>
      <c r="B531" t="inlineStr">
        <is>
          <t>Gucci Bloom (01043)</t>
        </is>
      </c>
      <c r="C531" t="inlineStr">
        <is>
          <t>Gucci Bloom EDP (00004476)</t>
        </is>
      </c>
      <c r="D531" s="1" t="n">
        <v>3616304077005</v>
      </c>
      <c r="E531" t="inlineStr">
        <is>
          <t>GUCCI BM EDP 10ML PENSPRAY RG 24IV</t>
        </is>
      </c>
      <c r="F531" t="inlineStr">
        <is>
          <t>P_US_FG</t>
        </is>
      </c>
      <c r="G531" t="inlineStr">
        <is>
          <t>Month-2026.M09.W38</t>
        </is>
      </c>
      <c r="H531" t="inlineStr">
        <is>
          <t>Total Demand Assumption</t>
        </is>
      </c>
    </row>
    <row r="532">
      <c r="A532" t="inlineStr">
        <is>
          <t>Gucci</t>
        </is>
      </c>
      <c r="B532" t="inlineStr">
        <is>
          <t>Gucci Bloom (01043)</t>
        </is>
      </c>
      <c r="C532" t="inlineStr">
        <is>
          <t>Gucci Bloom EDP (00004476)</t>
        </is>
      </c>
      <c r="D532" s="1" t="n">
        <v>3616304077005</v>
      </c>
      <c r="E532" t="inlineStr">
        <is>
          <t>GUCCI BM EDP 10ML PENSPRAY RG 24IV</t>
        </is>
      </c>
      <c r="F532" t="inlineStr">
        <is>
          <t>P_US_FG</t>
        </is>
      </c>
      <c r="G532" t="inlineStr">
        <is>
          <t>Month-2026.M09.W38</t>
        </is>
      </c>
      <c r="H532" t="inlineStr">
        <is>
          <t>Consensus - Final</t>
        </is>
      </c>
      <c r="K532" t="n">
        <v>0</v>
      </c>
    </row>
    <row r="533">
      <c r="A533" t="inlineStr">
        <is>
          <t>Gucci</t>
        </is>
      </c>
      <c r="B533" t="inlineStr">
        <is>
          <t>Gucci Bloom (01043)</t>
        </is>
      </c>
      <c r="C533" t="inlineStr">
        <is>
          <t>Gucci Bloom EDP (00004476)</t>
        </is>
      </c>
      <c r="D533" s="1" t="n">
        <v>3616304077005</v>
      </c>
      <c r="E533" t="inlineStr">
        <is>
          <t>GUCCI BM EDP 10ML PENSPRAY RG 24IV</t>
        </is>
      </c>
      <c r="F533" t="inlineStr">
        <is>
          <t>P_US_FG</t>
        </is>
      </c>
      <c r="G533" t="inlineStr">
        <is>
          <t>Month-2026.M09.W38</t>
        </is>
      </c>
      <c r="H533" t="inlineStr">
        <is>
          <t>Supply Cuts</t>
        </is>
      </c>
    </row>
    <row r="534">
      <c r="A534" t="inlineStr">
        <is>
          <t>Gucci</t>
        </is>
      </c>
      <c r="B534" t="inlineStr">
        <is>
          <t>Gucci Bloom (01043)</t>
        </is>
      </c>
      <c r="C534" t="inlineStr">
        <is>
          <t>Gucci Bloom EDP (00004476)</t>
        </is>
      </c>
      <c r="D534" s="1" t="n">
        <v>3616304077005</v>
      </c>
      <c r="E534" t="inlineStr">
        <is>
          <t>GUCCI BM EDP 10ML PENSPRAY RG 24IV</t>
        </is>
      </c>
      <c r="F534" t="inlineStr">
        <is>
          <t>P_US_ULTA</t>
        </is>
      </c>
      <c r="G534" t="inlineStr">
        <is>
          <t>CurrentWorkingView</t>
        </is>
      </c>
      <c r="H534" t="inlineStr">
        <is>
          <t>Consensus - Final LY M</t>
        </is>
      </c>
      <c r="I534" t="n">
        <v>286</v>
      </c>
      <c r="J534" t="n">
        <v>3837</v>
      </c>
      <c r="K534" t="n">
        <v>3624</v>
      </c>
      <c r="L534" t="n">
        <v>65</v>
      </c>
      <c r="M534" t="n">
        <v>2430</v>
      </c>
      <c r="N534" t="n">
        <v>1361</v>
      </c>
      <c r="O534" t="n">
        <v>193</v>
      </c>
      <c r="P534" t="n">
        <v>1226</v>
      </c>
      <c r="Q534" t="n">
        <v>1877</v>
      </c>
      <c r="R534" t="n">
        <v>522</v>
      </c>
      <c r="S534" t="n">
        <v>1061</v>
      </c>
      <c r="T534" t="n">
        <v>1709</v>
      </c>
    </row>
    <row r="535">
      <c r="A535" t="inlineStr">
        <is>
          <t>Gucci</t>
        </is>
      </c>
      <c r="B535" t="inlineStr">
        <is>
          <t>Gucci Bloom (01043)</t>
        </is>
      </c>
      <c r="C535" t="inlineStr">
        <is>
          <t>Gucci Bloom EDP (00004476)</t>
        </is>
      </c>
      <c r="D535" s="1" t="n">
        <v>3616304077005</v>
      </c>
      <c r="E535" t="inlineStr">
        <is>
          <t>GUCCI BM EDP 10ML PENSPRAY RG 24IV</t>
        </is>
      </c>
      <c r="F535" t="inlineStr">
        <is>
          <t>P_US_ULTA</t>
        </is>
      </c>
      <c r="G535" t="inlineStr">
        <is>
          <t>CurrentWorkingView</t>
        </is>
      </c>
      <c r="H535" t="inlineStr">
        <is>
          <t>System FC - Final</t>
        </is>
      </c>
      <c r="I535" t="n">
        <v>662</v>
      </c>
      <c r="J535" t="n">
        <v>937</v>
      </c>
      <c r="K535" t="n">
        <v>2104</v>
      </c>
      <c r="L535" t="n">
        <v>1178</v>
      </c>
      <c r="M535" t="n">
        <v>1804</v>
      </c>
      <c r="N535" t="n">
        <v>1280</v>
      </c>
      <c r="O535" t="n">
        <v>531</v>
      </c>
      <c r="P535" t="n">
        <v>1360</v>
      </c>
      <c r="Q535" t="n">
        <v>1949</v>
      </c>
      <c r="R535" t="n">
        <v>283</v>
      </c>
      <c r="S535" t="n">
        <v>1063</v>
      </c>
      <c r="T535" t="n">
        <v>1547</v>
      </c>
    </row>
    <row r="536">
      <c r="A536" t="inlineStr">
        <is>
          <t>Gucci</t>
        </is>
      </c>
      <c r="B536" t="inlineStr">
        <is>
          <t>Gucci Bloom (01043)</t>
        </is>
      </c>
      <c r="C536" t="inlineStr">
        <is>
          <t>Gucci Bloom EDP (00004476)</t>
        </is>
      </c>
      <c r="D536" s="1" t="n">
        <v>3616304077005</v>
      </c>
      <c r="E536" t="inlineStr">
        <is>
          <t>GUCCI BM EDP 10ML PENSPRAY RG 24IV</t>
        </is>
      </c>
      <c r="F536" t="inlineStr">
        <is>
          <t>P_US_ULTA</t>
        </is>
      </c>
      <c r="G536" t="inlineStr">
        <is>
          <t>CurrentWorkingView</t>
        </is>
      </c>
      <c r="H536" t="inlineStr">
        <is>
          <t>EPOS</t>
        </is>
      </c>
      <c r="I536" t="n">
        <v>1018</v>
      </c>
    </row>
    <row r="537">
      <c r="A537" t="inlineStr">
        <is>
          <t>Gucci</t>
        </is>
      </c>
      <c r="B537" t="inlineStr">
        <is>
          <t>Gucci Bloom (01043)</t>
        </is>
      </c>
      <c r="C537" t="inlineStr">
        <is>
          <t>Gucci Bloom EDP (00004476)</t>
        </is>
      </c>
      <c r="D537" s="1" t="n">
        <v>3616304077005</v>
      </c>
      <c r="E537" t="inlineStr">
        <is>
          <t>GUCCI BM EDP 10ML PENSPRAY RG 24IV</t>
        </is>
      </c>
      <c r="F537" t="inlineStr">
        <is>
          <t>P_US_ULTA</t>
        </is>
      </c>
      <c r="G537" t="inlineStr">
        <is>
          <t>CurrentWorkingView</t>
        </is>
      </c>
      <c r="H537" t="inlineStr">
        <is>
          <t>Reasonability Adjustment</t>
        </is>
      </c>
      <c r="K537" t="n">
        <v>0</v>
      </c>
      <c r="L537" t="n">
        <v>0</v>
      </c>
      <c r="M537" t="n">
        <v>-300</v>
      </c>
      <c r="N537" t="n">
        <v>127</v>
      </c>
      <c r="O537" t="n">
        <v>-104</v>
      </c>
      <c r="P537" t="n">
        <v>-102</v>
      </c>
      <c r="Q537" t="n">
        <v>0</v>
      </c>
      <c r="R537" t="n">
        <v>-145</v>
      </c>
    </row>
    <row r="538">
      <c r="A538" t="inlineStr">
        <is>
          <t>Gucci</t>
        </is>
      </c>
      <c r="B538" t="inlineStr">
        <is>
          <t>Gucci Bloom (01043)</t>
        </is>
      </c>
      <c r="C538" t="inlineStr">
        <is>
          <t>Gucci Bloom EDP (00004476)</t>
        </is>
      </c>
      <c r="D538" s="1" t="n">
        <v>3616304077005</v>
      </c>
      <c r="E538" t="inlineStr">
        <is>
          <t>GUCCI BM EDP 10ML PENSPRAY RG 24IV</t>
        </is>
      </c>
      <c r="F538" t="inlineStr">
        <is>
          <t>P_US_ULTA</t>
        </is>
      </c>
      <c r="G538" t="inlineStr">
        <is>
          <t>CurrentWorkingView</t>
        </is>
      </c>
      <c r="H538" t="inlineStr">
        <is>
          <t>Total Demand Assumption</t>
        </is>
      </c>
    </row>
    <row r="539">
      <c r="A539" t="inlineStr">
        <is>
          <t>Gucci</t>
        </is>
      </c>
      <c r="B539" t="inlineStr">
        <is>
          <t>Gucci Bloom (01043)</t>
        </is>
      </c>
      <c r="C539" t="inlineStr">
        <is>
          <t>Gucci Bloom EDP (00004476)</t>
        </is>
      </c>
      <c r="D539" s="1" t="n">
        <v>3616304077005</v>
      </c>
      <c r="E539" t="inlineStr">
        <is>
          <t>GUCCI BM EDP 10ML PENSPRAY RG 24IV</t>
        </is>
      </c>
      <c r="F539" t="inlineStr">
        <is>
          <t>P_US_ULTA</t>
        </is>
      </c>
      <c r="G539" t="inlineStr">
        <is>
          <t>CurrentWorkingView</t>
        </is>
      </c>
      <c r="H539" t="inlineStr">
        <is>
          <t>Consensus - Final</t>
        </is>
      </c>
      <c r="I539" t="n">
        <v>662</v>
      </c>
      <c r="J539" t="n">
        <v>937</v>
      </c>
      <c r="K539" t="n">
        <v>2468.99638633377</v>
      </c>
      <c r="L539" t="n">
        <v>1178</v>
      </c>
      <c r="M539" t="n">
        <v>1514</v>
      </c>
      <c r="N539" t="n">
        <v>1407</v>
      </c>
      <c r="O539" t="n">
        <v>427</v>
      </c>
      <c r="P539" t="n">
        <v>1258</v>
      </c>
      <c r="Q539" t="n">
        <v>1949</v>
      </c>
      <c r="R539" t="n">
        <v>138</v>
      </c>
      <c r="S539" t="n">
        <v>1063</v>
      </c>
      <c r="T539" t="n">
        <v>1547</v>
      </c>
    </row>
    <row r="540">
      <c r="A540" t="inlineStr">
        <is>
          <t>Gucci</t>
        </is>
      </c>
      <c r="B540" t="inlineStr">
        <is>
          <t>Gucci Bloom (01043)</t>
        </is>
      </c>
      <c r="C540" t="inlineStr">
        <is>
          <t>Gucci Bloom EDP (00004476)</t>
        </is>
      </c>
      <c r="D540" s="1" t="n">
        <v>3616304077005</v>
      </c>
      <c r="E540" t="inlineStr">
        <is>
          <t>GUCCI BM EDP 10ML PENSPRAY RG 24IV</t>
        </is>
      </c>
      <c r="F540" t="inlineStr">
        <is>
          <t>P_US_ULTA</t>
        </is>
      </c>
      <c r="G540" t="inlineStr">
        <is>
          <t>CurrentWorkingView</t>
        </is>
      </c>
      <c r="H540" t="inlineStr">
        <is>
          <t>Supply Cuts</t>
        </is>
      </c>
    </row>
    <row r="541">
      <c r="A541" t="inlineStr">
        <is>
          <t>Gucci</t>
        </is>
      </c>
      <c r="B541" t="inlineStr">
        <is>
          <t>Gucci Bloom (01043)</t>
        </is>
      </c>
      <c r="C541" t="inlineStr">
        <is>
          <t>Gucci Bloom EDP (00004476)</t>
        </is>
      </c>
      <c r="D541" s="1" t="n">
        <v>3616304077005</v>
      </c>
      <c r="E541" t="inlineStr">
        <is>
          <t>GUCCI BM EDP 10ML PENSPRAY RG 24IV</t>
        </is>
      </c>
      <c r="F541" t="inlineStr">
        <is>
          <t>P_US_ULTA</t>
        </is>
      </c>
      <c r="G541" t="inlineStr">
        <is>
          <t>Month-2026.M09.W38</t>
        </is>
      </c>
      <c r="H541" t="inlineStr">
        <is>
          <t>Consensus - Final LY M</t>
        </is>
      </c>
      <c r="I541" t="n">
        <v>286</v>
      </c>
      <c r="J541" t="n">
        <v>3837</v>
      </c>
      <c r="K541" t="n">
        <v>3624</v>
      </c>
      <c r="L541" t="n">
        <v>65</v>
      </c>
      <c r="M541" t="n">
        <v>2430</v>
      </c>
      <c r="N541" t="n">
        <v>1361</v>
      </c>
      <c r="O541" t="n">
        <v>193</v>
      </c>
      <c r="P541" t="n">
        <v>1226</v>
      </c>
      <c r="Q541" t="n">
        <v>1877</v>
      </c>
      <c r="R541" t="n">
        <v>522</v>
      </c>
      <c r="S541" t="n">
        <v>1061</v>
      </c>
      <c r="T541" t="n">
        <v>1709</v>
      </c>
    </row>
    <row r="542">
      <c r="A542" t="inlineStr">
        <is>
          <t>Gucci</t>
        </is>
      </c>
      <c r="B542" t="inlineStr">
        <is>
          <t>Gucci Bloom (01043)</t>
        </is>
      </c>
      <c r="C542" t="inlineStr">
        <is>
          <t>Gucci Bloom EDP (00004476)</t>
        </is>
      </c>
      <c r="D542" s="1" t="n">
        <v>3616304077005</v>
      </c>
      <c r="E542" t="inlineStr">
        <is>
          <t>GUCCI BM EDP 10ML PENSPRAY RG 24IV</t>
        </is>
      </c>
      <c r="F542" t="inlineStr">
        <is>
          <t>P_US_ULTA</t>
        </is>
      </c>
      <c r="G542" t="inlineStr">
        <is>
          <t>Month-2026.M09.W38</t>
        </is>
      </c>
      <c r="H542" t="inlineStr">
        <is>
          <t>System FC - Final</t>
        </is>
      </c>
      <c r="I542" t="n">
        <v>662</v>
      </c>
      <c r="J542" t="n">
        <v>937</v>
      </c>
      <c r="K542" t="n">
        <v>1523</v>
      </c>
      <c r="L542" t="n">
        <v>1006</v>
      </c>
      <c r="M542" t="n">
        <v>1590</v>
      </c>
      <c r="N542" t="n">
        <v>541</v>
      </c>
      <c r="O542" t="n">
        <v>195</v>
      </c>
      <c r="P542" t="n">
        <v>788</v>
      </c>
      <c r="Q542" t="n">
        <v>1027</v>
      </c>
      <c r="R542" t="n">
        <v>750</v>
      </c>
      <c r="S542" t="n">
        <v>624</v>
      </c>
      <c r="T542" t="n">
        <v>1377</v>
      </c>
    </row>
    <row r="543">
      <c r="A543" t="inlineStr">
        <is>
          <t>Gucci</t>
        </is>
      </c>
      <c r="B543" t="inlineStr">
        <is>
          <t>Gucci Bloom (01043)</t>
        </is>
      </c>
      <c r="C543" t="inlineStr">
        <is>
          <t>Gucci Bloom EDP (00004476)</t>
        </is>
      </c>
      <c r="D543" s="1" t="n">
        <v>3616304077005</v>
      </c>
      <c r="E543" t="inlineStr">
        <is>
          <t>GUCCI BM EDP 10ML PENSPRAY RG 24IV</t>
        </is>
      </c>
      <c r="F543" t="inlineStr">
        <is>
          <t>P_US_ULTA</t>
        </is>
      </c>
      <c r="G543" t="inlineStr">
        <is>
          <t>Month-2026.M09.W38</t>
        </is>
      </c>
      <c r="H543" t="inlineStr">
        <is>
          <t>EPOS</t>
        </is>
      </c>
      <c r="I543" t="n">
        <v>1018</v>
      </c>
    </row>
    <row r="544">
      <c r="A544" t="inlineStr">
        <is>
          <t>Gucci</t>
        </is>
      </c>
      <c r="B544" t="inlineStr">
        <is>
          <t>Gucci Bloom (01043)</t>
        </is>
      </c>
      <c r="C544" t="inlineStr">
        <is>
          <t>Gucci Bloom EDP (00004476)</t>
        </is>
      </c>
      <c r="D544" s="1" t="n">
        <v>3616304077005</v>
      </c>
      <c r="E544" t="inlineStr">
        <is>
          <t>GUCCI BM EDP 10ML PENSPRAY RG 24IV</t>
        </is>
      </c>
      <c r="F544" t="inlineStr">
        <is>
          <t>P_US_ULTA</t>
        </is>
      </c>
      <c r="G544" t="inlineStr">
        <is>
          <t>Month-2026.M09.W38</t>
        </is>
      </c>
      <c r="H544" t="inlineStr">
        <is>
          <t>Reasonability Adjustment</t>
        </is>
      </c>
      <c r="K544" t="n">
        <v>0</v>
      </c>
      <c r="L544" t="n">
        <v>0</v>
      </c>
      <c r="M544" t="n">
        <v>-300</v>
      </c>
      <c r="N544" t="n">
        <v>127</v>
      </c>
      <c r="O544" t="n">
        <v>-104</v>
      </c>
      <c r="P544" t="n">
        <v>-102</v>
      </c>
      <c r="Q544" t="n">
        <v>0</v>
      </c>
      <c r="R544" t="n">
        <v>-145</v>
      </c>
    </row>
    <row r="545">
      <c r="A545" t="inlineStr">
        <is>
          <t>Gucci</t>
        </is>
      </c>
      <c r="B545" t="inlineStr">
        <is>
          <t>Gucci Bloom (01043)</t>
        </is>
      </c>
      <c r="C545" t="inlineStr">
        <is>
          <t>Gucci Bloom EDP (00004476)</t>
        </is>
      </c>
      <c r="D545" s="1" t="n">
        <v>3616304077005</v>
      </c>
      <c r="E545" t="inlineStr">
        <is>
          <t>GUCCI BM EDP 10ML PENSPRAY RG 24IV</t>
        </is>
      </c>
      <c r="F545" t="inlineStr">
        <is>
          <t>P_US_ULTA</t>
        </is>
      </c>
      <c r="G545" t="inlineStr">
        <is>
          <t>Month-2026.M09.W38</t>
        </is>
      </c>
      <c r="H545" t="inlineStr">
        <is>
          <t>Total Demand Assumption</t>
        </is>
      </c>
    </row>
    <row r="546">
      <c r="A546" t="inlineStr">
        <is>
          <t>Gucci</t>
        </is>
      </c>
      <c r="B546" t="inlineStr">
        <is>
          <t>Gucci Bloom (01043)</t>
        </is>
      </c>
      <c r="C546" t="inlineStr">
        <is>
          <t>Gucci Bloom EDP (00004476)</t>
        </is>
      </c>
      <c r="D546" s="1" t="n">
        <v>3616304077005</v>
      </c>
      <c r="E546" t="inlineStr">
        <is>
          <t>GUCCI BM EDP 10ML PENSPRAY RG 24IV</t>
        </is>
      </c>
      <c r="F546" t="inlineStr">
        <is>
          <t>P_US_ULTA</t>
        </is>
      </c>
      <c r="G546" t="inlineStr">
        <is>
          <t>Month-2026.M09.W38</t>
        </is>
      </c>
      <c r="H546" t="inlineStr">
        <is>
          <t>Consensus - Final</t>
        </is>
      </c>
      <c r="I546" t="n">
        <v>662</v>
      </c>
      <c r="J546" t="n">
        <v>937</v>
      </c>
      <c r="K546" t="n">
        <v>2468.99638633377</v>
      </c>
      <c r="L546" t="n">
        <v>1006</v>
      </c>
      <c r="M546" t="n">
        <v>1290</v>
      </c>
      <c r="N546" t="n">
        <v>668</v>
      </c>
      <c r="O546" t="n">
        <v>91</v>
      </c>
      <c r="P546" t="n">
        <v>686</v>
      </c>
      <c r="Q546" t="n">
        <v>1027</v>
      </c>
      <c r="R546" t="n">
        <v>605</v>
      </c>
      <c r="S546" t="n">
        <v>624</v>
      </c>
      <c r="T546" t="n">
        <v>1377</v>
      </c>
    </row>
    <row r="547">
      <c r="A547" t="inlineStr">
        <is>
          <t>Gucci</t>
        </is>
      </c>
      <c r="B547" t="inlineStr">
        <is>
          <t>Gucci Bloom (01043)</t>
        </is>
      </c>
      <c r="C547" t="inlineStr">
        <is>
          <t>Gucci Bloom EDP (00004476)</t>
        </is>
      </c>
      <c r="D547" s="1" t="n">
        <v>3616304077005</v>
      </c>
      <c r="E547" t="inlineStr">
        <is>
          <t>GUCCI BM EDP 10ML PENSPRAY RG 24IV</t>
        </is>
      </c>
      <c r="F547" t="inlineStr">
        <is>
          <t>P_US_ULTA</t>
        </is>
      </c>
      <c r="G547" t="inlineStr">
        <is>
          <t>Month-2026.M09.W38</t>
        </is>
      </c>
      <c r="H547" t="inlineStr">
        <is>
          <t>Supply Cuts</t>
        </is>
      </c>
    </row>
    <row r="548">
      <c r="A548" t="inlineStr">
        <is>
          <t>Gucci</t>
        </is>
      </c>
      <c r="B548" t="inlineStr">
        <is>
          <t>Gucci Bloom (01043)</t>
        </is>
      </c>
      <c r="C548" t="inlineStr">
        <is>
          <t>Gucci Bloom EDT (00005943)</t>
        </is>
      </c>
      <c r="D548" s="1" t="n">
        <v>3616304077029</v>
      </c>
      <c r="E548" t="inlineStr">
        <is>
          <t>GUCCI BM EDT NS 10 ML PENSPRAY RGIV</t>
        </is>
      </c>
      <c r="F548" t="inlineStr">
        <is>
          <t>P_US_ALL_OTHERS</t>
        </is>
      </c>
      <c r="G548" t="inlineStr">
        <is>
          <t>CurrentWorkingView</t>
        </is>
      </c>
      <c r="H548" t="inlineStr">
        <is>
          <t>Consensus - Final LY M</t>
        </is>
      </c>
      <c r="I548" t="n">
        <v>2013</v>
      </c>
      <c r="J548" t="n">
        <v>4553</v>
      </c>
      <c r="K548" t="n">
        <v>713</v>
      </c>
      <c r="L548" t="n">
        <v>1601</v>
      </c>
      <c r="M548" t="n">
        <v>415</v>
      </c>
      <c r="N548" t="n">
        <v>4570</v>
      </c>
      <c r="O548" t="n">
        <v>3</v>
      </c>
      <c r="P548" t="n">
        <v>161</v>
      </c>
      <c r="Q548" t="n">
        <v>2772</v>
      </c>
      <c r="T548" t="n">
        <v>6</v>
      </c>
    </row>
    <row r="549">
      <c r="A549" t="inlineStr">
        <is>
          <t>Gucci</t>
        </is>
      </c>
      <c r="B549" t="inlineStr">
        <is>
          <t>Gucci Bloom (01043)</t>
        </is>
      </c>
      <c r="C549" t="inlineStr">
        <is>
          <t>Gucci Bloom EDT (00005943)</t>
        </is>
      </c>
      <c r="D549" s="1" t="n">
        <v>3616304077029</v>
      </c>
      <c r="E549" t="inlineStr">
        <is>
          <t>GUCCI BM EDT NS 10 ML PENSPRAY RGIV</t>
        </is>
      </c>
      <c r="F549" t="inlineStr">
        <is>
          <t>P_US_ALL_OTHERS</t>
        </is>
      </c>
      <c r="G549" t="inlineStr">
        <is>
          <t>CurrentWorkingView</t>
        </is>
      </c>
      <c r="H549" t="inlineStr">
        <is>
          <t>System FC - Final</t>
        </is>
      </c>
      <c r="I549" t="n">
        <v>2426</v>
      </c>
      <c r="J549" t="n">
        <v>1025</v>
      </c>
      <c r="K549" t="n">
        <v>1998</v>
      </c>
      <c r="L549" t="n">
        <v>1745</v>
      </c>
      <c r="M549" t="n">
        <v>360</v>
      </c>
      <c r="N549" t="n">
        <v>1851</v>
      </c>
      <c r="O549" t="n">
        <v>2081</v>
      </c>
      <c r="P549" t="n">
        <v>460</v>
      </c>
      <c r="Q549" t="n">
        <v>3056</v>
      </c>
      <c r="R549" t="n">
        <v>142</v>
      </c>
      <c r="S549" t="n">
        <v>793</v>
      </c>
      <c r="T549" t="n">
        <v>1645</v>
      </c>
    </row>
    <row r="550">
      <c r="A550" t="inlineStr">
        <is>
          <t>Gucci</t>
        </is>
      </c>
      <c r="B550" t="inlineStr">
        <is>
          <t>Gucci Bloom (01043)</t>
        </is>
      </c>
      <c r="C550" t="inlineStr">
        <is>
          <t>Gucci Bloom EDT (00005943)</t>
        </is>
      </c>
      <c r="D550" s="1" t="n">
        <v>3616304077029</v>
      </c>
      <c r="E550" t="inlineStr">
        <is>
          <t>GUCCI BM EDT NS 10 ML PENSPRAY RGIV</t>
        </is>
      </c>
      <c r="F550" t="inlineStr">
        <is>
          <t>P_US_ALL_OTHERS</t>
        </is>
      </c>
      <c r="G550" t="inlineStr">
        <is>
          <t>CurrentWorkingView</t>
        </is>
      </c>
      <c r="H550" t="inlineStr">
        <is>
          <t>EPOS</t>
        </is>
      </c>
      <c r="I550" t="n">
        <v>602</v>
      </c>
    </row>
    <row r="551">
      <c r="A551" t="inlineStr">
        <is>
          <t>Gucci</t>
        </is>
      </c>
      <c r="B551" t="inlineStr">
        <is>
          <t>Gucci Bloom (01043)</t>
        </is>
      </c>
      <c r="C551" t="inlineStr">
        <is>
          <t>Gucci Bloom EDT (00005943)</t>
        </is>
      </c>
      <c r="D551" s="1" t="n">
        <v>3616304077029</v>
      </c>
      <c r="E551" t="inlineStr">
        <is>
          <t>GUCCI BM EDT NS 10 ML PENSPRAY RGIV</t>
        </is>
      </c>
      <c r="F551" t="inlineStr">
        <is>
          <t>P_US_ALL_OTHERS</t>
        </is>
      </c>
      <c r="G551" t="inlineStr">
        <is>
          <t>CurrentWorkingView</t>
        </is>
      </c>
      <c r="H551" t="inlineStr">
        <is>
          <t>Reasonability Adjustment</t>
        </is>
      </c>
      <c r="J551" t="n">
        <v>2486</v>
      </c>
      <c r="K551" t="n">
        <v>-1974</v>
      </c>
      <c r="L551" t="n">
        <v>-600</v>
      </c>
      <c r="M551" t="n">
        <v>226</v>
      </c>
      <c r="N551" t="n">
        <v>0</v>
      </c>
      <c r="O551" t="n">
        <v>-1003</v>
      </c>
      <c r="P551" t="n">
        <v>0</v>
      </c>
      <c r="Q551" t="n">
        <v>-1219</v>
      </c>
      <c r="R551" t="n">
        <v>0</v>
      </c>
    </row>
    <row r="552">
      <c r="A552" t="inlineStr">
        <is>
          <t>Gucci</t>
        </is>
      </c>
      <c r="B552" t="inlineStr">
        <is>
          <t>Gucci Bloom (01043)</t>
        </is>
      </c>
      <c r="C552" t="inlineStr">
        <is>
          <t>Gucci Bloom EDT (00005943)</t>
        </is>
      </c>
      <c r="D552" s="1" t="n">
        <v>3616304077029</v>
      </c>
      <c r="E552" t="inlineStr">
        <is>
          <t>GUCCI BM EDT NS 10 ML PENSPRAY RGIV</t>
        </is>
      </c>
      <c r="F552" t="inlineStr">
        <is>
          <t>P_US_ALL_OTHERS</t>
        </is>
      </c>
      <c r="G552" t="inlineStr">
        <is>
          <t>CurrentWorkingView</t>
        </is>
      </c>
      <c r="H552" t="inlineStr">
        <is>
          <t>Total Demand Assumption</t>
        </is>
      </c>
      <c r="I552" t="n">
        <v>-142</v>
      </c>
      <c r="J552" t="n">
        <v>-321</v>
      </c>
      <c r="K552" t="n">
        <v>-108</v>
      </c>
      <c r="L552" t="n">
        <v>-125</v>
      </c>
      <c r="M552" t="n">
        <v>-104</v>
      </c>
      <c r="N552" t="n">
        <v>-209</v>
      </c>
    </row>
    <row r="553">
      <c r="A553" t="inlineStr">
        <is>
          <t>Gucci</t>
        </is>
      </c>
      <c r="B553" t="inlineStr">
        <is>
          <t>Gucci Bloom (01043)</t>
        </is>
      </c>
      <c r="C553" t="inlineStr">
        <is>
          <t>Gucci Bloom EDT (00005943)</t>
        </is>
      </c>
      <c r="D553" s="1" t="n">
        <v>3616304077029</v>
      </c>
      <c r="E553" t="inlineStr">
        <is>
          <t>GUCCI BM EDT NS 10 ML PENSPRAY RGIV</t>
        </is>
      </c>
      <c r="F553" t="inlineStr">
        <is>
          <t>P_US_ALL_OTHERS</t>
        </is>
      </c>
      <c r="G553" t="inlineStr">
        <is>
          <t>CurrentWorkingView</t>
        </is>
      </c>
      <c r="H553" t="inlineStr">
        <is>
          <t>Consensus - Final</t>
        </is>
      </c>
      <c r="I553" t="n">
        <v>2426</v>
      </c>
      <c r="J553" t="n">
        <v>1025</v>
      </c>
      <c r="K553" t="n">
        <v>1411.58536585365</v>
      </c>
      <c r="L553" t="n">
        <v>1075</v>
      </c>
      <c r="M553" t="n">
        <v>491</v>
      </c>
      <c r="N553" t="n">
        <v>1642</v>
      </c>
      <c r="O553" t="n">
        <v>1078</v>
      </c>
      <c r="P553" t="n">
        <v>460</v>
      </c>
      <c r="Q553" t="n">
        <v>1837</v>
      </c>
      <c r="R553" t="n">
        <v>142</v>
      </c>
      <c r="S553" t="n">
        <v>793</v>
      </c>
      <c r="T553" t="n">
        <v>1645</v>
      </c>
    </row>
    <row r="554">
      <c r="A554" t="inlineStr">
        <is>
          <t>Gucci</t>
        </is>
      </c>
      <c r="B554" t="inlineStr">
        <is>
          <t>Gucci Bloom (01043)</t>
        </is>
      </c>
      <c r="C554" t="inlineStr">
        <is>
          <t>Gucci Bloom EDT (00005943)</t>
        </is>
      </c>
      <c r="D554" s="1" t="n">
        <v>3616304077029</v>
      </c>
      <c r="E554" t="inlineStr">
        <is>
          <t>GUCCI BM EDT NS 10 ML PENSPRAY RGIV</t>
        </is>
      </c>
      <c r="F554" t="inlineStr">
        <is>
          <t>P_US_ALL_OTHERS</t>
        </is>
      </c>
      <c r="G554" t="inlineStr">
        <is>
          <t>CurrentWorkingView</t>
        </is>
      </c>
      <c r="H554" t="inlineStr">
        <is>
          <t>Supply Cuts</t>
        </is>
      </c>
    </row>
    <row r="555">
      <c r="A555" t="inlineStr">
        <is>
          <t>Gucci</t>
        </is>
      </c>
      <c r="B555" t="inlineStr">
        <is>
          <t>Gucci Bloom (01043)</t>
        </is>
      </c>
      <c r="C555" t="inlineStr">
        <is>
          <t>Gucci Bloom EDT (00005943)</t>
        </is>
      </c>
      <c r="D555" s="1" t="n">
        <v>3616304077029</v>
      </c>
      <c r="E555" t="inlineStr">
        <is>
          <t>GUCCI BM EDT NS 10 ML PENSPRAY RGIV</t>
        </is>
      </c>
      <c r="F555" t="inlineStr">
        <is>
          <t>P_US_ALL_OTHERS</t>
        </is>
      </c>
      <c r="G555" t="inlineStr">
        <is>
          <t>Month-2026.M09.W38</t>
        </is>
      </c>
      <c r="H555" t="inlineStr">
        <is>
          <t>Consensus - Final LY M</t>
        </is>
      </c>
      <c r="I555" t="n">
        <v>2013</v>
      </c>
      <c r="J555" t="n">
        <v>4553</v>
      </c>
      <c r="K555" t="n">
        <v>713</v>
      </c>
      <c r="L555" t="n">
        <v>1601</v>
      </c>
      <c r="M555" t="n">
        <v>415</v>
      </c>
      <c r="N555" t="n">
        <v>4570</v>
      </c>
      <c r="O555" t="n">
        <v>3</v>
      </c>
      <c r="P555" t="n">
        <v>161</v>
      </c>
      <c r="Q555" t="n">
        <v>2772</v>
      </c>
      <c r="T555" t="n">
        <v>6</v>
      </c>
    </row>
    <row r="556">
      <c r="A556" t="inlineStr">
        <is>
          <t>Gucci</t>
        </is>
      </c>
      <c r="B556" t="inlineStr">
        <is>
          <t>Gucci Bloom (01043)</t>
        </is>
      </c>
      <c r="C556" t="inlineStr">
        <is>
          <t>Gucci Bloom EDT (00005943)</t>
        </is>
      </c>
      <c r="D556" s="1" t="n">
        <v>3616304077029</v>
      </c>
      <c r="E556" t="inlineStr">
        <is>
          <t>GUCCI BM EDT NS 10 ML PENSPRAY RGIV</t>
        </is>
      </c>
      <c r="F556" t="inlineStr">
        <is>
          <t>P_US_ALL_OTHERS</t>
        </is>
      </c>
      <c r="G556" t="inlineStr">
        <is>
          <t>Month-2026.M09.W38</t>
        </is>
      </c>
      <c r="H556" t="inlineStr">
        <is>
          <t>System FC - Final</t>
        </is>
      </c>
      <c r="I556" t="n">
        <v>2426</v>
      </c>
      <c r="J556" t="n">
        <v>1025</v>
      </c>
      <c r="K556" t="n">
        <v>2049</v>
      </c>
      <c r="L556" t="n">
        <v>1745</v>
      </c>
      <c r="M556" t="n">
        <v>360</v>
      </c>
      <c r="N556" t="n">
        <v>1851</v>
      </c>
      <c r="O556" t="n">
        <v>2081</v>
      </c>
      <c r="P556" t="n">
        <v>460</v>
      </c>
      <c r="Q556" t="n">
        <v>3056</v>
      </c>
      <c r="R556" t="n">
        <v>142</v>
      </c>
      <c r="S556" t="n">
        <v>793</v>
      </c>
      <c r="T556" t="n">
        <v>828</v>
      </c>
    </row>
    <row r="557">
      <c r="A557" t="inlineStr">
        <is>
          <t>Gucci</t>
        </is>
      </c>
      <c r="B557" t="inlineStr">
        <is>
          <t>Gucci Bloom (01043)</t>
        </is>
      </c>
      <c r="C557" t="inlineStr">
        <is>
          <t>Gucci Bloom EDT (00005943)</t>
        </is>
      </c>
      <c r="D557" s="1" t="n">
        <v>3616304077029</v>
      </c>
      <c r="E557" t="inlineStr">
        <is>
          <t>GUCCI BM EDT NS 10 ML PENSPRAY RGIV</t>
        </is>
      </c>
      <c r="F557" t="inlineStr">
        <is>
          <t>P_US_ALL_OTHERS</t>
        </is>
      </c>
      <c r="G557" t="inlineStr">
        <is>
          <t>Month-2026.M09.W38</t>
        </is>
      </c>
      <c r="H557" t="inlineStr">
        <is>
          <t>EPOS</t>
        </is>
      </c>
      <c r="I557" t="n">
        <v>602</v>
      </c>
    </row>
    <row r="558">
      <c r="A558" t="inlineStr">
        <is>
          <t>Gucci</t>
        </is>
      </c>
      <c r="B558" t="inlineStr">
        <is>
          <t>Gucci Bloom (01043)</t>
        </is>
      </c>
      <c r="C558" t="inlineStr">
        <is>
          <t>Gucci Bloom EDT (00005943)</t>
        </is>
      </c>
      <c r="D558" s="1" t="n">
        <v>3616304077029</v>
      </c>
      <c r="E558" t="inlineStr">
        <is>
          <t>GUCCI BM EDT NS 10 ML PENSPRAY RGIV</t>
        </is>
      </c>
      <c r="F558" t="inlineStr">
        <is>
          <t>P_US_ALL_OTHERS</t>
        </is>
      </c>
      <c r="G558" t="inlineStr">
        <is>
          <t>Month-2026.M09.W38</t>
        </is>
      </c>
      <c r="H558" t="inlineStr">
        <is>
          <t>Reasonability Adjustment</t>
        </is>
      </c>
      <c r="J558" t="n">
        <v>2486</v>
      </c>
      <c r="K558" t="n">
        <v>-1974</v>
      </c>
      <c r="L558" t="n">
        <v>-600</v>
      </c>
      <c r="M558" t="n">
        <v>226</v>
      </c>
      <c r="N558" t="n">
        <v>0</v>
      </c>
      <c r="O558" t="n">
        <v>-1003</v>
      </c>
      <c r="P558" t="n">
        <v>0</v>
      </c>
      <c r="Q558" t="n">
        <v>-1219</v>
      </c>
      <c r="R558" t="n">
        <v>0</v>
      </c>
    </row>
    <row r="559">
      <c r="A559" t="inlineStr">
        <is>
          <t>Gucci</t>
        </is>
      </c>
      <c r="B559" t="inlineStr">
        <is>
          <t>Gucci Bloom (01043)</t>
        </is>
      </c>
      <c r="C559" t="inlineStr">
        <is>
          <t>Gucci Bloom EDT (00005943)</t>
        </is>
      </c>
      <c r="D559" s="1" t="n">
        <v>3616304077029</v>
      </c>
      <c r="E559" t="inlineStr">
        <is>
          <t>GUCCI BM EDT NS 10 ML PENSPRAY RGIV</t>
        </is>
      </c>
      <c r="F559" t="inlineStr">
        <is>
          <t>P_US_ALL_OTHERS</t>
        </is>
      </c>
      <c r="G559" t="inlineStr">
        <is>
          <t>Month-2026.M09.W38</t>
        </is>
      </c>
      <c r="H559" t="inlineStr">
        <is>
          <t>Total Demand Assumption</t>
        </is>
      </c>
      <c r="I559" t="n">
        <v>-142</v>
      </c>
      <c r="J559" t="n">
        <v>-321</v>
      </c>
      <c r="K559" t="n">
        <v>-108</v>
      </c>
      <c r="L559" t="n">
        <v>-125</v>
      </c>
      <c r="M559" t="n">
        <v>-104</v>
      </c>
      <c r="N559" t="n">
        <v>-209</v>
      </c>
    </row>
    <row r="560">
      <c r="A560" t="inlineStr">
        <is>
          <t>Gucci</t>
        </is>
      </c>
      <c r="B560" t="inlineStr">
        <is>
          <t>Gucci Bloom (01043)</t>
        </is>
      </c>
      <c r="C560" t="inlineStr">
        <is>
          <t>Gucci Bloom EDT (00005943)</t>
        </is>
      </c>
      <c r="D560" s="1" t="n">
        <v>3616304077029</v>
      </c>
      <c r="E560" t="inlineStr">
        <is>
          <t>GUCCI BM EDT NS 10 ML PENSPRAY RGIV</t>
        </is>
      </c>
      <c r="F560" t="inlineStr">
        <is>
          <t>P_US_ALL_OTHERS</t>
        </is>
      </c>
      <c r="G560" t="inlineStr">
        <is>
          <t>Month-2026.M09.W38</t>
        </is>
      </c>
      <c r="H560" t="inlineStr">
        <is>
          <t>Consensus - Final</t>
        </is>
      </c>
      <c r="I560" t="n">
        <v>2426</v>
      </c>
      <c r="J560" t="n">
        <v>1025</v>
      </c>
      <c r="K560" t="n">
        <v>1411.58536585365</v>
      </c>
      <c r="L560" t="n">
        <v>1020</v>
      </c>
      <c r="M560" t="n">
        <v>482</v>
      </c>
      <c r="N560" t="n">
        <v>1642</v>
      </c>
      <c r="O560" t="n">
        <v>1078</v>
      </c>
      <c r="P560" t="n">
        <v>460</v>
      </c>
      <c r="Q560" t="n">
        <v>1837</v>
      </c>
      <c r="R560" t="n">
        <v>142</v>
      </c>
      <c r="S560" t="n">
        <v>793</v>
      </c>
      <c r="T560" t="n">
        <v>828</v>
      </c>
    </row>
    <row r="561">
      <c r="A561" t="inlineStr">
        <is>
          <t>Gucci</t>
        </is>
      </c>
      <c r="B561" t="inlineStr">
        <is>
          <t>Gucci Bloom (01043)</t>
        </is>
      </c>
      <c r="C561" t="inlineStr">
        <is>
          <t>Gucci Bloom EDT (00005943)</t>
        </is>
      </c>
      <c r="D561" s="1" t="n">
        <v>3616304077029</v>
      </c>
      <c r="E561" t="inlineStr">
        <is>
          <t>GUCCI BM EDT NS 10 ML PENSPRAY RGIV</t>
        </is>
      </c>
      <c r="F561" t="inlineStr">
        <is>
          <t>P_US_ALL_OTHERS</t>
        </is>
      </c>
      <c r="G561" t="inlineStr">
        <is>
          <t>Month-2026.M09.W38</t>
        </is>
      </c>
      <c r="H561" t="inlineStr">
        <is>
          <t>Supply Cuts</t>
        </is>
      </c>
    </row>
    <row r="562">
      <c r="A562" t="inlineStr">
        <is>
          <t>Gucci</t>
        </is>
      </c>
      <c r="B562" t="inlineStr">
        <is>
          <t>Gucci Bloom (01043)</t>
        </is>
      </c>
      <c r="C562" t="inlineStr">
        <is>
          <t>Gucci Bloom EDT (00005943)</t>
        </is>
      </c>
      <c r="D562" s="1" t="n">
        <v>3616304077029</v>
      </c>
      <c r="E562" t="inlineStr">
        <is>
          <t>GUCCI BM EDT NS 10 ML PENSPRAY RGIV</t>
        </is>
      </c>
      <c r="F562" t="inlineStr">
        <is>
          <t>P_US_FG</t>
        </is>
      </c>
      <c r="G562" t="inlineStr">
        <is>
          <t>CurrentWorkingView</t>
        </is>
      </c>
      <c r="H562" t="inlineStr">
        <is>
          <t>Consensus - Final LY M</t>
        </is>
      </c>
    </row>
    <row r="563">
      <c r="A563" t="inlineStr">
        <is>
          <t>Gucci</t>
        </is>
      </c>
      <c r="B563" t="inlineStr">
        <is>
          <t>Gucci Bloom (01043)</t>
        </is>
      </c>
      <c r="C563" t="inlineStr">
        <is>
          <t>Gucci Bloom EDT (00005943)</t>
        </is>
      </c>
      <c r="D563" s="1" t="n">
        <v>3616304077029</v>
      </c>
      <c r="E563" t="inlineStr">
        <is>
          <t>GUCCI BM EDT NS 10 ML PENSPRAY RGIV</t>
        </is>
      </c>
      <c r="F563" t="inlineStr">
        <is>
          <t>P_US_FG</t>
        </is>
      </c>
      <c r="G563" t="inlineStr">
        <is>
          <t>CurrentWorkingView</t>
        </is>
      </c>
      <c r="H563" t="inlineStr">
        <is>
          <t>System FC - Final</t>
        </is>
      </c>
    </row>
    <row r="564">
      <c r="A564" t="inlineStr">
        <is>
          <t>Gucci</t>
        </is>
      </c>
      <c r="B564" t="inlineStr">
        <is>
          <t>Gucci Bloom (01043)</t>
        </is>
      </c>
      <c r="C564" t="inlineStr">
        <is>
          <t>Gucci Bloom EDT (00005943)</t>
        </is>
      </c>
      <c r="D564" s="1" t="n">
        <v>3616304077029</v>
      </c>
      <c r="E564" t="inlineStr">
        <is>
          <t>GUCCI BM EDT NS 10 ML PENSPRAY RGIV</t>
        </is>
      </c>
      <c r="F564" t="inlineStr">
        <is>
          <t>P_US_FG</t>
        </is>
      </c>
      <c r="G564" t="inlineStr">
        <is>
          <t>CurrentWorkingView</t>
        </is>
      </c>
      <c r="H564" t="inlineStr">
        <is>
          <t>EPOS</t>
        </is>
      </c>
    </row>
    <row r="565">
      <c r="A565" t="inlineStr">
        <is>
          <t>Gucci</t>
        </is>
      </c>
      <c r="B565" t="inlineStr">
        <is>
          <t>Gucci Bloom (01043)</t>
        </is>
      </c>
      <c r="C565" t="inlineStr">
        <is>
          <t>Gucci Bloom EDT (00005943)</t>
        </is>
      </c>
      <c r="D565" s="1" t="n">
        <v>3616304077029</v>
      </c>
      <c r="E565" t="inlineStr">
        <is>
          <t>GUCCI BM EDT NS 10 ML PENSPRAY RGIV</t>
        </is>
      </c>
      <c r="F565" t="inlineStr">
        <is>
          <t>P_US_FG</t>
        </is>
      </c>
      <c r="G565" t="inlineStr">
        <is>
          <t>CurrentWorkingView</t>
        </is>
      </c>
      <c r="H565" t="inlineStr">
        <is>
          <t>Reasonability Adjustment</t>
        </is>
      </c>
    </row>
    <row r="566">
      <c r="A566" t="inlineStr">
        <is>
          <t>Gucci</t>
        </is>
      </c>
      <c r="B566" t="inlineStr">
        <is>
          <t>Gucci Bloom (01043)</t>
        </is>
      </c>
      <c r="C566" t="inlineStr">
        <is>
          <t>Gucci Bloom EDT (00005943)</t>
        </is>
      </c>
      <c r="D566" s="1" t="n">
        <v>3616304077029</v>
      </c>
      <c r="E566" t="inlineStr">
        <is>
          <t>GUCCI BM EDT NS 10 ML PENSPRAY RGIV</t>
        </is>
      </c>
      <c r="F566" t="inlineStr">
        <is>
          <t>P_US_FG</t>
        </is>
      </c>
      <c r="G566" t="inlineStr">
        <is>
          <t>CurrentWorkingView</t>
        </is>
      </c>
      <c r="H566" t="inlineStr">
        <is>
          <t>Total Demand Assumption</t>
        </is>
      </c>
    </row>
    <row r="567">
      <c r="A567" t="inlineStr">
        <is>
          <t>Gucci</t>
        </is>
      </c>
      <c r="B567" t="inlineStr">
        <is>
          <t>Gucci Bloom (01043)</t>
        </is>
      </c>
      <c r="C567" t="inlineStr">
        <is>
          <t>Gucci Bloom EDT (00005943)</t>
        </is>
      </c>
      <c r="D567" s="1" t="n">
        <v>3616304077029</v>
      </c>
      <c r="E567" t="inlineStr">
        <is>
          <t>GUCCI BM EDT NS 10 ML PENSPRAY RGIV</t>
        </is>
      </c>
      <c r="F567" t="inlineStr">
        <is>
          <t>P_US_FG</t>
        </is>
      </c>
      <c r="G567" t="inlineStr">
        <is>
          <t>CurrentWorkingView</t>
        </is>
      </c>
      <c r="H567" t="inlineStr">
        <is>
          <t>Consensus - Final</t>
        </is>
      </c>
      <c r="K567" t="n">
        <v>0</v>
      </c>
    </row>
    <row r="568">
      <c r="A568" t="inlineStr">
        <is>
          <t>Gucci</t>
        </is>
      </c>
      <c r="B568" t="inlineStr">
        <is>
          <t>Gucci Bloom (01043)</t>
        </is>
      </c>
      <c r="C568" t="inlineStr">
        <is>
          <t>Gucci Bloom EDT (00005943)</t>
        </is>
      </c>
      <c r="D568" s="1" t="n">
        <v>3616304077029</v>
      </c>
      <c r="E568" t="inlineStr">
        <is>
          <t>GUCCI BM EDT NS 10 ML PENSPRAY RGIV</t>
        </is>
      </c>
      <c r="F568" t="inlineStr">
        <is>
          <t>P_US_FG</t>
        </is>
      </c>
      <c r="G568" t="inlineStr">
        <is>
          <t>CurrentWorkingView</t>
        </is>
      </c>
      <c r="H568" t="inlineStr">
        <is>
          <t>Supply Cuts</t>
        </is>
      </c>
    </row>
    <row r="569">
      <c r="A569" t="inlineStr">
        <is>
          <t>Gucci</t>
        </is>
      </c>
      <c r="B569" t="inlineStr">
        <is>
          <t>Gucci Bloom (01043)</t>
        </is>
      </c>
      <c r="C569" t="inlineStr">
        <is>
          <t>Gucci Bloom EDT (00005943)</t>
        </is>
      </c>
      <c r="D569" s="1" t="n">
        <v>3616304077029</v>
      </c>
      <c r="E569" t="inlineStr">
        <is>
          <t>GUCCI BM EDT NS 10 ML PENSPRAY RGIV</t>
        </is>
      </c>
      <c r="F569" t="inlineStr">
        <is>
          <t>P_US_FG</t>
        </is>
      </c>
      <c r="G569" t="inlineStr">
        <is>
          <t>Month-2026.M09.W38</t>
        </is>
      </c>
      <c r="H569" t="inlineStr">
        <is>
          <t>Consensus - Final LY M</t>
        </is>
      </c>
    </row>
    <row r="570">
      <c r="A570" t="inlineStr">
        <is>
          <t>Gucci</t>
        </is>
      </c>
      <c r="B570" t="inlineStr">
        <is>
          <t>Gucci Bloom (01043)</t>
        </is>
      </c>
      <c r="C570" t="inlineStr">
        <is>
          <t>Gucci Bloom EDT (00005943)</t>
        </is>
      </c>
      <c r="D570" s="1" t="n">
        <v>3616304077029</v>
      </c>
      <c r="E570" t="inlineStr">
        <is>
          <t>GUCCI BM EDT NS 10 ML PENSPRAY RGIV</t>
        </is>
      </c>
      <c r="F570" t="inlineStr">
        <is>
          <t>P_US_FG</t>
        </is>
      </c>
      <c r="G570" t="inlineStr">
        <is>
          <t>Month-2026.M09.W38</t>
        </is>
      </c>
      <c r="H570" t="inlineStr">
        <is>
          <t>System FC - Final</t>
        </is>
      </c>
    </row>
    <row r="571">
      <c r="A571" t="inlineStr">
        <is>
          <t>Gucci</t>
        </is>
      </c>
      <c r="B571" t="inlineStr">
        <is>
          <t>Gucci Bloom (01043)</t>
        </is>
      </c>
      <c r="C571" t="inlineStr">
        <is>
          <t>Gucci Bloom EDT (00005943)</t>
        </is>
      </c>
      <c r="D571" s="1" t="n">
        <v>3616304077029</v>
      </c>
      <c r="E571" t="inlineStr">
        <is>
          <t>GUCCI BM EDT NS 10 ML PENSPRAY RGIV</t>
        </is>
      </c>
      <c r="F571" t="inlineStr">
        <is>
          <t>P_US_FG</t>
        </is>
      </c>
      <c r="G571" t="inlineStr">
        <is>
          <t>Month-2026.M09.W38</t>
        </is>
      </c>
      <c r="H571" t="inlineStr">
        <is>
          <t>EPOS</t>
        </is>
      </c>
    </row>
    <row r="572">
      <c r="A572" t="inlineStr">
        <is>
          <t>Gucci</t>
        </is>
      </c>
      <c r="B572" t="inlineStr">
        <is>
          <t>Gucci Bloom (01043)</t>
        </is>
      </c>
      <c r="C572" t="inlineStr">
        <is>
          <t>Gucci Bloom EDT (00005943)</t>
        </is>
      </c>
      <c r="D572" s="1" t="n">
        <v>3616304077029</v>
      </c>
      <c r="E572" t="inlineStr">
        <is>
          <t>GUCCI BM EDT NS 10 ML PENSPRAY RGIV</t>
        </is>
      </c>
      <c r="F572" t="inlineStr">
        <is>
          <t>P_US_FG</t>
        </is>
      </c>
      <c r="G572" t="inlineStr">
        <is>
          <t>Month-2026.M09.W38</t>
        </is>
      </c>
      <c r="H572" t="inlineStr">
        <is>
          <t>Reasonability Adjustment</t>
        </is>
      </c>
    </row>
    <row r="573">
      <c r="A573" t="inlineStr">
        <is>
          <t>Gucci</t>
        </is>
      </c>
      <c r="B573" t="inlineStr">
        <is>
          <t>Gucci Bloom (01043)</t>
        </is>
      </c>
      <c r="C573" t="inlineStr">
        <is>
          <t>Gucci Bloom EDT (00005943)</t>
        </is>
      </c>
      <c r="D573" s="1" t="n">
        <v>3616304077029</v>
      </c>
      <c r="E573" t="inlineStr">
        <is>
          <t>GUCCI BM EDT NS 10 ML PENSPRAY RGIV</t>
        </is>
      </c>
      <c r="F573" t="inlineStr">
        <is>
          <t>P_US_FG</t>
        </is>
      </c>
      <c r="G573" t="inlineStr">
        <is>
          <t>Month-2026.M09.W38</t>
        </is>
      </c>
      <c r="H573" t="inlineStr">
        <is>
          <t>Total Demand Assumption</t>
        </is>
      </c>
    </row>
    <row r="574">
      <c r="A574" t="inlineStr">
        <is>
          <t>Gucci</t>
        </is>
      </c>
      <c r="B574" t="inlineStr">
        <is>
          <t>Gucci Bloom (01043)</t>
        </is>
      </c>
      <c r="C574" t="inlineStr">
        <is>
          <t>Gucci Bloom EDT (00005943)</t>
        </is>
      </c>
      <c r="D574" s="1" t="n">
        <v>3616304077029</v>
      </c>
      <c r="E574" t="inlineStr">
        <is>
          <t>GUCCI BM EDT NS 10 ML PENSPRAY RGIV</t>
        </is>
      </c>
      <c r="F574" t="inlineStr">
        <is>
          <t>P_US_FG</t>
        </is>
      </c>
      <c r="G574" t="inlineStr">
        <is>
          <t>Month-2026.M09.W38</t>
        </is>
      </c>
      <c r="H574" t="inlineStr">
        <is>
          <t>Consensus - Final</t>
        </is>
      </c>
      <c r="K574" t="n">
        <v>0</v>
      </c>
    </row>
    <row r="575">
      <c r="A575" t="inlineStr">
        <is>
          <t>Gucci</t>
        </is>
      </c>
      <c r="B575" t="inlineStr">
        <is>
          <t>Gucci Bloom (01043)</t>
        </is>
      </c>
      <c r="C575" t="inlineStr">
        <is>
          <t>Gucci Bloom EDT (00005943)</t>
        </is>
      </c>
      <c r="D575" s="1" t="n">
        <v>3616304077029</v>
      </c>
      <c r="E575" t="inlineStr">
        <is>
          <t>GUCCI BM EDT NS 10 ML PENSPRAY RGIV</t>
        </is>
      </c>
      <c r="F575" t="inlineStr">
        <is>
          <t>P_US_FG</t>
        </is>
      </c>
      <c r="G575" t="inlineStr">
        <is>
          <t>Month-2026.M09.W38</t>
        </is>
      </c>
      <c r="H575" t="inlineStr">
        <is>
          <t>Supply Cuts</t>
        </is>
      </c>
    </row>
    <row r="576">
      <c r="A576" t="inlineStr">
        <is>
          <t>Gucci</t>
        </is>
      </c>
      <c r="B576" t="inlineStr">
        <is>
          <t>Gucci Bloom (01043)</t>
        </is>
      </c>
      <c r="C576" t="inlineStr">
        <is>
          <t>Gucci Bloom EDT (00005943)</t>
        </is>
      </c>
      <c r="D576" s="1" t="n">
        <v>3616304077029</v>
      </c>
      <c r="E576" t="inlineStr">
        <is>
          <t>GUCCI BM EDT NS 10 ML PENSPRAY RGIV</t>
        </is>
      </c>
      <c r="F576" t="inlineStr">
        <is>
          <t>P_US_ULTA</t>
        </is>
      </c>
      <c r="G576" t="inlineStr">
        <is>
          <t>CurrentWorkingView</t>
        </is>
      </c>
      <c r="H576" t="inlineStr">
        <is>
          <t>Consensus - Final LY M</t>
        </is>
      </c>
      <c r="J576" t="n">
        <v>3</v>
      </c>
      <c r="K576" t="n">
        <v>1</v>
      </c>
      <c r="L576" t="n">
        <v>21</v>
      </c>
      <c r="M576" t="n">
        <v>27</v>
      </c>
      <c r="N576" t="n">
        <v>36</v>
      </c>
      <c r="P576" t="n">
        <v>6</v>
      </c>
      <c r="Q576" t="n">
        <v>12</v>
      </c>
    </row>
    <row r="577">
      <c r="A577" t="inlineStr">
        <is>
          <t>Gucci</t>
        </is>
      </c>
      <c r="B577" t="inlineStr">
        <is>
          <t>Gucci Bloom (01043)</t>
        </is>
      </c>
      <c r="C577" t="inlineStr">
        <is>
          <t>Gucci Bloom EDT (00005943)</t>
        </is>
      </c>
      <c r="D577" s="1" t="n">
        <v>3616304077029</v>
      </c>
      <c r="E577" t="inlineStr">
        <is>
          <t>GUCCI BM EDT NS 10 ML PENSPRAY RGIV</t>
        </is>
      </c>
      <c r="F577" t="inlineStr">
        <is>
          <t>P_US_ULTA</t>
        </is>
      </c>
      <c r="G577" t="inlineStr">
        <is>
          <t>CurrentWorkingView</t>
        </is>
      </c>
      <c r="H577" t="inlineStr">
        <is>
          <t>System FC - Final</t>
        </is>
      </c>
      <c r="I577" t="n">
        <v>12</v>
      </c>
      <c r="J577" t="n">
        <v>12</v>
      </c>
      <c r="K577" t="n">
        <v>159</v>
      </c>
      <c r="L577" t="n">
        <v>13</v>
      </c>
      <c r="M577" t="n">
        <v>11</v>
      </c>
      <c r="N577" t="n">
        <v>22</v>
      </c>
      <c r="O577" t="n">
        <v>9</v>
      </c>
      <c r="P577" t="n">
        <v>20</v>
      </c>
      <c r="Q577" t="n">
        <v>18</v>
      </c>
      <c r="R577" t="n">
        <v>12</v>
      </c>
      <c r="S577" t="n">
        <v>13</v>
      </c>
      <c r="T577" t="n">
        <v>7</v>
      </c>
    </row>
    <row r="578">
      <c r="A578" t="inlineStr">
        <is>
          <t>Gucci</t>
        </is>
      </c>
      <c r="B578" t="inlineStr">
        <is>
          <t>Gucci Bloom (01043)</t>
        </is>
      </c>
      <c r="C578" t="inlineStr">
        <is>
          <t>Gucci Bloom EDT (00005943)</t>
        </is>
      </c>
      <c r="D578" s="1" t="n">
        <v>3616304077029</v>
      </c>
      <c r="E578" t="inlineStr">
        <is>
          <t>GUCCI BM EDT NS 10 ML PENSPRAY RGIV</t>
        </is>
      </c>
      <c r="F578" t="inlineStr">
        <is>
          <t>P_US_ULTA</t>
        </is>
      </c>
      <c r="G578" t="inlineStr">
        <is>
          <t>CurrentWorkingView</t>
        </is>
      </c>
      <c r="H578" t="inlineStr">
        <is>
          <t>EPOS</t>
        </is>
      </c>
      <c r="I578" t="n">
        <v>18</v>
      </c>
    </row>
    <row r="579">
      <c r="A579" t="inlineStr">
        <is>
          <t>Gucci</t>
        </is>
      </c>
      <c r="B579" t="inlineStr">
        <is>
          <t>Gucci Bloom (01043)</t>
        </is>
      </c>
      <c r="C579" t="inlineStr">
        <is>
          <t>Gucci Bloom EDT (00005943)</t>
        </is>
      </c>
      <c r="D579" s="1" t="n">
        <v>3616304077029</v>
      </c>
      <c r="E579" t="inlineStr">
        <is>
          <t>GUCCI BM EDT NS 10 ML PENSPRAY RGIV</t>
        </is>
      </c>
      <c r="F579" t="inlineStr">
        <is>
          <t>P_US_ULTA</t>
        </is>
      </c>
      <c r="G579" t="inlineStr">
        <is>
          <t>CurrentWorkingView</t>
        </is>
      </c>
      <c r="H579" t="inlineStr">
        <is>
          <t>Reasonability Adjustment</t>
        </is>
      </c>
      <c r="J579" t="n">
        <v>14</v>
      </c>
      <c r="K579" t="n">
        <v>-191</v>
      </c>
      <c r="L579" t="n">
        <v>-187</v>
      </c>
      <c r="M579" t="n">
        <v>110</v>
      </c>
      <c r="N579" t="n">
        <v>0</v>
      </c>
      <c r="O579" t="n">
        <v>-102</v>
      </c>
      <c r="P579" t="n">
        <v>0</v>
      </c>
      <c r="Q579" t="n">
        <v>-185</v>
      </c>
      <c r="R579" t="n">
        <v>0</v>
      </c>
    </row>
    <row r="580">
      <c r="A580" t="inlineStr">
        <is>
          <t>Gucci</t>
        </is>
      </c>
      <c r="B580" t="inlineStr">
        <is>
          <t>Gucci Bloom (01043)</t>
        </is>
      </c>
      <c r="C580" t="inlineStr">
        <is>
          <t>Gucci Bloom EDT (00005943)</t>
        </is>
      </c>
      <c r="D580" s="1" t="n">
        <v>3616304077029</v>
      </c>
      <c r="E580" t="inlineStr">
        <is>
          <t>GUCCI BM EDT NS 10 ML PENSPRAY RGIV</t>
        </is>
      </c>
      <c r="F580" t="inlineStr">
        <is>
          <t>P_US_ULTA</t>
        </is>
      </c>
      <c r="G580" t="inlineStr">
        <is>
          <t>CurrentWorkingView</t>
        </is>
      </c>
      <c r="H580" t="inlineStr">
        <is>
          <t>Total Demand Assumption</t>
        </is>
      </c>
    </row>
    <row r="581">
      <c r="A581" t="inlineStr">
        <is>
          <t>Gucci</t>
        </is>
      </c>
      <c r="B581" t="inlineStr">
        <is>
          <t>Gucci Bloom (01043)</t>
        </is>
      </c>
      <c r="C581" t="inlineStr">
        <is>
          <t>Gucci Bloom EDT (00005943)</t>
        </is>
      </c>
      <c r="D581" s="1" t="n">
        <v>3616304077029</v>
      </c>
      <c r="E581" t="inlineStr">
        <is>
          <t>GUCCI BM EDT NS 10 ML PENSPRAY RGIV</t>
        </is>
      </c>
      <c r="F581" t="inlineStr">
        <is>
          <t>P_US_ULTA</t>
        </is>
      </c>
      <c r="G581" t="inlineStr">
        <is>
          <t>CurrentWorkingView</t>
        </is>
      </c>
      <c r="H581" t="inlineStr">
        <is>
          <t>Consensus - Final</t>
        </is>
      </c>
      <c r="I581" t="n">
        <v>12</v>
      </c>
      <c r="J581" t="n">
        <v>12</v>
      </c>
      <c r="K581" t="n">
        <v>164.414634146341</v>
      </c>
      <c r="M581" t="n">
        <v>121</v>
      </c>
      <c r="N581" t="n">
        <v>22</v>
      </c>
      <c r="P581" t="n">
        <v>20</v>
      </c>
      <c r="R581" t="n">
        <v>12</v>
      </c>
      <c r="S581" t="n">
        <v>13</v>
      </c>
      <c r="T581" t="n">
        <v>7</v>
      </c>
    </row>
    <row r="582">
      <c r="A582" t="inlineStr">
        <is>
          <t>Gucci</t>
        </is>
      </c>
      <c r="B582" t="inlineStr">
        <is>
          <t>Gucci Bloom (01043)</t>
        </is>
      </c>
      <c r="C582" t="inlineStr">
        <is>
          <t>Gucci Bloom EDT (00005943)</t>
        </is>
      </c>
      <c r="D582" s="1" t="n">
        <v>3616304077029</v>
      </c>
      <c r="E582" t="inlineStr">
        <is>
          <t>GUCCI BM EDT NS 10 ML PENSPRAY RGIV</t>
        </is>
      </c>
      <c r="F582" t="inlineStr">
        <is>
          <t>P_US_ULTA</t>
        </is>
      </c>
      <c r="G582" t="inlineStr">
        <is>
          <t>CurrentWorkingView</t>
        </is>
      </c>
      <c r="H582" t="inlineStr">
        <is>
          <t>Supply Cuts</t>
        </is>
      </c>
      <c r="I582" t="n">
        <v>9</v>
      </c>
    </row>
    <row r="583">
      <c r="A583" t="inlineStr">
        <is>
          <t>Gucci</t>
        </is>
      </c>
      <c r="B583" t="inlineStr">
        <is>
          <t>Gucci Bloom (01043)</t>
        </is>
      </c>
      <c r="C583" t="inlineStr">
        <is>
          <t>Gucci Bloom EDT (00005943)</t>
        </is>
      </c>
      <c r="D583" s="1" t="n">
        <v>3616304077029</v>
      </c>
      <c r="E583" t="inlineStr">
        <is>
          <t>GUCCI BM EDT NS 10 ML PENSPRAY RGIV</t>
        </is>
      </c>
      <c r="F583" t="inlineStr">
        <is>
          <t>P_US_ULTA</t>
        </is>
      </c>
      <c r="G583" t="inlineStr">
        <is>
          <t>Month-2026.M09.W38</t>
        </is>
      </c>
      <c r="H583" t="inlineStr">
        <is>
          <t>Consensus - Final LY M</t>
        </is>
      </c>
      <c r="J583" t="n">
        <v>3</v>
      </c>
      <c r="K583" t="n">
        <v>1</v>
      </c>
      <c r="L583" t="n">
        <v>21</v>
      </c>
      <c r="M583" t="n">
        <v>27</v>
      </c>
      <c r="N583" t="n">
        <v>36</v>
      </c>
      <c r="P583" t="n">
        <v>6</v>
      </c>
      <c r="Q583" t="n">
        <v>12</v>
      </c>
    </row>
    <row r="584">
      <c r="A584" t="inlineStr">
        <is>
          <t>Gucci</t>
        </is>
      </c>
      <c r="B584" t="inlineStr">
        <is>
          <t>Gucci Bloom (01043)</t>
        </is>
      </c>
      <c r="C584" t="inlineStr">
        <is>
          <t>Gucci Bloom EDT (00005943)</t>
        </is>
      </c>
      <c r="D584" s="1" t="n">
        <v>3616304077029</v>
      </c>
      <c r="E584" t="inlineStr">
        <is>
          <t>GUCCI BM EDT NS 10 ML PENSPRAY RGIV</t>
        </is>
      </c>
      <c r="F584" t="inlineStr">
        <is>
          <t>P_US_ULTA</t>
        </is>
      </c>
      <c r="G584" t="inlineStr">
        <is>
          <t>Month-2026.M09.W38</t>
        </is>
      </c>
      <c r="H584" t="inlineStr">
        <is>
          <t>System FC - Final</t>
        </is>
      </c>
      <c r="I584" t="n">
        <v>12</v>
      </c>
      <c r="J584" t="n">
        <v>12</v>
      </c>
      <c r="K584" t="n">
        <v>220</v>
      </c>
      <c r="L584" t="n">
        <v>545</v>
      </c>
      <c r="M584" t="n">
        <v>176</v>
      </c>
      <c r="N584" t="n">
        <v>581</v>
      </c>
      <c r="O584" t="n">
        <v>212</v>
      </c>
      <c r="P584" t="n">
        <v>464</v>
      </c>
      <c r="Q584" t="n">
        <v>465</v>
      </c>
      <c r="R584" t="n">
        <v>163</v>
      </c>
      <c r="S584" t="n">
        <v>248</v>
      </c>
      <c r="T584" t="n">
        <v>155</v>
      </c>
    </row>
    <row r="585">
      <c r="A585" t="inlineStr">
        <is>
          <t>Gucci</t>
        </is>
      </c>
      <c r="B585" t="inlineStr">
        <is>
          <t>Gucci Bloom (01043)</t>
        </is>
      </c>
      <c r="C585" t="inlineStr">
        <is>
          <t>Gucci Bloom EDT (00005943)</t>
        </is>
      </c>
      <c r="D585" s="1" t="n">
        <v>3616304077029</v>
      </c>
      <c r="E585" t="inlineStr">
        <is>
          <t>GUCCI BM EDT NS 10 ML PENSPRAY RGIV</t>
        </is>
      </c>
      <c r="F585" t="inlineStr">
        <is>
          <t>P_US_ULTA</t>
        </is>
      </c>
      <c r="G585" t="inlineStr">
        <is>
          <t>Month-2026.M09.W38</t>
        </is>
      </c>
      <c r="H585" t="inlineStr">
        <is>
          <t>EPOS</t>
        </is>
      </c>
      <c r="I585" t="n">
        <v>18</v>
      </c>
    </row>
    <row r="586">
      <c r="A586" t="inlineStr">
        <is>
          <t>Gucci</t>
        </is>
      </c>
      <c r="B586" t="inlineStr">
        <is>
          <t>Gucci Bloom (01043)</t>
        </is>
      </c>
      <c r="C586" t="inlineStr">
        <is>
          <t>Gucci Bloom EDT (00005943)</t>
        </is>
      </c>
      <c r="D586" s="1" t="n">
        <v>3616304077029</v>
      </c>
      <c r="E586" t="inlineStr">
        <is>
          <t>GUCCI BM EDT NS 10 ML PENSPRAY RGIV</t>
        </is>
      </c>
      <c r="F586" t="inlineStr">
        <is>
          <t>P_US_ULTA</t>
        </is>
      </c>
      <c r="G586" t="inlineStr">
        <is>
          <t>Month-2026.M09.W38</t>
        </is>
      </c>
      <c r="H586" t="inlineStr">
        <is>
          <t>Reasonability Adjustment</t>
        </is>
      </c>
      <c r="J586" t="n">
        <v>14</v>
      </c>
      <c r="K586" t="n">
        <v>-191</v>
      </c>
      <c r="L586" t="n">
        <v>-187</v>
      </c>
      <c r="M586" t="n">
        <v>110</v>
      </c>
      <c r="N586" t="n">
        <v>0</v>
      </c>
      <c r="O586" t="n">
        <v>-102</v>
      </c>
      <c r="P586" t="n">
        <v>0</v>
      </c>
      <c r="Q586" t="n">
        <v>-185</v>
      </c>
      <c r="R586" t="n">
        <v>0</v>
      </c>
    </row>
    <row r="587">
      <c r="A587" t="inlineStr">
        <is>
          <t>Gucci</t>
        </is>
      </c>
      <c r="B587" t="inlineStr">
        <is>
          <t>Gucci Bloom (01043)</t>
        </is>
      </c>
      <c r="C587" t="inlineStr">
        <is>
          <t>Gucci Bloom EDT (00005943)</t>
        </is>
      </c>
      <c r="D587" s="1" t="n">
        <v>3616304077029</v>
      </c>
      <c r="E587" t="inlineStr">
        <is>
          <t>GUCCI BM EDT NS 10 ML PENSPRAY RGIV</t>
        </is>
      </c>
      <c r="F587" t="inlineStr">
        <is>
          <t>P_US_ULTA</t>
        </is>
      </c>
      <c r="G587" t="inlineStr">
        <is>
          <t>Month-2026.M09.W38</t>
        </is>
      </c>
      <c r="H587" t="inlineStr">
        <is>
          <t>Total Demand Assumption</t>
        </is>
      </c>
    </row>
    <row r="588">
      <c r="A588" t="inlineStr">
        <is>
          <t>Gucci</t>
        </is>
      </c>
      <c r="B588" t="inlineStr">
        <is>
          <t>Gucci Bloom (01043)</t>
        </is>
      </c>
      <c r="C588" t="inlineStr">
        <is>
          <t>Gucci Bloom EDT (00005943)</t>
        </is>
      </c>
      <c r="D588" s="1" t="n">
        <v>3616304077029</v>
      </c>
      <c r="E588" t="inlineStr">
        <is>
          <t>GUCCI BM EDT NS 10 ML PENSPRAY RGIV</t>
        </is>
      </c>
      <c r="F588" t="inlineStr">
        <is>
          <t>P_US_ULTA</t>
        </is>
      </c>
      <c r="G588" t="inlineStr">
        <is>
          <t>Month-2026.M09.W38</t>
        </is>
      </c>
      <c r="H588" t="inlineStr">
        <is>
          <t>Consensus - Final</t>
        </is>
      </c>
      <c r="I588" t="n">
        <v>12</v>
      </c>
      <c r="J588" t="n">
        <v>12</v>
      </c>
      <c r="K588" t="n">
        <v>164.414634146341</v>
      </c>
      <c r="L588" t="n">
        <v>358</v>
      </c>
      <c r="M588" t="n">
        <v>286</v>
      </c>
      <c r="N588" t="n">
        <v>581</v>
      </c>
      <c r="O588" t="n">
        <v>110</v>
      </c>
      <c r="P588" t="n">
        <v>464</v>
      </c>
      <c r="Q588" t="n">
        <v>280</v>
      </c>
      <c r="R588" t="n">
        <v>163</v>
      </c>
      <c r="S588" t="n">
        <v>248</v>
      </c>
      <c r="T588" t="n">
        <v>155</v>
      </c>
    </row>
    <row r="589">
      <c r="A589" t="inlineStr">
        <is>
          <t>Gucci</t>
        </is>
      </c>
      <c r="B589" t="inlineStr">
        <is>
          <t>Gucci Bloom (01043)</t>
        </is>
      </c>
      <c r="C589" t="inlineStr">
        <is>
          <t>Gucci Bloom EDT (00005943)</t>
        </is>
      </c>
      <c r="D589" s="1" t="n">
        <v>3616304077029</v>
      </c>
      <c r="E589" t="inlineStr">
        <is>
          <t>GUCCI BM EDT NS 10 ML PENSPRAY RGIV</t>
        </is>
      </c>
      <c r="F589" t="inlineStr">
        <is>
          <t>P_US_ULTA</t>
        </is>
      </c>
      <c r="G589" t="inlineStr">
        <is>
          <t>Month-2026.M09.W38</t>
        </is>
      </c>
      <c r="H589" t="inlineStr">
        <is>
          <t>Supply Cuts</t>
        </is>
      </c>
      <c r="I589" t="n">
        <v>9</v>
      </c>
    </row>
    <row r="590">
      <c r="A590" t="inlineStr">
        <is>
          <t>Gucci</t>
        </is>
      </c>
      <c r="B590" t="inlineStr">
        <is>
          <t>Gucci Bloom (01043)</t>
        </is>
      </c>
      <c r="C590" t="inlineStr">
        <is>
          <t>Gucci Bloom EDT (00005943)</t>
        </is>
      </c>
      <c r="D590" s="1" t="n">
        <v>3616304077029</v>
      </c>
      <c r="E590" t="inlineStr">
        <is>
          <t>GUCCI BM EDT NS 10 ML PENSPRAY RGIV</t>
        </is>
      </c>
      <c r="F590" t="inlineStr">
        <is>
          <t>P_US_VALDIST</t>
        </is>
      </c>
      <c r="G590" t="inlineStr">
        <is>
          <t>CurrentWorkingView</t>
        </is>
      </c>
      <c r="H590" t="inlineStr">
        <is>
          <t>Consensus - Final LY M</t>
        </is>
      </c>
      <c r="N590" t="n">
        <v>3640</v>
      </c>
    </row>
    <row r="591">
      <c r="A591" t="inlineStr">
        <is>
          <t>Gucci</t>
        </is>
      </c>
      <c r="B591" t="inlineStr">
        <is>
          <t>Gucci Bloom (01043)</t>
        </is>
      </c>
      <c r="C591" t="inlineStr">
        <is>
          <t>Gucci Bloom EDT (00005943)</t>
        </is>
      </c>
      <c r="D591" s="1" t="n">
        <v>3616304077029</v>
      </c>
      <c r="E591" t="inlineStr">
        <is>
          <t>GUCCI BM EDT NS 10 ML PENSPRAY RGIV</t>
        </is>
      </c>
      <c r="F591" t="inlineStr">
        <is>
          <t>P_US_VALDIST</t>
        </is>
      </c>
      <c r="G591" t="inlineStr">
        <is>
          <t>CurrentWorkingView</t>
        </is>
      </c>
      <c r="H591" t="inlineStr">
        <is>
          <t>System FC - Final</t>
        </is>
      </c>
      <c r="K591" t="n">
        <v>94</v>
      </c>
      <c r="L591" t="n">
        <v>144</v>
      </c>
      <c r="M591" t="n">
        <v>146</v>
      </c>
      <c r="N591" t="n">
        <v>143</v>
      </c>
      <c r="O591" t="n">
        <v>142</v>
      </c>
      <c r="P591" t="n">
        <v>144</v>
      </c>
      <c r="Q591" t="n">
        <v>142</v>
      </c>
      <c r="R591" t="n">
        <v>145</v>
      </c>
      <c r="S591" t="n">
        <v>142</v>
      </c>
      <c r="T591" t="n">
        <v>145</v>
      </c>
    </row>
    <row r="592">
      <c r="A592" t="inlineStr">
        <is>
          <t>Gucci</t>
        </is>
      </c>
      <c r="B592" t="inlineStr">
        <is>
          <t>Gucci Bloom (01043)</t>
        </is>
      </c>
      <c r="C592" t="inlineStr">
        <is>
          <t>Gucci Bloom EDT (00005943)</t>
        </is>
      </c>
      <c r="D592" s="1" t="n">
        <v>3616304077029</v>
      </c>
      <c r="E592" t="inlineStr">
        <is>
          <t>GUCCI BM EDT NS 10 ML PENSPRAY RGIV</t>
        </is>
      </c>
      <c r="F592" t="inlineStr">
        <is>
          <t>P_US_VALDIST</t>
        </is>
      </c>
      <c r="G592" t="inlineStr">
        <is>
          <t>CurrentWorkingView</t>
        </is>
      </c>
      <c r="H592" t="inlineStr">
        <is>
          <t>EPOS</t>
        </is>
      </c>
    </row>
    <row r="593">
      <c r="A593" t="inlineStr">
        <is>
          <t>Gucci</t>
        </is>
      </c>
      <c r="B593" t="inlineStr">
        <is>
          <t>Gucci Bloom (01043)</t>
        </is>
      </c>
      <c r="C593" t="inlineStr">
        <is>
          <t>Gucci Bloom EDT (00005943)</t>
        </is>
      </c>
      <c r="D593" s="1" t="n">
        <v>3616304077029</v>
      </c>
      <c r="E593" t="inlineStr">
        <is>
          <t>GUCCI BM EDT NS 10 ML PENSPRAY RGIV</t>
        </is>
      </c>
      <c r="F593" t="inlineStr">
        <is>
          <t>P_US_VALDIST</t>
        </is>
      </c>
      <c r="G593" t="inlineStr">
        <is>
          <t>CurrentWorkingView</t>
        </is>
      </c>
      <c r="H593" t="inlineStr">
        <is>
          <t>Reasonability Adjustment</t>
        </is>
      </c>
    </row>
    <row r="594">
      <c r="A594" t="inlineStr">
        <is>
          <t>Gucci</t>
        </is>
      </c>
      <c r="B594" t="inlineStr">
        <is>
          <t>Gucci Bloom (01043)</t>
        </is>
      </c>
      <c r="C594" t="inlineStr">
        <is>
          <t>Gucci Bloom EDT (00005943)</t>
        </is>
      </c>
      <c r="D594" s="1" t="n">
        <v>3616304077029</v>
      </c>
      <c r="E594" t="inlineStr">
        <is>
          <t>GUCCI BM EDT NS 10 ML PENSPRAY RGIV</t>
        </is>
      </c>
      <c r="F594" t="inlineStr">
        <is>
          <t>P_US_VALDIST</t>
        </is>
      </c>
      <c r="G594" t="inlineStr">
        <is>
          <t>CurrentWorkingView</t>
        </is>
      </c>
      <c r="H594" t="inlineStr">
        <is>
          <t>Total Demand Assumption</t>
        </is>
      </c>
    </row>
    <row r="595">
      <c r="A595" t="inlineStr">
        <is>
          <t>Gucci</t>
        </is>
      </c>
      <c r="B595" t="inlineStr">
        <is>
          <t>Gucci Bloom (01043)</t>
        </is>
      </c>
      <c r="C595" t="inlineStr">
        <is>
          <t>Gucci Bloom EDT (00005943)</t>
        </is>
      </c>
      <c r="D595" s="1" t="n">
        <v>3616304077029</v>
      </c>
      <c r="E595" t="inlineStr">
        <is>
          <t>GUCCI BM EDT NS 10 ML PENSPRAY RGIV</t>
        </is>
      </c>
      <c r="F595" t="inlineStr">
        <is>
          <t>P_US_VALDIST</t>
        </is>
      </c>
      <c r="G595" t="inlineStr">
        <is>
          <t>CurrentWorkingView</t>
        </is>
      </c>
      <c r="H595" t="inlineStr">
        <is>
          <t>Consensus - Final</t>
        </is>
      </c>
      <c r="T595" t="n">
        <v>48</v>
      </c>
    </row>
    <row r="596">
      <c r="A596" t="inlineStr">
        <is>
          <t>Gucci</t>
        </is>
      </c>
      <c r="B596" t="inlineStr">
        <is>
          <t>Gucci Bloom (01043)</t>
        </is>
      </c>
      <c r="C596" t="inlineStr">
        <is>
          <t>Gucci Bloom EDT (00005943)</t>
        </is>
      </c>
      <c r="D596" s="1" t="n">
        <v>3616304077029</v>
      </c>
      <c r="E596" t="inlineStr">
        <is>
          <t>GUCCI BM EDT NS 10 ML PENSPRAY RGIV</t>
        </is>
      </c>
      <c r="F596" t="inlineStr">
        <is>
          <t>P_US_VALDIST</t>
        </is>
      </c>
      <c r="G596" t="inlineStr">
        <is>
          <t>CurrentWorkingView</t>
        </is>
      </c>
      <c r="H596" t="inlineStr">
        <is>
          <t>Supply Cuts</t>
        </is>
      </c>
    </row>
    <row r="597">
      <c r="A597" t="inlineStr">
        <is>
          <t>Gucci</t>
        </is>
      </c>
      <c r="B597" t="inlineStr">
        <is>
          <t>Gucci Bloom (01043)</t>
        </is>
      </c>
      <c r="C597" t="inlineStr">
        <is>
          <t>Gucci Bloom EDT (00005943)</t>
        </is>
      </c>
      <c r="D597" s="1" t="n">
        <v>3616304077029</v>
      </c>
      <c r="E597" t="inlineStr">
        <is>
          <t>GUCCI BM EDT NS 10 ML PENSPRAY RGIV</t>
        </is>
      </c>
      <c r="F597" t="inlineStr">
        <is>
          <t>P_US_VALDIST</t>
        </is>
      </c>
      <c r="G597" t="inlineStr">
        <is>
          <t>Month-2026.M09.W38</t>
        </is>
      </c>
      <c r="H597" t="inlineStr">
        <is>
          <t>Consensus - Final LY M</t>
        </is>
      </c>
      <c r="N597" t="n">
        <v>3640</v>
      </c>
    </row>
    <row r="598">
      <c r="A598" t="inlineStr">
        <is>
          <t>Gucci</t>
        </is>
      </c>
      <c r="B598" t="inlineStr">
        <is>
          <t>Gucci Bloom (01043)</t>
        </is>
      </c>
      <c r="C598" t="inlineStr">
        <is>
          <t>Gucci Bloom EDT (00005943)</t>
        </is>
      </c>
      <c r="D598" s="1" t="n">
        <v>3616304077029</v>
      </c>
      <c r="E598" t="inlineStr">
        <is>
          <t>GUCCI BM EDT NS 10 ML PENSPRAY RGIV</t>
        </is>
      </c>
      <c r="F598" t="inlineStr">
        <is>
          <t>P_US_VALDIST</t>
        </is>
      </c>
      <c r="G598" t="inlineStr">
        <is>
          <t>Month-2026.M09.W38</t>
        </is>
      </c>
      <c r="H598" t="inlineStr">
        <is>
          <t>System FC - Final</t>
        </is>
      </c>
      <c r="K598" t="n">
        <v>138</v>
      </c>
      <c r="L598" t="n">
        <v>186</v>
      </c>
      <c r="M598" t="n">
        <v>188</v>
      </c>
      <c r="N598" t="n">
        <v>186</v>
      </c>
      <c r="O598" t="n">
        <v>186</v>
      </c>
      <c r="P598" t="n">
        <v>188</v>
      </c>
      <c r="Q598" t="n">
        <v>186</v>
      </c>
      <c r="R598" t="n">
        <v>188</v>
      </c>
      <c r="S598" t="n">
        <v>186</v>
      </c>
      <c r="T598" t="n">
        <v>54</v>
      </c>
    </row>
    <row r="599">
      <c r="A599" t="inlineStr">
        <is>
          <t>Gucci</t>
        </is>
      </c>
      <c r="B599" t="inlineStr">
        <is>
          <t>Gucci Bloom (01043)</t>
        </is>
      </c>
      <c r="C599" t="inlineStr">
        <is>
          <t>Gucci Bloom EDT (00005943)</t>
        </is>
      </c>
      <c r="D599" s="1" t="n">
        <v>3616304077029</v>
      </c>
      <c r="E599" t="inlineStr">
        <is>
          <t>GUCCI BM EDT NS 10 ML PENSPRAY RGIV</t>
        </is>
      </c>
      <c r="F599" t="inlineStr">
        <is>
          <t>P_US_VALDIST</t>
        </is>
      </c>
      <c r="G599" t="inlineStr">
        <is>
          <t>Month-2026.M09.W38</t>
        </is>
      </c>
      <c r="H599" t="inlineStr">
        <is>
          <t>EPOS</t>
        </is>
      </c>
    </row>
    <row r="600">
      <c r="A600" t="inlineStr">
        <is>
          <t>Gucci</t>
        </is>
      </c>
      <c r="B600" t="inlineStr">
        <is>
          <t>Gucci Bloom (01043)</t>
        </is>
      </c>
      <c r="C600" t="inlineStr">
        <is>
          <t>Gucci Bloom EDT (00005943)</t>
        </is>
      </c>
      <c r="D600" s="1" t="n">
        <v>3616304077029</v>
      </c>
      <c r="E600" t="inlineStr">
        <is>
          <t>GUCCI BM EDT NS 10 ML PENSPRAY RGIV</t>
        </is>
      </c>
      <c r="F600" t="inlineStr">
        <is>
          <t>P_US_VALDIST</t>
        </is>
      </c>
      <c r="G600" t="inlineStr">
        <is>
          <t>Month-2026.M09.W38</t>
        </is>
      </c>
      <c r="H600" t="inlineStr">
        <is>
          <t>Reasonability Adjustment</t>
        </is>
      </c>
    </row>
    <row r="601">
      <c r="A601" t="inlineStr">
        <is>
          <t>Gucci</t>
        </is>
      </c>
      <c r="B601" t="inlineStr">
        <is>
          <t>Gucci Bloom (01043)</t>
        </is>
      </c>
      <c r="C601" t="inlineStr">
        <is>
          <t>Gucci Bloom EDT (00005943)</t>
        </is>
      </c>
      <c r="D601" s="1" t="n">
        <v>3616304077029</v>
      </c>
      <c r="E601" t="inlineStr">
        <is>
          <t>GUCCI BM EDT NS 10 ML PENSPRAY RGIV</t>
        </is>
      </c>
      <c r="F601" t="inlineStr">
        <is>
          <t>P_US_VALDIST</t>
        </is>
      </c>
      <c r="G601" t="inlineStr">
        <is>
          <t>Month-2026.M09.W38</t>
        </is>
      </c>
      <c r="H601" t="inlineStr">
        <is>
          <t>Total Demand Assumption</t>
        </is>
      </c>
    </row>
    <row r="602">
      <c r="A602" t="inlineStr">
        <is>
          <t>Gucci</t>
        </is>
      </c>
      <c r="B602" t="inlineStr">
        <is>
          <t>Gucci Bloom (01043)</t>
        </is>
      </c>
      <c r="C602" t="inlineStr">
        <is>
          <t>Gucci Bloom EDT (00005943)</t>
        </is>
      </c>
      <c r="D602" s="1" t="n">
        <v>3616304077029</v>
      </c>
      <c r="E602" t="inlineStr">
        <is>
          <t>GUCCI BM EDT NS 10 ML PENSPRAY RGIV</t>
        </is>
      </c>
      <c r="F602" t="inlineStr">
        <is>
          <t>P_US_VALDIST</t>
        </is>
      </c>
      <c r="G602" t="inlineStr">
        <is>
          <t>Month-2026.M09.W38</t>
        </is>
      </c>
      <c r="H602" t="inlineStr">
        <is>
          <t>Consensus - Final</t>
        </is>
      </c>
      <c r="T602" t="n">
        <v>28</v>
      </c>
    </row>
    <row r="603">
      <c r="A603" t="inlineStr">
        <is>
          <t>Gucci</t>
        </is>
      </c>
      <c r="B603" t="inlineStr">
        <is>
          <t>Gucci Bloom (01043)</t>
        </is>
      </c>
      <c r="C603" t="inlineStr">
        <is>
          <t>Gucci Bloom EDT (00005943)</t>
        </is>
      </c>
      <c r="D603" s="1" t="n">
        <v>3616304077029</v>
      </c>
      <c r="E603" t="inlineStr">
        <is>
          <t>GUCCI BM EDT NS 10 ML PENSPRAY RGIV</t>
        </is>
      </c>
      <c r="F603" t="inlineStr">
        <is>
          <t>P_US_VALDIST</t>
        </is>
      </c>
      <c r="G603" t="inlineStr">
        <is>
          <t>Month-2026.M09.W38</t>
        </is>
      </c>
      <c r="H603" t="inlineStr">
        <is>
          <t>Supply Cuts</t>
        </is>
      </c>
    </row>
    <row r="604">
      <c r="A604" t="inlineStr">
        <is>
          <t>Gucci</t>
        </is>
      </c>
      <c r="B604" t="inlineStr">
        <is>
          <t>Gucci Guilty (00840)</t>
        </is>
      </c>
      <c r="C604" t="inlineStr">
        <is>
          <t>Gucci Guilty Elixir PH (00006599)</t>
        </is>
      </c>
      <c r="D604" s="1" t="n">
        <v>3616304175893</v>
      </c>
      <c r="E604" t="inlineStr">
        <is>
          <t>GG ELIXIR PH PRFM 60 ML NS IV</t>
        </is>
      </c>
      <c r="F604" t="inlineStr">
        <is>
          <t>P_US_ALL_OTHERS</t>
        </is>
      </c>
      <c r="G604" t="inlineStr">
        <is>
          <t>CurrentWorkingView</t>
        </is>
      </c>
      <c r="H604" t="inlineStr">
        <is>
          <t>Consensus - Final LY M</t>
        </is>
      </c>
      <c r="I604" t="n">
        <v>2220</v>
      </c>
      <c r="J604" t="n">
        <v>3904</v>
      </c>
      <c r="K604" t="n">
        <v>7114</v>
      </c>
      <c r="L604" t="n">
        <v>4385</v>
      </c>
      <c r="M604" t="n">
        <v>2178</v>
      </c>
      <c r="N604" t="n">
        <v>561</v>
      </c>
      <c r="O604" t="n">
        <v>596</v>
      </c>
      <c r="P604" t="n">
        <v>4695</v>
      </c>
      <c r="Q604" t="n">
        <v>3210</v>
      </c>
      <c r="R604" t="n">
        <v>3088</v>
      </c>
      <c r="S604" t="n">
        <v>3297</v>
      </c>
      <c r="T604" t="n">
        <v>1887</v>
      </c>
    </row>
    <row r="605">
      <c r="A605" t="inlineStr">
        <is>
          <t>Gucci</t>
        </is>
      </c>
      <c r="B605" t="inlineStr">
        <is>
          <t>Gucci Guilty (00840)</t>
        </is>
      </c>
      <c r="C605" t="inlineStr">
        <is>
          <t>Gucci Guilty Elixir PH (00006599)</t>
        </is>
      </c>
      <c r="D605" s="1" t="n">
        <v>3616304175893</v>
      </c>
      <c r="E605" t="inlineStr">
        <is>
          <t>GG ELIXIR PH PRFM 60 ML NS IV</t>
        </is>
      </c>
      <c r="F605" t="inlineStr">
        <is>
          <t>P_US_ALL_OTHERS</t>
        </is>
      </c>
      <c r="G605" t="inlineStr">
        <is>
          <t>CurrentWorkingView</t>
        </is>
      </c>
      <c r="H605" t="inlineStr">
        <is>
          <t>System FC - Final</t>
        </is>
      </c>
      <c r="I605" t="n">
        <v>2257</v>
      </c>
      <c r="J605" t="n">
        <v>3585</v>
      </c>
      <c r="K605" t="n">
        <v>2465</v>
      </c>
      <c r="L605" t="n">
        <v>2648</v>
      </c>
      <c r="M605" t="n">
        <v>2979</v>
      </c>
      <c r="N605" t="n">
        <v>4538</v>
      </c>
      <c r="O605" t="n">
        <v>266</v>
      </c>
      <c r="P605" t="n">
        <v>1444</v>
      </c>
      <c r="Q605" t="n">
        <v>2059</v>
      </c>
      <c r="R605" t="n">
        <v>343</v>
      </c>
      <c r="S605" t="n">
        <v>3662</v>
      </c>
      <c r="T605" t="n">
        <v>2343</v>
      </c>
    </row>
    <row r="606">
      <c r="A606" t="inlineStr">
        <is>
          <t>Gucci</t>
        </is>
      </c>
      <c r="B606" t="inlineStr">
        <is>
          <t>Gucci Guilty (00840)</t>
        </is>
      </c>
      <c r="C606" t="inlineStr">
        <is>
          <t>Gucci Guilty Elixir PH (00006599)</t>
        </is>
      </c>
      <c r="D606" s="1" t="n">
        <v>3616304175893</v>
      </c>
      <c r="E606" t="inlineStr">
        <is>
          <t>GG ELIXIR PH PRFM 60 ML NS IV</t>
        </is>
      </c>
      <c r="F606" t="inlineStr">
        <is>
          <t>P_US_ALL_OTHERS</t>
        </is>
      </c>
      <c r="G606" t="inlineStr">
        <is>
          <t>CurrentWorkingView</t>
        </is>
      </c>
      <c r="H606" t="inlineStr">
        <is>
          <t>EPOS</t>
        </is>
      </c>
      <c r="I606" t="n">
        <v>1723</v>
      </c>
    </row>
    <row r="607">
      <c r="A607" t="inlineStr">
        <is>
          <t>Gucci</t>
        </is>
      </c>
      <c r="B607" t="inlineStr">
        <is>
          <t>Gucci Guilty (00840)</t>
        </is>
      </c>
      <c r="C607" t="inlineStr">
        <is>
          <t>Gucci Guilty Elixir PH (00006599)</t>
        </is>
      </c>
      <c r="D607" s="1" t="n">
        <v>3616304175893</v>
      </c>
      <c r="E607" t="inlineStr">
        <is>
          <t>GG ELIXIR PH PRFM 60 ML NS IV</t>
        </is>
      </c>
      <c r="F607" t="inlineStr">
        <is>
          <t>P_US_ALL_OTHERS</t>
        </is>
      </c>
      <c r="G607" t="inlineStr">
        <is>
          <t>CurrentWorkingView</t>
        </is>
      </c>
      <c r="H607" t="inlineStr">
        <is>
          <t>Reasonability Adjustment</t>
        </is>
      </c>
      <c r="I607" t="n">
        <v>-1655</v>
      </c>
      <c r="J607" t="n">
        <v>-3310</v>
      </c>
      <c r="K607" t="n">
        <v>1743</v>
      </c>
      <c r="L607" t="n">
        <v>2000</v>
      </c>
      <c r="M607" t="n">
        <v>1000</v>
      </c>
      <c r="N607" t="n">
        <v>-2217</v>
      </c>
      <c r="O607" t="n">
        <v>290</v>
      </c>
      <c r="S607" t="n">
        <v>-1879</v>
      </c>
    </row>
    <row r="608">
      <c r="A608" t="inlineStr">
        <is>
          <t>Gucci</t>
        </is>
      </c>
      <c r="B608" t="inlineStr">
        <is>
          <t>Gucci Guilty (00840)</t>
        </is>
      </c>
      <c r="C608" t="inlineStr">
        <is>
          <t>Gucci Guilty Elixir PH (00006599)</t>
        </is>
      </c>
      <c r="D608" s="1" t="n">
        <v>3616304175893</v>
      </c>
      <c r="E608" t="inlineStr">
        <is>
          <t>GG ELIXIR PH PRFM 60 ML NS IV</t>
        </is>
      </c>
      <c r="F608" t="inlineStr">
        <is>
          <t>P_US_ALL_OTHERS</t>
        </is>
      </c>
      <c r="G608" t="inlineStr">
        <is>
          <t>CurrentWorkingView</t>
        </is>
      </c>
      <c r="H608" t="inlineStr">
        <is>
          <t>Total Demand Assumption</t>
        </is>
      </c>
      <c r="J608" t="n">
        <v>0</v>
      </c>
      <c r="K608" t="n">
        <v>-1345</v>
      </c>
      <c r="L608" t="n">
        <v>-799</v>
      </c>
      <c r="M608" t="n">
        <v>-607</v>
      </c>
      <c r="N608" t="n">
        <v>-374</v>
      </c>
    </row>
    <row r="609">
      <c r="A609" t="inlineStr">
        <is>
          <t>Gucci</t>
        </is>
      </c>
      <c r="B609" t="inlineStr">
        <is>
          <t>Gucci Guilty (00840)</t>
        </is>
      </c>
      <c r="C609" t="inlineStr">
        <is>
          <t>Gucci Guilty Elixir PH (00006599)</t>
        </is>
      </c>
      <c r="D609" s="1" t="n">
        <v>3616304175893</v>
      </c>
      <c r="E609" t="inlineStr">
        <is>
          <t>GG ELIXIR PH PRFM 60 ML NS IV</t>
        </is>
      </c>
      <c r="F609" t="inlineStr">
        <is>
          <t>P_US_ALL_OTHERS</t>
        </is>
      </c>
      <c r="G609" t="inlineStr">
        <is>
          <t>CurrentWorkingView</t>
        </is>
      </c>
      <c r="H609" t="inlineStr">
        <is>
          <t>Consensus - Final</t>
        </is>
      </c>
      <c r="I609" t="n">
        <v>2257</v>
      </c>
      <c r="J609" t="n">
        <v>3585</v>
      </c>
      <c r="K609" t="n">
        <v>2923.55723616363</v>
      </c>
      <c r="L609" t="n">
        <v>3849</v>
      </c>
      <c r="M609" t="n">
        <v>3440</v>
      </c>
      <c r="N609" t="n">
        <v>1947</v>
      </c>
      <c r="O609" t="n">
        <v>556</v>
      </c>
      <c r="P609" t="n">
        <v>1444</v>
      </c>
      <c r="Q609" t="n">
        <v>2059</v>
      </c>
      <c r="R609" t="n">
        <v>343</v>
      </c>
      <c r="S609" t="n">
        <v>1783</v>
      </c>
      <c r="T609" t="n">
        <v>2343</v>
      </c>
    </row>
    <row r="610">
      <c r="A610" t="inlineStr">
        <is>
          <t>Gucci</t>
        </is>
      </c>
      <c r="B610" t="inlineStr">
        <is>
          <t>Gucci Guilty (00840)</t>
        </is>
      </c>
      <c r="C610" t="inlineStr">
        <is>
          <t>Gucci Guilty Elixir PH (00006599)</t>
        </is>
      </c>
      <c r="D610" s="1" t="n">
        <v>3616304175893</v>
      </c>
      <c r="E610" t="inlineStr">
        <is>
          <t>GG ELIXIR PH PRFM 60 ML NS IV</t>
        </is>
      </c>
      <c r="F610" t="inlineStr">
        <is>
          <t>P_US_ALL_OTHERS</t>
        </is>
      </c>
      <c r="G610" t="inlineStr">
        <is>
          <t>CurrentWorkingView</t>
        </is>
      </c>
      <c r="H610" t="inlineStr">
        <is>
          <t>Supply Cuts</t>
        </is>
      </c>
    </row>
    <row r="611">
      <c r="A611" t="inlineStr">
        <is>
          <t>Gucci</t>
        </is>
      </c>
      <c r="B611" t="inlineStr">
        <is>
          <t>Gucci Guilty (00840)</t>
        </is>
      </c>
      <c r="C611" t="inlineStr">
        <is>
          <t>Gucci Guilty Elixir PH (00006599)</t>
        </is>
      </c>
      <c r="D611" s="1" t="n">
        <v>3616304175893</v>
      </c>
      <c r="E611" t="inlineStr">
        <is>
          <t>GG ELIXIR PH PRFM 60 ML NS IV</t>
        </is>
      </c>
      <c r="F611" t="inlineStr">
        <is>
          <t>P_US_ALL_OTHERS</t>
        </is>
      </c>
      <c r="G611" t="inlineStr">
        <is>
          <t>Month-2026.M09.W38</t>
        </is>
      </c>
      <c r="H611" t="inlineStr">
        <is>
          <t>Consensus - Final LY M</t>
        </is>
      </c>
      <c r="I611" t="n">
        <v>2220</v>
      </c>
      <c r="J611" t="n">
        <v>3904</v>
      </c>
      <c r="K611" t="n">
        <v>7114</v>
      </c>
      <c r="L611" t="n">
        <v>4385</v>
      </c>
      <c r="M611" t="n">
        <v>2178</v>
      </c>
      <c r="N611" t="n">
        <v>561</v>
      </c>
      <c r="O611" t="n">
        <v>596</v>
      </c>
      <c r="P611" t="n">
        <v>4695</v>
      </c>
      <c r="Q611" t="n">
        <v>3210</v>
      </c>
      <c r="R611" t="n">
        <v>3088</v>
      </c>
      <c r="S611" t="n">
        <v>3297</v>
      </c>
      <c r="T611" t="n">
        <v>1887</v>
      </c>
    </row>
    <row r="612">
      <c r="A612" t="inlineStr">
        <is>
          <t>Gucci</t>
        </is>
      </c>
      <c r="B612" t="inlineStr">
        <is>
          <t>Gucci Guilty (00840)</t>
        </is>
      </c>
      <c r="C612" t="inlineStr">
        <is>
          <t>Gucci Guilty Elixir PH (00006599)</t>
        </is>
      </c>
      <c r="D612" s="1" t="n">
        <v>3616304175893</v>
      </c>
      <c r="E612" t="inlineStr">
        <is>
          <t>GG ELIXIR PH PRFM 60 ML NS IV</t>
        </is>
      </c>
      <c r="F612" t="inlineStr">
        <is>
          <t>P_US_ALL_OTHERS</t>
        </is>
      </c>
      <c r="G612" t="inlineStr">
        <is>
          <t>Month-2026.M09.W38</t>
        </is>
      </c>
      <c r="H612" t="inlineStr">
        <is>
          <t>System FC - Final</t>
        </is>
      </c>
      <c r="I612" t="n">
        <v>2257</v>
      </c>
      <c r="J612" t="n">
        <v>3585</v>
      </c>
      <c r="K612" t="n">
        <v>3214</v>
      </c>
      <c r="L612" t="n">
        <v>1948</v>
      </c>
      <c r="M612" t="n">
        <v>2182</v>
      </c>
      <c r="N612" t="n">
        <v>3698</v>
      </c>
      <c r="O612" t="n">
        <v>71</v>
      </c>
      <c r="P612" t="n">
        <v>336</v>
      </c>
      <c r="Q612" t="n">
        <v>979</v>
      </c>
      <c r="R612" t="n">
        <v>69</v>
      </c>
      <c r="S612" t="n">
        <v>2383</v>
      </c>
      <c r="T612" t="n">
        <v>1015</v>
      </c>
    </row>
    <row r="613">
      <c r="A613" t="inlineStr">
        <is>
          <t>Gucci</t>
        </is>
      </c>
      <c r="B613" t="inlineStr">
        <is>
          <t>Gucci Guilty (00840)</t>
        </is>
      </c>
      <c r="C613" t="inlineStr">
        <is>
          <t>Gucci Guilty Elixir PH (00006599)</t>
        </is>
      </c>
      <c r="D613" s="1" t="n">
        <v>3616304175893</v>
      </c>
      <c r="E613" t="inlineStr">
        <is>
          <t>GG ELIXIR PH PRFM 60 ML NS IV</t>
        </is>
      </c>
      <c r="F613" t="inlineStr">
        <is>
          <t>P_US_ALL_OTHERS</t>
        </is>
      </c>
      <c r="G613" t="inlineStr">
        <is>
          <t>Month-2026.M09.W38</t>
        </is>
      </c>
      <c r="H613" t="inlineStr">
        <is>
          <t>EPOS</t>
        </is>
      </c>
      <c r="I613" t="n">
        <v>1723</v>
      </c>
    </row>
    <row r="614">
      <c r="A614" t="inlineStr">
        <is>
          <t>Gucci</t>
        </is>
      </c>
      <c r="B614" t="inlineStr">
        <is>
          <t>Gucci Guilty (00840)</t>
        </is>
      </c>
      <c r="C614" t="inlineStr">
        <is>
          <t>Gucci Guilty Elixir PH (00006599)</t>
        </is>
      </c>
      <c r="D614" s="1" t="n">
        <v>3616304175893</v>
      </c>
      <c r="E614" t="inlineStr">
        <is>
          <t>GG ELIXIR PH PRFM 60 ML NS IV</t>
        </is>
      </c>
      <c r="F614" t="inlineStr">
        <is>
          <t>P_US_ALL_OTHERS</t>
        </is>
      </c>
      <c r="G614" t="inlineStr">
        <is>
          <t>Month-2026.M09.W38</t>
        </is>
      </c>
      <c r="H614" t="inlineStr">
        <is>
          <t>Reasonability Adjustment</t>
        </is>
      </c>
      <c r="I614" t="n">
        <v>-1655</v>
      </c>
      <c r="J614" t="n">
        <v>-3310</v>
      </c>
      <c r="K614" t="n">
        <v>1743</v>
      </c>
      <c r="L614" t="n">
        <v>2000</v>
      </c>
      <c r="M614" t="n">
        <v>1000</v>
      </c>
      <c r="N614" t="n">
        <v>-2217</v>
      </c>
      <c r="O614" t="n">
        <v>290</v>
      </c>
      <c r="S614" t="n">
        <v>-1879</v>
      </c>
    </row>
    <row r="615">
      <c r="A615" t="inlineStr">
        <is>
          <t>Gucci</t>
        </is>
      </c>
      <c r="B615" t="inlineStr">
        <is>
          <t>Gucci Guilty (00840)</t>
        </is>
      </c>
      <c r="C615" t="inlineStr">
        <is>
          <t>Gucci Guilty Elixir PH (00006599)</t>
        </is>
      </c>
      <c r="D615" s="1" t="n">
        <v>3616304175893</v>
      </c>
      <c r="E615" t="inlineStr">
        <is>
          <t>GG ELIXIR PH PRFM 60 ML NS IV</t>
        </is>
      </c>
      <c r="F615" t="inlineStr">
        <is>
          <t>P_US_ALL_OTHERS</t>
        </is>
      </c>
      <c r="G615" t="inlineStr">
        <is>
          <t>Month-2026.M09.W38</t>
        </is>
      </c>
      <c r="H615" t="inlineStr">
        <is>
          <t>Total Demand Assumption</t>
        </is>
      </c>
      <c r="J615" t="n">
        <v>0</v>
      </c>
      <c r="K615" t="n">
        <v>-1345</v>
      </c>
      <c r="L615" t="n">
        <v>-799</v>
      </c>
      <c r="M615" t="n">
        <v>-607</v>
      </c>
      <c r="N615" t="n">
        <v>-374</v>
      </c>
    </row>
    <row r="616">
      <c r="A616" t="inlineStr">
        <is>
          <t>Gucci</t>
        </is>
      </c>
      <c r="B616" t="inlineStr">
        <is>
          <t>Gucci Guilty (00840)</t>
        </is>
      </c>
      <c r="C616" t="inlineStr">
        <is>
          <t>Gucci Guilty Elixir PH (00006599)</t>
        </is>
      </c>
      <c r="D616" s="1" t="n">
        <v>3616304175893</v>
      </c>
      <c r="E616" t="inlineStr">
        <is>
          <t>GG ELIXIR PH PRFM 60 ML NS IV</t>
        </is>
      </c>
      <c r="F616" t="inlineStr">
        <is>
          <t>P_US_ALL_OTHERS</t>
        </is>
      </c>
      <c r="G616" t="inlineStr">
        <is>
          <t>Month-2026.M09.W38</t>
        </is>
      </c>
      <c r="H616" t="inlineStr">
        <is>
          <t>Consensus - Final</t>
        </is>
      </c>
      <c r="I616" t="n">
        <v>2257</v>
      </c>
      <c r="J616" t="n">
        <v>3585</v>
      </c>
      <c r="K616" t="n">
        <v>2923.55723616363</v>
      </c>
      <c r="L616" t="n">
        <v>3149</v>
      </c>
      <c r="M616" t="n">
        <v>2575</v>
      </c>
      <c r="N616" t="n">
        <v>1107</v>
      </c>
      <c r="O616" t="n">
        <v>361</v>
      </c>
      <c r="P616" t="n">
        <v>336</v>
      </c>
      <c r="Q616" t="n">
        <v>979</v>
      </c>
      <c r="R616" t="n">
        <v>69</v>
      </c>
      <c r="S616" t="n">
        <v>504</v>
      </c>
      <c r="T616" t="n">
        <v>1015</v>
      </c>
    </row>
    <row r="617">
      <c r="A617" t="inlineStr">
        <is>
          <t>Gucci</t>
        </is>
      </c>
      <c r="B617" t="inlineStr">
        <is>
          <t>Gucci Guilty (00840)</t>
        </is>
      </c>
      <c r="C617" t="inlineStr">
        <is>
          <t>Gucci Guilty Elixir PH (00006599)</t>
        </is>
      </c>
      <c r="D617" s="1" t="n">
        <v>3616304175893</v>
      </c>
      <c r="E617" t="inlineStr">
        <is>
          <t>GG ELIXIR PH PRFM 60 ML NS IV</t>
        </is>
      </c>
      <c r="F617" t="inlineStr">
        <is>
          <t>P_US_ALL_OTHERS</t>
        </is>
      </c>
      <c r="G617" t="inlineStr">
        <is>
          <t>Month-2026.M09.W38</t>
        </is>
      </c>
      <c r="H617" t="inlineStr">
        <is>
          <t>Supply Cuts</t>
        </is>
      </c>
    </row>
    <row r="618">
      <c r="A618" t="inlineStr">
        <is>
          <t>Gucci</t>
        </is>
      </c>
      <c r="B618" t="inlineStr">
        <is>
          <t>Gucci Guilty (00840)</t>
        </is>
      </c>
      <c r="C618" t="inlineStr">
        <is>
          <t>Gucci Guilty Elixir PH (00006599)</t>
        </is>
      </c>
      <c r="D618" s="1" t="n">
        <v>3616304175893</v>
      </c>
      <c r="E618" t="inlineStr">
        <is>
          <t>GG ELIXIR PH PRFM 60 ML NS IV</t>
        </is>
      </c>
      <c r="F618" t="inlineStr">
        <is>
          <t>P_US_FG</t>
        </is>
      </c>
      <c r="G618" t="inlineStr">
        <is>
          <t>CurrentWorkingView</t>
        </is>
      </c>
      <c r="H618" t="inlineStr">
        <is>
          <t>Consensus - Final LY M</t>
        </is>
      </c>
      <c r="I618" t="n">
        <v>15</v>
      </c>
      <c r="K618" t="n">
        <v>1</v>
      </c>
      <c r="M618" t="n">
        <v>55</v>
      </c>
      <c r="R618" t="n">
        <v>2</v>
      </c>
      <c r="T618" t="n">
        <v>28</v>
      </c>
    </row>
    <row r="619">
      <c r="A619" t="inlineStr">
        <is>
          <t>Gucci</t>
        </is>
      </c>
      <c r="B619" t="inlineStr">
        <is>
          <t>Gucci Guilty (00840)</t>
        </is>
      </c>
      <c r="C619" t="inlineStr">
        <is>
          <t>Gucci Guilty Elixir PH (00006599)</t>
        </is>
      </c>
      <c r="D619" s="1" t="n">
        <v>3616304175893</v>
      </c>
      <c r="E619" t="inlineStr">
        <is>
          <t>GG ELIXIR PH PRFM 60 ML NS IV</t>
        </is>
      </c>
      <c r="F619" t="inlineStr">
        <is>
          <t>P_US_FG</t>
        </is>
      </c>
      <c r="G619" t="inlineStr">
        <is>
          <t>CurrentWorkingView</t>
        </is>
      </c>
      <c r="H619" t="inlineStr">
        <is>
          <t>System FC - Final</t>
        </is>
      </c>
      <c r="K619" t="n">
        <v>10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Gucci</t>
        </is>
      </c>
      <c r="B620" t="inlineStr">
        <is>
          <t>Gucci Guilty (00840)</t>
        </is>
      </c>
      <c r="C620" t="inlineStr">
        <is>
          <t>Gucci Guilty Elixir PH (00006599)</t>
        </is>
      </c>
      <c r="D620" s="1" t="n">
        <v>3616304175893</v>
      </c>
      <c r="E620" t="inlineStr">
        <is>
          <t>GG ELIXIR PH PRFM 60 ML NS IV</t>
        </is>
      </c>
      <c r="F620" t="inlineStr">
        <is>
          <t>P_US_FG</t>
        </is>
      </c>
      <c r="G620" t="inlineStr">
        <is>
          <t>CurrentWorkingView</t>
        </is>
      </c>
      <c r="H620" t="inlineStr">
        <is>
          <t>EPOS</t>
        </is>
      </c>
    </row>
    <row r="621">
      <c r="A621" t="inlineStr">
        <is>
          <t>Gucci</t>
        </is>
      </c>
      <c r="B621" t="inlineStr">
        <is>
          <t>Gucci Guilty (00840)</t>
        </is>
      </c>
      <c r="C621" t="inlineStr">
        <is>
          <t>Gucci Guilty Elixir PH (00006599)</t>
        </is>
      </c>
      <c r="D621" s="1" t="n">
        <v>3616304175893</v>
      </c>
      <c r="E621" t="inlineStr">
        <is>
          <t>GG ELIXIR PH PRFM 60 ML NS IV</t>
        </is>
      </c>
      <c r="F621" t="inlineStr">
        <is>
          <t>P_US_FG</t>
        </is>
      </c>
      <c r="G621" t="inlineStr">
        <is>
          <t>CurrentWorkingView</t>
        </is>
      </c>
      <c r="H621" t="inlineStr">
        <is>
          <t>Reasonability Adjustment</t>
        </is>
      </c>
      <c r="K621" t="n">
        <v>0</v>
      </c>
      <c r="L621" t="n">
        <v>0</v>
      </c>
      <c r="M621" t="n">
        <v>0</v>
      </c>
      <c r="O621" t="n">
        <v>0</v>
      </c>
      <c r="Q621" t="n">
        <v>-1</v>
      </c>
      <c r="S621" t="n">
        <v>-4</v>
      </c>
    </row>
    <row r="622">
      <c r="A622" t="inlineStr">
        <is>
          <t>Gucci</t>
        </is>
      </c>
      <c r="B622" t="inlineStr">
        <is>
          <t>Gucci Guilty (00840)</t>
        </is>
      </c>
      <c r="C622" t="inlineStr">
        <is>
          <t>Gucci Guilty Elixir PH (00006599)</t>
        </is>
      </c>
      <c r="D622" s="1" t="n">
        <v>3616304175893</v>
      </c>
      <c r="E622" t="inlineStr">
        <is>
          <t>GG ELIXIR PH PRFM 60 ML NS IV</t>
        </is>
      </c>
      <c r="F622" t="inlineStr">
        <is>
          <t>P_US_FG</t>
        </is>
      </c>
      <c r="G622" t="inlineStr">
        <is>
          <t>CurrentWorkingView</t>
        </is>
      </c>
      <c r="H622" t="inlineStr">
        <is>
          <t>Total Demand Assumption</t>
        </is>
      </c>
    </row>
    <row r="623">
      <c r="A623" t="inlineStr">
        <is>
          <t>Gucci</t>
        </is>
      </c>
      <c r="B623" t="inlineStr">
        <is>
          <t>Gucci Guilty (00840)</t>
        </is>
      </c>
      <c r="C623" t="inlineStr">
        <is>
          <t>Gucci Guilty Elixir PH (00006599)</t>
        </is>
      </c>
      <c r="D623" s="1" t="n">
        <v>3616304175893</v>
      </c>
      <c r="E623" t="inlineStr">
        <is>
          <t>GG ELIXIR PH PRFM 60 ML NS IV</t>
        </is>
      </c>
      <c r="F623" t="inlineStr">
        <is>
          <t>P_US_FG</t>
        </is>
      </c>
      <c r="G623" t="inlineStr">
        <is>
          <t>CurrentWorkingView</t>
        </is>
      </c>
      <c r="H623" t="inlineStr">
        <is>
          <t>Consensus - Final</t>
        </is>
      </c>
      <c r="K623" t="n">
        <v>10</v>
      </c>
      <c r="L623" t="n">
        <v>0</v>
      </c>
      <c r="M623" t="n">
        <v>0</v>
      </c>
      <c r="O623" t="n">
        <v>0</v>
      </c>
    </row>
    <row r="624">
      <c r="A624" t="inlineStr">
        <is>
          <t>Gucci</t>
        </is>
      </c>
      <c r="B624" t="inlineStr">
        <is>
          <t>Gucci Guilty (00840)</t>
        </is>
      </c>
      <c r="C624" t="inlineStr">
        <is>
          <t>Gucci Guilty Elixir PH (00006599)</t>
        </is>
      </c>
      <c r="D624" s="1" t="n">
        <v>3616304175893</v>
      </c>
      <c r="E624" t="inlineStr">
        <is>
          <t>GG ELIXIR PH PRFM 60 ML NS IV</t>
        </is>
      </c>
      <c r="F624" t="inlineStr">
        <is>
          <t>P_US_FG</t>
        </is>
      </c>
      <c r="G624" t="inlineStr">
        <is>
          <t>CurrentWorkingView</t>
        </is>
      </c>
      <c r="H624" t="inlineStr">
        <is>
          <t>Supply Cuts</t>
        </is>
      </c>
    </row>
    <row r="625">
      <c r="A625" t="inlineStr">
        <is>
          <t>Gucci</t>
        </is>
      </c>
      <c r="B625" t="inlineStr">
        <is>
          <t>Gucci Guilty (00840)</t>
        </is>
      </c>
      <c r="C625" t="inlineStr">
        <is>
          <t>Gucci Guilty Elixir PH (00006599)</t>
        </is>
      </c>
      <c r="D625" s="1" t="n">
        <v>3616304175893</v>
      </c>
      <c r="E625" t="inlineStr">
        <is>
          <t>GG ELIXIR PH PRFM 60 ML NS IV</t>
        </is>
      </c>
      <c r="F625" t="inlineStr">
        <is>
          <t>P_US_FG</t>
        </is>
      </c>
      <c r="G625" t="inlineStr">
        <is>
          <t>Month-2026.M09.W38</t>
        </is>
      </c>
      <c r="H625" t="inlineStr">
        <is>
          <t>Consensus - Final LY M</t>
        </is>
      </c>
      <c r="I625" t="n">
        <v>15</v>
      </c>
      <c r="K625" t="n">
        <v>1</v>
      </c>
      <c r="M625" t="n">
        <v>55</v>
      </c>
      <c r="R625" t="n">
        <v>2</v>
      </c>
      <c r="T625" t="n">
        <v>28</v>
      </c>
    </row>
    <row r="626">
      <c r="A626" t="inlineStr">
        <is>
          <t>Gucci</t>
        </is>
      </c>
      <c r="B626" t="inlineStr">
        <is>
          <t>Gucci Guilty (00840)</t>
        </is>
      </c>
      <c r="C626" t="inlineStr">
        <is>
          <t>Gucci Guilty Elixir PH (00006599)</t>
        </is>
      </c>
      <c r="D626" s="1" t="n">
        <v>3616304175893</v>
      </c>
      <c r="E626" t="inlineStr">
        <is>
          <t>GG ELIXIR PH PRFM 60 ML NS IV</t>
        </is>
      </c>
      <c r="F626" t="inlineStr">
        <is>
          <t>P_US_FG</t>
        </is>
      </c>
      <c r="G626" t="inlineStr">
        <is>
          <t>Month-2026.M09.W38</t>
        </is>
      </c>
      <c r="H626" t="inlineStr">
        <is>
          <t>System FC - Final</t>
        </is>
      </c>
      <c r="K626" t="n">
        <v>10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Gucci</t>
        </is>
      </c>
      <c r="B627" t="inlineStr">
        <is>
          <t>Gucci Guilty (00840)</t>
        </is>
      </c>
      <c r="C627" t="inlineStr">
        <is>
          <t>Gucci Guilty Elixir PH (00006599)</t>
        </is>
      </c>
      <c r="D627" s="1" t="n">
        <v>3616304175893</v>
      </c>
      <c r="E627" t="inlineStr">
        <is>
          <t>GG ELIXIR PH PRFM 60 ML NS IV</t>
        </is>
      </c>
      <c r="F627" t="inlineStr">
        <is>
          <t>P_US_FG</t>
        </is>
      </c>
      <c r="G627" t="inlineStr">
        <is>
          <t>Month-2026.M09.W38</t>
        </is>
      </c>
      <c r="H627" t="inlineStr">
        <is>
          <t>EPOS</t>
        </is>
      </c>
    </row>
    <row r="628">
      <c r="A628" t="inlineStr">
        <is>
          <t>Gucci</t>
        </is>
      </c>
      <c r="B628" t="inlineStr">
        <is>
          <t>Gucci Guilty (00840)</t>
        </is>
      </c>
      <c r="C628" t="inlineStr">
        <is>
          <t>Gucci Guilty Elixir PH (00006599)</t>
        </is>
      </c>
      <c r="D628" s="1" t="n">
        <v>3616304175893</v>
      </c>
      <c r="E628" t="inlineStr">
        <is>
          <t>GG ELIXIR PH PRFM 60 ML NS IV</t>
        </is>
      </c>
      <c r="F628" t="inlineStr">
        <is>
          <t>P_US_FG</t>
        </is>
      </c>
      <c r="G628" t="inlineStr">
        <is>
          <t>Month-2026.M09.W38</t>
        </is>
      </c>
      <c r="H628" t="inlineStr">
        <is>
          <t>Reasonability Adjustment</t>
        </is>
      </c>
      <c r="K628" t="n">
        <v>0</v>
      </c>
      <c r="L628" t="n">
        <v>0</v>
      </c>
      <c r="M628" t="n">
        <v>0</v>
      </c>
      <c r="O628" t="n">
        <v>0</v>
      </c>
      <c r="Q628" t="n">
        <v>-1</v>
      </c>
      <c r="S628" t="n">
        <v>-4</v>
      </c>
    </row>
    <row r="629">
      <c r="A629" t="inlineStr">
        <is>
          <t>Gucci</t>
        </is>
      </c>
      <c r="B629" t="inlineStr">
        <is>
          <t>Gucci Guilty (00840)</t>
        </is>
      </c>
      <c r="C629" t="inlineStr">
        <is>
          <t>Gucci Guilty Elixir PH (00006599)</t>
        </is>
      </c>
      <c r="D629" s="1" t="n">
        <v>3616304175893</v>
      </c>
      <c r="E629" t="inlineStr">
        <is>
          <t>GG ELIXIR PH PRFM 60 ML NS IV</t>
        </is>
      </c>
      <c r="F629" t="inlineStr">
        <is>
          <t>P_US_FG</t>
        </is>
      </c>
      <c r="G629" t="inlineStr">
        <is>
          <t>Month-2026.M09.W38</t>
        </is>
      </c>
      <c r="H629" t="inlineStr">
        <is>
          <t>Total Demand Assumption</t>
        </is>
      </c>
    </row>
    <row r="630">
      <c r="A630" t="inlineStr">
        <is>
          <t>Gucci</t>
        </is>
      </c>
      <c r="B630" t="inlineStr">
        <is>
          <t>Gucci Guilty (00840)</t>
        </is>
      </c>
      <c r="C630" t="inlineStr">
        <is>
          <t>Gucci Guilty Elixir PH (00006599)</t>
        </is>
      </c>
      <c r="D630" s="1" t="n">
        <v>3616304175893</v>
      </c>
      <c r="E630" t="inlineStr">
        <is>
          <t>GG ELIXIR PH PRFM 60 ML NS IV</t>
        </is>
      </c>
      <c r="F630" t="inlineStr">
        <is>
          <t>P_US_FG</t>
        </is>
      </c>
      <c r="G630" t="inlineStr">
        <is>
          <t>Month-2026.M09.W38</t>
        </is>
      </c>
      <c r="H630" t="inlineStr">
        <is>
          <t>Consensus - Final</t>
        </is>
      </c>
      <c r="K630" t="n">
        <v>10</v>
      </c>
      <c r="L630" t="n">
        <v>0</v>
      </c>
      <c r="M630" t="n">
        <v>0</v>
      </c>
      <c r="O630" t="n">
        <v>0</v>
      </c>
    </row>
    <row r="631">
      <c r="A631" t="inlineStr">
        <is>
          <t>Gucci</t>
        </is>
      </c>
      <c r="B631" t="inlineStr">
        <is>
          <t>Gucci Guilty (00840)</t>
        </is>
      </c>
      <c r="C631" t="inlineStr">
        <is>
          <t>Gucci Guilty Elixir PH (00006599)</t>
        </is>
      </c>
      <c r="D631" s="1" t="n">
        <v>3616304175893</v>
      </c>
      <c r="E631" t="inlineStr">
        <is>
          <t>GG ELIXIR PH PRFM 60 ML NS IV</t>
        </is>
      </c>
      <c r="F631" t="inlineStr">
        <is>
          <t>P_US_FG</t>
        </is>
      </c>
      <c r="G631" t="inlineStr">
        <is>
          <t>Month-2026.M09.W38</t>
        </is>
      </c>
      <c r="H631" t="inlineStr">
        <is>
          <t>Supply Cuts</t>
        </is>
      </c>
    </row>
    <row r="632">
      <c r="A632" t="inlineStr">
        <is>
          <t>Gucci</t>
        </is>
      </c>
      <c r="B632" t="inlineStr">
        <is>
          <t>Gucci Guilty (00840)</t>
        </is>
      </c>
      <c r="C632" t="inlineStr">
        <is>
          <t>Gucci Guilty Elixir PH (00006599)</t>
        </is>
      </c>
      <c r="D632" s="1" t="n">
        <v>3616304175893</v>
      </c>
      <c r="E632" t="inlineStr">
        <is>
          <t>GG ELIXIR PH PRFM 60 ML NS IV</t>
        </is>
      </c>
      <c r="F632" t="inlineStr">
        <is>
          <t>P_US_ULTA</t>
        </is>
      </c>
      <c r="G632" t="inlineStr">
        <is>
          <t>CurrentWorkingView</t>
        </is>
      </c>
      <c r="H632" t="inlineStr">
        <is>
          <t>Consensus - Final LY M</t>
        </is>
      </c>
      <c r="I632" t="n">
        <v>20</v>
      </c>
      <c r="J632" t="n">
        <v>333</v>
      </c>
      <c r="K632" t="n">
        <v>460</v>
      </c>
      <c r="L632" t="n">
        <v>24</v>
      </c>
      <c r="M632" t="n">
        <v>264</v>
      </c>
      <c r="N632" t="n">
        <v>384</v>
      </c>
      <c r="O632" t="n">
        <v>119</v>
      </c>
      <c r="P632" t="n">
        <v>256</v>
      </c>
      <c r="Q632" t="n">
        <v>306</v>
      </c>
      <c r="R632" t="n">
        <v>113</v>
      </c>
      <c r="S632" t="n">
        <v>468</v>
      </c>
      <c r="T632" t="n">
        <v>140</v>
      </c>
    </row>
    <row r="633">
      <c r="A633" t="inlineStr">
        <is>
          <t>Gucci</t>
        </is>
      </c>
      <c r="B633" t="inlineStr">
        <is>
          <t>Gucci Guilty (00840)</t>
        </is>
      </c>
      <c r="C633" t="inlineStr">
        <is>
          <t>Gucci Guilty Elixir PH (00006599)</t>
        </is>
      </c>
      <c r="D633" s="1" t="n">
        <v>3616304175893</v>
      </c>
      <c r="E633" t="inlineStr">
        <is>
          <t>GG ELIXIR PH PRFM 60 ML NS IV</t>
        </is>
      </c>
      <c r="F633" t="inlineStr">
        <is>
          <t>P_US_ULTA</t>
        </is>
      </c>
      <c r="G633" t="inlineStr">
        <is>
          <t>CurrentWorkingView</t>
        </is>
      </c>
      <c r="H633" t="inlineStr">
        <is>
          <t>System FC - Final</t>
        </is>
      </c>
      <c r="I633" t="n">
        <v>90</v>
      </c>
      <c r="J633" t="n">
        <v>16</v>
      </c>
      <c r="K633" t="n">
        <v>269</v>
      </c>
      <c r="L633" t="n">
        <v>0</v>
      </c>
      <c r="M633" t="n">
        <v>95</v>
      </c>
      <c r="N633" t="n">
        <v>829</v>
      </c>
      <c r="O633" t="n">
        <v>226</v>
      </c>
      <c r="P633" t="n">
        <v>140</v>
      </c>
      <c r="Q633" t="n">
        <v>142</v>
      </c>
      <c r="R633" t="n">
        <v>68</v>
      </c>
      <c r="S633" t="n">
        <v>593</v>
      </c>
      <c r="T633" t="n">
        <v>258</v>
      </c>
    </row>
    <row r="634">
      <c r="A634" t="inlineStr">
        <is>
          <t>Gucci</t>
        </is>
      </c>
      <c r="B634" t="inlineStr">
        <is>
          <t>Gucci Guilty (00840)</t>
        </is>
      </c>
      <c r="C634" t="inlineStr">
        <is>
          <t>Gucci Guilty Elixir PH (00006599)</t>
        </is>
      </c>
      <c r="D634" s="1" t="n">
        <v>3616304175893</v>
      </c>
      <c r="E634" t="inlineStr">
        <is>
          <t>GG ELIXIR PH PRFM 60 ML NS IV</t>
        </is>
      </c>
      <c r="F634" t="inlineStr">
        <is>
          <t>P_US_ULTA</t>
        </is>
      </c>
      <c r="G634" t="inlineStr">
        <is>
          <t>CurrentWorkingView</t>
        </is>
      </c>
      <c r="H634" t="inlineStr">
        <is>
          <t>EPOS</t>
        </is>
      </c>
      <c r="I634" t="n">
        <v>248</v>
      </c>
    </row>
    <row r="635">
      <c r="A635" t="inlineStr">
        <is>
          <t>Gucci</t>
        </is>
      </c>
      <c r="B635" t="inlineStr">
        <is>
          <t>Gucci Guilty (00840)</t>
        </is>
      </c>
      <c r="C635" t="inlineStr">
        <is>
          <t>Gucci Guilty Elixir PH (00006599)</t>
        </is>
      </c>
      <c r="D635" s="1" t="n">
        <v>3616304175893</v>
      </c>
      <c r="E635" t="inlineStr">
        <is>
          <t>GG ELIXIR PH PRFM 60 ML NS IV</t>
        </is>
      </c>
      <c r="F635" t="inlineStr">
        <is>
          <t>P_US_ULTA</t>
        </is>
      </c>
      <c r="G635" t="inlineStr">
        <is>
          <t>CurrentWorkingView</t>
        </is>
      </c>
      <c r="H635" t="inlineStr">
        <is>
          <t>Reasonability Adjustment</t>
        </is>
      </c>
      <c r="I635" t="n">
        <v>-145</v>
      </c>
      <c r="J635" t="n">
        <v>-190</v>
      </c>
      <c r="K635" t="n">
        <v>257</v>
      </c>
      <c r="L635" t="n">
        <v>0</v>
      </c>
      <c r="M635" t="n">
        <v>0</v>
      </c>
      <c r="N635" t="n">
        <v>-331</v>
      </c>
      <c r="O635" t="n">
        <v>110</v>
      </c>
      <c r="S635" t="n">
        <v>-117</v>
      </c>
    </row>
    <row r="636">
      <c r="A636" t="inlineStr">
        <is>
          <t>Gucci</t>
        </is>
      </c>
      <c r="B636" t="inlineStr">
        <is>
          <t>Gucci Guilty (00840)</t>
        </is>
      </c>
      <c r="C636" t="inlineStr">
        <is>
          <t>Gucci Guilty Elixir PH (00006599)</t>
        </is>
      </c>
      <c r="D636" s="1" t="n">
        <v>3616304175893</v>
      </c>
      <c r="E636" t="inlineStr">
        <is>
          <t>GG ELIXIR PH PRFM 60 ML NS IV</t>
        </is>
      </c>
      <c r="F636" t="inlineStr">
        <is>
          <t>P_US_ULTA</t>
        </is>
      </c>
      <c r="G636" t="inlineStr">
        <is>
          <t>CurrentWorkingView</t>
        </is>
      </c>
      <c r="H636" t="inlineStr">
        <is>
          <t>Total Demand Assumption</t>
        </is>
      </c>
      <c r="I636" t="n">
        <v>-132</v>
      </c>
      <c r="J636" t="n">
        <v>-209</v>
      </c>
      <c r="K636" t="n">
        <v>-221</v>
      </c>
      <c r="L636" t="n">
        <v>-206</v>
      </c>
      <c r="M636" t="n">
        <v>-133</v>
      </c>
      <c r="N636" t="n">
        <v>-92</v>
      </c>
    </row>
    <row r="637">
      <c r="A637" t="inlineStr">
        <is>
          <t>Gucci</t>
        </is>
      </c>
      <c r="B637" t="inlineStr">
        <is>
          <t>Gucci Guilty (00840)</t>
        </is>
      </c>
      <c r="C637" t="inlineStr">
        <is>
          <t>Gucci Guilty Elixir PH (00006599)</t>
        </is>
      </c>
      <c r="D637" s="1" t="n">
        <v>3616304175893</v>
      </c>
      <c r="E637" t="inlineStr">
        <is>
          <t>GG ELIXIR PH PRFM 60 ML NS IV</t>
        </is>
      </c>
      <c r="F637" t="inlineStr">
        <is>
          <t>P_US_ULTA</t>
        </is>
      </c>
      <c r="G637" t="inlineStr">
        <is>
          <t>CurrentWorkingView</t>
        </is>
      </c>
      <c r="H637" t="inlineStr">
        <is>
          <t>Consensus - Final</t>
        </is>
      </c>
      <c r="I637" t="n">
        <v>90</v>
      </c>
      <c r="J637" t="n">
        <v>16</v>
      </c>
      <c r="K637" t="n">
        <v>374.442763836369</v>
      </c>
      <c r="M637" t="n">
        <v>13</v>
      </c>
      <c r="N637" t="n">
        <v>406</v>
      </c>
      <c r="O637" t="n">
        <v>336</v>
      </c>
      <c r="P637" t="n">
        <v>140</v>
      </c>
      <c r="Q637" t="n">
        <v>142</v>
      </c>
      <c r="R637" t="n">
        <v>68</v>
      </c>
      <c r="S637" t="n">
        <v>476</v>
      </c>
      <c r="T637" t="n">
        <v>258</v>
      </c>
    </row>
    <row r="638">
      <c r="A638" t="inlineStr">
        <is>
          <t>Gucci</t>
        </is>
      </c>
      <c r="B638" t="inlineStr">
        <is>
          <t>Gucci Guilty (00840)</t>
        </is>
      </c>
      <c r="C638" t="inlineStr">
        <is>
          <t>Gucci Guilty Elixir PH (00006599)</t>
        </is>
      </c>
      <c r="D638" s="1" t="n">
        <v>3616304175893</v>
      </c>
      <c r="E638" t="inlineStr">
        <is>
          <t>GG ELIXIR PH PRFM 60 ML NS IV</t>
        </is>
      </c>
      <c r="F638" t="inlineStr">
        <is>
          <t>P_US_ULTA</t>
        </is>
      </c>
      <c r="G638" t="inlineStr">
        <is>
          <t>CurrentWorkingView</t>
        </is>
      </c>
      <c r="H638" t="inlineStr">
        <is>
          <t>Supply Cuts</t>
        </is>
      </c>
    </row>
    <row r="639">
      <c r="A639" t="inlineStr">
        <is>
          <t>Gucci</t>
        </is>
      </c>
      <c r="B639" t="inlineStr">
        <is>
          <t>Gucci Guilty (00840)</t>
        </is>
      </c>
      <c r="C639" t="inlineStr">
        <is>
          <t>Gucci Guilty Elixir PH (00006599)</t>
        </is>
      </c>
      <c r="D639" s="1" t="n">
        <v>3616304175893</v>
      </c>
      <c r="E639" t="inlineStr">
        <is>
          <t>GG ELIXIR PH PRFM 60 ML NS IV</t>
        </is>
      </c>
      <c r="F639" t="inlineStr">
        <is>
          <t>P_US_ULTA</t>
        </is>
      </c>
      <c r="G639" t="inlineStr">
        <is>
          <t>Month-2026.M09.W38</t>
        </is>
      </c>
      <c r="H639" t="inlineStr">
        <is>
          <t>Consensus - Final LY M</t>
        </is>
      </c>
      <c r="I639" t="n">
        <v>20</v>
      </c>
      <c r="J639" t="n">
        <v>333</v>
      </c>
      <c r="K639" t="n">
        <v>460</v>
      </c>
      <c r="L639" t="n">
        <v>24</v>
      </c>
      <c r="M639" t="n">
        <v>264</v>
      </c>
      <c r="N639" t="n">
        <v>384</v>
      </c>
      <c r="O639" t="n">
        <v>119</v>
      </c>
      <c r="P639" t="n">
        <v>256</v>
      </c>
      <c r="Q639" t="n">
        <v>306</v>
      </c>
      <c r="R639" t="n">
        <v>113</v>
      </c>
      <c r="S639" t="n">
        <v>468</v>
      </c>
      <c r="T639" t="n">
        <v>140</v>
      </c>
    </row>
    <row r="640">
      <c r="A640" t="inlineStr">
        <is>
          <t>Gucci</t>
        </is>
      </c>
      <c r="B640" t="inlineStr">
        <is>
          <t>Gucci Guilty (00840)</t>
        </is>
      </c>
      <c r="C640" t="inlineStr">
        <is>
          <t>Gucci Guilty Elixir PH (00006599)</t>
        </is>
      </c>
      <c r="D640" s="1" t="n">
        <v>3616304175893</v>
      </c>
      <c r="E640" t="inlineStr">
        <is>
          <t>GG ELIXIR PH PRFM 60 ML NS IV</t>
        </is>
      </c>
      <c r="F640" t="inlineStr">
        <is>
          <t>P_US_ULTA</t>
        </is>
      </c>
      <c r="G640" t="inlineStr">
        <is>
          <t>Month-2026.M09.W38</t>
        </is>
      </c>
      <c r="H640" t="inlineStr">
        <is>
          <t>System FC - Final</t>
        </is>
      </c>
      <c r="I640" t="n">
        <v>90</v>
      </c>
      <c r="J640" t="n">
        <v>16</v>
      </c>
      <c r="K640" t="n">
        <v>424</v>
      </c>
      <c r="L640" t="n">
        <v>0</v>
      </c>
      <c r="M640" t="n">
        <v>0</v>
      </c>
      <c r="N640" t="n">
        <v>553</v>
      </c>
      <c r="O640" t="n">
        <v>27</v>
      </c>
      <c r="P640" t="n">
        <v>60</v>
      </c>
      <c r="Q640" t="n">
        <v>133</v>
      </c>
      <c r="R640" t="n">
        <v>0</v>
      </c>
      <c r="S640" t="n">
        <v>452</v>
      </c>
      <c r="T640" t="n">
        <v>249</v>
      </c>
    </row>
    <row r="641">
      <c r="A641" t="inlineStr">
        <is>
          <t>Gucci</t>
        </is>
      </c>
      <c r="B641" t="inlineStr">
        <is>
          <t>Gucci Guilty (00840)</t>
        </is>
      </c>
      <c r="C641" t="inlineStr">
        <is>
          <t>Gucci Guilty Elixir PH (00006599)</t>
        </is>
      </c>
      <c r="D641" s="1" t="n">
        <v>3616304175893</v>
      </c>
      <c r="E641" t="inlineStr">
        <is>
          <t>GG ELIXIR PH PRFM 60 ML NS IV</t>
        </is>
      </c>
      <c r="F641" t="inlineStr">
        <is>
          <t>P_US_ULTA</t>
        </is>
      </c>
      <c r="G641" t="inlineStr">
        <is>
          <t>Month-2026.M09.W38</t>
        </is>
      </c>
      <c r="H641" t="inlineStr">
        <is>
          <t>EPOS</t>
        </is>
      </c>
      <c r="I641" t="n">
        <v>248</v>
      </c>
    </row>
    <row r="642">
      <c r="A642" t="inlineStr">
        <is>
          <t>Gucci</t>
        </is>
      </c>
      <c r="B642" t="inlineStr">
        <is>
          <t>Gucci Guilty (00840)</t>
        </is>
      </c>
      <c r="C642" t="inlineStr">
        <is>
          <t>Gucci Guilty Elixir PH (00006599)</t>
        </is>
      </c>
      <c r="D642" s="1" t="n">
        <v>3616304175893</v>
      </c>
      <c r="E642" t="inlineStr">
        <is>
          <t>GG ELIXIR PH PRFM 60 ML NS IV</t>
        </is>
      </c>
      <c r="F642" t="inlineStr">
        <is>
          <t>P_US_ULTA</t>
        </is>
      </c>
      <c r="G642" t="inlineStr">
        <is>
          <t>Month-2026.M09.W38</t>
        </is>
      </c>
      <c r="H642" t="inlineStr">
        <is>
          <t>Reasonability Adjustment</t>
        </is>
      </c>
      <c r="I642" t="n">
        <v>-145</v>
      </c>
      <c r="J642" t="n">
        <v>-190</v>
      </c>
      <c r="K642" t="n">
        <v>257</v>
      </c>
      <c r="L642" t="n">
        <v>0</v>
      </c>
      <c r="M642" t="n">
        <v>0</v>
      </c>
      <c r="N642" t="n">
        <v>-331</v>
      </c>
      <c r="O642" t="n">
        <v>110</v>
      </c>
      <c r="S642" t="n">
        <v>-117</v>
      </c>
    </row>
    <row r="643">
      <c r="A643" t="inlineStr">
        <is>
          <t>Gucci</t>
        </is>
      </c>
      <c r="B643" t="inlineStr">
        <is>
          <t>Gucci Guilty (00840)</t>
        </is>
      </c>
      <c r="C643" t="inlineStr">
        <is>
          <t>Gucci Guilty Elixir PH (00006599)</t>
        </is>
      </c>
      <c r="D643" s="1" t="n">
        <v>3616304175893</v>
      </c>
      <c r="E643" t="inlineStr">
        <is>
          <t>GG ELIXIR PH PRFM 60 ML NS IV</t>
        </is>
      </c>
      <c r="F643" t="inlineStr">
        <is>
          <t>P_US_ULTA</t>
        </is>
      </c>
      <c r="G643" t="inlineStr">
        <is>
          <t>Month-2026.M09.W38</t>
        </is>
      </c>
      <c r="H643" t="inlineStr">
        <is>
          <t>Total Demand Assumption</t>
        </is>
      </c>
      <c r="I643" t="n">
        <v>-132</v>
      </c>
      <c r="J643" t="n">
        <v>-209</v>
      </c>
      <c r="K643" t="n">
        <v>-221</v>
      </c>
      <c r="L643" t="n">
        <v>-206</v>
      </c>
      <c r="M643" t="n">
        <v>-133</v>
      </c>
      <c r="N643" t="n">
        <v>-92</v>
      </c>
    </row>
    <row r="644">
      <c r="A644" t="inlineStr">
        <is>
          <t>Gucci</t>
        </is>
      </c>
      <c r="B644" t="inlineStr">
        <is>
          <t>Gucci Guilty (00840)</t>
        </is>
      </c>
      <c r="C644" t="inlineStr">
        <is>
          <t>Gucci Guilty Elixir PH (00006599)</t>
        </is>
      </c>
      <c r="D644" s="1" t="n">
        <v>3616304175893</v>
      </c>
      <c r="E644" t="inlineStr">
        <is>
          <t>GG ELIXIR PH PRFM 60 ML NS IV</t>
        </is>
      </c>
      <c r="F644" t="inlineStr">
        <is>
          <t>P_US_ULTA</t>
        </is>
      </c>
      <c r="G644" t="inlineStr">
        <is>
          <t>Month-2026.M09.W38</t>
        </is>
      </c>
      <c r="H644" t="inlineStr">
        <is>
          <t>Consensus - Final</t>
        </is>
      </c>
      <c r="I644" t="n">
        <v>90</v>
      </c>
      <c r="J644" t="n">
        <v>16</v>
      </c>
      <c r="K644" t="n">
        <v>374.442763836369</v>
      </c>
      <c r="N644" t="n">
        <v>130</v>
      </c>
      <c r="O644" t="n">
        <v>137</v>
      </c>
      <c r="P644" t="n">
        <v>60</v>
      </c>
      <c r="Q644" t="n">
        <v>133</v>
      </c>
      <c r="S644" t="n">
        <v>335</v>
      </c>
      <c r="T644" t="n">
        <v>249</v>
      </c>
    </row>
    <row r="645">
      <c r="A645" t="inlineStr">
        <is>
          <t>Gucci</t>
        </is>
      </c>
      <c r="B645" t="inlineStr">
        <is>
          <t>Gucci Guilty (00840)</t>
        </is>
      </c>
      <c r="C645" t="inlineStr">
        <is>
          <t>Gucci Guilty Elixir PH (00006599)</t>
        </is>
      </c>
      <c r="D645" s="1" t="n">
        <v>3616304175893</v>
      </c>
      <c r="E645" t="inlineStr">
        <is>
          <t>GG ELIXIR PH PRFM 60 ML NS IV</t>
        </is>
      </c>
      <c r="F645" t="inlineStr">
        <is>
          <t>P_US_ULTA</t>
        </is>
      </c>
      <c r="G645" t="inlineStr">
        <is>
          <t>Month-2026.M09.W38</t>
        </is>
      </c>
      <c r="H645" t="inlineStr">
        <is>
          <t>Supply Cuts</t>
        </is>
      </c>
    </row>
    <row r="646">
      <c r="A646" t="inlineStr">
        <is>
          <t>Gucci</t>
        </is>
      </c>
      <c r="B646" t="inlineStr">
        <is>
          <t>Gucci Guilty (00840)</t>
        </is>
      </c>
      <c r="C646" t="inlineStr">
        <is>
          <t>Gucci Guilty Elixir PF (00006600)</t>
        </is>
      </c>
      <c r="D646" s="1" t="n">
        <v>3616304175916</v>
      </c>
      <c r="E646" t="inlineStr">
        <is>
          <t>GG ELIXIR PF PRFM 60 ML IV</t>
        </is>
      </c>
      <c r="F646" t="inlineStr">
        <is>
          <t>P_US_ALL_OTHERS</t>
        </is>
      </c>
      <c r="G646" t="inlineStr">
        <is>
          <t>CurrentWorkingView</t>
        </is>
      </c>
      <c r="H646" t="inlineStr">
        <is>
          <t>Consensus - Final LY M</t>
        </is>
      </c>
      <c r="I646" t="n">
        <v>456</v>
      </c>
      <c r="J646" t="n">
        <v>721</v>
      </c>
      <c r="K646" t="n">
        <v>1201</v>
      </c>
      <c r="L646" t="n">
        <v>1331</v>
      </c>
      <c r="M646" t="n">
        <v>810</v>
      </c>
      <c r="N646" t="n">
        <v>94</v>
      </c>
      <c r="O646" t="n">
        <v>21</v>
      </c>
      <c r="P646" t="n">
        <v>515</v>
      </c>
      <c r="Q646" t="n">
        <v>253</v>
      </c>
      <c r="R646" t="n">
        <v>161</v>
      </c>
      <c r="S646" t="n">
        <v>102</v>
      </c>
      <c r="T646" t="n">
        <v>142</v>
      </c>
    </row>
    <row r="647">
      <c r="A647" t="inlineStr">
        <is>
          <t>Gucci</t>
        </is>
      </c>
      <c r="B647" t="inlineStr">
        <is>
          <t>Gucci Guilty (00840)</t>
        </is>
      </c>
      <c r="C647" t="inlineStr">
        <is>
          <t>Gucci Guilty Elixir PF (00006600)</t>
        </is>
      </c>
      <c r="D647" s="1" t="n">
        <v>3616304175916</v>
      </c>
      <c r="E647" t="inlineStr">
        <is>
          <t>GG ELIXIR PF PRFM 60 ML IV</t>
        </is>
      </c>
      <c r="F647" t="inlineStr">
        <is>
          <t>P_US_ALL_OTHERS</t>
        </is>
      </c>
      <c r="G647" t="inlineStr">
        <is>
          <t>CurrentWorkingView</t>
        </is>
      </c>
      <c r="H647" t="inlineStr">
        <is>
          <t>System FC - Final</t>
        </is>
      </c>
      <c r="I647" t="n">
        <v>71</v>
      </c>
      <c r="J647" t="n">
        <v>215</v>
      </c>
      <c r="K647" t="n">
        <v>532</v>
      </c>
      <c r="L647" t="n">
        <v>759</v>
      </c>
      <c r="M647" t="n">
        <v>578</v>
      </c>
      <c r="N647" t="n">
        <v>479</v>
      </c>
      <c r="O647" t="n">
        <v>407</v>
      </c>
      <c r="P647" t="n">
        <v>376</v>
      </c>
      <c r="Q647" t="n">
        <v>363</v>
      </c>
      <c r="R647" t="n">
        <v>382</v>
      </c>
      <c r="S647" t="n">
        <v>478</v>
      </c>
      <c r="T647" t="n">
        <v>351</v>
      </c>
    </row>
    <row r="648">
      <c r="A648" t="inlineStr">
        <is>
          <t>Gucci</t>
        </is>
      </c>
      <c r="B648" t="inlineStr">
        <is>
          <t>Gucci Guilty (00840)</t>
        </is>
      </c>
      <c r="C648" t="inlineStr">
        <is>
          <t>Gucci Guilty Elixir PF (00006600)</t>
        </is>
      </c>
      <c r="D648" s="1" t="n">
        <v>3616304175916</v>
      </c>
      <c r="E648" t="inlineStr">
        <is>
          <t>GG ELIXIR PF PRFM 60 ML IV</t>
        </is>
      </c>
      <c r="F648" t="inlineStr">
        <is>
          <t>P_US_ALL_OTHERS</t>
        </is>
      </c>
      <c r="G648" t="inlineStr">
        <is>
          <t>CurrentWorkingView</t>
        </is>
      </c>
      <c r="H648" t="inlineStr">
        <is>
          <t>EPOS</t>
        </is>
      </c>
      <c r="I648" t="n">
        <v>132</v>
      </c>
    </row>
    <row r="649">
      <c r="A649" t="inlineStr">
        <is>
          <t>Gucci</t>
        </is>
      </c>
      <c r="B649" t="inlineStr">
        <is>
          <t>Gucci Guilty (00840)</t>
        </is>
      </c>
      <c r="C649" t="inlineStr">
        <is>
          <t>Gucci Guilty Elixir PF (00006600)</t>
        </is>
      </c>
      <c r="D649" s="1" t="n">
        <v>3616304175916</v>
      </c>
      <c r="E649" t="inlineStr">
        <is>
          <t>GG ELIXIR PF PRFM 60 ML IV</t>
        </is>
      </c>
      <c r="F649" t="inlineStr">
        <is>
          <t>P_US_ALL_OTHERS</t>
        </is>
      </c>
      <c r="G649" t="inlineStr">
        <is>
          <t>CurrentWorkingView</t>
        </is>
      </c>
      <c r="H649" t="inlineStr">
        <is>
          <t>Reasonability Adjustment</t>
        </is>
      </c>
    </row>
    <row r="650">
      <c r="A650" t="inlineStr">
        <is>
          <t>Gucci</t>
        </is>
      </c>
      <c r="B650" t="inlineStr">
        <is>
          <t>Gucci Guilty (00840)</t>
        </is>
      </c>
      <c r="C650" t="inlineStr">
        <is>
          <t>Gucci Guilty Elixir PF (00006600)</t>
        </is>
      </c>
      <c r="D650" s="1" t="n">
        <v>3616304175916</v>
      </c>
      <c r="E650" t="inlineStr">
        <is>
          <t>GG ELIXIR PF PRFM 60 ML IV</t>
        </is>
      </c>
      <c r="F650" t="inlineStr">
        <is>
          <t>P_US_ALL_OTHERS</t>
        </is>
      </c>
      <c r="G650" t="inlineStr">
        <is>
          <t>CurrentWorkingView</t>
        </is>
      </c>
      <c r="H650" t="inlineStr">
        <is>
          <t>Total Demand Assumption</t>
        </is>
      </c>
      <c r="J650" t="n">
        <v>0</v>
      </c>
      <c r="K650" t="n">
        <v>906</v>
      </c>
      <c r="L650" t="n">
        <v>604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Gucci</t>
        </is>
      </c>
      <c r="B651" t="inlineStr">
        <is>
          <t>Gucci Guilty (00840)</t>
        </is>
      </c>
      <c r="C651" t="inlineStr">
        <is>
          <t>Gucci Guilty Elixir PF (00006600)</t>
        </is>
      </c>
      <c r="D651" s="1" t="n">
        <v>3616304175916</v>
      </c>
      <c r="E651" t="inlineStr">
        <is>
          <t>GG ELIXIR PF PRFM 60 ML IV</t>
        </is>
      </c>
      <c r="F651" t="inlineStr">
        <is>
          <t>P_US_ALL_OTHERS</t>
        </is>
      </c>
      <c r="G651" t="inlineStr">
        <is>
          <t>CurrentWorkingView</t>
        </is>
      </c>
      <c r="H651" t="inlineStr">
        <is>
          <t>Consensus - Final</t>
        </is>
      </c>
      <c r="I651" t="n">
        <v>71</v>
      </c>
      <c r="J651" t="n">
        <v>215</v>
      </c>
      <c r="K651" t="n">
        <v>1016</v>
      </c>
      <c r="L651" t="n">
        <v>1363</v>
      </c>
      <c r="M651" t="n">
        <v>578</v>
      </c>
      <c r="N651" t="n">
        <v>479</v>
      </c>
      <c r="O651" t="n">
        <v>407</v>
      </c>
      <c r="P651" t="n">
        <v>376</v>
      </c>
      <c r="Q651" t="n">
        <v>363</v>
      </c>
      <c r="R651" t="n">
        <v>382</v>
      </c>
      <c r="S651" t="n">
        <v>478</v>
      </c>
      <c r="T651" t="n">
        <v>351</v>
      </c>
    </row>
    <row r="652">
      <c r="A652" t="inlineStr">
        <is>
          <t>Gucci</t>
        </is>
      </c>
      <c r="B652" t="inlineStr">
        <is>
          <t>Gucci Guilty (00840)</t>
        </is>
      </c>
      <c r="C652" t="inlineStr">
        <is>
          <t>Gucci Guilty Elixir PF (00006600)</t>
        </is>
      </c>
      <c r="D652" s="1" t="n">
        <v>3616304175916</v>
      </c>
      <c r="E652" t="inlineStr">
        <is>
          <t>GG ELIXIR PF PRFM 60 ML IV</t>
        </is>
      </c>
      <c r="F652" t="inlineStr">
        <is>
          <t>P_US_ALL_OTHERS</t>
        </is>
      </c>
      <c r="G652" t="inlineStr">
        <is>
          <t>CurrentWorkingView</t>
        </is>
      </c>
      <c r="H652" t="inlineStr">
        <is>
          <t>Supply Cuts</t>
        </is>
      </c>
    </row>
    <row r="653">
      <c r="A653" t="inlineStr">
        <is>
          <t>Gucci</t>
        </is>
      </c>
      <c r="B653" t="inlineStr">
        <is>
          <t>Gucci Guilty (00840)</t>
        </is>
      </c>
      <c r="C653" t="inlineStr">
        <is>
          <t>Gucci Guilty Elixir PF (00006600)</t>
        </is>
      </c>
      <c r="D653" s="1" t="n">
        <v>3616304175916</v>
      </c>
      <c r="E653" t="inlineStr">
        <is>
          <t>GG ELIXIR PF PRFM 60 ML IV</t>
        </is>
      </c>
      <c r="F653" t="inlineStr">
        <is>
          <t>P_US_ALL_OTHERS</t>
        </is>
      </c>
      <c r="G653" t="inlineStr">
        <is>
          <t>Month-2026.M09.W38</t>
        </is>
      </c>
      <c r="H653" t="inlineStr">
        <is>
          <t>Consensus - Final LY M</t>
        </is>
      </c>
      <c r="I653" t="n">
        <v>456</v>
      </c>
      <c r="J653" t="n">
        <v>721</v>
      </c>
      <c r="K653" t="n">
        <v>1201</v>
      </c>
      <c r="L653" t="n">
        <v>1331</v>
      </c>
      <c r="M653" t="n">
        <v>810</v>
      </c>
      <c r="N653" t="n">
        <v>94</v>
      </c>
      <c r="O653" t="n">
        <v>21</v>
      </c>
      <c r="P653" t="n">
        <v>515</v>
      </c>
      <c r="Q653" t="n">
        <v>253</v>
      </c>
      <c r="R653" t="n">
        <v>161</v>
      </c>
      <c r="S653" t="n">
        <v>102</v>
      </c>
      <c r="T653" t="n">
        <v>142</v>
      </c>
    </row>
    <row r="654">
      <c r="A654" t="inlineStr">
        <is>
          <t>Gucci</t>
        </is>
      </c>
      <c r="B654" t="inlineStr">
        <is>
          <t>Gucci Guilty (00840)</t>
        </is>
      </c>
      <c r="C654" t="inlineStr">
        <is>
          <t>Gucci Guilty Elixir PF (00006600)</t>
        </is>
      </c>
      <c r="D654" s="1" t="n">
        <v>3616304175916</v>
      </c>
      <c r="E654" t="inlineStr">
        <is>
          <t>GG ELIXIR PF PRFM 60 ML IV</t>
        </is>
      </c>
      <c r="F654" t="inlineStr">
        <is>
          <t>P_US_ALL_OTHERS</t>
        </is>
      </c>
      <c r="G654" t="inlineStr">
        <is>
          <t>Month-2026.M09.W38</t>
        </is>
      </c>
      <c r="H654" t="inlineStr">
        <is>
          <t>System FC - Final</t>
        </is>
      </c>
      <c r="I654" t="n">
        <v>71</v>
      </c>
      <c r="J654" t="n">
        <v>215</v>
      </c>
      <c r="K654" t="n">
        <v>712</v>
      </c>
      <c r="L654" t="n">
        <v>692</v>
      </c>
      <c r="M654" t="n">
        <v>660</v>
      </c>
      <c r="N654" t="n">
        <v>110</v>
      </c>
      <c r="O654" t="n">
        <v>266</v>
      </c>
      <c r="P654" t="n">
        <v>360</v>
      </c>
      <c r="Q654" t="n">
        <v>863</v>
      </c>
      <c r="R654" t="n">
        <v>253</v>
      </c>
      <c r="S654" t="n">
        <v>624</v>
      </c>
      <c r="T654" t="n">
        <v>19</v>
      </c>
    </row>
    <row r="655">
      <c r="A655" t="inlineStr">
        <is>
          <t>Gucci</t>
        </is>
      </c>
      <c r="B655" t="inlineStr">
        <is>
          <t>Gucci Guilty (00840)</t>
        </is>
      </c>
      <c r="C655" t="inlineStr">
        <is>
          <t>Gucci Guilty Elixir PF (00006600)</t>
        </is>
      </c>
      <c r="D655" s="1" t="n">
        <v>3616304175916</v>
      </c>
      <c r="E655" t="inlineStr">
        <is>
          <t>GG ELIXIR PF PRFM 60 ML IV</t>
        </is>
      </c>
      <c r="F655" t="inlineStr">
        <is>
          <t>P_US_ALL_OTHERS</t>
        </is>
      </c>
      <c r="G655" t="inlineStr">
        <is>
          <t>Month-2026.M09.W38</t>
        </is>
      </c>
      <c r="H655" t="inlineStr">
        <is>
          <t>EPOS</t>
        </is>
      </c>
      <c r="I655" t="n">
        <v>132</v>
      </c>
    </row>
    <row r="656">
      <c r="A656" t="inlineStr">
        <is>
          <t>Gucci</t>
        </is>
      </c>
      <c r="B656" t="inlineStr">
        <is>
          <t>Gucci Guilty (00840)</t>
        </is>
      </c>
      <c r="C656" t="inlineStr">
        <is>
          <t>Gucci Guilty Elixir PF (00006600)</t>
        </is>
      </c>
      <c r="D656" s="1" t="n">
        <v>3616304175916</v>
      </c>
      <c r="E656" t="inlineStr">
        <is>
          <t>GG ELIXIR PF PRFM 60 ML IV</t>
        </is>
      </c>
      <c r="F656" t="inlineStr">
        <is>
          <t>P_US_ALL_OTHERS</t>
        </is>
      </c>
      <c r="G656" t="inlineStr">
        <is>
          <t>Month-2026.M09.W38</t>
        </is>
      </c>
      <c r="H656" t="inlineStr">
        <is>
          <t>Reasonability Adjustment</t>
        </is>
      </c>
    </row>
    <row r="657">
      <c r="A657" t="inlineStr">
        <is>
          <t>Gucci</t>
        </is>
      </c>
      <c r="B657" t="inlineStr">
        <is>
          <t>Gucci Guilty (00840)</t>
        </is>
      </c>
      <c r="C657" t="inlineStr">
        <is>
          <t>Gucci Guilty Elixir PF (00006600)</t>
        </is>
      </c>
      <c r="D657" s="1" t="n">
        <v>3616304175916</v>
      </c>
      <c r="E657" t="inlineStr">
        <is>
          <t>GG ELIXIR PF PRFM 60 ML IV</t>
        </is>
      </c>
      <c r="F657" t="inlineStr">
        <is>
          <t>P_US_ALL_OTHERS</t>
        </is>
      </c>
      <c r="G657" t="inlineStr">
        <is>
          <t>Month-2026.M09.W38</t>
        </is>
      </c>
      <c r="H657" t="inlineStr">
        <is>
          <t>Total Demand Assumption</t>
        </is>
      </c>
      <c r="J657" t="n">
        <v>0</v>
      </c>
      <c r="K657" t="n">
        <v>906</v>
      </c>
      <c r="L657" t="n">
        <v>604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Gucci</t>
        </is>
      </c>
      <c r="B658" t="inlineStr">
        <is>
          <t>Gucci Guilty (00840)</t>
        </is>
      </c>
      <c r="C658" t="inlineStr">
        <is>
          <t>Gucci Guilty Elixir PF (00006600)</t>
        </is>
      </c>
      <c r="D658" s="1" t="n">
        <v>3616304175916</v>
      </c>
      <c r="E658" t="inlineStr">
        <is>
          <t>GG ELIXIR PF PRFM 60 ML IV</t>
        </is>
      </c>
      <c r="F658" t="inlineStr">
        <is>
          <t>P_US_ALL_OTHERS</t>
        </is>
      </c>
      <c r="G658" t="inlineStr">
        <is>
          <t>Month-2026.M09.W38</t>
        </is>
      </c>
      <c r="H658" t="inlineStr">
        <is>
          <t>Consensus - Final</t>
        </is>
      </c>
      <c r="I658" t="n">
        <v>71</v>
      </c>
      <c r="J658" t="n">
        <v>215</v>
      </c>
      <c r="K658" t="n">
        <v>1016</v>
      </c>
      <c r="L658" t="n">
        <v>1296</v>
      </c>
      <c r="M658" t="n">
        <v>660</v>
      </c>
      <c r="N658" t="n">
        <v>110</v>
      </c>
      <c r="O658" t="n">
        <v>266</v>
      </c>
      <c r="P658" t="n">
        <v>360</v>
      </c>
      <c r="Q658" t="n">
        <v>863</v>
      </c>
      <c r="R658" t="n">
        <v>253</v>
      </c>
      <c r="S658" t="n">
        <v>624</v>
      </c>
      <c r="T658" t="n">
        <v>19</v>
      </c>
    </row>
    <row r="659">
      <c r="A659" t="inlineStr">
        <is>
          <t>Gucci</t>
        </is>
      </c>
      <c r="B659" t="inlineStr">
        <is>
          <t>Gucci Guilty (00840)</t>
        </is>
      </c>
      <c r="C659" t="inlineStr">
        <is>
          <t>Gucci Guilty Elixir PF (00006600)</t>
        </is>
      </c>
      <c r="D659" s="1" t="n">
        <v>3616304175916</v>
      </c>
      <c r="E659" t="inlineStr">
        <is>
          <t>GG ELIXIR PF PRFM 60 ML IV</t>
        </is>
      </c>
      <c r="F659" t="inlineStr">
        <is>
          <t>P_US_ALL_OTHERS</t>
        </is>
      </c>
      <c r="G659" t="inlineStr">
        <is>
          <t>Month-2026.M09.W38</t>
        </is>
      </c>
      <c r="H659" t="inlineStr">
        <is>
          <t>Supply Cuts</t>
        </is>
      </c>
    </row>
    <row r="660">
      <c r="A660" t="inlineStr">
        <is>
          <t>Gucci</t>
        </is>
      </c>
      <c r="B660" t="inlineStr">
        <is>
          <t>Gucci Guilty (00840)</t>
        </is>
      </c>
      <c r="C660" t="inlineStr">
        <is>
          <t>Gucci Guilty Elixir PF (00006600)</t>
        </is>
      </c>
      <c r="D660" s="1" t="n">
        <v>3616304175916</v>
      </c>
      <c r="E660" t="inlineStr">
        <is>
          <t>GG ELIXIR PF PRFM 60 ML IV</t>
        </is>
      </c>
      <c r="F660" t="inlineStr">
        <is>
          <t>P_US_FG</t>
        </is>
      </c>
      <c r="G660" t="inlineStr">
        <is>
          <t>CurrentWorkingView</t>
        </is>
      </c>
      <c r="H660" t="inlineStr">
        <is>
          <t>Consensus - Final LY M</t>
        </is>
      </c>
      <c r="K660" t="n">
        <v>1</v>
      </c>
      <c r="M660" t="n">
        <v>50</v>
      </c>
      <c r="R660" t="n">
        <v>2</v>
      </c>
    </row>
    <row r="661">
      <c r="A661" t="inlineStr">
        <is>
          <t>Gucci</t>
        </is>
      </c>
      <c r="B661" t="inlineStr">
        <is>
          <t>Gucci Guilty (00840)</t>
        </is>
      </c>
      <c r="C661" t="inlineStr">
        <is>
          <t>Gucci Guilty Elixir PF (00006600)</t>
        </is>
      </c>
      <c r="D661" s="1" t="n">
        <v>3616304175916</v>
      </c>
      <c r="E661" t="inlineStr">
        <is>
          <t>GG ELIXIR PF PRFM 60 ML IV</t>
        </is>
      </c>
      <c r="F661" t="inlineStr">
        <is>
          <t>P_US_FG</t>
        </is>
      </c>
      <c r="G661" t="inlineStr">
        <is>
          <t>CurrentWorkingView</t>
        </is>
      </c>
      <c r="H661" t="inlineStr">
        <is>
          <t>System FC - Final</t>
        </is>
      </c>
      <c r="K661" t="n">
        <v>2</v>
      </c>
      <c r="L661" t="n">
        <v>5</v>
      </c>
      <c r="M661" t="n">
        <v>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Gucci</t>
        </is>
      </c>
      <c r="B662" t="inlineStr">
        <is>
          <t>Gucci Guilty (00840)</t>
        </is>
      </c>
      <c r="C662" t="inlineStr">
        <is>
          <t>Gucci Guilty Elixir PF (00006600)</t>
        </is>
      </c>
      <c r="D662" s="1" t="n">
        <v>3616304175916</v>
      </c>
      <c r="E662" t="inlineStr">
        <is>
          <t>GG ELIXIR PF PRFM 60 ML IV</t>
        </is>
      </c>
      <c r="F662" t="inlineStr">
        <is>
          <t>P_US_FG</t>
        </is>
      </c>
      <c r="G662" t="inlineStr">
        <is>
          <t>CurrentWorkingView</t>
        </is>
      </c>
      <c r="H662" t="inlineStr">
        <is>
          <t>EPOS</t>
        </is>
      </c>
    </row>
    <row r="663">
      <c r="A663" t="inlineStr">
        <is>
          <t>Gucci</t>
        </is>
      </c>
      <c r="B663" t="inlineStr">
        <is>
          <t>Gucci Guilty (00840)</t>
        </is>
      </c>
      <c r="C663" t="inlineStr">
        <is>
          <t>Gucci Guilty Elixir PF (00006600)</t>
        </is>
      </c>
      <c r="D663" s="1" t="n">
        <v>3616304175916</v>
      </c>
      <c r="E663" t="inlineStr">
        <is>
          <t>GG ELIXIR PF PRFM 60 ML IV</t>
        </is>
      </c>
      <c r="F663" t="inlineStr">
        <is>
          <t>P_US_FG</t>
        </is>
      </c>
      <c r="G663" t="inlineStr">
        <is>
          <t>CurrentWorkingView</t>
        </is>
      </c>
      <c r="H663" t="inlineStr">
        <is>
          <t>Reasonability Adjustment</t>
        </is>
      </c>
    </row>
    <row r="664">
      <c r="A664" t="inlineStr">
        <is>
          <t>Gucci</t>
        </is>
      </c>
      <c r="B664" t="inlineStr">
        <is>
          <t>Gucci Guilty (00840)</t>
        </is>
      </c>
      <c r="C664" t="inlineStr">
        <is>
          <t>Gucci Guilty Elixir PF (00006600)</t>
        </is>
      </c>
      <c r="D664" s="1" t="n">
        <v>3616304175916</v>
      </c>
      <c r="E664" t="inlineStr">
        <is>
          <t>GG ELIXIR PF PRFM 60 ML IV</t>
        </is>
      </c>
      <c r="F664" t="inlineStr">
        <is>
          <t>P_US_FG</t>
        </is>
      </c>
      <c r="G664" t="inlineStr">
        <is>
          <t>CurrentWorkingView</t>
        </is>
      </c>
      <c r="H664" t="inlineStr">
        <is>
          <t>Total Demand Assumption</t>
        </is>
      </c>
    </row>
    <row r="665">
      <c r="A665" t="inlineStr">
        <is>
          <t>Gucci</t>
        </is>
      </c>
      <c r="B665" t="inlineStr">
        <is>
          <t>Gucci Guilty (00840)</t>
        </is>
      </c>
      <c r="C665" t="inlineStr">
        <is>
          <t>Gucci Guilty Elixir PF (00006600)</t>
        </is>
      </c>
      <c r="D665" s="1" t="n">
        <v>3616304175916</v>
      </c>
      <c r="E665" t="inlineStr">
        <is>
          <t>GG ELIXIR PF PRFM 60 ML IV</t>
        </is>
      </c>
      <c r="F665" t="inlineStr">
        <is>
          <t>P_US_FG</t>
        </is>
      </c>
      <c r="G665" t="inlineStr">
        <is>
          <t>CurrentWorkingView</t>
        </is>
      </c>
      <c r="H665" t="inlineStr">
        <is>
          <t>Consensus - Final</t>
        </is>
      </c>
      <c r="K665" t="n">
        <v>0</v>
      </c>
    </row>
    <row r="666">
      <c r="A666" t="inlineStr">
        <is>
          <t>Gucci</t>
        </is>
      </c>
      <c r="B666" t="inlineStr">
        <is>
          <t>Gucci Guilty (00840)</t>
        </is>
      </c>
      <c r="C666" t="inlineStr">
        <is>
          <t>Gucci Guilty Elixir PF (00006600)</t>
        </is>
      </c>
      <c r="D666" s="1" t="n">
        <v>3616304175916</v>
      </c>
      <c r="E666" t="inlineStr">
        <is>
          <t>GG ELIXIR PF PRFM 60 ML IV</t>
        </is>
      </c>
      <c r="F666" t="inlineStr">
        <is>
          <t>P_US_FG</t>
        </is>
      </c>
      <c r="G666" t="inlineStr">
        <is>
          <t>CurrentWorkingView</t>
        </is>
      </c>
      <c r="H666" t="inlineStr">
        <is>
          <t>Supply Cuts</t>
        </is>
      </c>
    </row>
    <row r="667">
      <c r="A667" t="inlineStr">
        <is>
          <t>Gucci</t>
        </is>
      </c>
      <c r="B667" t="inlineStr">
        <is>
          <t>Gucci Guilty (00840)</t>
        </is>
      </c>
      <c r="C667" t="inlineStr">
        <is>
          <t>Gucci Guilty Elixir PF (00006600)</t>
        </is>
      </c>
      <c r="D667" s="1" t="n">
        <v>3616304175916</v>
      </c>
      <c r="E667" t="inlineStr">
        <is>
          <t>GG ELIXIR PF PRFM 60 ML IV</t>
        </is>
      </c>
      <c r="F667" t="inlineStr">
        <is>
          <t>P_US_FG</t>
        </is>
      </c>
      <c r="G667" t="inlineStr">
        <is>
          <t>Month-2026.M09.W38</t>
        </is>
      </c>
      <c r="H667" t="inlineStr">
        <is>
          <t>Consensus - Final LY M</t>
        </is>
      </c>
      <c r="K667" t="n">
        <v>1</v>
      </c>
      <c r="M667" t="n">
        <v>50</v>
      </c>
      <c r="R667" t="n">
        <v>2</v>
      </c>
    </row>
    <row r="668">
      <c r="A668" t="inlineStr">
        <is>
          <t>Gucci</t>
        </is>
      </c>
      <c r="B668" t="inlineStr">
        <is>
          <t>Gucci Guilty (00840)</t>
        </is>
      </c>
      <c r="C668" t="inlineStr">
        <is>
          <t>Gucci Guilty Elixir PF (00006600)</t>
        </is>
      </c>
      <c r="D668" s="1" t="n">
        <v>3616304175916</v>
      </c>
      <c r="E668" t="inlineStr">
        <is>
          <t>GG ELIXIR PF PRFM 60 ML IV</t>
        </is>
      </c>
      <c r="F668" t="inlineStr">
        <is>
          <t>P_US_FG</t>
        </is>
      </c>
      <c r="G668" t="inlineStr">
        <is>
          <t>Month-2026.M09.W38</t>
        </is>
      </c>
      <c r="H668" t="inlineStr">
        <is>
          <t>System FC - Final</t>
        </is>
      </c>
      <c r="K668" t="n">
        <v>3</v>
      </c>
      <c r="L668" t="n">
        <v>5</v>
      </c>
      <c r="M668" t="n">
        <v>4</v>
      </c>
      <c r="N668" t="n">
        <v>0</v>
      </c>
      <c r="O668" t="n">
        <v>0</v>
      </c>
      <c r="P668" t="n">
        <v>4</v>
      </c>
      <c r="Q668" t="n">
        <v>4</v>
      </c>
      <c r="R668" t="n">
        <v>3</v>
      </c>
      <c r="S668" t="n">
        <v>4</v>
      </c>
      <c r="T668" t="n">
        <v>0</v>
      </c>
    </row>
    <row r="669">
      <c r="A669" t="inlineStr">
        <is>
          <t>Gucci</t>
        </is>
      </c>
      <c r="B669" t="inlineStr">
        <is>
          <t>Gucci Guilty (00840)</t>
        </is>
      </c>
      <c r="C669" t="inlineStr">
        <is>
          <t>Gucci Guilty Elixir PF (00006600)</t>
        </is>
      </c>
      <c r="D669" s="1" t="n">
        <v>3616304175916</v>
      </c>
      <c r="E669" t="inlineStr">
        <is>
          <t>GG ELIXIR PF PRFM 60 ML IV</t>
        </is>
      </c>
      <c r="F669" t="inlineStr">
        <is>
          <t>P_US_FG</t>
        </is>
      </c>
      <c r="G669" t="inlineStr">
        <is>
          <t>Month-2026.M09.W38</t>
        </is>
      </c>
      <c r="H669" t="inlineStr">
        <is>
          <t>EPOS</t>
        </is>
      </c>
    </row>
    <row r="670">
      <c r="A670" t="inlineStr">
        <is>
          <t>Gucci</t>
        </is>
      </c>
      <c r="B670" t="inlineStr">
        <is>
          <t>Gucci Guilty (00840)</t>
        </is>
      </c>
      <c r="C670" t="inlineStr">
        <is>
          <t>Gucci Guilty Elixir PF (00006600)</t>
        </is>
      </c>
      <c r="D670" s="1" t="n">
        <v>3616304175916</v>
      </c>
      <c r="E670" t="inlineStr">
        <is>
          <t>GG ELIXIR PF PRFM 60 ML IV</t>
        </is>
      </c>
      <c r="F670" t="inlineStr">
        <is>
          <t>P_US_FG</t>
        </is>
      </c>
      <c r="G670" t="inlineStr">
        <is>
          <t>Month-2026.M09.W38</t>
        </is>
      </c>
      <c r="H670" t="inlineStr">
        <is>
          <t>Reasonability Adjustment</t>
        </is>
      </c>
    </row>
    <row r="671">
      <c r="A671" t="inlineStr">
        <is>
          <t>Gucci</t>
        </is>
      </c>
      <c r="B671" t="inlineStr">
        <is>
          <t>Gucci Guilty (00840)</t>
        </is>
      </c>
      <c r="C671" t="inlineStr">
        <is>
          <t>Gucci Guilty Elixir PF (00006600)</t>
        </is>
      </c>
      <c r="D671" s="1" t="n">
        <v>3616304175916</v>
      </c>
      <c r="E671" t="inlineStr">
        <is>
          <t>GG ELIXIR PF PRFM 60 ML IV</t>
        </is>
      </c>
      <c r="F671" t="inlineStr">
        <is>
          <t>P_US_FG</t>
        </is>
      </c>
      <c r="G671" t="inlineStr">
        <is>
          <t>Month-2026.M09.W38</t>
        </is>
      </c>
      <c r="H671" t="inlineStr">
        <is>
          <t>Total Demand Assumption</t>
        </is>
      </c>
    </row>
    <row r="672">
      <c r="A672" t="inlineStr">
        <is>
          <t>Gucci</t>
        </is>
      </c>
      <c r="B672" t="inlineStr">
        <is>
          <t>Gucci Guilty (00840)</t>
        </is>
      </c>
      <c r="C672" t="inlineStr">
        <is>
          <t>Gucci Guilty Elixir PF (00006600)</t>
        </is>
      </c>
      <c r="D672" s="1" t="n">
        <v>3616304175916</v>
      </c>
      <c r="E672" t="inlineStr">
        <is>
          <t>GG ELIXIR PF PRFM 60 ML IV</t>
        </is>
      </c>
      <c r="F672" t="inlineStr">
        <is>
          <t>P_US_FG</t>
        </is>
      </c>
      <c r="G672" t="inlineStr">
        <is>
          <t>Month-2026.M09.W38</t>
        </is>
      </c>
      <c r="H672" t="inlineStr">
        <is>
          <t>Consensus - Final</t>
        </is>
      </c>
      <c r="K672" t="n">
        <v>0</v>
      </c>
    </row>
    <row r="673">
      <c r="A673" t="inlineStr">
        <is>
          <t>Gucci</t>
        </is>
      </c>
      <c r="B673" t="inlineStr">
        <is>
          <t>Gucci Guilty (00840)</t>
        </is>
      </c>
      <c r="C673" t="inlineStr">
        <is>
          <t>Gucci Guilty Elixir PF (00006600)</t>
        </is>
      </c>
      <c r="D673" s="1" t="n">
        <v>3616304175916</v>
      </c>
      <c r="E673" t="inlineStr">
        <is>
          <t>GG ELIXIR PF PRFM 60 ML IV</t>
        </is>
      </c>
      <c r="F673" t="inlineStr">
        <is>
          <t>P_US_FG</t>
        </is>
      </c>
      <c r="G673" t="inlineStr">
        <is>
          <t>Month-2026.M09.W38</t>
        </is>
      </c>
      <c r="H673" t="inlineStr">
        <is>
          <t>Supply Cuts</t>
        </is>
      </c>
    </row>
    <row r="674">
      <c r="A674" t="inlineStr">
        <is>
          <t>Gucci</t>
        </is>
      </c>
      <c r="B674" t="inlineStr">
        <is>
          <t>Gucci Guilty (00840)</t>
        </is>
      </c>
      <c r="C674" t="inlineStr">
        <is>
          <t>Gucci Guilty Elixir PF (00006600)</t>
        </is>
      </c>
      <c r="D674" s="1" t="n">
        <v>3616304175916</v>
      </c>
      <c r="E674" t="inlineStr">
        <is>
          <t>GG ELIXIR PF PRFM 60 ML IV</t>
        </is>
      </c>
      <c r="F674" t="inlineStr">
        <is>
          <t>P_US_ULTA</t>
        </is>
      </c>
      <c r="G674" t="inlineStr">
        <is>
          <t>CurrentWorkingView</t>
        </is>
      </c>
      <c r="H674" t="inlineStr">
        <is>
          <t>Consensus - Final LY M</t>
        </is>
      </c>
      <c r="K674" t="n">
        <v>300</v>
      </c>
      <c r="Q674" t="n">
        <v>2</v>
      </c>
      <c r="S674" t="n">
        <v>9</v>
      </c>
      <c r="T674" t="n">
        <v>3</v>
      </c>
    </row>
    <row r="675">
      <c r="A675" t="inlineStr">
        <is>
          <t>Gucci</t>
        </is>
      </c>
      <c r="B675" t="inlineStr">
        <is>
          <t>Gucci Guilty (00840)</t>
        </is>
      </c>
      <c r="C675" t="inlineStr">
        <is>
          <t>Gucci Guilty Elixir PF (00006600)</t>
        </is>
      </c>
      <c r="D675" s="1" t="n">
        <v>3616304175916</v>
      </c>
      <c r="E675" t="inlineStr">
        <is>
          <t>GG ELIXIR PF PRFM 60 ML IV</t>
        </is>
      </c>
      <c r="F675" t="inlineStr">
        <is>
          <t>P_US_ULTA</t>
        </is>
      </c>
      <c r="G675" t="inlineStr">
        <is>
          <t>CurrentWorkingView</t>
        </is>
      </c>
      <c r="H675" t="inlineStr">
        <is>
          <t>System FC - Final</t>
        </is>
      </c>
      <c r="I675" t="n">
        <v>12</v>
      </c>
      <c r="J675" t="n">
        <v>8</v>
      </c>
      <c r="K675" t="n">
        <v>45</v>
      </c>
      <c r="L675" t="n">
        <v>10</v>
      </c>
      <c r="M675" t="n">
        <v>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Gucci</t>
        </is>
      </c>
      <c r="B676" t="inlineStr">
        <is>
          <t>Gucci Guilty (00840)</t>
        </is>
      </c>
      <c r="C676" t="inlineStr">
        <is>
          <t>Gucci Guilty Elixir PF (00006600)</t>
        </is>
      </c>
      <c r="D676" s="1" t="n">
        <v>3616304175916</v>
      </c>
      <c r="E676" t="inlineStr">
        <is>
          <t>GG ELIXIR PF PRFM 60 ML IV</t>
        </is>
      </c>
      <c r="F676" t="inlineStr">
        <is>
          <t>P_US_ULTA</t>
        </is>
      </c>
      <c r="G676" t="inlineStr">
        <is>
          <t>CurrentWorkingView</t>
        </is>
      </c>
      <c r="H676" t="inlineStr">
        <is>
          <t>EPOS</t>
        </is>
      </c>
      <c r="I676" t="n">
        <v>13</v>
      </c>
    </row>
    <row r="677">
      <c r="A677" t="inlineStr">
        <is>
          <t>Gucci</t>
        </is>
      </c>
      <c r="B677" t="inlineStr">
        <is>
          <t>Gucci Guilty (00840)</t>
        </is>
      </c>
      <c r="C677" t="inlineStr">
        <is>
          <t>Gucci Guilty Elixir PF (00006600)</t>
        </is>
      </c>
      <c r="D677" s="1" t="n">
        <v>3616304175916</v>
      </c>
      <c r="E677" t="inlineStr">
        <is>
          <t>GG ELIXIR PF PRFM 60 ML IV</t>
        </is>
      </c>
      <c r="F677" t="inlineStr">
        <is>
          <t>P_US_ULTA</t>
        </is>
      </c>
      <c r="G677" t="inlineStr">
        <is>
          <t>CurrentWorkingView</t>
        </is>
      </c>
      <c r="H677" t="inlineStr">
        <is>
          <t>Reasonability Adjustment</t>
        </is>
      </c>
    </row>
    <row r="678">
      <c r="A678" t="inlineStr">
        <is>
          <t>Gucci</t>
        </is>
      </c>
      <c r="B678" t="inlineStr">
        <is>
          <t>Gucci Guilty (00840)</t>
        </is>
      </c>
      <c r="C678" t="inlineStr">
        <is>
          <t>Gucci Guilty Elixir PF (00006600)</t>
        </is>
      </c>
      <c r="D678" s="1" t="n">
        <v>3616304175916</v>
      </c>
      <c r="E678" t="inlineStr">
        <is>
          <t>GG ELIXIR PF PRFM 60 ML IV</t>
        </is>
      </c>
      <c r="F678" t="inlineStr">
        <is>
          <t>P_US_ULTA</t>
        </is>
      </c>
      <c r="G678" t="inlineStr">
        <is>
          <t>CurrentWorkingView</t>
        </is>
      </c>
      <c r="H678" t="inlineStr">
        <is>
          <t>Total Demand Assumption</t>
        </is>
      </c>
      <c r="I678" t="n">
        <v>-36</v>
      </c>
      <c r="J678" t="n">
        <v>-36</v>
      </c>
      <c r="K678" t="n">
        <v>-69</v>
      </c>
      <c r="L678" t="n">
        <v>-58</v>
      </c>
      <c r="M678" t="n">
        <v>-21</v>
      </c>
      <c r="N678" t="n">
        <v>-12</v>
      </c>
    </row>
    <row r="679">
      <c r="A679" t="inlineStr">
        <is>
          <t>Gucci</t>
        </is>
      </c>
      <c r="B679" t="inlineStr">
        <is>
          <t>Gucci Guilty (00840)</t>
        </is>
      </c>
      <c r="C679" t="inlineStr">
        <is>
          <t>Gucci Guilty Elixir PF (00006600)</t>
        </is>
      </c>
      <c r="D679" s="1" t="n">
        <v>3616304175916</v>
      </c>
      <c r="E679" t="inlineStr">
        <is>
          <t>GG ELIXIR PF PRFM 60 ML IV</t>
        </is>
      </c>
      <c r="F679" t="inlineStr">
        <is>
          <t>P_US_ULTA</t>
        </is>
      </c>
      <c r="G679" t="inlineStr">
        <is>
          <t>CurrentWorkingView</t>
        </is>
      </c>
      <c r="H679" t="inlineStr">
        <is>
          <t>Consensus - Final</t>
        </is>
      </c>
      <c r="I679" t="n">
        <v>12</v>
      </c>
      <c r="J679" t="n">
        <v>8</v>
      </c>
      <c r="K679" t="n">
        <v>18</v>
      </c>
    </row>
    <row r="680">
      <c r="A680" t="inlineStr">
        <is>
          <t>Gucci</t>
        </is>
      </c>
      <c r="B680" t="inlineStr">
        <is>
          <t>Gucci Guilty (00840)</t>
        </is>
      </c>
      <c r="C680" t="inlineStr">
        <is>
          <t>Gucci Guilty Elixir PF (00006600)</t>
        </is>
      </c>
      <c r="D680" s="1" t="n">
        <v>3616304175916</v>
      </c>
      <c r="E680" t="inlineStr">
        <is>
          <t>GG ELIXIR PF PRFM 60 ML IV</t>
        </is>
      </c>
      <c r="F680" t="inlineStr">
        <is>
          <t>P_US_ULTA</t>
        </is>
      </c>
      <c r="G680" t="inlineStr">
        <is>
          <t>CurrentWorkingView</t>
        </is>
      </c>
      <c r="H680" t="inlineStr">
        <is>
          <t>Supply Cuts</t>
        </is>
      </c>
    </row>
    <row r="681">
      <c r="A681" t="inlineStr">
        <is>
          <t>Gucci</t>
        </is>
      </c>
      <c r="B681" t="inlineStr">
        <is>
          <t>Gucci Guilty (00840)</t>
        </is>
      </c>
      <c r="C681" t="inlineStr">
        <is>
          <t>Gucci Guilty Elixir PF (00006600)</t>
        </is>
      </c>
      <c r="D681" s="1" t="n">
        <v>3616304175916</v>
      </c>
      <c r="E681" t="inlineStr">
        <is>
          <t>GG ELIXIR PF PRFM 60 ML IV</t>
        </is>
      </c>
      <c r="F681" t="inlineStr">
        <is>
          <t>P_US_ULTA</t>
        </is>
      </c>
      <c r="G681" t="inlineStr">
        <is>
          <t>Month-2026.M09.W38</t>
        </is>
      </c>
      <c r="H681" t="inlineStr">
        <is>
          <t>Consensus - Final LY M</t>
        </is>
      </c>
      <c r="K681" t="n">
        <v>300</v>
      </c>
      <c r="Q681" t="n">
        <v>2</v>
      </c>
      <c r="S681" t="n">
        <v>9</v>
      </c>
      <c r="T681" t="n">
        <v>3</v>
      </c>
    </row>
    <row r="682">
      <c r="A682" t="inlineStr">
        <is>
          <t>Gucci</t>
        </is>
      </c>
      <c r="B682" t="inlineStr">
        <is>
          <t>Gucci Guilty (00840)</t>
        </is>
      </c>
      <c r="C682" t="inlineStr">
        <is>
          <t>Gucci Guilty Elixir PF (00006600)</t>
        </is>
      </c>
      <c r="D682" s="1" t="n">
        <v>3616304175916</v>
      </c>
      <c r="E682" t="inlineStr">
        <is>
          <t>GG ELIXIR PF PRFM 60 ML IV</t>
        </is>
      </c>
      <c r="F682" t="inlineStr">
        <is>
          <t>P_US_ULTA</t>
        </is>
      </c>
      <c r="G682" t="inlineStr">
        <is>
          <t>Month-2026.M09.W38</t>
        </is>
      </c>
      <c r="H682" t="inlineStr">
        <is>
          <t>System FC - Final</t>
        </is>
      </c>
      <c r="I682" t="n">
        <v>12</v>
      </c>
      <c r="J682" t="n">
        <v>8</v>
      </c>
      <c r="K682" t="n">
        <v>41</v>
      </c>
      <c r="L682" t="n">
        <v>68</v>
      </c>
      <c r="M682" t="n">
        <v>22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Gucci</t>
        </is>
      </c>
      <c r="B683" t="inlineStr">
        <is>
          <t>Gucci Guilty (00840)</t>
        </is>
      </c>
      <c r="C683" t="inlineStr">
        <is>
          <t>Gucci Guilty Elixir PF (00006600)</t>
        </is>
      </c>
      <c r="D683" s="1" t="n">
        <v>3616304175916</v>
      </c>
      <c r="E683" t="inlineStr">
        <is>
          <t>GG ELIXIR PF PRFM 60 ML IV</t>
        </is>
      </c>
      <c r="F683" t="inlineStr">
        <is>
          <t>P_US_ULTA</t>
        </is>
      </c>
      <c r="G683" t="inlineStr">
        <is>
          <t>Month-2026.M09.W38</t>
        </is>
      </c>
      <c r="H683" t="inlineStr">
        <is>
          <t>EPOS</t>
        </is>
      </c>
      <c r="I683" t="n">
        <v>13</v>
      </c>
    </row>
    <row r="684">
      <c r="A684" t="inlineStr">
        <is>
          <t>Gucci</t>
        </is>
      </c>
      <c r="B684" t="inlineStr">
        <is>
          <t>Gucci Guilty (00840)</t>
        </is>
      </c>
      <c r="C684" t="inlineStr">
        <is>
          <t>Gucci Guilty Elixir PF (00006600)</t>
        </is>
      </c>
      <c r="D684" s="1" t="n">
        <v>3616304175916</v>
      </c>
      <c r="E684" t="inlineStr">
        <is>
          <t>GG ELIXIR PF PRFM 60 ML IV</t>
        </is>
      </c>
      <c r="F684" t="inlineStr">
        <is>
          <t>P_US_ULTA</t>
        </is>
      </c>
      <c r="G684" t="inlineStr">
        <is>
          <t>Month-2026.M09.W38</t>
        </is>
      </c>
      <c r="H684" t="inlineStr">
        <is>
          <t>Reasonability Adjustment</t>
        </is>
      </c>
    </row>
    <row r="685">
      <c r="A685" t="inlineStr">
        <is>
          <t>Gucci</t>
        </is>
      </c>
      <c r="B685" t="inlineStr">
        <is>
          <t>Gucci Guilty (00840)</t>
        </is>
      </c>
      <c r="C685" t="inlineStr">
        <is>
          <t>Gucci Guilty Elixir PF (00006600)</t>
        </is>
      </c>
      <c r="D685" s="1" t="n">
        <v>3616304175916</v>
      </c>
      <c r="E685" t="inlineStr">
        <is>
          <t>GG ELIXIR PF PRFM 60 ML IV</t>
        </is>
      </c>
      <c r="F685" t="inlineStr">
        <is>
          <t>P_US_ULTA</t>
        </is>
      </c>
      <c r="G685" t="inlineStr">
        <is>
          <t>Month-2026.M09.W38</t>
        </is>
      </c>
      <c r="H685" t="inlineStr">
        <is>
          <t>Total Demand Assumption</t>
        </is>
      </c>
      <c r="I685" t="n">
        <v>-36</v>
      </c>
      <c r="J685" t="n">
        <v>-36</v>
      </c>
      <c r="K685" t="n">
        <v>-69</v>
      </c>
      <c r="L685" t="n">
        <v>-58</v>
      </c>
      <c r="M685" t="n">
        <v>-21</v>
      </c>
      <c r="N685" t="n">
        <v>-12</v>
      </c>
    </row>
    <row r="686">
      <c r="A686" t="inlineStr">
        <is>
          <t>Gucci</t>
        </is>
      </c>
      <c r="B686" t="inlineStr">
        <is>
          <t>Gucci Guilty (00840)</t>
        </is>
      </c>
      <c r="C686" t="inlineStr">
        <is>
          <t>Gucci Guilty Elixir PF (00006600)</t>
        </is>
      </c>
      <c r="D686" s="1" t="n">
        <v>3616304175916</v>
      </c>
      <c r="E686" t="inlineStr">
        <is>
          <t>GG ELIXIR PF PRFM 60 ML IV</t>
        </is>
      </c>
      <c r="F686" t="inlineStr">
        <is>
          <t>P_US_ULTA</t>
        </is>
      </c>
      <c r="G686" t="inlineStr">
        <is>
          <t>Month-2026.M09.W38</t>
        </is>
      </c>
      <c r="H686" t="inlineStr">
        <is>
          <t>Consensus - Final</t>
        </is>
      </c>
      <c r="I686" t="n">
        <v>12</v>
      </c>
      <c r="J686" t="n">
        <v>8</v>
      </c>
      <c r="K686" t="n">
        <v>1</v>
      </c>
      <c r="L686" t="n">
        <v>20</v>
      </c>
      <c r="M686" t="n">
        <v>6</v>
      </c>
    </row>
    <row r="687">
      <c r="A687" t="inlineStr">
        <is>
          <t>Gucci</t>
        </is>
      </c>
      <c r="B687" t="inlineStr">
        <is>
          <t>Gucci Guilty (00840)</t>
        </is>
      </c>
      <c r="C687" t="inlineStr">
        <is>
          <t>Gucci Guilty Elixir PF (00006600)</t>
        </is>
      </c>
      <c r="D687" s="1" t="n">
        <v>3616304175916</v>
      </c>
      <c r="E687" t="inlineStr">
        <is>
          <t>GG ELIXIR PF PRFM 60 ML IV</t>
        </is>
      </c>
      <c r="F687" t="inlineStr">
        <is>
          <t>P_US_ULTA</t>
        </is>
      </c>
      <c r="G687" t="inlineStr">
        <is>
          <t>Month-2026.M09.W38</t>
        </is>
      </c>
      <c r="H687" t="inlineStr">
        <is>
          <t>Supply Cuts</t>
        </is>
      </c>
    </row>
    <row r="688">
      <c r="A688" t="inlineStr">
        <is>
          <t>Gucci</t>
        </is>
      </c>
      <c r="B688" t="inlineStr">
        <is>
          <t>Gucci Bloom (01043)</t>
        </is>
      </c>
      <c r="C688" t="inlineStr">
        <is>
          <t>Gucci Bloom EDP Intense (00006292)</t>
        </is>
      </c>
      <c r="D688" s="1" t="n">
        <v>3616304249716</v>
      </c>
      <c r="E688" t="inlineStr">
        <is>
          <t>GUCCI BM EDPIN EDP 100 ML IV</t>
        </is>
      </c>
      <c r="F688" t="inlineStr">
        <is>
          <t>P_US_ALL_OTHERS</t>
        </is>
      </c>
      <c r="G688" t="inlineStr">
        <is>
          <t>CurrentWorkingView</t>
        </is>
      </c>
      <c r="H688" t="inlineStr">
        <is>
          <t>Consensus - Final LY M</t>
        </is>
      </c>
      <c r="I688" t="n">
        <v>3060</v>
      </c>
      <c r="J688" t="n">
        <v>1688</v>
      </c>
      <c r="K688" t="n">
        <v>2581</v>
      </c>
      <c r="L688" t="n">
        <v>1944</v>
      </c>
      <c r="M688" t="n">
        <v>420</v>
      </c>
      <c r="N688" t="n">
        <v>3448</v>
      </c>
      <c r="O688" t="n">
        <v>388</v>
      </c>
      <c r="P688" t="n">
        <v>1803</v>
      </c>
      <c r="Q688" t="n">
        <v>1110</v>
      </c>
      <c r="R688" t="n">
        <v>990</v>
      </c>
      <c r="S688" t="n">
        <v>967</v>
      </c>
      <c r="T688" t="n">
        <v>392</v>
      </c>
    </row>
    <row r="689">
      <c r="A689" t="inlineStr">
        <is>
          <t>Gucci</t>
        </is>
      </c>
      <c r="B689" t="inlineStr">
        <is>
          <t>Gucci Bloom (01043)</t>
        </is>
      </c>
      <c r="C689" t="inlineStr">
        <is>
          <t>Gucci Bloom EDP Intense (00006292)</t>
        </is>
      </c>
      <c r="D689" s="1" t="n">
        <v>3616304249716</v>
      </c>
      <c r="E689" t="inlineStr">
        <is>
          <t>GUCCI BM EDPIN EDP 100 ML IV</t>
        </is>
      </c>
      <c r="F689" t="inlineStr">
        <is>
          <t>P_US_ALL_OTHERS</t>
        </is>
      </c>
      <c r="G689" t="inlineStr">
        <is>
          <t>CurrentWorkingView</t>
        </is>
      </c>
      <c r="H689" t="inlineStr">
        <is>
          <t>System FC - Final</t>
        </is>
      </c>
      <c r="I689" t="n">
        <v>387</v>
      </c>
      <c r="J689" t="n">
        <v>448</v>
      </c>
      <c r="K689" t="n">
        <v>1190</v>
      </c>
      <c r="L689" t="n">
        <v>1416</v>
      </c>
      <c r="M689" t="n">
        <v>863</v>
      </c>
      <c r="N689" t="n">
        <v>1656</v>
      </c>
      <c r="O689" t="n">
        <v>859</v>
      </c>
      <c r="P689" t="n">
        <v>1112</v>
      </c>
      <c r="Q689" t="n">
        <v>904</v>
      </c>
      <c r="R689" t="n">
        <v>815</v>
      </c>
      <c r="S689" t="n">
        <v>1523</v>
      </c>
      <c r="T689" t="n">
        <v>806</v>
      </c>
    </row>
    <row r="690">
      <c r="A690" t="inlineStr">
        <is>
          <t>Gucci</t>
        </is>
      </c>
      <c r="B690" t="inlineStr">
        <is>
          <t>Gucci Bloom (01043)</t>
        </is>
      </c>
      <c r="C690" t="inlineStr">
        <is>
          <t>Gucci Bloom EDP Intense (00006292)</t>
        </is>
      </c>
      <c r="D690" s="1" t="n">
        <v>3616304249716</v>
      </c>
      <c r="E690" t="inlineStr">
        <is>
          <t>GUCCI BM EDPIN EDP 100 ML IV</t>
        </is>
      </c>
      <c r="F690" t="inlineStr">
        <is>
          <t>P_US_ALL_OTHERS</t>
        </is>
      </c>
      <c r="G690" t="inlineStr">
        <is>
          <t>CurrentWorkingView</t>
        </is>
      </c>
      <c r="H690" t="inlineStr">
        <is>
          <t>EPOS</t>
        </is>
      </c>
      <c r="I690" t="n">
        <v>390</v>
      </c>
    </row>
    <row r="691">
      <c r="A691" t="inlineStr">
        <is>
          <t>Gucci</t>
        </is>
      </c>
      <c r="B691" t="inlineStr">
        <is>
          <t>Gucci Bloom (01043)</t>
        </is>
      </c>
      <c r="C691" t="inlineStr">
        <is>
          <t>Gucci Bloom EDP Intense (00006292)</t>
        </is>
      </c>
      <c r="D691" s="1" t="n">
        <v>3616304249716</v>
      </c>
      <c r="E691" t="inlineStr">
        <is>
          <t>GUCCI BM EDPIN EDP 100 ML IV</t>
        </is>
      </c>
      <c r="F691" t="inlineStr">
        <is>
          <t>P_US_ALL_OTHERS</t>
        </is>
      </c>
      <c r="G691" t="inlineStr">
        <is>
          <t>CurrentWorkingView</t>
        </is>
      </c>
      <c r="H691" t="inlineStr">
        <is>
          <t>Reasonability Adjustment</t>
        </is>
      </c>
      <c r="K691" t="n">
        <v>-181</v>
      </c>
      <c r="L691" t="n">
        <v>-329</v>
      </c>
      <c r="M691" t="n">
        <v>-470</v>
      </c>
      <c r="N691" t="n">
        <v>0</v>
      </c>
      <c r="O691" t="n">
        <v>0</v>
      </c>
      <c r="P691" t="n">
        <v>0</v>
      </c>
      <c r="Q691" t="n">
        <v>-748</v>
      </c>
      <c r="R691" t="n">
        <v>-1035</v>
      </c>
    </row>
    <row r="692">
      <c r="A692" t="inlineStr">
        <is>
          <t>Gucci</t>
        </is>
      </c>
      <c r="B692" t="inlineStr">
        <is>
          <t>Gucci Bloom (01043)</t>
        </is>
      </c>
      <c r="C692" t="inlineStr">
        <is>
          <t>Gucci Bloom EDP Intense (00006292)</t>
        </is>
      </c>
      <c r="D692" s="1" t="n">
        <v>3616304249716</v>
      </c>
      <c r="E692" t="inlineStr">
        <is>
          <t>GUCCI BM EDPIN EDP 100 ML IV</t>
        </is>
      </c>
      <c r="F692" t="inlineStr">
        <is>
          <t>P_US_ALL_OTHERS</t>
        </is>
      </c>
      <c r="G692" t="inlineStr">
        <is>
          <t>CurrentWorkingView</t>
        </is>
      </c>
      <c r="H692" t="inlineStr">
        <is>
          <t>Total Demand Assumption</t>
        </is>
      </c>
      <c r="I692" t="n">
        <v>-241</v>
      </c>
      <c r="J692" t="n">
        <v>782</v>
      </c>
      <c r="K692" t="n">
        <v>3689</v>
      </c>
      <c r="L692" t="n">
        <v>-228</v>
      </c>
      <c r="M692" t="n">
        <v>-150</v>
      </c>
      <c r="N692" t="n">
        <v>-215</v>
      </c>
    </row>
    <row r="693">
      <c r="A693" t="inlineStr">
        <is>
          <t>Gucci</t>
        </is>
      </c>
      <c r="B693" t="inlineStr">
        <is>
          <t>Gucci Bloom (01043)</t>
        </is>
      </c>
      <c r="C693" t="inlineStr">
        <is>
          <t>Gucci Bloom EDP Intense (00006292)</t>
        </is>
      </c>
      <c r="D693" s="1" t="n">
        <v>3616304249716</v>
      </c>
      <c r="E693" t="inlineStr">
        <is>
          <t>GUCCI BM EDPIN EDP 100 ML IV</t>
        </is>
      </c>
      <c r="F693" t="inlineStr">
        <is>
          <t>P_US_ALL_OTHERS</t>
        </is>
      </c>
      <c r="G693" t="inlineStr">
        <is>
          <t>CurrentWorkingView</t>
        </is>
      </c>
      <c r="H693" t="inlineStr">
        <is>
          <t>Consensus - Final</t>
        </is>
      </c>
      <c r="I693" t="n">
        <v>387</v>
      </c>
      <c r="J693" t="n">
        <v>448</v>
      </c>
      <c r="K693" t="n">
        <v>5462.09248554913</v>
      </c>
      <c r="L693" t="n">
        <v>909</v>
      </c>
      <c r="M693" t="n">
        <v>284</v>
      </c>
      <c r="N693" t="n">
        <v>1441</v>
      </c>
      <c r="O693" t="n">
        <v>859</v>
      </c>
      <c r="P693" t="n">
        <v>1112</v>
      </c>
      <c r="Q693" t="n">
        <v>156</v>
      </c>
      <c r="S693" t="n">
        <v>1523</v>
      </c>
      <c r="T693" t="n">
        <v>806</v>
      </c>
    </row>
    <row r="694">
      <c r="A694" t="inlineStr">
        <is>
          <t>Gucci</t>
        </is>
      </c>
      <c r="B694" t="inlineStr">
        <is>
          <t>Gucci Bloom (01043)</t>
        </is>
      </c>
      <c r="C694" t="inlineStr">
        <is>
          <t>Gucci Bloom EDP Intense (00006292)</t>
        </is>
      </c>
      <c r="D694" s="1" t="n">
        <v>3616304249716</v>
      </c>
      <c r="E694" t="inlineStr">
        <is>
          <t>GUCCI BM EDPIN EDP 100 ML IV</t>
        </is>
      </c>
      <c r="F694" t="inlineStr">
        <is>
          <t>P_US_ALL_OTHERS</t>
        </is>
      </c>
      <c r="G694" t="inlineStr">
        <is>
          <t>CurrentWorkingView</t>
        </is>
      </c>
      <c r="H694" t="inlineStr">
        <is>
          <t>Supply Cuts</t>
        </is>
      </c>
    </row>
    <row r="695">
      <c r="A695" t="inlineStr">
        <is>
          <t>Gucci</t>
        </is>
      </c>
      <c r="B695" t="inlineStr">
        <is>
          <t>Gucci Bloom (01043)</t>
        </is>
      </c>
      <c r="C695" t="inlineStr">
        <is>
          <t>Gucci Bloom EDP Intense (00006292)</t>
        </is>
      </c>
      <c r="D695" s="1" t="n">
        <v>3616304249716</v>
      </c>
      <c r="E695" t="inlineStr">
        <is>
          <t>GUCCI BM EDPIN EDP 100 ML IV</t>
        </is>
      </c>
      <c r="F695" t="inlineStr">
        <is>
          <t>P_US_ALL_OTHERS</t>
        </is>
      </c>
      <c r="G695" t="inlineStr">
        <is>
          <t>Month-2026.M09.W38</t>
        </is>
      </c>
      <c r="H695" t="inlineStr">
        <is>
          <t>Consensus - Final LY M</t>
        </is>
      </c>
      <c r="I695" t="n">
        <v>3060</v>
      </c>
      <c r="J695" t="n">
        <v>1688</v>
      </c>
      <c r="K695" t="n">
        <v>2581</v>
      </c>
      <c r="L695" t="n">
        <v>1944</v>
      </c>
      <c r="M695" t="n">
        <v>420</v>
      </c>
      <c r="N695" t="n">
        <v>3448</v>
      </c>
      <c r="O695" t="n">
        <v>388</v>
      </c>
      <c r="P695" t="n">
        <v>1803</v>
      </c>
      <c r="Q695" t="n">
        <v>1110</v>
      </c>
      <c r="R695" t="n">
        <v>990</v>
      </c>
      <c r="S695" t="n">
        <v>967</v>
      </c>
      <c r="T695" t="n">
        <v>392</v>
      </c>
    </row>
    <row r="696">
      <c r="A696" t="inlineStr">
        <is>
          <t>Gucci</t>
        </is>
      </c>
      <c r="B696" t="inlineStr">
        <is>
          <t>Gucci Bloom (01043)</t>
        </is>
      </c>
      <c r="C696" t="inlineStr">
        <is>
          <t>Gucci Bloom EDP Intense (00006292)</t>
        </is>
      </c>
      <c r="D696" s="1" t="n">
        <v>3616304249716</v>
      </c>
      <c r="E696" t="inlineStr">
        <is>
          <t>GUCCI BM EDPIN EDP 100 ML IV</t>
        </is>
      </c>
      <c r="F696" t="inlineStr">
        <is>
          <t>P_US_ALL_OTHERS</t>
        </is>
      </c>
      <c r="G696" t="inlineStr">
        <is>
          <t>Month-2026.M09.W38</t>
        </is>
      </c>
      <c r="H696" t="inlineStr">
        <is>
          <t>System FC - Final</t>
        </is>
      </c>
      <c r="I696" t="n">
        <v>387</v>
      </c>
      <c r="J696" t="n">
        <v>448</v>
      </c>
      <c r="K696" t="n">
        <v>1166</v>
      </c>
      <c r="L696" t="n">
        <v>1617</v>
      </c>
      <c r="M696" t="n">
        <v>1552</v>
      </c>
      <c r="N696" t="n">
        <v>1873</v>
      </c>
      <c r="O696" t="n">
        <v>1209</v>
      </c>
      <c r="P696" t="n">
        <v>1428</v>
      </c>
      <c r="Q696" t="n">
        <v>1546</v>
      </c>
      <c r="R696" t="n">
        <v>1513</v>
      </c>
      <c r="S696" t="n">
        <v>1236</v>
      </c>
      <c r="T696" t="n">
        <v>852</v>
      </c>
    </row>
    <row r="697">
      <c r="A697" t="inlineStr">
        <is>
          <t>Gucci</t>
        </is>
      </c>
      <c r="B697" t="inlineStr">
        <is>
          <t>Gucci Bloom (01043)</t>
        </is>
      </c>
      <c r="C697" t="inlineStr">
        <is>
          <t>Gucci Bloom EDP Intense (00006292)</t>
        </is>
      </c>
      <c r="D697" s="1" t="n">
        <v>3616304249716</v>
      </c>
      <c r="E697" t="inlineStr">
        <is>
          <t>GUCCI BM EDPIN EDP 100 ML IV</t>
        </is>
      </c>
      <c r="F697" t="inlineStr">
        <is>
          <t>P_US_ALL_OTHERS</t>
        </is>
      </c>
      <c r="G697" t="inlineStr">
        <is>
          <t>Month-2026.M09.W38</t>
        </is>
      </c>
      <c r="H697" t="inlineStr">
        <is>
          <t>EPOS</t>
        </is>
      </c>
      <c r="I697" t="n">
        <v>390</v>
      </c>
    </row>
    <row r="698">
      <c r="A698" t="inlineStr">
        <is>
          <t>Gucci</t>
        </is>
      </c>
      <c r="B698" t="inlineStr">
        <is>
          <t>Gucci Bloom (01043)</t>
        </is>
      </c>
      <c r="C698" t="inlineStr">
        <is>
          <t>Gucci Bloom EDP Intense (00006292)</t>
        </is>
      </c>
      <c r="D698" s="1" t="n">
        <v>3616304249716</v>
      </c>
      <c r="E698" t="inlineStr">
        <is>
          <t>GUCCI BM EDPIN EDP 100 ML IV</t>
        </is>
      </c>
      <c r="F698" t="inlineStr">
        <is>
          <t>P_US_ALL_OTHERS</t>
        </is>
      </c>
      <c r="G698" t="inlineStr">
        <is>
          <t>Month-2026.M09.W38</t>
        </is>
      </c>
      <c r="H698" t="inlineStr">
        <is>
          <t>Reasonability Adjustment</t>
        </is>
      </c>
      <c r="K698" t="n">
        <v>-181</v>
      </c>
      <c r="L698" t="n">
        <v>-329</v>
      </c>
      <c r="M698" t="n">
        <v>-470</v>
      </c>
      <c r="N698" t="n">
        <v>0</v>
      </c>
      <c r="O698" t="n">
        <v>0</v>
      </c>
      <c r="P698" t="n">
        <v>0</v>
      </c>
      <c r="Q698" t="n">
        <v>-748</v>
      </c>
      <c r="R698" t="n">
        <v>-1035</v>
      </c>
    </row>
    <row r="699">
      <c r="A699" t="inlineStr">
        <is>
          <t>Gucci</t>
        </is>
      </c>
      <c r="B699" t="inlineStr">
        <is>
          <t>Gucci Bloom (01043)</t>
        </is>
      </c>
      <c r="C699" t="inlineStr">
        <is>
          <t>Gucci Bloom EDP Intense (00006292)</t>
        </is>
      </c>
      <c r="D699" s="1" t="n">
        <v>3616304249716</v>
      </c>
      <c r="E699" t="inlineStr">
        <is>
          <t>GUCCI BM EDPIN EDP 100 ML IV</t>
        </is>
      </c>
      <c r="F699" t="inlineStr">
        <is>
          <t>P_US_ALL_OTHERS</t>
        </is>
      </c>
      <c r="G699" t="inlineStr">
        <is>
          <t>Month-2026.M09.W38</t>
        </is>
      </c>
      <c r="H699" t="inlineStr">
        <is>
          <t>Total Demand Assumption</t>
        </is>
      </c>
      <c r="I699" t="n">
        <v>-241</v>
      </c>
      <c r="J699" t="n">
        <v>782</v>
      </c>
      <c r="K699" t="n">
        <v>3689</v>
      </c>
      <c r="L699" t="n">
        <v>-228</v>
      </c>
      <c r="M699" t="n">
        <v>-150</v>
      </c>
      <c r="N699" t="n">
        <v>-215</v>
      </c>
    </row>
    <row r="700">
      <c r="A700" t="inlineStr">
        <is>
          <t>Gucci</t>
        </is>
      </c>
      <c r="B700" t="inlineStr">
        <is>
          <t>Gucci Bloom (01043)</t>
        </is>
      </c>
      <c r="C700" t="inlineStr">
        <is>
          <t>Gucci Bloom EDP Intense (00006292)</t>
        </is>
      </c>
      <c r="D700" s="1" t="n">
        <v>3616304249716</v>
      </c>
      <c r="E700" t="inlineStr">
        <is>
          <t>GUCCI BM EDPIN EDP 100 ML IV</t>
        </is>
      </c>
      <c r="F700" t="inlineStr">
        <is>
          <t>P_US_ALL_OTHERS</t>
        </is>
      </c>
      <c r="G700" t="inlineStr">
        <is>
          <t>Month-2026.M09.W38</t>
        </is>
      </c>
      <c r="H700" t="inlineStr">
        <is>
          <t>Consensus - Final</t>
        </is>
      </c>
      <c r="I700" t="n">
        <v>387</v>
      </c>
      <c r="J700" t="n">
        <v>448</v>
      </c>
      <c r="K700" t="n">
        <v>5462.09248554913</v>
      </c>
      <c r="L700" t="n">
        <v>1060</v>
      </c>
      <c r="M700" t="n">
        <v>932</v>
      </c>
      <c r="N700" t="n">
        <v>1658</v>
      </c>
      <c r="O700" t="n">
        <v>1209</v>
      </c>
      <c r="P700" t="n">
        <v>1428</v>
      </c>
      <c r="Q700" t="n">
        <v>798</v>
      </c>
      <c r="R700" t="n">
        <v>478</v>
      </c>
      <c r="S700" t="n">
        <v>1236</v>
      </c>
      <c r="T700" t="n">
        <v>852</v>
      </c>
    </row>
    <row r="701">
      <c r="A701" t="inlineStr">
        <is>
          <t>Gucci</t>
        </is>
      </c>
      <c r="B701" t="inlineStr">
        <is>
          <t>Gucci Bloom (01043)</t>
        </is>
      </c>
      <c r="C701" t="inlineStr">
        <is>
          <t>Gucci Bloom EDP Intense (00006292)</t>
        </is>
      </c>
      <c r="D701" s="1" t="n">
        <v>3616304249716</v>
      </c>
      <c r="E701" t="inlineStr">
        <is>
          <t>GUCCI BM EDPIN EDP 100 ML IV</t>
        </is>
      </c>
      <c r="F701" t="inlineStr">
        <is>
          <t>P_US_ALL_OTHERS</t>
        </is>
      </c>
      <c r="G701" t="inlineStr">
        <is>
          <t>Month-2026.M09.W38</t>
        </is>
      </c>
      <c r="H701" t="inlineStr">
        <is>
          <t>Supply Cuts</t>
        </is>
      </c>
    </row>
    <row r="702">
      <c r="A702" t="inlineStr">
        <is>
          <t>Gucci</t>
        </is>
      </c>
      <c r="B702" t="inlineStr">
        <is>
          <t>Gucci Bloom (01043)</t>
        </is>
      </c>
      <c r="C702" t="inlineStr">
        <is>
          <t>Gucci Bloom EDP Intense (00006292)</t>
        </is>
      </c>
      <c r="D702" s="1" t="n">
        <v>3616304249716</v>
      </c>
      <c r="E702" t="inlineStr">
        <is>
          <t>GUCCI BM EDPIN EDP 100 ML IV</t>
        </is>
      </c>
      <c r="F702" t="inlineStr">
        <is>
          <t>P_US_FG</t>
        </is>
      </c>
      <c r="G702" t="inlineStr">
        <is>
          <t>CurrentWorkingView</t>
        </is>
      </c>
      <c r="H702" t="inlineStr">
        <is>
          <t>Consensus - Final LY M</t>
        </is>
      </c>
      <c r="K702" t="n">
        <v>1</v>
      </c>
      <c r="P702" t="n">
        <v>15</v>
      </c>
      <c r="R702" t="n">
        <v>2</v>
      </c>
    </row>
    <row r="703">
      <c r="A703" t="inlineStr">
        <is>
          <t>Gucci</t>
        </is>
      </c>
      <c r="B703" t="inlineStr">
        <is>
          <t>Gucci Bloom (01043)</t>
        </is>
      </c>
      <c r="C703" t="inlineStr">
        <is>
          <t>Gucci Bloom EDP Intense (00006292)</t>
        </is>
      </c>
      <c r="D703" s="1" t="n">
        <v>3616304249716</v>
      </c>
      <c r="E703" t="inlineStr">
        <is>
          <t>GUCCI BM EDPIN EDP 100 ML IV</t>
        </is>
      </c>
      <c r="F703" t="inlineStr">
        <is>
          <t>P_US_FG</t>
        </is>
      </c>
      <c r="G703" t="inlineStr">
        <is>
          <t>CurrentWorkingView</t>
        </is>
      </c>
      <c r="H703" t="inlineStr">
        <is>
          <t>System FC - Final</t>
        </is>
      </c>
      <c r="I703" t="n">
        <v>1</v>
      </c>
      <c r="K703" t="n">
        <v>160</v>
      </c>
      <c r="L703" t="n">
        <v>0</v>
      </c>
      <c r="M703" t="n">
        <v>0</v>
      </c>
      <c r="N703" t="n">
        <v>0</v>
      </c>
      <c r="O703" t="n">
        <v>0</v>
      </c>
      <c r="P703" t="n">
        <v>4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Gucci</t>
        </is>
      </c>
      <c r="B704" t="inlineStr">
        <is>
          <t>Gucci Bloom (01043)</t>
        </is>
      </c>
      <c r="C704" t="inlineStr">
        <is>
          <t>Gucci Bloom EDP Intense (00006292)</t>
        </is>
      </c>
      <c r="D704" s="1" t="n">
        <v>3616304249716</v>
      </c>
      <c r="E704" t="inlineStr">
        <is>
          <t>GUCCI BM EDPIN EDP 100 ML IV</t>
        </is>
      </c>
      <c r="F704" t="inlineStr">
        <is>
          <t>P_US_FG</t>
        </is>
      </c>
      <c r="G704" t="inlineStr">
        <is>
          <t>CurrentWorkingView</t>
        </is>
      </c>
      <c r="H704" t="inlineStr">
        <is>
          <t>EPOS</t>
        </is>
      </c>
    </row>
    <row r="705">
      <c r="A705" t="inlineStr">
        <is>
          <t>Gucci</t>
        </is>
      </c>
      <c r="B705" t="inlineStr">
        <is>
          <t>Gucci Bloom (01043)</t>
        </is>
      </c>
      <c r="C705" t="inlineStr">
        <is>
          <t>Gucci Bloom EDP Intense (00006292)</t>
        </is>
      </c>
      <c r="D705" s="1" t="n">
        <v>3616304249716</v>
      </c>
      <c r="E705" t="inlineStr">
        <is>
          <t>GUCCI BM EDPIN EDP 100 ML IV</t>
        </is>
      </c>
      <c r="F705" t="inlineStr">
        <is>
          <t>P_US_FG</t>
        </is>
      </c>
      <c r="G705" t="inlineStr">
        <is>
          <t>CurrentWorkingView</t>
        </is>
      </c>
      <c r="H705" t="inlineStr">
        <is>
          <t>Reasonability Adjustment</t>
        </is>
      </c>
    </row>
    <row r="706">
      <c r="A706" t="inlineStr">
        <is>
          <t>Gucci</t>
        </is>
      </c>
      <c r="B706" t="inlineStr">
        <is>
          <t>Gucci Bloom (01043)</t>
        </is>
      </c>
      <c r="C706" t="inlineStr">
        <is>
          <t>Gucci Bloom EDP Intense (00006292)</t>
        </is>
      </c>
      <c r="D706" s="1" t="n">
        <v>3616304249716</v>
      </c>
      <c r="E706" t="inlineStr">
        <is>
          <t>GUCCI BM EDPIN EDP 100 ML IV</t>
        </is>
      </c>
      <c r="F706" t="inlineStr">
        <is>
          <t>P_US_FG</t>
        </is>
      </c>
      <c r="G706" t="inlineStr">
        <is>
          <t>CurrentWorkingView</t>
        </is>
      </c>
      <c r="H706" t="inlineStr">
        <is>
          <t>Total Demand Assumption</t>
        </is>
      </c>
    </row>
    <row r="707">
      <c r="A707" t="inlineStr">
        <is>
          <t>Gucci</t>
        </is>
      </c>
      <c r="B707" t="inlineStr">
        <is>
          <t>Gucci Bloom (01043)</t>
        </is>
      </c>
      <c r="C707" t="inlineStr">
        <is>
          <t>Gucci Bloom EDP Intense (00006292)</t>
        </is>
      </c>
      <c r="D707" s="1" t="n">
        <v>3616304249716</v>
      </c>
      <c r="E707" t="inlineStr">
        <is>
          <t>GUCCI BM EDPIN EDP 100 ML IV</t>
        </is>
      </c>
      <c r="F707" t="inlineStr">
        <is>
          <t>P_US_FG</t>
        </is>
      </c>
      <c r="G707" t="inlineStr">
        <is>
          <t>CurrentWorkingView</t>
        </is>
      </c>
      <c r="H707" t="inlineStr">
        <is>
          <t>Consensus - Final</t>
        </is>
      </c>
      <c r="I707" t="n">
        <v>1</v>
      </c>
      <c r="K707" t="n">
        <v>160</v>
      </c>
    </row>
    <row r="708">
      <c r="A708" t="inlineStr">
        <is>
          <t>Gucci</t>
        </is>
      </c>
      <c r="B708" t="inlineStr">
        <is>
          <t>Gucci Bloom (01043)</t>
        </is>
      </c>
      <c r="C708" t="inlineStr">
        <is>
          <t>Gucci Bloom EDP Intense (00006292)</t>
        </is>
      </c>
      <c r="D708" s="1" t="n">
        <v>3616304249716</v>
      </c>
      <c r="E708" t="inlineStr">
        <is>
          <t>GUCCI BM EDPIN EDP 100 ML IV</t>
        </is>
      </c>
      <c r="F708" t="inlineStr">
        <is>
          <t>P_US_FG</t>
        </is>
      </c>
      <c r="G708" t="inlineStr">
        <is>
          <t>CurrentWorkingView</t>
        </is>
      </c>
      <c r="H708" t="inlineStr">
        <is>
          <t>Supply Cuts</t>
        </is>
      </c>
    </row>
    <row r="709">
      <c r="A709" t="inlineStr">
        <is>
          <t>Gucci</t>
        </is>
      </c>
      <c r="B709" t="inlineStr">
        <is>
          <t>Gucci Bloom (01043)</t>
        </is>
      </c>
      <c r="C709" t="inlineStr">
        <is>
          <t>Gucci Bloom EDP Intense (00006292)</t>
        </is>
      </c>
      <c r="D709" s="1" t="n">
        <v>3616304249716</v>
      </c>
      <c r="E709" t="inlineStr">
        <is>
          <t>GUCCI BM EDPIN EDP 100 ML IV</t>
        </is>
      </c>
      <c r="F709" t="inlineStr">
        <is>
          <t>P_US_FG</t>
        </is>
      </c>
      <c r="G709" t="inlineStr">
        <is>
          <t>Month-2026.M09.W38</t>
        </is>
      </c>
      <c r="H709" t="inlineStr">
        <is>
          <t>Consensus - Final LY M</t>
        </is>
      </c>
      <c r="K709" t="n">
        <v>1</v>
      </c>
      <c r="P709" t="n">
        <v>15</v>
      </c>
      <c r="R709" t="n">
        <v>2</v>
      </c>
    </row>
    <row r="710">
      <c r="A710" t="inlineStr">
        <is>
          <t>Gucci</t>
        </is>
      </c>
      <c r="B710" t="inlineStr">
        <is>
          <t>Gucci Bloom (01043)</t>
        </is>
      </c>
      <c r="C710" t="inlineStr">
        <is>
          <t>Gucci Bloom EDP Intense (00006292)</t>
        </is>
      </c>
      <c r="D710" s="1" t="n">
        <v>3616304249716</v>
      </c>
      <c r="E710" t="inlineStr">
        <is>
          <t>GUCCI BM EDPIN EDP 100 ML IV</t>
        </is>
      </c>
      <c r="F710" t="inlineStr">
        <is>
          <t>P_US_FG</t>
        </is>
      </c>
      <c r="G710" t="inlineStr">
        <is>
          <t>Month-2026.M09.W38</t>
        </is>
      </c>
      <c r="H710" t="inlineStr">
        <is>
          <t>System FC - Final</t>
        </is>
      </c>
      <c r="I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4</v>
      </c>
      <c r="P710" t="n">
        <v>4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Gucci</t>
        </is>
      </c>
      <c r="B711" t="inlineStr">
        <is>
          <t>Gucci Bloom (01043)</t>
        </is>
      </c>
      <c r="C711" t="inlineStr">
        <is>
          <t>Gucci Bloom EDP Intense (00006292)</t>
        </is>
      </c>
      <c r="D711" s="1" t="n">
        <v>3616304249716</v>
      </c>
      <c r="E711" t="inlineStr">
        <is>
          <t>GUCCI BM EDPIN EDP 100 ML IV</t>
        </is>
      </c>
      <c r="F711" t="inlineStr">
        <is>
          <t>P_US_FG</t>
        </is>
      </c>
      <c r="G711" t="inlineStr">
        <is>
          <t>Month-2026.M09.W38</t>
        </is>
      </c>
      <c r="H711" t="inlineStr">
        <is>
          <t>EPOS</t>
        </is>
      </c>
    </row>
    <row r="712">
      <c r="A712" t="inlineStr">
        <is>
          <t>Gucci</t>
        </is>
      </c>
      <c r="B712" t="inlineStr">
        <is>
          <t>Gucci Bloom (01043)</t>
        </is>
      </c>
      <c r="C712" t="inlineStr">
        <is>
          <t>Gucci Bloom EDP Intense (00006292)</t>
        </is>
      </c>
      <c r="D712" s="1" t="n">
        <v>3616304249716</v>
      </c>
      <c r="E712" t="inlineStr">
        <is>
          <t>GUCCI BM EDPIN EDP 100 ML IV</t>
        </is>
      </c>
      <c r="F712" t="inlineStr">
        <is>
          <t>P_US_FG</t>
        </is>
      </c>
      <c r="G712" t="inlineStr">
        <is>
          <t>Month-2026.M09.W38</t>
        </is>
      </c>
      <c r="H712" t="inlineStr">
        <is>
          <t>Reasonability Adjustment</t>
        </is>
      </c>
    </row>
    <row r="713">
      <c r="A713" t="inlineStr">
        <is>
          <t>Gucci</t>
        </is>
      </c>
      <c r="B713" t="inlineStr">
        <is>
          <t>Gucci Bloom (01043)</t>
        </is>
      </c>
      <c r="C713" t="inlineStr">
        <is>
          <t>Gucci Bloom EDP Intense (00006292)</t>
        </is>
      </c>
      <c r="D713" s="1" t="n">
        <v>3616304249716</v>
      </c>
      <c r="E713" t="inlineStr">
        <is>
          <t>GUCCI BM EDPIN EDP 100 ML IV</t>
        </is>
      </c>
      <c r="F713" t="inlineStr">
        <is>
          <t>P_US_FG</t>
        </is>
      </c>
      <c r="G713" t="inlineStr">
        <is>
          <t>Month-2026.M09.W38</t>
        </is>
      </c>
      <c r="H713" t="inlineStr">
        <is>
          <t>Total Demand Assumption</t>
        </is>
      </c>
    </row>
    <row r="714">
      <c r="A714" t="inlineStr">
        <is>
          <t>Gucci</t>
        </is>
      </c>
      <c r="B714" t="inlineStr">
        <is>
          <t>Gucci Bloom (01043)</t>
        </is>
      </c>
      <c r="C714" t="inlineStr">
        <is>
          <t>Gucci Bloom EDP Intense (00006292)</t>
        </is>
      </c>
      <c r="D714" s="1" t="n">
        <v>3616304249716</v>
      </c>
      <c r="E714" t="inlineStr">
        <is>
          <t>GUCCI BM EDPIN EDP 100 ML IV</t>
        </is>
      </c>
      <c r="F714" t="inlineStr">
        <is>
          <t>P_US_FG</t>
        </is>
      </c>
      <c r="G714" t="inlineStr">
        <is>
          <t>Month-2026.M09.W38</t>
        </is>
      </c>
      <c r="H714" t="inlineStr">
        <is>
          <t>Consensus - Final</t>
        </is>
      </c>
      <c r="I714" t="n">
        <v>1</v>
      </c>
      <c r="K714" t="n">
        <v>0</v>
      </c>
    </row>
    <row r="715">
      <c r="A715" t="inlineStr">
        <is>
          <t>Gucci</t>
        </is>
      </c>
      <c r="B715" t="inlineStr">
        <is>
          <t>Gucci Bloom (01043)</t>
        </is>
      </c>
      <c r="C715" t="inlineStr">
        <is>
          <t>Gucci Bloom EDP Intense (00006292)</t>
        </is>
      </c>
      <c r="D715" s="1" t="n">
        <v>3616304249716</v>
      </c>
      <c r="E715" t="inlineStr">
        <is>
          <t>GUCCI BM EDPIN EDP 100 ML IV</t>
        </is>
      </c>
      <c r="F715" t="inlineStr">
        <is>
          <t>P_US_FG</t>
        </is>
      </c>
      <c r="G715" t="inlineStr">
        <is>
          <t>Month-2026.M09.W38</t>
        </is>
      </c>
      <c r="H715" t="inlineStr">
        <is>
          <t>Supply Cuts</t>
        </is>
      </c>
    </row>
    <row r="716">
      <c r="A716" t="inlineStr">
        <is>
          <t>Gucci</t>
        </is>
      </c>
      <c r="B716" t="inlineStr">
        <is>
          <t>Gucci Bloom (01043)</t>
        </is>
      </c>
      <c r="C716" t="inlineStr">
        <is>
          <t>Gucci Bloom EDP Intense (00006292)</t>
        </is>
      </c>
      <c r="D716" s="1" t="n">
        <v>3616304249716</v>
      </c>
      <c r="E716" t="inlineStr">
        <is>
          <t>GUCCI BM EDPIN EDP 100 ML IV</t>
        </is>
      </c>
      <c r="F716" t="inlineStr">
        <is>
          <t>P_US_ULTA</t>
        </is>
      </c>
      <c r="G716" t="inlineStr">
        <is>
          <t>CurrentWorkingView</t>
        </is>
      </c>
      <c r="H716" t="inlineStr">
        <is>
          <t>Consensus - Final LY M</t>
        </is>
      </c>
      <c r="J716" t="n">
        <v>405</v>
      </c>
      <c r="K716" t="n">
        <v>465</v>
      </c>
      <c r="L716" t="n">
        <v>136</v>
      </c>
      <c r="M716" t="n">
        <v>73</v>
      </c>
      <c r="N716" t="n">
        <v>1611</v>
      </c>
      <c r="O716" t="n">
        <v>511</v>
      </c>
      <c r="P716" t="n">
        <v>2</v>
      </c>
      <c r="Q716" t="n">
        <v>232</v>
      </c>
      <c r="R716" t="n">
        <v>73</v>
      </c>
      <c r="S716" t="n">
        <v>262</v>
      </c>
      <c r="T716" t="n">
        <v>132</v>
      </c>
    </row>
    <row r="717">
      <c r="A717" t="inlineStr">
        <is>
          <t>Gucci</t>
        </is>
      </c>
      <c r="B717" t="inlineStr">
        <is>
          <t>Gucci Bloom (01043)</t>
        </is>
      </c>
      <c r="C717" t="inlineStr">
        <is>
          <t>Gucci Bloom EDP Intense (00006292)</t>
        </is>
      </c>
      <c r="D717" s="1" t="n">
        <v>3616304249716</v>
      </c>
      <c r="E717" t="inlineStr">
        <is>
          <t>GUCCI BM EDPIN EDP 100 ML IV</t>
        </is>
      </c>
      <c r="F717" t="inlineStr">
        <is>
          <t>P_US_ULTA</t>
        </is>
      </c>
      <c r="G717" t="inlineStr">
        <is>
          <t>CurrentWorkingView</t>
        </is>
      </c>
      <c r="H717" t="inlineStr">
        <is>
          <t>System FC - Final</t>
        </is>
      </c>
      <c r="I717" t="n">
        <v>52</v>
      </c>
      <c r="J717" t="n">
        <v>154</v>
      </c>
      <c r="K717" t="n">
        <v>350</v>
      </c>
      <c r="L717" t="n">
        <v>123</v>
      </c>
      <c r="M717" t="n">
        <v>163</v>
      </c>
      <c r="N717" t="n">
        <v>429</v>
      </c>
      <c r="O717" t="n">
        <v>190</v>
      </c>
      <c r="P717" t="n">
        <v>112</v>
      </c>
      <c r="Q717" t="n">
        <v>155</v>
      </c>
      <c r="R717" t="n">
        <v>77</v>
      </c>
      <c r="S717" t="n">
        <v>97</v>
      </c>
      <c r="T717" t="n">
        <v>43</v>
      </c>
    </row>
    <row r="718">
      <c r="A718" t="inlineStr">
        <is>
          <t>Gucci</t>
        </is>
      </c>
      <c r="B718" t="inlineStr">
        <is>
          <t>Gucci Bloom (01043)</t>
        </is>
      </c>
      <c r="C718" t="inlineStr">
        <is>
          <t>Gucci Bloom EDP Intense (00006292)</t>
        </is>
      </c>
      <c r="D718" s="1" t="n">
        <v>3616304249716</v>
      </c>
      <c r="E718" t="inlineStr">
        <is>
          <t>GUCCI BM EDPIN EDP 100 ML IV</t>
        </is>
      </c>
      <c r="F718" t="inlineStr">
        <is>
          <t>P_US_ULTA</t>
        </is>
      </c>
      <c r="G718" t="inlineStr">
        <is>
          <t>CurrentWorkingView</t>
        </is>
      </c>
      <c r="H718" t="inlineStr">
        <is>
          <t>EPOS</t>
        </is>
      </c>
      <c r="I718" t="n">
        <v>106</v>
      </c>
    </row>
    <row r="719">
      <c r="A719" t="inlineStr">
        <is>
          <t>Gucci</t>
        </is>
      </c>
      <c r="B719" t="inlineStr">
        <is>
          <t>Gucci Bloom (01043)</t>
        </is>
      </c>
      <c r="C719" t="inlineStr">
        <is>
          <t>Gucci Bloom EDP Intense (00006292)</t>
        </is>
      </c>
      <c r="D719" s="1" t="n">
        <v>3616304249716</v>
      </c>
      <c r="E719" t="inlineStr">
        <is>
          <t>GUCCI BM EDPIN EDP 100 ML IV</t>
        </is>
      </c>
      <c r="F719" t="inlineStr">
        <is>
          <t>P_US_ULTA</t>
        </is>
      </c>
      <c r="G719" t="inlineStr">
        <is>
          <t>CurrentWorkingView</t>
        </is>
      </c>
      <c r="H719" t="inlineStr">
        <is>
          <t>Reasonability Adjustment</t>
        </is>
      </c>
      <c r="K719" t="n">
        <v>-36</v>
      </c>
      <c r="L719" t="n">
        <v>-15</v>
      </c>
      <c r="M719" t="n">
        <v>-30</v>
      </c>
      <c r="N719" t="n">
        <v>0</v>
      </c>
      <c r="O719" t="n">
        <v>0</v>
      </c>
      <c r="P719" t="n">
        <v>0</v>
      </c>
      <c r="Q719" t="n">
        <v>-64</v>
      </c>
      <c r="R719" t="n">
        <v>-24</v>
      </c>
    </row>
    <row r="720">
      <c r="A720" t="inlineStr">
        <is>
          <t>Gucci</t>
        </is>
      </c>
      <c r="B720" t="inlineStr">
        <is>
          <t>Gucci Bloom (01043)</t>
        </is>
      </c>
      <c r="C720" t="inlineStr">
        <is>
          <t>Gucci Bloom EDP Intense (00006292)</t>
        </is>
      </c>
      <c r="D720" s="1" t="n">
        <v>3616304249716</v>
      </c>
      <c r="E720" t="inlineStr">
        <is>
          <t>GUCCI BM EDPIN EDP 100 ML IV</t>
        </is>
      </c>
      <c r="F720" t="inlineStr">
        <is>
          <t>P_US_ULTA</t>
        </is>
      </c>
      <c r="G720" t="inlineStr">
        <is>
          <t>CurrentWorkingView</t>
        </is>
      </c>
      <c r="H720" t="inlineStr">
        <is>
          <t>Total Demand Assumption</t>
        </is>
      </c>
    </row>
    <row r="721">
      <c r="A721" t="inlineStr">
        <is>
          <t>Gucci</t>
        </is>
      </c>
      <c r="B721" t="inlineStr">
        <is>
          <t>Gucci Bloom (01043)</t>
        </is>
      </c>
      <c r="C721" t="inlineStr">
        <is>
          <t>Gucci Bloom EDP Intense (00006292)</t>
        </is>
      </c>
      <c r="D721" s="1" t="n">
        <v>3616304249716</v>
      </c>
      <c r="E721" t="inlineStr">
        <is>
          <t>GUCCI BM EDPIN EDP 100 ML IV</t>
        </is>
      </c>
      <c r="F721" t="inlineStr">
        <is>
          <t>P_US_ULTA</t>
        </is>
      </c>
      <c r="G721" t="inlineStr">
        <is>
          <t>CurrentWorkingView</t>
        </is>
      </c>
      <c r="H721" t="inlineStr">
        <is>
          <t>Consensus - Final</t>
        </is>
      </c>
      <c r="I721" t="n">
        <v>52</v>
      </c>
      <c r="J721" t="n">
        <v>154</v>
      </c>
      <c r="K721" t="n">
        <v>355.907514450867</v>
      </c>
      <c r="L721" t="n">
        <v>108</v>
      </c>
      <c r="M721" t="n">
        <v>134</v>
      </c>
      <c r="N721" t="n">
        <v>429</v>
      </c>
      <c r="O721" t="n">
        <v>190</v>
      </c>
      <c r="P721" t="n">
        <v>112</v>
      </c>
      <c r="Q721" t="n">
        <v>91</v>
      </c>
      <c r="R721" t="n">
        <v>53</v>
      </c>
      <c r="S721" t="n">
        <v>97</v>
      </c>
      <c r="T721" t="n">
        <v>43</v>
      </c>
    </row>
    <row r="722">
      <c r="A722" t="inlineStr">
        <is>
          <t>Gucci</t>
        </is>
      </c>
      <c r="B722" t="inlineStr">
        <is>
          <t>Gucci Bloom (01043)</t>
        </is>
      </c>
      <c r="C722" t="inlineStr">
        <is>
          <t>Gucci Bloom EDP Intense (00006292)</t>
        </is>
      </c>
      <c r="D722" s="1" t="n">
        <v>3616304249716</v>
      </c>
      <c r="E722" t="inlineStr">
        <is>
          <t>GUCCI BM EDPIN EDP 100 ML IV</t>
        </is>
      </c>
      <c r="F722" t="inlineStr">
        <is>
          <t>P_US_ULTA</t>
        </is>
      </c>
      <c r="G722" t="inlineStr">
        <is>
          <t>CurrentWorkingView</t>
        </is>
      </c>
      <c r="H722" t="inlineStr">
        <is>
          <t>Supply Cuts</t>
        </is>
      </c>
    </row>
    <row r="723">
      <c r="A723" t="inlineStr">
        <is>
          <t>Gucci</t>
        </is>
      </c>
      <c r="B723" t="inlineStr">
        <is>
          <t>Gucci Bloom (01043)</t>
        </is>
      </c>
      <c r="C723" t="inlineStr">
        <is>
          <t>Gucci Bloom EDP Intense (00006292)</t>
        </is>
      </c>
      <c r="D723" s="1" t="n">
        <v>3616304249716</v>
      </c>
      <c r="E723" t="inlineStr">
        <is>
          <t>GUCCI BM EDPIN EDP 100 ML IV</t>
        </is>
      </c>
      <c r="F723" t="inlineStr">
        <is>
          <t>P_US_ULTA</t>
        </is>
      </c>
      <c r="G723" t="inlineStr">
        <is>
          <t>Month-2026.M09.W38</t>
        </is>
      </c>
      <c r="H723" t="inlineStr">
        <is>
          <t>Consensus - Final LY M</t>
        </is>
      </c>
      <c r="J723" t="n">
        <v>405</v>
      </c>
      <c r="K723" t="n">
        <v>465</v>
      </c>
      <c r="L723" t="n">
        <v>136</v>
      </c>
      <c r="M723" t="n">
        <v>73</v>
      </c>
      <c r="N723" t="n">
        <v>1611</v>
      </c>
      <c r="O723" t="n">
        <v>511</v>
      </c>
      <c r="P723" t="n">
        <v>2</v>
      </c>
      <c r="Q723" t="n">
        <v>232</v>
      </c>
      <c r="R723" t="n">
        <v>73</v>
      </c>
      <c r="S723" t="n">
        <v>262</v>
      </c>
      <c r="T723" t="n">
        <v>132</v>
      </c>
    </row>
    <row r="724">
      <c r="A724" t="inlineStr">
        <is>
          <t>Gucci</t>
        </is>
      </c>
      <c r="B724" t="inlineStr">
        <is>
          <t>Gucci Bloom (01043)</t>
        </is>
      </c>
      <c r="C724" t="inlineStr">
        <is>
          <t>Gucci Bloom EDP Intense (00006292)</t>
        </is>
      </c>
      <c r="D724" s="1" t="n">
        <v>3616304249716</v>
      </c>
      <c r="E724" t="inlineStr">
        <is>
          <t>GUCCI BM EDPIN EDP 100 ML IV</t>
        </is>
      </c>
      <c r="F724" t="inlineStr">
        <is>
          <t>P_US_ULTA</t>
        </is>
      </c>
      <c r="G724" t="inlineStr">
        <is>
          <t>Month-2026.M09.W38</t>
        </is>
      </c>
      <c r="H724" t="inlineStr">
        <is>
          <t>System FC - Final</t>
        </is>
      </c>
      <c r="I724" t="n">
        <v>52</v>
      </c>
      <c r="J724" t="n">
        <v>154</v>
      </c>
      <c r="K724" t="n">
        <v>269</v>
      </c>
      <c r="L724" t="n">
        <v>75</v>
      </c>
      <c r="M724" t="n">
        <v>98</v>
      </c>
      <c r="N724" t="n">
        <v>288</v>
      </c>
      <c r="O724" t="n">
        <v>173</v>
      </c>
      <c r="P724" t="n">
        <v>136</v>
      </c>
      <c r="Q724" t="n">
        <v>133</v>
      </c>
      <c r="R724" t="n">
        <v>35</v>
      </c>
      <c r="S724" t="n">
        <v>102</v>
      </c>
      <c r="T724" t="n">
        <v>105</v>
      </c>
    </row>
    <row r="725">
      <c r="A725" t="inlineStr">
        <is>
          <t>Gucci</t>
        </is>
      </c>
      <c r="B725" t="inlineStr">
        <is>
          <t>Gucci Bloom (01043)</t>
        </is>
      </c>
      <c r="C725" t="inlineStr">
        <is>
          <t>Gucci Bloom EDP Intense (00006292)</t>
        </is>
      </c>
      <c r="D725" s="1" t="n">
        <v>3616304249716</v>
      </c>
      <c r="E725" t="inlineStr">
        <is>
          <t>GUCCI BM EDPIN EDP 100 ML IV</t>
        </is>
      </c>
      <c r="F725" t="inlineStr">
        <is>
          <t>P_US_ULTA</t>
        </is>
      </c>
      <c r="G725" t="inlineStr">
        <is>
          <t>Month-2026.M09.W38</t>
        </is>
      </c>
      <c r="H725" t="inlineStr">
        <is>
          <t>EPOS</t>
        </is>
      </c>
      <c r="I725" t="n">
        <v>106</v>
      </c>
    </row>
    <row r="726">
      <c r="A726" t="inlineStr">
        <is>
          <t>Gucci</t>
        </is>
      </c>
      <c r="B726" t="inlineStr">
        <is>
          <t>Gucci Bloom (01043)</t>
        </is>
      </c>
      <c r="C726" t="inlineStr">
        <is>
          <t>Gucci Bloom EDP Intense (00006292)</t>
        </is>
      </c>
      <c r="D726" s="1" t="n">
        <v>3616304249716</v>
      </c>
      <c r="E726" t="inlineStr">
        <is>
          <t>GUCCI BM EDPIN EDP 100 ML IV</t>
        </is>
      </c>
      <c r="F726" t="inlineStr">
        <is>
          <t>P_US_ULTA</t>
        </is>
      </c>
      <c r="G726" t="inlineStr">
        <is>
          <t>Month-2026.M09.W38</t>
        </is>
      </c>
      <c r="H726" t="inlineStr">
        <is>
          <t>Reasonability Adjustment</t>
        </is>
      </c>
      <c r="K726" t="n">
        <v>-36</v>
      </c>
      <c r="L726" t="n">
        <v>-15</v>
      </c>
      <c r="M726" t="n">
        <v>-30</v>
      </c>
      <c r="N726" t="n">
        <v>0</v>
      </c>
      <c r="O726" t="n">
        <v>0</v>
      </c>
      <c r="P726" t="n">
        <v>0</v>
      </c>
      <c r="Q726" t="n">
        <v>-64</v>
      </c>
      <c r="R726" t="n">
        <v>-24</v>
      </c>
    </row>
    <row r="727">
      <c r="A727" t="inlineStr">
        <is>
          <t>Gucci</t>
        </is>
      </c>
      <c r="B727" t="inlineStr">
        <is>
          <t>Gucci Bloom (01043)</t>
        </is>
      </c>
      <c r="C727" t="inlineStr">
        <is>
          <t>Gucci Bloom EDP Intense (00006292)</t>
        </is>
      </c>
      <c r="D727" s="1" t="n">
        <v>3616304249716</v>
      </c>
      <c r="E727" t="inlineStr">
        <is>
          <t>GUCCI BM EDPIN EDP 100 ML IV</t>
        </is>
      </c>
      <c r="F727" t="inlineStr">
        <is>
          <t>P_US_ULTA</t>
        </is>
      </c>
      <c r="G727" t="inlineStr">
        <is>
          <t>Month-2026.M09.W38</t>
        </is>
      </c>
      <c r="H727" t="inlineStr">
        <is>
          <t>Total Demand Assumption</t>
        </is>
      </c>
    </row>
    <row r="728">
      <c r="A728" t="inlineStr">
        <is>
          <t>Gucci</t>
        </is>
      </c>
      <c r="B728" t="inlineStr">
        <is>
          <t>Gucci Bloom (01043)</t>
        </is>
      </c>
      <c r="C728" t="inlineStr">
        <is>
          <t>Gucci Bloom EDP Intense (00006292)</t>
        </is>
      </c>
      <c r="D728" s="1" t="n">
        <v>3616304249716</v>
      </c>
      <c r="E728" t="inlineStr">
        <is>
          <t>GUCCI BM EDPIN EDP 100 ML IV</t>
        </is>
      </c>
      <c r="F728" t="inlineStr">
        <is>
          <t>P_US_ULTA</t>
        </is>
      </c>
      <c r="G728" t="inlineStr">
        <is>
          <t>Month-2026.M09.W38</t>
        </is>
      </c>
      <c r="H728" t="inlineStr">
        <is>
          <t>Consensus - Final</t>
        </is>
      </c>
      <c r="I728" t="n">
        <v>52</v>
      </c>
      <c r="J728" t="n">
        <v>154</v>
      </c>
      <c r="K728" t="n">
        <v>355.907514450867</v>
      </c>
      <c r="L728" t="n">
        <v>60</v>
      </c>
      <c r="M728" t="n">
        <v>68</v>
      </c>
      <c r="N728" t="n">
        <v>288</v>
      </c>
      <c r="O728" t="n">
        <v>173</v>
      </c>
      <c r="P728" t="n">
        <v>136</v>
      </c>
      <c r="Q728" t="n">
        <v>69</v>
      </c>
      <c r="R728" t="n">
        <v>11</v>
      </c>
      <c r="S728" t="n">
        <v>102</v>
      </c>
      <c r="T728" t="n">
        <v>105</v>
      </c>
    </row>
    <row r="729">
      <c r="A729" t="inlineStr">
        <is>
          <t>Gucci</t>
        </is>
      </c>
      <c r="B729" t="inlineStr">
        <is>
          <t>Gucci Bloom (01043)</t>
        </is>
      </c>
      <c r="C729" t="inlineStr">
        <is>
          <t>Gucci Bloom EDP Intense (00006292)</t>
        </is>
      </c>
      <c r="D729" s="1" t="n">
        <v>3616304249716</v>
      </c>
      <c r="E729" t="inlineStr">
        <is>
          <t>GUCCI BM EDPIN EDP 100 ML IV</t>
        </is>
      </c>
      <c r="F729" t="inlineStr">
        <is>
          <t>P_US_ULTA</t>
        </is>
      </c>
      <c r="G729" t="inlineStr">
        <is>
          <t>Month-2026.M09.W38</t>
        </is>
      </c>
      <c r="H729" t="inlineStr">
        <is>
          <t>Supply Cuts</t>
        </is>
      </c>
    </row>
    <row r="730">
      <c r="A730" t="inlineStr">
        <is>
          <t>Gucci</t>
        </is>
      </c>
      <c r="B730" t="inlineStr">
        <is>
          <t>Gucci Flora (01228)</t>
        </is>
      </c>
      <c r="C730" t="inlineStr">
        <is>
          <t>Gucci Flora Gorgeous Orchid (00006613)</t>
        </is>
      </c>
      <c r="D730" s="1" t="n">
        <v>3616305169259</v>
      </c>
      <c r="E730" t="inlineStr">
        <is>
          <t>GUCCI FL G ORC EDP 30ML IV</t>
        </is>
      </c>
      <c r="F730" t="inlineStr">
        <is>
          <t>P_US_ALL_OTHERS</t>
        </is>
      </c>
      <c r="G730" t="inlineStr">
        <is>
          <t>CurrentWorkingView</t>
        </is>
      </c>
      <c r="H730" t="inlineStr">
        <is>
          <t>Consensus - Final LY M</t>
        </is>
      </c>
      <c r="I730" t="n">
        <v>796</v>
      </c>
      <c r="J730" t="n">
        <v>1527</v>
      </c>
      <c r="K730" t="n">
        <v>2693</v>
      </c>
      <c r="L730" t="n">
        <v>124</v>
      </c>
      <c r="M730" t="n">
        <v>215</v>
      </c>
      <c r="N730" t="n">
        <v>615</v>
      </c>
      <c r="O730" t="n">
        <v>1615</v>
      </c>
      <c r="P730" t="n">
        <v>574</v>
      </c>
      <c r="Q730" t="n">
        <v>3239</v>
      </c>
      <c r="R730" t="n">
        <v>774</v>
      </c>
      <c r="S730" t="n">
        <v>1151</v>
      </c>
      <c r="T730" t="n">
        <v>1850</v>
      </c>
    </row>
    <row r="731">
      <c r="A731" t="inlineStr">
        <is>
          <t>Gucci</t>
        </is>
      </c>
      <c r="B731" t="inlineStr">
        <is>
          <t>Gucci Flora (01228)</t>
        </is>
      </c>
      <c r="C731" t="inlineStr">
        <is>
          <t>Gucci Flora Gorgeous Orchid (00006613)</t>
        </is>
      </c>
      <c r="D731" s="1" t="n">
        <v>3616305169259</v>
      </c>
      <c r="E731" t="inlineStr">
        <is>
          <t>GUCCI FL G ORC EDP 30ML IV</t>
        </is>
      </c>
      <c r="F731" t="inlineStr">
        <is>
          <t>P_US_ALL_OTHERS</t>
        </is>
      </c>
      <c r="G731" t="inlineStr">
        <is>
          <t>CurrentWorkingView</t>
        </is>
      </c>
      <c r="H731" t="inlineStr">
        <is>
          <t>System FC - Final</t>
        </is>
      </c>
      <c r="I731" t="n">
        <v>1615</v>
      </c>
      <c r="J731" t="n">
        <v>660</v>
      </c>
      <c r="K731" t="n">
        <v>1477</v>
      </c>
      <c r="L731" t="n">
        <v>1478</v>
      </c>
      <c r="M731" t="n">
        <v>934</v>
      </c>
      <c r="N731" t="n">
        <v>1288</v>
      </c>
      <c r="O731" t="n">
        <v>665</v>
      </c>
      <c r="P731" t="n">
        <v>988</v>
      </c>
      <c r="Q731" t="n">
        <v>2617</v>
      </c>
      <c r="R731" t="n">
        <v>672</v>
      </c>
      <c r="S731" t="n">
        <v>1090</v>
      </c>
      <c r="T731" t="n">
        <v>1867</v>
      </c>
    </row>
    <row r="732">
      <c r="A732" t="inlineStr">
        <is>
          <t>Gucci</t>
        </is>
      </c>
      <c r="B732" t="inlineStr">
        <is>
          <t>Gucci Flora (01228)</t>
        </is>
      </c>
      <c r="C732" t="inlineStr">
        <is>
          <t>Gucci Flora Gorgeous Orchid (00006613)</t>
        </is>
      </c>
      <c r="D732" s="1" t="n">
        <v>3616305169259</v>
      </c>
      <c r="E732" t="inlineStr">
        <is>
          <t>GUCCI FL G ORC EDP 30ML IV</t>
        </is>
      </c>
      <c r="F732" t="inlineStr">
        <is>
          <t>P_US_ALL_OTHERS</t>
        </is>
      </c>
      <c r="G732" t="inlineStr">
        <is>
          <t>CurrentWorkingView</t>
        </is>
      </c>
      <c r="H732" t="inlineStr">
        <is>
          <t>EPOS</t>
        </is>
      </c>
      <c r="I732" t="n">
        <v>814</v>
      </c>
    </row>
    <row r="733">
      <c r="A733" t="inlineStr">
        <is>
          <t>Gucci</t>
        </is>
      </c>
      <c r="B733" t="inlineStr">
        <is>
          <t>Gucci Flora (01228)</t>
        </is>
      </c>
      <c r="C733" t="inlineStr">
        <is>
          <t>Gucci Flora Gorgeous Orchid (00006613)</t>
        </is>
      </c>
      <c r="D733" s="1" t="n">
        <v>3616305169259</v>
      </c>
      <c r="E733" t="inlineStr">
        <is>
          <t>GUCCI FL G ORC EDP 30ML IV</t>
        </is>
      </c>
      <c r="F733" t="inlineStr">
        <is>
          <t>P_US_ALL_OTHERS</t>
        </is>
      </c>
      <c r="G733" t="inlineStr">
        <is>
          <t>CurrentWorkingView</t>
        </is>
      </c>
      <c r="H733" t="inlineStr">
        <is>
          <t>Reasonability Adjustment</t>
        </is>
      </c>
      <c r="I733" t="n">
        <v>-820</v>
      </c>
      <c r="J733" t="n">
        <v>-780</v>
      </c>
      <c r="K733" t="n">
        <v>-566</v>
      </c>
      <c r="L733" t="n">
        <v>0</v>
      </c>
      <c r="M733" t="n">
        <v>270</v>
      </c>
      <c r="N733" t="n">
        <v>-424</v>
      </c>
      <c r="O733" t="n">
        <v>373</v>
      </c>
      <c r="P733" t="n">
        <v>182</v>
      </c>
      <c r="Q733" t="n">
        <v>-349</v>
      </c>
      <c r="R733" t="n">
        <v>319</v>
      </c>
    </row>
    <row r="734">
      <c r="A734" t="inlineStr">
        <is>
          <t>Gucci</t>
        </is>
      </c>
      <c r="B734" t="inlineStr">
        <is>
          <t>Gucci Flora (01228)</t>
        </is>
      </c>
      <c r="C734" t="inlineStr">
        <is>
          <t>Gucci Flora Gorgeous Orchid (00006613)</t>
        </is>
      </c>
      <c r="D734" s="1" t="n">
        <v>3616305169259</v>
      </c>
      <c r="E734" t="inlineStr">
        <is>
          <t>GUCCI FL G ORC EDP 30ML IV</t>
        </is>
      </c>
      <c r="F734" t="inlineStr">
        <is>
          <t>P_US_ALL_OTHERS</t>
        </is>
      </c>
      <c r="G734" t="inlineStr">
        <is>
          <t>CurrentWorkingView</t>
        </is>
      </c>
      <c r="H734" t="inlineStr">
        <is>
          <t>Total Demand Assumption</t>
        </is>
      </c>
    </row>
    <row r="735">
      <c r="A735" t="inlineStr">
        <is>
          <t>Gucci</t>
        </is>
      </c>
      <c r="B735" t="inlineStr">
        <is>
          <t>Gucci Flora (01228)</t>
        </is>
      </c>
      <c r="C735" t="inlineStr">
        <is>
          <t>Gucci Flora Gorgeous Orchid (00006613)</t>
        </is>
      </c>
      <c r="D735" s="1" t="n">
        <v>3616305169259</v>
      </c>
      <c r="E735" t="inlineStr">
        <is>
          <t>GUCCI FL G ORC EDP 30ML IV</t>
        </is>
      </c>
      <c r="F735" t="inlineStr">
        <is>
          <t>P_US_ALL_OTHERS</t>
        </is>
      </c>
      <c r="G735" t="inlineStr">
        <is>
          <t>CurrentWorkingView</t>
        </is>
      </c>
      <c r="H735" t="inlineStr">
        <is>
          <t>Consensus - Final</t>
        </is>
      </c>
      <c r="I735" t="n">
        <v>1615</v>
      </c>
      <c r="J735" t="n">
        <v>660</v>
      </c>
      <c r="K735" t="n">
        <v>2072.41422594142</v>
      </c>
      <c r="L735" t="n">
        <v>1478</v>
      </c>
      <c r="M735" t="n">
        <v>1204</v>
      </c>
      <c r="N735" t="n">
        <v>864</v>
      </c>
      <c r="O735" t="n">
        <v>1038</v>
      </c>
      <c r="P735" t="n">
        <v>1170</v>
      </c>
      <c r="Q735" t="n">
        <v>2268</v>
      </c>
      <c r="R735" t="n">
        <v>991</v>
      </c>
      <c r="S735" t="n">
        <v>1090</v>
      </c>
      <c r="T735" t="n">
        <v>1867</v>
      </c>
    </row>
    <row r="736">
      <c r="A736" t="inlineStr">
        <is>
          <t>Gucci</t>
        </is>
      </c>
      <c r="B736" t="inlineStr">
        <is>
          <t>Gucci Flora (01228)</t>
        </is>
      </c>
      <c r="C736" t="inlineStr">
        <is>
          <t>Gucci Flora Gorgeous Orchid (00006613)</t>
        </is>
      </c>
      <c r="D736" s="1" t="n">
        <v>3616305169259</v>
      </c>
      <c r="E736" t="inlineStr">
        <is>
          <t>GUCCI FL G ORC EDP 30ML IV</t>
        </is>
      </c>
      <c r="F736" t="inlineStr">
        <is>
          <t>P_US_ALL_OTHERS</t>
        </is>
      </c>
      <c r="G736" t="inlineStr">
        <is>
          <t>CurrentWorkingView</t>
        </is>
      </c>
      <c r="H736" t="inlineStr">
        <is>
          <t>Supply Cuts</t>
        </is>
      </c>
    </row>
    <row r="737">
      <c r="A737" t="inlineStr">
        <is>
          <t>Gucci</t>
        </is>
      </c>
      <c r="B737" t="inlineStr">
        <is>
          <t>Gucci Flora (01228)</t>
        </is>
      </c>
      <c r="C737" t="inlineStr">
        <is>
          <t>Gucci Flora Gorgeous Orchid (00006613)</t>
        </is>
      </c>
      <c r="D737" s="1" t="n">
        <v>3616305169259</v>
      </c>
      <c r="E737" t="inlineStr">
        <is>
          <t>GUCCI FL G ORC EDP 30ML IV</t>
        </is>
      </c>
      <c r="F737" t="inlineStr">
        <is>
          <t>P_US_ALL_OTHERS</t>
        </is>
      </c>
      <c r="G737" t="inlineStr">
        <is>
          <t>Month-2026.M09.W38</t>
        </is>
      </c>
      <c r="H737" t="inlineStr">
        <is>
          <t>Consensus - Final LY M</t>
        </is>
      </c>
      <c r="I737" t="n">
        <v>796</v>
      </c>
      <c r="J737" t="n">
        <v>1527</v>
      </c>
      <c r="K737" t="n">
        <v>2693</v>
      </c>
      <c r="L737" t="n">
        <v>124</v>
      </c>
      <c r="M737" t="n">
        <v>215</v>
      </c>
      <c r="N737" t="n">
        <v>615</v>
      </c>
      <c r="O737" t="n">
        <v>1615</v>
      </c>
      <c r="P737" t="n">
        <v>574</v>
      </c>
      <c r="Q737" t="n">
        <v>3239</v>
      </c>
      <c r="R737" t="n">
        <v>774</v>
      </c>
      <c r="S737" t="n">
        <v>1151</v>
      </c>
      <c r="T737" t="n">
        <v>1850</v>
      </c>
    </row>
    <row r="738">
      <c r="A738" t="inlineStr">
        <is>
          <t>Gucci</t>
        </is>
      </c>
      <c r="B738" t="inlineStr">
        <is>
          <t>Gucci Flora (01228)</t>
        </is>
      </c>
      <c r="C738" t="inlineStr">
        <is>
          <t>Gucci Flora Gorgeous Orchid (00006613)</t>
        </is>
      </c>
      <c r="D738" s="1" t="n">
        <v>3616305169259</v>
      </c>
      <c r="E738" t="inlineStr">
        <is>
          <t>GUCCI FL G ORC EDP 30ML IV</t>
        </is>
      </c>
      <c r="F738" t="inlineStr">
        <is>
          <t>P_US_ALL_OTHERS</t>
        </is>
      </c>
      <c r="G738" t="inlineStr">
        <is>
          <t>Month-2026.M09.W38</t>
        </is>
      </c>
      <c r="H738" t="inlineStr">
        <is>
          <t>System FC - Final</t>
        </is>
      </c>
      <c r="I738" t="n">
        <v>1615</v>
      </c>
      <c r="J738" t="n">
        <v>660</v>
      </c>
      <c r="K738" t="n">
        <v>1815</v>
      </c>
      <c r="L738" t="n">
        <v>1474</v>
      </c>
      <c r="M738" t="n">
        <v>934</v>
      </c>
      <c r="N738" t="n">
        <v>1289</v>
      </c>
      <c r="O738" t="n">
        <v>669</v>
      </c>
      <c r="P738" t="n">
        <v>984</v>
      </c>
      <c r="Q738" t="n">
        <v>2613</v>
      </c>
      <c r="R738" t="n">
        <v>672</v>
      </c>
      <c r="S738" t="n">
        <v>1089</v>
      </c>
      <c r="T738" t="n">
        <v>1875</v>
      </c>
    </row>
    <row r="739">
      <c r="A739" t="inlineStr">
        <is>
          <t>Gucci</t>
        </is>
      </c>
      <c r="B739" t="inlineStr">
        <is>
          <t>Gucci Flora (01228)</t>
        </is>
      </c>
      <c r="C739" t="inlineStr">
        <is>
          <t>Gucci Flora Gorgeous Orchid (00006613)</t>
        </is>
      </c>
      <c r="D739" s="1" t="n">
        <v>3616305169259</v>
      </c>
      <c r="E739" t="inlineStr">
        <is>
          <t>GUCCI FL G ORC EDP 30ML IV</t>
        </is>
      </c>
      <c r="F739" t="inlineStr">
        <is>
          <t>P_US_ALL_OTHERS</t>
        </is>
      </c>
      <c r="G739" t="inlineStr">
        <is>
          <t>Month-2026.M09.W38</t>
        </is>
      </c>
      <c r="H739" t="inlineStr">
        <is>
          <t>EPOS</t>
        </is>
      </c>
      <c r="I739" t="n">
        <v>814</v>
      </c>
    </row>
    <row r="740">
      <c r="A740" t="inlineStr">
        <is>
          <t>Gucci</t>
        </is>
      </c>
      <c r="B740" t="inlineStr">
        <is>
          <t>Gucci Flora (01228)</t>
        </is>
      </c>
      <c r="C740" t="inlineStr">
        <is>
          <t>Gucci Flora Gorgeous Orchid (00006613)</t>
        </is>
      </c>
      <c r="D740" s="1" t="n">
        <v>3616305169259</v>
      </c>
      <c r="E740" t="inlineStr">
        <is>
          <t>GUCCI FL G ORC EDP 30ML IV</t>
        </is>
      </c>
      <c r="F740" t="inlineStr">
        <is>
          <t>P_US_ALL_OTHERS</t>
        </is>
      </c>
      <c r="G740" t="inlineStr">
        <is>
          <t>Month-2026.M09.W38</t>
        </is>
      </c>
      <c r="H740" t="inlineStr">
        <is>
          <t>Reasonability Adjustment</t>
        </is>
      </c>
      <c r="I740" t="n">
        <v>-820</v>
      </c>
      <c r="J740" t="n">
        <v>-780</v>
      </c>
      <c r="K740" t="n">
        <v>-566</v>
      </c>
      <c r="L740" t="n">
        <v>0</v>
      </c>
      <c r="M740" t="n">
        <v>270</v>
      </c>
      <c r="N740" t="n">
        <v>-424</v>
      </c>
      <c r="O740" t="n">
        <v>373</v>
      </c>
      <c r="P740" t="n">
        <v>182</v>
      </c>
      <c r="Q740" t="n">
        <v>-349</v>
      </c>
      <c r="R740" t="n">
        <v>319</v>
      </c>
    </row>
    <row r="741">
      <c r="A741" t="inlineStr">
        <is>
          <t>Gucci</t>
        </is>
      </c>
      <c r="B741" t="inlineStr">
        <is>
          <t>Gucci Flora (01228)</t>
        </is>
      </c>
      <c r="C741" t="inlineStr">
        <is>
          <t>Gucci Flora Gorgeous Orchid (00006613)</t>
        </is>
      </c>
      <c r="D741" s="1" t="n">
        <v>3616305169259</v>
      </c>
      <c r="E741" t="inlineStr">
        <is>
          <t>GUCCI FL G ORC EDP 30ML IV</t>
        </is>
      </c>
      <c r="F741" t="inlineStr">
        <is>
          <t>P_US_ALL_OTHERS</t>
        </is>
      </c>
      <c r="G741" t="inlineStr">
        <is>
          <t>Month-2026.M09.W38</t>
        </is>
      </c>
      <c r="H741" t="inlineStr">
        <is>
          <t>Total Demand Assumption</t>
        </is>
      </c>
    </row>
    <row r="742">
      <c r="A742" t="inlineStr">
        <is>
          <t>Gucci</t>
        </is>
      </c>
      <c r="B742" t="inlineStr">
        <is>
          <t>Gucci Flora (01228)</t>
        </is>
      </c>
      <c r="C742" t="inlineStr">
        <is>
          <t>Gucci Flora Gorgeous Orchid (00006613)</t>
        </is>
      </c>
      <c r="D742" s="1" t="n">
        <v>3616305169259</v>
      </c>
      <c r="E742" t="inlineStr">
        <is>
          <t>GUCCI FL G ORC EDP 30ML IV</t>
        </is>
      </c>
      <c r="F742" t="inlineStr">
        <is>
          <t>P_US_ALL_OTHERS</t>
        </is>
      </c>
      <c r="G742" t="inlineStr">
        <is>
          <t>Month-2026.M09.W38</t>
        </is>
      </c>
      <c r="H742" t="inlineStr">
        <is>
          <t>Consensus - Final</t>
        </is>
      </c>
      <c r="I742" t="n">
        <v>1615</v>
      </c>
      <c r="J742" t="n">
        <v>660</v>
      </c>
      <c r="K742" t="n">
        <v>2072.41422594142</v>
      </c>
      <c r="L742" t="n">
        <v>1474</v>
      </c>
      <c r="M742" t="n">
        <v>1204</v>
      </c>
      <c r="N742" t="n">
        <v>865</v>
      </c>
      <c r="O742" t="n">
        <v>1042</v>
      </c>
      <c r="P742" t="n">
        <v>1166</v>
      </c>
      <c r="Q742" t="n">
        <v>2264</v>
      </c>
      <c r="R742" t="n">
        <v>991</v>
      </c>
      <c r="S742" t="n">
        <v>1089</v>
      </c>
      <c r="T742" t="n">
        <v>1875</v>
      </c>
    </row>
    <row r="743">
      <c r="A743" t="inlineStr">
        <is>
          <t>Gucci</t>
        </is>
      </c>
      <c r="B743" t="inlineStr">
        <is>
          <t>Gucci Flora (01228)</t>
        </is>
      </c>
      <c r="C743" t="inlineStr">
        <is>
          <t>Gucci Flora Gorgeous Orchid (00006613)</t>
        </is>
      </c>
      <c r="D743" s="1" t="n">
        <v>3616305169259</v>
      </c>
      <c r="E743" t="inlineStr">
        <is>
          <t>GUCCI FL G ORC EDP 30ML IV</t>
        </is>
      </c>
      <c r="F743" t="inlineStr">
        <is>
          <t>P_US_ALL_OTHERS</t>
        </is>
      </c>
      <c r="G743" t="inlineStr">
        <is>
          <t>Month-2026.M09.W38</t>
        </is>
      </c>
      <c r="H743" t="inlineStr">
        <is>
          <t>Supply Cuts</t>
        </is>
      </c>
    </row>
    <row r="744">
      <c r="A744" t="inlineStr">
        <is>
          <t>Gucci</t>
        </is>
      </c>
      <c r="B744" t="inlineStr">
        <is>
          <t>Gucci Flora (01228)</t>
        </is>
      </c>
      <c r="C744" t="inlineStr">
        <is>
          <t>Gucci Flora Gorgeous Orchid (00006613)</t>
        </is>
      </c>
      <c r="D744" s="1" t="n">
        <v>3616305169259</v>
      </c>
      <c r="E744" t="inlineStr">
        <is>
          <t>GUCCI FL G ORC EDP 30ML IV</t>
        </is>
      </c>
      <c r="F744" t="inlineStr">
        <is>
          <t>P_US_FG</t>
        </is>
      </c>
      <c r="G744" t="inlineStr">
        <is>
          <t>CurrentWorkingView</t>
        </is>
      </c>
      <c r="H744" t="inlineStr">
        <is>
          <t>Consensus - Final LY M</t>
        </is>
      </c>
      <c r="M744" t="n">
        <v>10</v>
      </c>
      <c r="R744" t="n">
        <v>1</v>
      </c>
    </row>
    <row r="745">
      <c r="A745" t="inlineStr">
        <is>
          <t>Gucci</t>
        </is>
      </c>
      <c r="B745" t="inlineStr">
        <is>
          <t>Gucci Flora (01228)</t>
        </is>
      </c>
      <c r="C745" t="inlineStr">
        <is>
          <t>Gucci Flora Gorgeous Orchid (00006613)</t>
        </is>
      </c>
      <c r="D745" s="1" t="n">
        <v>3616305169259</v>
      </c>
      <c r="E745" t="inlineStr">
        <is>
          <t>GUCCI FL G ORC EDP 30ML IV</t>
        </is>
      </c>
      <c r="F745" t="inlineStr">
        <is>
          <t>P_US_FG</t>
        </is>
      </c>
      <c r="G745" t="inlineStr">
        <is>
          <t>CurrentWorkingView</t>
        </is>
      </c>
      <c r="H745" t="inlineStr">
        <is>
          <t>System FC - Final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Gucci</t>
        </is>
      </c>
      <c r="B746" t="inlineStr">
        <is>
          <t>Gucci Flora (01228)</t>
        </is>
      </c>
      <c r="C746" t="inlineStr">
        <is>
          <t>Gucci Flora Gorgeous Orchid (00006613)</t>
        </is>
      </c>
      <c r="D746" s="1" t="n">
        <v>3616305169259</v>
      </c>
      <c r="E746" t="inlineStr">
        <is>
          <t>GUCCI FL G ORC EDP 30ML IV</t>
        </is>
      </c>
      <c r="F746" t="inlineStr">
        <is>
          <t>P_US_FG</t>
        </is>
      </c>
      <c r="G746" t="inlineStr">
        <is>
          <t>CurrentWorkingView</t>
        </is>
      </c>
      <c r="H746" t="inlineStr">
        <is>
          <t>EPOS</t>
        </is>
      </c>
    </row>
    <row r="747">
      <c r="A747" t="inlineStr">
        <is>
          <t>Gucci</t>
        </is>
      </c>
      <c r="B747" t="inlineStr">
        <is>
          <t>Gucci Flora (01228)</t>
        </is>
      </c>
      <c r="C747" t="inlineStr">
        <is>
          <t>Gucci Flora Gorgeous Orchid (00006613)</t>
        </is>
      </c>
      <c r="D747" s="1" t="n">
        <v>3616305169259</v>
      </c>
      <c r="E747" t="inlineStr">
        <is>
          <t>GUCCI FL G ORC EDP 30ML IV</t>
        </is>
      </c>
      <c r="F747" t="inlineStr">
        <is>
          <t>P_US_FG</t>
        </is>
      </c>
      <c r="G747" t="inlineStr">
        <is>
          <t>CurrentWorkingView</t>
        </is>
      </c>
      <c r="H747" t="inlineStr">
        <is>
          <t>Reasonability Adjustment</t>
        </is>
      </c>
    </row>
    <row r="748">
      <c r="A748" t="inlineStr">
        <is>
          <t>Gucci</t>
        </is>
      </c>
      <c r="B748" t="inlineStr">
        <is>
          <t>Gucci Flora (01228)</t>
        </is>
      </c>
      <c r="C748" t="inlineStr">
        <is>
          <t>Gucci Flora Gorgeous Orchid (00006613)</t>
        </is>
      </c>
      <c r="D748" s="1" t="n">
        <v>3616305169259</v>
      </c>
      <c r="E748" t="inlineStr">
        <is>
          <t>GUCCI FL G ORC EDP 30ML IV</t>
        </is>
      </c>
      <c r="F748" t="inlineStr">
        <is>
          <t>P_US_FG</t>
        </is>
      </c>
      <c r="G748" t="inlineStr">
        <is>
          <t>CurrentWorkingView</t>
        </is>
      </c>
      <c r="H748" t="inlineStr">
        <is>
          <t>Total Demand Assumption</t>
        </is>
      </c>
    </row>
    <row r="749">
      <c r="A749" t="inlineStr">
        <is>
          <t>Gucci</t>
        </is>
      </c>
      <c r="B749" t="inlineStr">
        <is>
          <t>Gucci Flora (01228)</t>
        </is>
      </c>
      <c r="C749" t="inlineStr">
        <is>
          <t>Gucci Flora Gorgeous Orchid (00006613)</t>
        </is>
      </c>
      <c r="D749" s="1" t="n">
        <v>3616305169259</v>
      </c>
      <c r="E749" t="inlineStr">
        <is>
          <t>GUCCI FL G ORC EDP 30ML IV</t>
        </is>
      </c>
      <c r="F749" t="inlineStr">
        <is>
          <t>P_US_FG</t>
        </is>
      </c>
      <c r="G749" t="inlineStr">
        <is>
          <t>CurrentWorkingView</t>
        </is>
      </c>
      <c r="H749" t="inlineStr">
        <is>
          <t>Consensus - Final</t>
        </is>
      </c>
      <c r="K749" t="n">
        <v>0</v>
      </c>
    </row>
    <row r="750">
      <c r="A750" t="inlineStr">
        <is>
          <t>Gucci</t>
        </is>
      </c>
      <c r="B750" t="inlineStr">
        <is>
          <t>Gucci Flora (01228)</t>
        </is>
      </c>
      <c r="C750" t="inlineStr">
        <is>
          <t>Gucci Flora Gorgeous Orchid (00006613)</t>
        </is>
      </c>
      <c r="D750" s="1" t="n">
        <v>3616305169259</v>
      </c>
      <c r="E750" t="inlineStr">
        <is>
          <t>GUCCI FL G ORC EDP 30ML IV</t>
        </is>
      </c>
      <c r="F750" t="inlineStr">
        <is>
          <t>P_US_FG</t>
        </is>
      </c>
      <c r="G750" t="inlineStr">
        <is>
          <t>CurrentWorkingView</t>
        </is>
      </c>
      <c r="H750" t="inlineStr">
        <is>
          <t>Supply Cuts</t>
        </is>
      </c>
    </row>
    <row r="751">
      <c r="A751" t="inlineStr">
        <is>
          <t>Gucci</t>
        </is>
      </c>
      <c r="B751" t="inlineStr">
        <is>
          <t>Gucci Flora (01228)</t>
        </is>
      </c>
      <c r="C751" t="inlineStr">
        <is>
          <t>Gucci Flora Gorgeous Orchid (00006613)</t>
        </is>
      </c>
      <c r="D751" s="1" t="n">
        <v>3616305169259</v>
      </c>
      <c r="E751" t="inlineStr">
        <is>
          <t>GUCCI FL G ORC EDP 30ML IV</t>
        </is>
      </c>
      <c r="F751" t="inlineStr">
        <is>
          <t>P_US_FG</t>
        </is>
      </c>
      <c r="G751" t="inlineStr">
        <is>
          <t>Month-2026.M09.W38</t>
        </is>
      </c>
      <c r="H751" t="inlineStr">
        <is>
          <t>Consensus - Final LY M</t>
        </is>
      </c>
      <c r="M751" t="n">
        <v>10</v>
      </c>
      <c r="R751" t="n">
        <v>1</v>
      </c>
    </row>
    <row r="752">
      <c r="A752" t="inlineStr">
        <is>
          <t>Gucci</t>
        </is>
      </c>
      <c r="B752" t="inlineStr">
        <is>
          <t>Gucci Flora (01228)</t>
        </is>
      </c>
      <c r="C752" t="inlineStr">
        <is>
          <t>Gucci Flora Gorgeous Orchid (00006613)</t>
        </is>
      </c>
      <c r="D752" s="1" t="n">
        <v>3616305169259</v>
      </c>
      <c r="E752" t="inlineStr">
        <is>
          <t>GUCCI FL G ORC EDP 30ML IV</t>
        </is>
      </c>
      <c r="F752" t="inlineStr">
        <is>
          <t>P_US_FG</t>
        </is>
      </c>
      <c r="G752" t="inlineStr">
        <is>
          <t>Month-2026.M09.W38</t>
        </is>
      </c>
      <c r="H752" t="inlineStr">
        <is>
          <t>System FC - Final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Gucci</t>
        </is>
      </c>
      <c r="B753" t="inlineStr">
        <is>
          <t>Gucci Flora (01228)</t>
        </is>
      </c>
      <c r="C753" t="inlineStr">
        <is>
          <t>Gucci Flora Gorgeous Orchid (00006613)</t>
        </is>
      </c>
      <c r="D753" s="1" t="n">
        <v>3616305169259</v>
      </c>
      <c r="E753" t="inlineStr">
        <is>
          <t>GUCCI FL G ORC EDP 30ML IV</t>
        </is>
      </c>
      <c r="F753" t="inlineStr">
        <is>
          <t>P_US_FG</t>
        </is>
      </c>
      <c r="G753" t="inlineStr">
        <is>
          <t>Month-2026.M09.W38</t>
        </is>
      </c>
      <c r="H753" t="inlineStr">
        <is>
          <t>EPOS</t>
        </is>
      </c>
    </row>
    <row r="754">
      <c r="A754" t="inlineStr">
        <is>
          <t>Gucci</t>
        </is>
      </c>
      <c r="B754" t="inlineStr">
        <is>
          <t>Gucci Flora (01228)</t>
        </is>
      </c>
      <c r="C754" t="inlineStr">
        <is>
          <t>Gucci Flora Gorgeous Orchid (00006613)</t>
        </is>
      </c>
      <c r="D754" s="1" t="n">
        <v>3616305169259</v>
      </c>
      <c r="E754" t="inlineStr">
        <is>
          <t>GUCCI FL G ORC EDP 30ML IV</t>
        </is>
      </c>
      <c r="F754" t="inlineStr">
        <is>
          <t>P_US_FG</t>
        </is>
      </c>
      <c r="G754" t="inlineStr">
        <is>
          <t>Month-2026.M09.W38</t>
        </is>
      </c>
      <c r="H754" t="inlineStr">
        <is>
          <t>Reasonability Adjustment</t>
        </is>
      </c>
    </row>
    <row r="755">
      <c r="A755" t="inlineStr">
        <is>
          <t>Gucci</t>
        </is>
      </c>
      <c r="B755" t="inlineStr">
        <is>
          <t>Gucci Flora (01228)</t>
        </is>
      </c>
      <c r="C755" t="inlineStr">
        <is>
          <t>Gucci Flora Gorgeous Orchid (00006613)</t>
        </is>
      </c>
      <c r="D755" s="1" t="n">
        <v>3616305169259</v>
      </c>
      <c r="E755" t="inlineStr">
        <is>
          <t>GUCCI FL G ORC EDP 30ML IV</t>
        </is>
      </c>
      <c r="F755" t="inlineStr">
        <is>
          <t>P_US_FG</t>
        </is>
      </c>
      <c r="G755" t="inlineStr">
        <is>
          <t>Month-2026.M09.W38</t>
        </is>
      </c>
      <c r="H755" t="inlineStr">
        <is>
          <t>Total Demand Assumption</t>
        </is>
      </c>
    </row>
    <row r="756">
      <c r="A756" t="inlineStr">
        <is>
          <t>Gucci</t>
        </is>
      </c>
      <c r="B756" t="inlineStr">
        <is>
          <t>Gucci Flora (01228)</t>
        </is>
      </c>
      <c r="C756" t="inlineStr">
        <is>
          <t>Gucci Flora Gorgeous Orchid (00006613)</t>
        </is>
      </c>
      <c r="D756" s="1" t="n">
        <v>3616305169259</v>
      </c>
      <c r="E756" t="inlineStr">
        <is>
          <t>GUCCI FL G ORC EDP 30ML IV</t>
        </is>
      </c>
      <c r="F756" t="inlineStr">
        <is>
          <t>P_US_FG</t>
        </is>
      </c>
      <c r="G756" t="inlineStr">
        <is>
          <t>Month-2026.M09.W38</t>
        </is>
      </c>
      <c r="H756" t="inlineStr">
        <is>
          <t>Consensus - Final</t>
        </is>
      </c>
      <c r="K756" t="n">
        <v>0</v>
      </c>
    </row>
    <row r="757">
      <c r="A757" t="inlineStr">
        <is>
          <t>Gucci</t>
        </is>
      </c>
      <c r="B757" t="inlineStr">
        <is>
          <t>Gucci Flora (01228)</t>
        </is>
      </c>
      <c r="C757" t="inlineStr">
        <is>
          <t>Gucci Flora Gorgeous Orchid (00006613)</t>
        </is>
      </c>
      <c r="D757" s="1" t="n">
        <v>3616305169259</v>
      </c>
      <c r="E757" t="inlineStr">
        <is>
          <t>GUCCI FL G ORC EDP 30ML IV</t>
        </is>
      </c>
      <c r="F757" t="inlineStr">
        <is>
          <t>P_US_FG</t>
        </is>
      </c>
      <c r="G757" t="inlineStr">
        <is>
          <t>Month-2026.M09.W38</t>
        </is>
      </c>
      <c r="H757" t="inlineStr">
        <is>
          <t>Supply Cuts</t>
        </is>
      </c>
    </row>
    <row r="758">
      <c r="A758" t="inlineStr">
        <is>
          <t>Gucci</t>
        </is>
      </c>
      <c r="B758" t="inlineStr">
        <is>
          <t>Gucci Flora (01228)</t>
        </is>
      </c>
      <c r="C758" t="inlineStr">
        <is>
          <t>Gucci Flora Gorgeous Orchid (00006613)</t>
        </is>
      </c>
      <c r="D758" s="1" t="n">
        <v>3616305169259</v>
      </c>
      <c r="E758" t="inlineStr">
        <is>
          <t>GUCCI FL G ORC EDP 30ML IV</t>
        </is>
      </c>
      <c r="F758" t="inlineStr">
        <is>
          <t>P_US_ULTA</t>
        </is>
      </c>
      <c r="G758" t="inlineStr">
        <is>
          <t>CurrentWorkingView</t>
        </is>
      </c>
      <c r="H758" t="inlineStr">
        <is>
          <t>Consensus - Final LY M</t>
        </is>
      </c>
      <c r="I758" t="n">
        <v>169</v>
      </c>
      <c r="J758" t="n">
        <v>1095</v>
      </c>
      <c r="K758" t="n">
        <v>2888</v>
      </c>
      <c r="L758" t="n">
        <v>2</v>
      </c>
      <c r="M758" t="n">
        <v>687</v>
      </c>
      <c r="N758" t="n">
        <v>648</v>
      </c>
      <c r="O758" t="n">
        <v>496</v>
      </c>
      <c r="P758" t="n">
        <v>799</v>
      </c>
      <c r="Q758" t="n">
        <v>2879</v>
      </c>
      <c r="R758" t="n">
        <v>202</v>
      </c>
      <c r="S758" t="n">
        <v>1481</v>
      </c>
      <c r="T758" t="n">
        <v>705</v>
      </c>
    </row>
    <row r="759">
      <c r="A759" t="inlineStr">
        <is>
          <t>Gucci</t>
        </is>
      </c>
      <c r="B759" t="inlineStr">
        <is>
          <t>Gucci Flora (01228)</t>
        </is>
      </c>
      <c r="C759" t="inlineStr">
        <is>
          <t>Gucci Flora Gorgeous Orchid (00006613)</t>
        </is>
      </c>
      <c r="D759" s="1" t="n">
        <v>3616305169259</v>
      </c>
      <c r="E759" t="inlineStr">
        <is>
          <t>GUCCI FL G ORC EDP 30ML IV</t>
        </is>
      </c>
      <c r="F759" t="inlineStr">
        <is>
          <t>P_US_ULTA</t>
        </is>
      </c>
      <c r="G759" t="inlineStr">
        <is>
          <t>CurrentWorkingView</t>
        </is>
      </c>
      <c r="H759" t="inlineStr">
        <is>
          <t>System FC - Final</t>
        </is>
      </c>
      <c r="I759" t="n">
        <v>371</v>
      </c>
      <c r="J759" t="n">
        <v>1281</v>
      </c>
      <c r="K759" t="n">
        <v>2060</v>
      </c>
      <c r="L759" t="n">
        <v>1288</v>
      </c>
      <c r="M759" t="n">
        <v>818</v>
      </c>
      <c r="N759" t="n">
        <v>1126</v>
      </c>
      <c r="O759" t="n">
        <v>584</v>
      </c>
      <c r="P759" t="n">
        <v>864</v>
      </c>
      <c r="Q759" t="n">
        <v>2289</v>
      </c>
      <c r="R759" t="n">
        <v>588</v>
      </c>
      <c r="S759" t="n">
        <v>952</v>
      </c>
      <c r="T759" t="n">
        <v>1631</v>
      </c>
    </row>
    <row r="760">
      <c r="A760" t="inlineStr">
        <is>
          <t>Gucci</t>
        </is>
      </c>
      <c r="B760" t="inlineStr">
        <is>
          <t>Gucci Flora (01228)</t>
        </is>
      </c>
      <c r="C760" t="inlineStr">
        <is>
          <t>Gucci Flora Gorgeous Orchid (00006613)</t>
        </is>
      </c>
      <c r="D760" s="1" t="n">
        <v>3616305169259</v>
      </c>
      <c r="E760" t="inlineStr">
        <is>
          <t>GUCCI FL G ORC EDP 30ML IV</t>
        </is>
      </c>
      <c r="F760" t="inlineStr">
        <is>
          <t>P_US_ULTA</t>
        </is>
      </c>
      <c r="G760" t="inlineStr">
        <is>
          <t>CurrentWorkingView</t>
        </is>
      </c>
      <c r="H760" t="inlineStr">
        <is>
          <t>EPOS</t>
        </is>
      </c>
      <c r="I760" t="n">
        <v>891</v>
      </c>
    </row>
    <row r="761">
      <c r="A761" t="inlineStr">
        <is>
          <t>Gucci</t>
        </is>
      </c>
      <c r="B761" t="inlineStr">
        <is>
          <t>Gucci Flora (01228)</t>
        </is>
      </c>
      <c r="C761" t="inlineStr">
        <is>
          <t>Gucci Flora Gorgeous Orchid (00006613)</t>
        </is>
      </c>
      <c r="D761" s="1" t="n">
        <v>3616305169259</v>
      </c>
      <c r="E761" t="inlineStr">
        <is>
          <t>GUCCI FL G ORC EDP 30ML IV</t>
        </is>
      </c>
      <c r="F761" t="inlineStr">
        <is>
          <t>P_US_ULTA</t>
        </is>
      </c>
      <c r="G761" t="inlineStr">
        <is>
          <t>CurrentWorkingView</t>
        </is>
      </c>
      <c r="H761" t="inlineStr">
        <is>
          <t>Reasonability Adjustment</t>
        </is>
      </c>
      <c r="I761" t="n">
        <v>-1180</v>
      </c>
      <c r="J761" t="n">
        <v>-1820</v>
      </c>
      <c r="K761" t="n">
        <v>-398</v>
      </c>
      <c r="L761" t="n">
        <v>0</v>
      </c>
      <c r="M761" t="n">
        <v>190</v>
      </c>
      <c r="N761" t="n">
        <v>-298</v>
      </c>
      <c r="O761" t="n">
        <v>261</v>
      </c>
      <c r="P761" t="n">
        <v>128</v>
      </c>
      <c r="Q761" t="n">
        <v>-245</v>
      </c>
      <c r="R761" t="n">
        <v>224</v>
      </c>
    </row>
    <row r="762">
      <c r="A762" t="inlineStr">
        <is>
          <t>Gucci</t>
        </is>
      </c>
      <c r="B762" t="inlineStr">
        <is>
          <t>Gucci Flora (01228)</t>
        </is>
      </c>
      <c r="C762" t="inlineStr">
        <is>
          <t>Gucci Flora Gorgeous Orchid (00006613)</t>
        </is>
      </c>
      <c r="D762" s="1" t="n">
        <v>3616305169259</v>
      </c>
      <c r="E762" t="inlineStr">
        <is>
          <t>GUCCI FL G ORC EDP 30ML IV</t>
        </is>
      </c>
      <c r="F762" t="inlineStr">
        <is>
          <t>P_US_ULTA</t>
        </is>
      </c>
      <c r="G762" t="inlineStr">
        <is>
          <t>CurrentWorkingView</t>
        </is>
      </c>
      <c r="H762" t="inlineStr">
        <is>
          <t>Total Demand Assumption</t>
        </is>
      </c>
      <c r="L762" t="n">
        <v>300</v>
      </c>
      <c r="M762" t="n">
        <v>500</v>
      </c>
    </row>
    <row r="763">
      <c r="A763" t="inlineStr">
        <is>
          <t>Gucci</t>
        </is>
      </c>
      <c r="B763" t="inlineStr">
        <is>
          <t>Gucci Flora (01228)</t>
        </is>
      </c>
      <c r="C763" t="inlineStr">
        <is>
          <t>Gucci Flora Gorgeous Orchid (00006613)</t>
        </is>
      </c>
      <c r="D763" s="1" t="n">
        <v>3616305169259</v>
      </c>
      <c r="E763" t="inlineStr">
        <is>
          <t>GUCCI FL G ORC EDP 30ML IV</t>
        </is>
      </c>
      <c r="F763" t="inlineStr">
        <is>
          <t>P_US_ULTA</t>
        </is>
      </c>
      <c r="G763" t="inlineStr">
        <is>
          <t>CurrentWorkingView</t>
        </is>
      </c>
      <c r="H763" t="inlineStr">
        <is>
          <t>Consensus - Final</t>
        </is>
      </c>
      <c r="I763" t="n">
        <v>371</v>
      </c>
      <c r="J763" t="n">
        <v>1281</v>
      </c>
      <c r="K763" t="n">
        <v>1486.58577405857</v>
      </c>
      <c r="L763" t="n">
        <v>1588</v>
      </c>
      <c r="M763" t="n">
        <v>1508</v>
      </c>
      <c r="N763" t="n">
        <v>828</v>
      </c>
      <c r="O763" t="n">
        <v>845</v>
      </c>
      <c r="P763" t="n">
        <v>992</v>
      </c>
      <c r="Q763" t="n">
        <v>2044</v>
      </c>
      <c r="R763" t="n">
        <v>812</v>
      </c>
      <c r="S763" t="n">
        <v>952</v>
      </c>
      <c r="T763" t="n">
        <v>1631</v>
      </c>
    </row>
    <row r="764">
      <c r="A764" t="inlineStr">
        <is>
          <t>Gucci</t>
        </is>
      </c>
      <c r="B764" t="inlineStr">
        <is>
          <t>Gucci Flora (01228)</t>
        </is>
      </c>
      <c r="C764" t="inlineStr">
        <is>
          <t>Gucci Flora Gorgeous Orchid (00006613)</t>
        </is>
      </c>
      <c r="D764" s="1" t="n">
        <v>3616305169259</v>
      </c>
      <c r="E764" t="inlineStr">
        <is>
          <t>GUCCI FL G ORC EDP 30ML IV</t>
        </is>
      </c>
      <c r="F764" t="inlineStr">
        <is>
          <t>P_US_ULTA</t>
        </is>
      </c>
      <c r="G764" t="inlineStr">
        <is>
          <t>CurrentWorkingView</t>
        </is>
      </c>
      <c r="H764" t="inlineStr">
        <is>
          <t>Supply Cuts</t>
        </is>
      </c>
    </row>
    <row r="765">
      <c r="A765" t="inlineStr">
        <is>
          <t>Gucci</t>
        </is>
      </c>
      <c r="B765" t="inlineStr">
        <is>
          <t>Gucci Flora (01228)</t>
        </is>
      </c>
      <c r="C765" t="inlineStr">
        <is>
          <t>Gucci Flora Gorgeous Orchid (00006613)</t>
        </is>
      </c>
      <c r="D765" s="1" t="n">
        <v>3616305169259</v>
      </c>
      <c r="E765" t="inlineStr">
        <is>
          <t>GUCCI FL G ORC EDP 30ML IV</t>
        </is>
      </c>
      <c r="F765" t="inlineStr">
        <is>
          <t>P_US_ULTA</t>
        </is>
      </c>
      <c r="G765" t="inlineStr">
        <is>
          <t>Month-2026.M09.W38</t>
        </is>
      </c>
      <c r="H765" t="inlineStr">
        <is>
          <t>Consensus - Final LY M</t>
        </is>
      </c>
      <c r="I765" t="n">
        <v>169</v>
      </c>
      <c r="J765" t="n">
        <v>1095</v>
      </c>
      <c r="K765" t="n">
        <v>2888</v>
      </c>
      <c r="L765" t="n">
        <v>2</v>
      </c>
      <c r="M765" t="n">
        <v>687</v>
      </c>
      <c r="N765" t="n">
        <v>648</v>
      </c>
      <c r="O765" t="n">
        <v>496</v>
      </c>
      <c r="P765" t="n">
        <v>799</v>
      </c>
      <c r="Q765" t="n">
        <v>2879</v>
      </c>
      <c r="R765" t="n">
        <v>202</v>
      </c>
      <c r="S765" t="n">
        <v>1481</v>
      </c>
      <c r="T765" t="n">
        <v>705</v>
      </c>
    </row>
    <row r="766">
      <c r="A766" t="inlineStr">
        <is>
          <t>Gucci</t>
        </is>
      </c>
      <c r="B766" t="inlineStr">
        <is>
          <t>Gucci Flora (01228)</t>
        </is>
      </c>
      <c r="C766" t="inlineStr">
        <is>
          <t>Gucci Flora Gorgeous Orchid (00006613)</t>
        </is>
      </c>
      <c r="D766" s="1" t="n">
        <v>3616305169259</v>
      </c>
      <c r="E766" t="inlineStr">
        <is>
          <t>GUCCI FL G ORC EDP 30ML IV</t>
        </is>
      </c>
      <c r="F766" t="inlineStr">
        <is>
          <t>P_US_ULTA</t>
        </is>
      </c>
      <c r="G766" t="inlineStr">
        <is>
          <t>Month-2026.M09.W38</t>
        </is>
      </c>
      <c r="H766" t="inlineStr">
        <is>
          <t>System FC - Final</t>
        </is>
      </c>
      <c r="I766" t="n">
        <v>371</v>
      </c>
      <c r="J766" t="n">
        <v>1281</v>
      </c>
      <c r="K766" t="n">
        <v>1367</v>
      </c>
      <c r="L766" t="n">
        <v>1040</v>
      </c>
      <c r="M766" t="n">
        <v>660</v>
      </c>
      <c r="N766" t="n">
        <v>904</v>
      </c>
      <c r="O766" t="n">
        <v>469</v>
      </c>
      <c r="P766" t="n">
        <v>692</v>
      </c>
      <c r="Q766" t="n">
        <v>1838</v>
      </c>
      <c r="R766" t="n">
        <v>472</v>
      </c>
      <c r="S766" t="n">
        <v>766</v>
      </c>
      <c r="T766" t="n">
        <v>1319</v>
      </c>
    </row>
    <row r="767">
      <c r="A767" t="inlineStr">
        <is>
          <t>Gucci</t>
        </is>
      </c>
      <c r="B767" t="inlineStr">
        <is>
          <t>Gucci Flora (01228)</t>
        </is>
      </c>
      <c r="C767" t="inlineStr">
        <is>
          <t>Gucci Flora Gorgeous Orchid (00006613)</t>
        </is>
      </c>
      <c r="D767" s="1" t="n">
        <v>3616305169259</v>
      </c>
      <c r="E767" t="inlineStr">
        <is>
          <t>GUCCI FL G ORC EDP 30ML IV</t>
        </is>
      </c>
      <c r="F767" t="inlineStr">
        <is>
          <t>P_US_ULTA</t>
        </is>
      </c>
      <c r="G767" t="inlineStr">
        <is>
          <t>Month-2026.M09.W38</t>
        </is>
      </c>
      <c r="H767" t="inlineStr">
        <is>
          <t>EPOS</t>
        </is>
      </c>
      <c r="I767" t="n">
        <v>891</v>
      </c>
    </row>
    <row r="768">
      <c r="A768" t="inlineStr">
        <is>
          <t>Gucci</t>
        </is>
      </c>
      <c r="B768" t="inlineStr">
        <is>
          <t>Gucci Flora (01228)</t>
        </is>
      </c>
      <c r="C768" t="inlineStr">
        <is>
          <t>Gucci Flora Gorgeous Orchid (00006613)</t>
        </is>
      </c>
      <c r="D768" s="1" t="n">
        <v>3616305169259</v>
      </c>
      <c r="E768" t="inlineStr">
        <is>
          <t>GUCCI FL G ORC EDP 30ML IV</t>
        </is>
      </c>
      <c r="F768" t="inlineStr">
        <is>
          <t>P_US_ULTA</t>
        </is>
      </c>
      <c r="G768" t="inlineStr">
        <is>
          <t>Month-2026.M09.W38</t>
        </is>
      </c>
      <c r="H768" t="inlineStr">
        <is>
          <t>Reasonability Adjustment</t>
        </is>
      </c>
      <c r="I768" t="n">
        <v>-1180</v>
      </c>
      <c r="J768" t="n">
        <v>-1820</v>
      </c>
      <c r="K768" t="n">
        <v>-398</v>
      </c>
      <c r="L768" t="n">
        <v>0</v>
      </c>
      <c r="M768" t="n">
        <v>190</v>
      </c>
      <c r="N768" t="n">
        <v>-298</v>
      </c>
      <c r="O768" t="n">
        <v>261</v>
      </c>
      <c r="P768" t="n">
        <v>128</v>
      </c>
      <c r="Q768" t="n">
        <v>-245</v>
      </c>
      <c r="R768" t="n">
        <v>224</v>
      </c>
    </row>
    <row r="769">
      <c r="A769" t="inlineStr">
        <is>
          <t>Gucci</t>
        </is>
      </c>
      <c r="B769" t="inlineStr">
        <is>
          <t>Gucci Flora (01228)</t>
        </is>
      </c>
      <c r="C769" t="inlineStr">
        <is>
          <t>Gucci Flora Gorgeous Orchid (00006613)</t>
        </is>
      </c>
      <c r="D769" s="1" t="n">
        <v>3616305169259</v>
      </c>
      <c r="E769" t="inlineStr">
        <is>
          <t>GUCCI FL G ORC EDP 30ML IV</t>
        </is>
      </c>
      <c r="F769" t="inlineStr">
        <is>
          <t>P_US_ULTA</t>
        </is>
      </c>
      <c r="G769" t="inlineStr">
        <is>
          <t>Month-2026.M09.W38</t>
        </is>
      </c>
      <c r="H769" t="inlineStr">
        <is>
          <t>Total Demand Assumption</t>
        </is>
      </c>
      <c r="L769" t="n">
        <v>300</v>
      </c>
      <c r="M769" t="n">
        <v>500</v>
      </c>
    </row>
    <row r="770">
      <c r="A770" t="inlineStr">
        <is>
          <t>Gucci</t>
        </is>
      </c>
      <c r="B770" t="inlineStr">
        <is>
          <t>Gucci Flora (01228)</t>
        </is>
      </c>
      <c r="C770" t="inlineStr">
        <is>
          <t>Gucci Flora Gorgeous Orchid (00006613)</t>
        </is>
      </c>
      <c r="D770" s="1" t="n">
        <v>3616305169259</v>
      </c>
      <c r="E770" t="inlineStr">
        <is>
          <t>GUCCI FL G ORC EDP 30ML IV</t>
        </is>
      </c>
      <c r="F770" t="inlineStr">
        <is>
          <t>P_US_ULTA</t>
        </is>
      </c>
      <c r="G770" t="inlineStr">
        <is>
          <t>Month-2026.M09.W38</t>
        </is>
      </c>
      <c r="H770" t="inlineStr">
        <is>
          <t>Consensus - Final</t>
        </is>
      </c>
      <c r="I770" t="n">
        <v>371</v>
      </c>
      <c r="J770" t="n">
        <v>1281</v>
      </c>
      <c r="K770" t="n">
        <v>1486.58577405857</v>
      </c>
      <c r="L770" t="n">
        <v>1340</v>
      </c>
      <c r="M770" t="n">
        <v>1350</v>
      </c>
      <c r="N770" t="n">
        <v>606</v>
      </c>
      <c r="O770" t="n">
        <v>730</v>
      </c>
      <c r="P770" t="n">
        <v>820</v>
      </c>
      <c r="Q770" t="n">
        <v>1593</v>
      </c>
      <c r="R770" t="n">
        <v>696</v>
      </c>
      <c r="S770" t="n">
        <v>766</v>
      </c>
      <c r="T770" t="n">
        <v>1319</v>
      </c>
    </row>
    <row r="771">
      <c r="A771" t="inlineStr">
        <is>
          <t>Gucci</t>
        </is>
      </c>
      <c r="B771" t="inlineStr">
        <is>
          <t>Gucci Flora (01228)</t>
        </is>
      </c>
      <c r="C771" t="inlineStr">
        <is>
          <t>Gucci Flora Gorgeous Orchid (00006613)</t>
        </is>
      </c>
      <c r="D771" s="1" t="n">
        <v>3616305169259</v>
      </c>
      <c r="E771" t="inlineStr">
        <is>
          <t>GUCCI FL G ORC EDP 30ML IV</t>
        </is>
      </c>
      <c r="F771" t="inlineStr">
        <is>
          <t>P_US_ULTA</t>
        </is>
      </c>
      <c r="G771" t="inlineStr">
        <is>
          <t>Month-2026.M09.W38</t>
        </is>
      </c>
      <c r="H771" t="inlineStr">
        <is>
          <t>Supply Cuts</t>
        </is>
      </c>
    </row>
    <row r="772">
      <c r="A772" t="inlineStr">
        <is>
          <t>Gucci</t>
        </is>
      </c>
      <c r="B772" t="inlineStr">
        <is>
          <t>Gucci Flora (01228)</t>
        </is>
      </c>
      <c r="C772" t="inlineStr">
        <is>
          <t>Gucci Flora Gorgeous Orchid (00006613)</t>
        </is>
      </c>
      <c r="D772" s="1" t="n">
        <v>3616305169273</v>
      </c>
      <c r="E772" t="inlineStr">
        <is>
          <t>GUCCI FL G ORC EDP 100 ML VP IV</t>
        </is>
      </c>
      <c r="F772" t="inlineStr">
        <is>
          <t>P_US_ALL_OTHERS</t>
        </is>
      </c>
      <c r="G772" t="inlineStr">
        <is>
          <t>CurrentWorkingView</t>
        </is>
      </c>
      <c r="H772" t="inlineStr">
        <is>
          <t>Consensus - Final LY M</t>
        </is>
      </c>
      <c r="I772" t="n">
        <v>4215</v>
      </c>
      <c r="J772" t="n">
        <v>5322</v>
      </c>
      <c r="K772" t="n">
        <v>6407</v>
      </c>
      <c r="L772" t="n">
        <v>5673</v>
      </c>
      <c r="M772" t="n">
        <v>2540</v>
      </c>
      <c r="N772" t="n">
        <v>2196</v>
      </c>
      <c r="O772" t="n">
        <v>496</v>
      </c>
      <c r="P772" t="n">
        <v>1108</v>
      </c>
      <c r="Q772" t="n">
        <v>2542</v>
      </c>
      <c r="R772" t="n">
        <v>1406</v>
      </c>
      <c r="S772" t="n">
        <v>3840</v>
      </c>
      <c r="T772" t="n">
        <v>2651</v>
      </c>
    </row>
    <row r="773">
      <c r="A773" t="inlineStr">
        <is>
          <t>Gucci</t>
        </is>
      </c>
      <c r="B773" t="inlineStr">
        <is>
          <t>Gucci Flora (01228)</t>
        </is>
      </c>
      <c r="C773" t="inlineStr">
        <is>
          <t>Gucci Flora Gorgeous Orchid (00006613)</t>
        </is>
      </c>
      <c r="D773" s="1" t="n">
        <v>3616305169273</v>
      </c>
      <c r="E773" t="inlineStr">
        <is>
          <t>GUCCI FL G ORC EDP 100 ML VP IV</t>
        </is>
      </c>
      <c r="F773" t="inlineStr">
        <is>
          <t>P_US_ALL_OTHERS</t>
        </is>
      </c>
      <c r="G773" t="inlineStr">
        <is>
          <t>CurrentWorkingView</t>
        </is>
      </c>
      <c r="H773" t="inlineStr">
        <is>
          <t>System FC - Final</t>
        </is>
      </c>
      <c r="I773" t="n">
        <v>2894</v>
      </c>
      <c r="J773" t="n">
        <v>1339</v>
      </c>
      <c r="K773" t="n">
        <v>1683</v>
      </c>
      <c r="L773" t="n">
        <v>496</v>
      </c>
      <c r="M773" t="n">
        <v>3558</v>
      </c>
      <c r="N773" t="n">
        <v>1364</v>
      </c>
      <c r="O773" t="n">
        <v>802</v>
      </c>
      <c r="P773" t="n">
        <v>1684</v>
      </c>
      <c r="Q773" t="n">
        <v>2152</v>
      </c>
      <c r="R773" t="n">
        <v>497</v>
      </c>
      <c r="S773" t="n">
        <v>496</v>
      </c>
      <c r="T773" t="n">
        <v>497</v>
      </c>
    </row>
    <row r="774">
      <c r="A774" t="inlineStr">
        <is>
          <t>Gucci</t>
        </is>
      </c>
      <c r="B774" t="inlineStr">
        <is>
          <t>Gucci Flora (01228)</t>
        </is>
      </c>
      <c r="C774" t="inlineStr">
        <is>
          <t>Gucci Flora Gorgeous Orchid (00006613)</t>
        </is>
      </c>
      <c r="D774" s="1" t="n">
        <v>3616305169273</v>
      </c>
      <c r="E774" t="inlineStr">
        <is>
          <t>GUCCI FL G ORC EDP 100 ML VP IV</t>
        </is>
      </c>
      <c r="F774" t="inlineStr">
        <is>
          <t>P_US_ALL_OTHERS</t>
        </is>
      </c>
      <c r="G774" t="inlineStr">
        <is>
          <t>CurrentWorkingView</t>
        </is>
      </c>
      <c r="H774" t="inlineStr">
        <is>
          <t>EPOS</t>
        </is>
      </c>
      <c r="I774" t="n">
        <v>1617</v>
      </c>
    </row>
    <row r="775">
      <c r="A775" t="inlineStr">
        <is>
          <t>Gucci</t>
        </is>
      </c>
      <c r="B775" t="inlineStr">
        <is>
          <t>Gucci Flora (01228)</t>
        </is>
      </c>
      <c r="C775" t="inlineStr">
        <is>
          <t>Gucci Flora Gorgeous Orchid (00006613)</t>
        </is>
      </c>
      <c r="D775" s="1" t="n">
        <v>3616305169273</v>
      </c>
      <c r="E775" t="inlineStr">
        <is>
          <t>GUCCI FL G ORC EDP 100 ML VP IV</t>
        </is>
      </c>
      <c r="F775" t="inlineStr">
        <is>
          <t>P_US_ALL_OTHERS</t>
        </is>
      </c>
      <c r="G775" t="inlineStr">
        <is>
          <t>CurrentWorkingView</t>
        </is>
      </c>
      <c r="H775" t="inlineStr">
        <is>
          <t>Reasonability Adjustment</t>
        </is>
      </c>
      <c r="K775" t="n">
        <v>1190</v>
      </c>
      <c r="L775" t="n">
        <v>1030</v>
      </c>
      <c r="M775" t="n">
        <v>-2207</v>
      </c>
      <c r="N775" t="n">
        <v>1635</v>
      </c>
      <c r="O775" t="n">
        <v>0</v>
      </c>
      <c r="P775" t="n">
        <v>0</v>
      </c>
      <c r="Q775" t="n">
        <v>404</v>
      </c>
      <c r="R775" t="n">
        <v>224</v>
      </c>
    </row>
    <row r="776">
      <c r="A776" t="inlineStr">
        <is>
          <t>Gucci</t>
        </is>
      </c>
      <c r="B776" t="inlineStr">
        <is>
          <t>Gucci Flora (01228)</t>
        </is>
      </c>
      <c r="C776" t="inlineStr">
        <is>
          <t>Gucci Flora Gorgeous Orchid (00006613)</t>
        </is>
      </c>
      <c r="D776" s="1" t="n">
        <v>3616305169273</v>
      </c>
      <c r="E776" t="inlineStr">
        <is>
          <t>GUCCI FL G ORC EDP 100 ML VP IV</t>
        </is>
      </c>
      <c r="F776" t="inlineStr">
        <is>
          <t>P_US_ALL_OTHERS</t>
        </is>
      </c>
      <c r="G776" t="inlineStr">
        <is>
          <t>CurrentWorkingView</t>
        </is>
      </c>
      <c r="H776" t="inlineStr">
        <is>
          <t>Total Demand Assumption</t>
        </is>
      </c>
    </row>
    <row r="777">
      <c r="A777" t="inlineStr">
        <is>
          <t>Gucci</t>
        </is>
      </c>
      <c r="B777" t="inlineStr">
        <is>
          <t>Gucci Flora (01228)</t>
        </is>
      </c>
      <c r="C777" t="inlineStr">
        <is>
          <t>Gucci Flora Gorgeous Orchid (00006613)</t>
        </is>
      </c>
      <c r="D777" s="1" t="n">
        <v>3616305169273</v>
      </c>
      <c r="E777" t="inlineStr">
        <is>
          <t>GUCCI FL G ORC EDP 100 ML VP IV</t>
        </is>
      </c>
      <c r="F777" t="inlineStr">
        <is>
          <t>P_US_ALL_OTHERS</t>
        </is>
      </c>
      <c r="G777" t="inlineStr">
        <is>
          <t>CurrentWorkingView</t>
        </is>
      </c>
      <c r="H777" t="inlineStr">
        <is>
          <t>Consensus - Final</t>
        </is>
      </c>
      <c r="I777" t="n">
        <v>2894</v>
      </c>
      <c r="J777" t="n">
        <v>1339</v>
      </c>
      <c r="K777" t="n">
        <v>1976.28943661971</v>
      </c>
      <c r="L777" t="n">
        <v>1526</v>
      </c>
      <c r="M777" t="n">
        <v>1424</v>
      </c>
      <c r="N777" t="n">
        <v>2999</v>
      </c>
      <c r="O777" t="n">
        <v>802</v>
      </c>
      <c r="P777" t="n">
        <v>1684</v>
      </c>
      <c r="Q777" t="n">
        <v>2556</v>
      </c>
      <c r="R777" t="n">
        <v>721</v>
      </c>
      <c r="S777" t="n">
        <v>496</v>
      </c>
      <c r="T777" t="n">
        <v>497</v>
      </c>
    </row>
    <row r="778">
      <c r="A778" t="inlineStr">
        <is>
          <t>Gucci</t>
        </is>
      </c>
      <c r="B778" t="inlineStr">
        <is>
          <t>Gucci Flora (01228)</t>
        </is>
      </c>
      <c r="C778" t="inlineStr">
        <is>
          <t>Gucci Flora Gorgeous Orchid (00006613)</t>
        </is>
      </c>
      <c r="D778" s="1" t="n">
        <v>3616305169273</v>
      </c>
      <c r="E778" t="inlineStr">
        <is>
          <t>GUCCI FL G ORC EDP 100 ML VP IV</t>
        </is>
      </c>
      <c r="F778" t="inlineStr">
        <is>
          <t>P_US_ALL_OTHERS</t>
        </is>
      </c>
      <c r="G778" t="inlineStr">
        <is>
          <t>CurrentWorkingView</t>
        </is>
      </c>
      <c r="H778" t="inlineStr">
        <is>
          <t>Supply Cuts</t>
        </is>
      </c>
      <c r="I778" t="n">
        <v>43</v>
      </c>
      <c r="J778" t="n">
        <v>2108</v>
      </c>
    </row>
    <row r="779">
      <c r="A779" t="inlineStr">
        <is>
          <t>Gucci</t>
        </is>
      </c>
      <c r="B779" t="inlineStr">
        <is>
          <t>Gucci Flora (01228)</t>
        </is>
      </c>
      <c r="C779" t="inlineStr">
        <is>
          <t>Gucci Flora Gorgeous Orchid (00006613)</t>
        </is>
      </c>
      <c r="D779" s="1" t="n">
        <v>3616305169273</v>
      </c>
      <c r="E779" t="inlineStr">
        <is>
          <t>GUCCI FL G ORC EDP 100 ML VP IV</t>
        </is>
      </c>
      <c r="F779" t="inlineStr">
        <is>
          <t>P_US_ALL_OTHERS</t>
        </is>
      </c>
      <c r="G779" t="inlineStr">
        <is>
          <t>Month-2026.M09.W38</t>
        </is>
      </c>
      <c r="H779" t="inlineStr">
        <is>
          <t>Consensus - Final LY M</t>
        </is>
      </c>
      <c r="I779" t="n">
        <v>4215</v>
      </c>
      <c r="J779" t="n">
        <v>5322</v>
      </c>
      <c r="K779" t="n">
        <v>6407</v>
      </c>
      <c r="L779" t="n">
        <v>5673</v>
      </c>
      <c r="M779" t="n">
        <v>2540</v>
      </c>
      <c r="N779" t="n">
        <v>2196</v>
      </c>
      <c r="O779" t="n">
        <v>496</v>
      </c>
      <c r="P779" t="n">
        <v>1108</v>
      </c>
      <c r="Q779" t="n">
        <v>2542</v>
      </c>
      <c r="R779" t="n">
        <v>1406</v>
      </c>
      <c r="S779" t="n">
        <v>3840</v>
      </c>
      <c r="T779" t="n">
        <v>2651</v>
      </c>
    </row>
    <row r="780">
      <c r="A780" t="inlineStr">
        <is>
          <t>Gucci</t>
        </is>
      </c>
      <c r="B780" t="inlineStr">
        <is>
          <t>Gucci Flora (01228)</t>
        </is>
      </c>
      <c r="C780" t="inlineStr">
        <is>
          <t>Gucci Flora Gorgeous Orchid (00006613)</t>
        </is>
      </c>
      <c r="D780" s="1" t="n">
        <v>3616305169273</v>
      </c>
      <c r="E780" t="inlineStr">
        <is>
          <t>GUCCI FL G ORC EDP 100 ML VP IV</t>
        </is>
      </c>
      <c r="F780" t="inlineStr">
        <is>
          <t>P_US_ALL_OTHERS</t>
        </is>
      </c>
      <c r="G780" t="inlineStr">
        <is>
          <t>Month-2026.M09.W38</t>
        </is>
      </c>
      <c r="H780" t="inlineStr">
        <is>
          <t>System FC - Final</t>
        </is>
      </c>
      <c r="I780" t="n">
        <v>2894</v>
      </c>
      <c r="J780" t="n">
        <v>1339</v>
      </c>
      <c r="K780" t="n">
        <v>1500</v>
      </c>
      <c r="L780" t="n">
        <v>496</v>
      </c>
      <c r="M780" t="n">
        <v>3938</v>
      </c>
      <c r="N780" t="n">
        <v>1784</v>
      </c>
      <c r="O780" t="n">
        <v>1231</v>
      </c>
      <c r="P780" t="n">
        <v>2120</v>
      </c>
      <c r="Q780" t="n">
        <v>2600</v>
      </c>
      <c r="R780" t="n">
        <v>745</v>
      </c>
      <c r="S780" t="n">
        <v>496</v>
      </c>
      <c r="T780" t="n">
        <v>5851</v>
      </c>
    </row>
    <row r="781">
      <c r="A781" t="inlineStr">
        <is>
          <t>Gucci</t>
        </is>
      </c>
      <c r="B781" t="inlineStr">
        <is>
          <t>Gucci Flora (01228)</t>
        </is>
      </c>
      <c r="C781" t="inlineStr">
        <is>
          <t>Gucci Flora Gorgeous Orchid (00006613)</t>
        </is>
      </c>
      <c r="D781" s="1" t="n">
        <v>3616305169273</v>
      </c>
      <c r="E781" t="inlineStr">
        <is>
          <t>GUCCI FL G ORC EDP 100 ML VP IV</t>
        </is>
      </c>
      <c r="F781" t="inlineStr">
        <is>
          <t>P_US_ALL_OTHERS</t>
        </is>
      </c>
      <c r="G781" t="inlineStr">
        <is>
          <t>Month-2026.M09.W38</t>
        </is>
      </c>
      <c r="H781" t="inlineStr">
        <is>
          <t>EPOS</t>
        </is>
      </c>
      <c r="I781" t="n">
        <v>1617</v>
      </c>
    </row>
    <row r="782">
      <c r="A782" t="inlineStr">
        <is>
          <t>Gucci</t>
        </is>
      </c>
      <c r="B782" t="inlineStr">
        <is>
          <t>Gucci Flora (01228)</t>
        </is>
      </c>
      <c r="C782" t="inlineStr">
        <is>
          <t>Gucci Flora Gorgeous Orchid (00006613)</t>
        </is>
      </c>
      <c r="D782" s="1" t="n">
        <v>3616305169273</v>
      </c>
      <c r="E782" t="inlineStr">
        <is>
          <t>GUCCI FL G ORC EDP 100 ML VP IV</t>
        </is>
      </c>
      <c r="F782" t="inlineStr">
        <is>
          <t>P_US_ALL_OTHERS</t>
        </is>
      </c>
      <c r="G782" t="inlineStr">
        <is>
          <t>Month-2026.M09.W38</t>
        </is>
      </c>
      <c r="H782" t="inlineStr">
        <is>
          <t>Reasonability Adjustment</t>
        </is>
      </c>
      <c r="K782" t="n">
        <v>1190</v>
      </c>
      <c r="L782" t="n">
        <v>1030</v>
      </c>
      <c r="M782" t="n">
        <v>-2207</v>
      </c>
      <c r="N782" t="n">
        <v>1635</v>
      </c>
      <c r="O782" t="n">
        <v>0</v>
      </c>
      <c r="P782" t="n">
        <v>0</v>
      </c>
      <c r="Q782" t="n">
        <v>404</v>
      </c>
      <c r="R782" t="n">
        <v>224</v>
      </c>
    </row>
    <row r="783">
      <c r="A783" t="inlineStr">
        <is>
          <t>Gucci</t>
        </is>
      </c>
      <c r="B783" t="inlineStr">
        <is>
          <t>Gucci Flora (01228)</t>
        </is>
      </c>
      <c r="C783" t="inlineStr">
        <is>
          <t>Gucci Flora Gorgeous Orchid (00006613)</t>
        </is>
      </c>
      <c r="D783" s="1" t="n">
        <v>3616305169273</v>
      </c>
      <c r="E783" t="inlineStr">
        <is>
          <t>GUCCI FL G ORC EDP 100 ML VP IV</t>
        </is>
      </c>
      <c r="F783" t="inlineStr">
        <is>
          <t>P_US_ALL_OTHERS</t>
        </is>
      </c>
      <c r="G783" t="inlineStr">
        <is>
          <t>Month-2026.M09.W38</t>
        </is>
      </c>
      <c r="H783" t="inlineStr">
        <is>
          <t>Total Demand Assumption</t>
        </is>
      </c>
    </row>
    <row r="784">
      <c r="A784" t="inlineStr">
        <is>
          <t>Gucci</t>
        </is>
      </c>
      <c r="B784" t="inlineStr">
        <is>
          <t>Gucci Flora (01228)</t>
        </is>
      </c>
      <c r="C784" t="inlineStr">
        <is>
          <t>Gucci Flora Gorgeous Orchid (00006613)</t>
        </is>
      </c>
      <c r="D784" s="1" t="n">
        <v>3616305169273</v>
      </c>
      <c r="E784" t="inlineStr">
        <is>
          <t>GUCCI FL G ORC EDP 100 ML VP IV</t>
        </is>
      </c>
      <c r="F784" t="inlineStr">
        <is>
          <t>P_US_ALL_OTHERS</t>
        </is>
      </c>
      <c r="G784" t="inlineStr">
        <is>
          <t>Month-2026.M09.W38</t>
        </is>
      </c>
      <c r="H784" t="inlineStr">
        <is>
          <t>Consensus - Final</t>
        </is>
      </c>
      <c r="I784" t="n">
        <v>2894</v>
      </c>
      <c r="J784" t="n">
        <v>1339</v>
      </c>
      <c r="K784" t="n">
        <v>1976.28943661971</v>
      </c>
      <c r="L784" t="n">
        <v>1526</v>
      </c>
      <c r="M784" t="n">
        <v>1731</v>
      </c>
      <c r="N784" t="n">
        <v>3419</v>
      </c>
      <c r="O784" t="n">
        <v>1231</v>
      </c>
      <c r="P784" t="n">
        <v>2120</v>
      </c>
      <c r="Q784" t="n">
        <v>3004</v>
      </c>
      <c r="R784" t="n">
        <v>969</v>
      </c>
      <c r="S784" t="n">
        <v>496</v>
      </c>
      <c r="T784" t="n">
        <v>5851</v>
      </c>
    </row>
    <row r="785">
      <c r="A785" t="inlineStr">
        <is>
          <t>Gucci</t>
        </is>
      </c>
      <c r="B785" t="inlineStr">
        <is>
          <t>Gucci Flora (01228)</t>
        </is>
      </c>
      <c r="C785" t="inlineStr">
        <is>
          <t>Gucci Flora Gorgeous Orchid (00006613)</t>
        </is>
      </c>
      <c r="D785" s="1" t="n">
        <v>3616305169273</v>
      </c>
      <c r="E785" t="inlineStr">
        <is>
          <t>GUCCI FL G ORC EDP 100 ML VP IV</t>
        </is>
      </c>
      <c r="F785" t="inlineStr">
        <is>
          <t>P_US_ALL_OTHERS</t>
        </is>
      </c>
      <c r="G785" t="inlineStr">
        <is>
          <t>Month-2026.M09.W38</t>
        </is>
      </c>
      <c r="H785" t="inlineStr">
        <is>
          <t>Supply Cuts</t>
        </is>
      </c>
      <c r="I785" t="n">
        <v>43</v>
      </c>
      <c r="J785" t="n">
        <v>2108</v>
      </c>
    </row>
    <row r="786">
      <c r="A786" t="inlineStr">
        <is>
          <t>Gucci</t>
        </is>
      </c>
      <c r="B786" t="inlineStr">
        <is>
          <t>Gucci Flora (01228)</t>
        </is>
      </c>
      <c r="C786" t="inlineStr">
        <is>
          <t>Gucci Flora Gorgeous Orchid (00006613)</t>
        </is>
      </c>
      <c r="D786" s="1" t="n">
        <v>3616305169273</v>
      </c>
      <c r="E786" t="inlineStr">
        <is>
          <t>GUCCI FL G ORC EDP 100 ML VP IV</t>
        </is>
      </c>
      <c r="F786" t="inlineStr">
        <is>
          <t>P_US_FG</t>
        </is>
      </c>
      <c r="G786" t="inlineStr">
        <is>
          <t>CurrentWorkingView</t>
        </is>
      </c>
      <c r="H786" t="inlineStr">
        <is>
          <t>Consensus - Final LY M</t>
        </is>
      </c>
      <c r="I786" t="n">
        <v>1</v>
      </c>
      <c r="J786" t="n">
        <v>10</v>
      </c>
      <c r="K786" t="n">
        <v>11</v>
      </c>
      <c r="L786" t="n">
        <v>8</v>
      </c>
      <c r="M786" t="n">
        <v>86</v>
      </c>
      <c r="P786" t="n">
        <v>104</v>
      </c>
      <c r="Q786" t="n">
        <v>5</v>
      </c>
      <c r="R786" t="n">
        <v>398</v>
      </c>
      <c r="T786" t="n">
        <v>99</v>
      </c>
    </row>
    <row r="787">
      <c r="A787" t="inlineStr">
        <is>
          <t>Gucci</t>
        </is>
      </c>
      <c r="B787" t="inlineStr">
        <is>
          <t>Gucci Flora (01228)</t>
        </is>
      </c>
      <c r="C787" t="inlineStr">
        <is>
          <t>Gucci Flora Gorgeous Orchid (00006613)</t>
        </is>
      </c>
      <c r="D787" s="1" t="n">
        <v>3616305169273</v>
      </c>
      <c r="E787" t="inlineStr">
        <is>
          <t>GUCCI FL G ORC EDP 100 ML VP IV</t>
        </is>
      </c>
      <c r="F787" t="inlineStr">
        <is>
          <t>P_US_FG</t>
        </is>
      </c>
      <c r="G787" t="inlineStr">
        <is>
          <t>CurrentWorkingView</t>
        </is>
      </c>
      <c r="H787" t="inlineStr">
        <is>
          <t>System FC - Final</t>
        </is>
      </c>
      <c r="K787" t="n">
        <v>221</v>
      </c>
      <c r="L787" t="n">
        <v>40</v>
      </c>
      <c r="M787" t="n">
        <v>49</v>
      </c>
      <c r="N787" t="n">
        <v>36</v>
      </c>
      <c r="O787" t="n">
        <v>44</v>
      </c>
      <c r="P787" t="n">
        <v>52</v>
      </c>
      <c r="Q787" t="n">
        <v>44</v>
      </c>
      <c r="R787" t="n">
        <v>47</v>
      </c>
      <c r="S787" t="n">
        <v>44</v>
      </c>
      <c r="T787" t="n">
        <v>47</v>
      </c>
    </row>
    <row r="788">
      <c r="A788" t="inlineStr">
        <is>
          <t>Gucci</t>
        </is>
      </c>
      <c r="B788" t="inlineStr">
        <is>
          <t>Gucci Flora (01228)</t>
        </is>
      </c>
      <c r="C788" t="inlineStr">
        <is>
          <t>Gucci Flora Gorgeous Orchid (00006613)</t>
        </is>
      </c>
      <c r="D788" s="1" t="n">
        <v>3616305169273</v>
      </c>
      <c r="E788" t="inlineStr">
        <is>
          <t>GUCCI FL G ORC EDP 100 ML VP IV</t>
        </is>
      </c>
      <c r="F788" t="inlineStr">
        <is>
          <t>P_US_FG</t>
        </is>
      </c>
      <c r="G788" t="inlineStr">
        <is>
          <t>CurrentWorkingView</t>
        </is>
      </c>
      <c r="H788" t="inlineStr">
        <is>
          <t>EPOS</t>
        </is>
      </c>
    </row>
    <row r="789">
      <c r="A789" t="inlineStr">
        <is>
          <t>Gucci</t>
        </is>
      </c>
      <c r="B789" t="inlineStr">
        <is>
          <t>Gucci Flora (01228)</t>
        </is>
      </c>
      <c r="C789" t="inlineStr">
        <is>
          <t>Gucci Flora Gorgeous Orchid (00006613)</t>
        </is>
      </c>
      <c r="D789" s="1" t="n">
        <v>3616305169273</v>
      </c>
      <c r="E789" t="inlineStr">
        <is>
          <t>GUCCI FL G ORC EDP 100 ML VP IV</t>
        </is>
      </c>
      <c r="F789" t="inlineStr">
        <is>
          <t>P_US_FG</t>
        </is>
      </c>
      <c r="G789" t="inlineStr">
        <is>
          <t>CurrentWorkingView</t>
        </is>
      </c>
      <c r="H789" t="inlineStr">
        <is>
          <t>Reasonability Adjustment</t>
        </is>
      </c>
      <c r="K789" t="n">
        <v>126</v>
      </c>
      <c r="L789" t="n">
        <v>130</v>
      </c>
      <c r="N789" t="n">
        <v>65</v>
      </c>
    </row>
    <row r="790">
      <c r="A790" t="inlineStr">
        <is>
          <t>Gucci</t>
        </is>
      </c>
      <c r="B790" t="inlineStr">
        <is>
          <t>Gucci Flora (01228)</t>
        </is>
      </c>
      <c r="C790" t="inlineStr">
        <is>
          <t>Gucci Flora Gorgeous Orchid (00006613)</t>
        </is>
      </c>
      <c r="D790" s="1" t="n">
        <v>3616305169273</v>
      </c>
      <c r="E790" t="inlineStr">
        <is>
          <t>GUCCI FL G ORC EDP 100 ML VP IV</t>
        </is>
      </c>
      <c r="F790" t="inlineStr">
        <is>
          <t>P_US_FG</t>
        </is>
      </c>
      <c r="G790" t="inlineStr">
        <is>
          <t>CurrentWorkingView</t>
        </is>
      </c>
      <c r="H790" t="inlineStr">
        <is>
          <t>Total Demand Assumption</t>
        </is>
      </c>
    </row>
    <row r="791">
      <c r="A791" t="inlineStr">
        <is>
          <t>Gucci</t>
        </is>
      </c>
      <c r="B791" t="inlineStr">
        <is>
          <t>Gucci Flora (01228)</t>
        </is>
      </c>
      <c r="C791" t="inlineStr">
        <is>
          <t>Gucci Flora Gorgeous Orchid (00006613)</t>
        </is>
      </c>
      <c r="D791" s="1" t="n">
        <v>3616305169273</v>
      </c>
      <c r="E791" t="inlineStr">
        <is>
          <t>GUCCI FL G ORC EDP 100 ML VP IV</t>
        </is>
      </c>
      <c r="F791" t="inlineStr">
        <is>
          <t>P_US_FG</t>
        </is>
      </c>
      <c r="G791" t="inlineStr">
        <is>
          <t>CurrentWorkingView</t>
        </is>
      </c>
      <c r="H791" t="inlineStr">
        <is>
          <t>Consensus - Final</t>
        </is>
      </c>
      <c r="K791" t="n">
        <v>161</v>
      </c>
      <c r="L791" t="n">
        <v>130</v>
      </c>
      <c r="N791" t="n">
        <v>65</v>
      </c>
    </row>
    <row r="792">
      <c r="A792" t="inlineStr">
        <is>
          <t>Gucci</t>
        </is>
      </c>
      <c r="B792" t="inlineStr">
        <is>
          <t>Gucci Flora (01228)</t>
        </is>
      </c>
      <c r="C792" t="inlineStr">
        <is>
          <t>Gucci Flora Gorgeous Orchid (00006613)</t>
        </is>
      </c>
      <c r="D792" s="1" t="n">
        <v>3616305169273</v>
      </c>
      <c r="E792" t="inlineStr">
        <is>
          <t>GUCCI FL G ORC EDP 100 ML VP IV</t>
        </is>
      </c>
      <c r="F792" t="inlineStr">
        <is>
          <t>P_US_FG</t>
        </is>
      </c>
      <c r="G792" t="inlineStr">
        <is>
          <t>CurrentWorkingView</t>
        </is>
      </c>
      <c r="H792" t="inlineStr">
        <is>
          <t>Supply Cuts</t>
        </is>
      </c>
    </row>
    <row r="793">
      <c r="A793" t="inlineStr">
        <is>
          <t>Gucci</t>
        </is>
      </c>
      <c r="B793" t="inlineStr">
        <is>
          <t>Gucci Flora (01228)</t>
        </is>
      </c>
      <c r="C793" t="inlineStr">
        <is>
          <t>Gucci Flora Gorgeous Orchid (00006613)</t>
        </is>
      </c>
      <c r="D793" s="1" t="n">
        <v>3616305169273</v>
      </c>
      <c r="E793" t="inlineStr">
        <is>
          <t>GUCCI FL G ORC EDP 100 ML VP IV</t>
        </is>
      </c>
      <c r="F793" t="inlineStr">
        <is>
          <t>P_US_FG</t>
        </is>
      </c>
      <c r="G793" t="inlineStr">
        <is>
          <t>Month-2026.M09.W38</t>
        </is>
      </c>
      <c r="H793" t="inlineStr">
        <is>
          <t>Consensus - Final LY M</t>
        </is>
      </c>
      <c r="I793" t="n">
        <v>1</v>
      </c>
      <c r="J793" t="n">
        <v>10</v>
      </c>
      <c r="K793" t="n">
        <v>11</v>
      </c>
      <c r="L793" t="n">
        <v>8</v>
      </c>
      <c r="M793" t="n">
        <v>86</v>
      </c>
      <c r="P793" t="n">
        <v>104</v>
      </c>
      <c r="Q793" t="n">
        <v>5</v>
      </c>
      <c r="R793" t="n">
        <v>398</v>
      </c>
      <c r="T793" t="n">
        <v>99</v>
      </c>
    </row>
    <row r="794">
      <c r="A794" t="inlineStr">
        <is>
          <t>Gucci</t>
        </is>
      </c>
      <c r="B794" t="inlineStr">
        <is>
          <t>Gucci Flora (01228)</t>
        </is>
      </c>
      <c r="C794" t="inlineStr">
        <is>
          <t>Gucci Flora Gorgeous Orchid (00006613)</t>
        </is>
      </c>
      <c r="D794" s="1" t="n">
        <v>3616305169273</v>
      </c>
      <c r="E794" t="inlineStr">
        <is>
          <t>GUCCI FL G ORC EDP 100 ML VP IV</t>
        </is>
      </c>
      <c r="F794" t="inlineStr">
        <is>
          <t>P_US_FG</t>
        </is>
      </c>
      <c r="G794" t="inlineStr">
        <is>
          <t>Month-2026.M09.W38</t>
        </is>
      </c>
      <c r="H794" t="inlineStr">
        <is>
          <t>System FC - Final</t>
        </is>
      </c>
      <c r="K794" t="n">
        <v>89</v>
      </c>
      <c r="L794" t="n">
        <v>63</v>
      </c>
      <c r="M794" t="n">
        <v>78</v>
      </c>
      <c r="N794" t="n">
        <v>71</v>
      </c>
      <c r="O794" t="n">
        <v>88</v>
      </c>
      <c r="P794" t="n">
        <v>84</v>
      </c>
      <c r="Q794" t="n">
        <v>75</v>
      </c>
      <c r="R794" t="n">
        <v>78</v>
      </c>
      <c r="S794" t="n">
        <v>80</v>
      </c>
      <c r="T794" t="n">
        <v>131</v>
      </c>
    </row>
    <row r="795">
      <c r="A795" t="inlineStr">
        <is>
          <t>Gucci</t>
        </is>
      </c>
      <c r="B795" t="inlineStr">
        <is>
          <t>Gucci Flora (01228)</t>
        </is>
      </c>
      <c r="C795" t="inlineStr">
        <is>
          <t>Gucci Flora Gorgeous Orchid (00006613)</t>
        </is>
      </c>
      <c r="D795" s="1" t="n">
        <v>3616305169273</v>
      </c>
      <c r="E795" t="inlineStr">
        <is>
          <t>GUCCI FL G ORC EDP 100 ML VP IV</t>
        </is>
      </c>
      <c r="F795" t="inlineStr">
        <is>
          <t>P_US_FG</t>
        </is>
      </c>
      <c r="G795" t="inlineStr">
        <is>
          <t>Month-2026.M09.W38</t>
        </is>
      </c>
      <c r="H795" t="inlineStr">
        <is>
          <t>EPOS</t>
        </is>
      </c>
    </row>
    <row r="796">
      <c r="A796" t="inlineStr">
        <is>
          <t>Gucci</t>
        </is>
      </c>
      <c r="B796" t="inlineStr">
        <is>
          <t>Gucci Flora (01228)</t>
        </is>
      </c>
      <c r="C796" t="inlineStr">
        <is>
          <t>Gucci Flora Gorgeous Orchid (00006613)</t>
        </is>
      </c>
      <c r="D796" s="1" t="n">
        <v>3616305169273</v>
      </c>
      <c r="E796" t="inlineStr">
        <is>
          <t>GUCCI FL G ORC EDP 100 ML VP IV</t>
        </is>
      </c>
      <c r="F796" t="inlineStr">
        <is>
          <t>P_US_FG</t>
        </is>
      </c>
      <c r="G796" t="inlineStr">
        <is>
          <t>Month-2026.M09.W38</t>
        </is>
      </c>
      <c r="H796" t="inlineStr">
        <is>
          <t>Reasonability Adjustment</t>
        </is>
      </c>
      <c r="K796" t="n">
        <v>126</v>
      </c>
      <c r="L796" t="n">
        <v>130</v>
      </c>
      <c r="N796" t="n">
        <v>65</v>
      </c>
    </row>
    <row r="797">
      <c r="A797" t="inlineStr">
        <is>
          <t>Gucci</t>
        </is>
      </c>
      <c r="B797" t="inlineStr">
        <is>
          <t>Gucci Flora (01228)</t>
        </is>
      </c>
      <c r="C797" t="inlineStr">
        <is>
          <t>Gucci Flora Gorgeous Orchid (00006613)</t>
        </is>
      </c>
      <c r="D797" s="1" t="n">
        <v>3616305169273</v>
      </c>
      <c r="E797" t="inlineStr">
        <is>
          <t>GUCCI FL G ORC EDP 100 ML VP IV</t>
        </is>
      </c>
      <c r="F797" t="inlineStr">
        <is>
          <t>P_US_FG</t>
        </is>
      </c>
      <c r="G797" t="inlineStr">
        <is>
          <t>Month-2026.M09.W38</t>
        </is>
      </c>
      <c r="H797" t="inlineStr">
        <is>
          <t>Total Demand Assumption</t>
        </is>
      </c>
    </row>
    <row r="798">
      <c r="A798" t="inlineStr">
        <is>
          <t>Gucci</t>
        </is>
      </c>
      <c r="B798" t="inlineStr">
        <is>
          <t>Gucci Flora (01228)</t>
        </is>
      </c>
      <c r="C798" t="inlineStr">
        <is>
          <t>Gucci Flora Gorgeous Orchid (00006613)</t>
        </is>
      </c>
      <c r="D798" s="1" t="n">
        <v>3616305169273</v>
      </c>
      <c r="E798" t="inlineStr">
        <is>
          <t>GUCCI FL G ORC EDP 100 ML VP IV</t>
        </is>
      </c>
      <c r="F798" t="inlineStr">
        <is>
          <t>P_US_FG</t>
        </is>
      </c>
      <c r="G798" t="inlineStr">
        <is>
          <t>Month-2026.M09.W38</t>
        </is>
      </c>
      <c r="H798" t="inlineStr">
        <is>
          <t>Consensus - Final</t>
        </is>
      </c>
      <c r="K798" t="n">
        <v>126</v>
      </c>
      <c r="L798" t="n">
        <v>130</v>
      </c>
      <c r="N798" t="n">
        <v>65</v>
      </c>
    </row>
    <row r="799">
      <c r="A799" t="inlineStr">
        <is>
          <t>Gucci</t>
        </is>
      </c>
      <c r="B799" t="inlineStr">
        <is>
          <t>Gucci Flora (01228)</t>
        </is>
      </c>
      <c r="C799" t="inlineStr">
        <is>
          <t>Gucci Flora Gorgeous Orchid (00006613)</t>
        </is>
      </c>
      <c r="D799" s="1" t="n">
        <v>3616305169273</v>
      </c>
      <c r="E799" t="inlineStr">
        <is>
          <t>GUCCI FL G ORC EDP 100 ML VP IV</t>
        </is>
      </c>
      <c r="F799" t="inlineStr">
        <is>
          <t>P_US_FG</t>
        </is>
      </c>
      <c r="G799" t="inlineStr">
        <is>
          <t>Month-2026.M09.W38</t>
        </is>
      </c>
      <c r="H799" t="inlineStr">
        <is>
          <t>Supply Cuts</t>
        </is>
      </c>
    </row>
    <row r="800">
      <c r="A800" t="inlineStr">
        <is>
          <t>Gucci</t>
        </is>
      </c>
      <c r="B800" t="inlineStr">
        <is>
          <t>Gucci Flora (01228)</t>
        </is>
      </c>
      <c r="C800" t="inlineStr">
        <is>
          <t>Gucci Flora Gorgeous Orchid (00006613)</t>
        </is>
      </c>
      <c r="D800" s="1" t="n">
        <v>3616305169273</v>
      </c>
      <c r="E800" t="inlineStr">
        <is>
          <t>GUCCI FL G ORC EDP 100 ML VP IV</t>
        </is>
      </c>
      <c r="F800" t="inlineStr">
        <is>
          <t>P_US_ULTA</t>
        </is>
      </c>
      <c r="G800" t="inlineStr">
        <is>
          <t>CurrentWorkingView</t>
        </is>
      </c>
      <c r="H800" t="inlineStr">
        <is>
          <t>Consensus - Final LY M</t>
        </is>
      </c>
      <c r="I800" t="n">
        <v>1250</v>
      </c>
      <c r="J800" t="n">
        <v>658</v>
      </c>
      <c r="K800" t="n">
        <v>996</v>
      </c>
      <c r="L800" t="n">
        <v>30</v>
      </c>
      <c r="M800" t="n">
        <v>713</v>
      </c>
      <c r="N800" t="n">
        <v>1098</v>
      </c>
      <c r="O800" t="n">
        <v>1899</v>
      </c>
      <c r="P800" t="n">
        <v>1452</v>
      </c>
      <c r="Q800" t="n">
        <v>1564</v>
      </c>
      <c r="R800" t="n">
        <v>141</v>
      </c>
      <c r="S800" t="n">
        <v>598</v>
      </c>
      <c r="T800" t="n">
        <v>304</v>
      </c>
    </row>
    <row r="801">
      <c r="A801" t="inlineStr">
        <is>
          <t>Gucci</t>
        </is>
      </c>
      <c r="B801" t="inlineStr">
        <is>
          <t>Gucci Flora (01228)</t>
        </is>
      </c>
      <c r="C801" t="inlineStr">
        <is>
          <t>Gucci Flora Gorgeous Orchid (00006613)</t>
        </is>
      </c>
      <c r="D801" s="1" t="n">
        <v>3616305169273</v>
      </c>
      <c r="E801" t="inlineStr">
        <is>
          <t>GUCCI FL G ORC EDP 100 ML VP IV</t>
        </is>
      </c>
      <c r="F801" t="inlineStr">
        <is>
          <t>P_US_ULTA</t>
        </is>
      </c>
      <c r="G801" t="inlineStr">
        <is>
          <t>CurrentWorkingView</t>
        </is>
      </c>
      <c r="H801" t="inlineStr">
        <is>
          <t>System FC - Final</t>
        </is>
      </c>
      <c r="I801" t="n">
        <v>576</v>
      </c>
      <c r="J801" t="n">
        <v>661</v>
      </c>
      <c r="K801" t="n">
        <v>1203</v>
      </c>
      <c r="L801" t="n">
        <v>462</v>
      </c>
      <c r="M801" t="n">
        <v>934</v>
      </c>
      <c r="N801" t="n">
        <v>766</v>
      </c>
      <c r="O801" t="n">
        <v>837</v>
      </c>
      <c r="P801" t="n">
        <v>764</v>
      </c>
      <c r="Q801" t="n">
        <v>1032</v>
      </c>
      <c r="R801" t="n">
        <v>197</v>
      </c>
      <c r="S801" t="n">
        <v>527</v>
      </c>
      <c r="T801" t="n">
        <v>462</v>
      </c>
    </row>
    <row r="802">
      <c r="A802" t="inlineStr">
        <is>
          <t>Gucci</t>
        </is>
      </c>
      <c r="B802" t="inlineStr">
        <is>
          <t>Gucci Flora (01228)</t>
        </is>
      </c>
      <c r="C802" t="inlineStr">
        <is>
          <t>Gucci Flora Gorgeous Orchid (00006613)</t>
        </is>
      </c>
      <c r="D802" s="1" t="n">
        <v>3616305169273</v>
      </c>
      <c r="E802" t="inlineStr">
        <is>
          <t>GUCCI FL G ORC EDP 100 ML VP IV</t>
        </is>
      </c>
      <c r="F802" t="inlineStr">
        <is>
          <t>P_US_ULTA</t>
        </is>
      </c>
      <c r="G802" t="inlineStr">
        <is>
          <t>CurrentWorkingView</t>
        </is>
      </c>
      <c r="H802" t="inlineStr">
        <is>
          <t>EPOS</t>
        </is>
      </c>
      <c r="I802" t="n">
        <v>935</v>
      </c>
    </row>
    <row r="803">
      <c r="A803" t="inlineStr">
        <is>
          <t>Gucci</t>
        </is>
      </c>
      <c r="B803" t="inlineStr">
        <is>
          <t>Gucci Flora (01228)</t>
        </is>
      </c>
      <c r="C803" t="inlineStr">
        <is>
          <t>Gucci Flora Gorgeous Orchid (00006613)</t>
        </is>
      </c>
      <c r="D803" s="1" t="n">
        <v>3616305169273</v>
      </c>
      <c r="E803" t="inlineStr">
        <is>
          <t>GUCCI FL G ORC EDP 100 ML VP IV</t>
        </is>
      </c>
      <c r="F803" t="inlineStr">
        <is>
          <t>P_US_ULTA</t>
        </is>
      </c>
      <c r="G803" t="inlineStr">
        <is>
          <t>CurrentWorkingView</t>
        </is>
      </c>
      <c r="H803" t="inlineStr">
        <is>
          <t>Reasonability Adjustment</t>
        </is>
      </c>
      <c r="K803" t="n">
        <v>1684</v>
      </c>
      <c r="L803" t="n">
        <v>1140</v>
      </c>
      <c r="M803" t="n">
        <v>-1089</v>
      </c>
      <c r="N803" t="n">
        <v>0</v>
      </c>
      <c r="O803" t="n">
        <v>0</v>
      </c>
      <c r="P803" t="n">
        <v>0</v>
      </c>
      <c r="Q803" t="n">
        <v>0</v>
      </c>
      <c r="R803" t="n">
        <v>144</v>
      </c>
    </row>
    <row r="804">
      <c r="A804" t="inlineStr">
        <is>
          <t>Gucci</t>
        </is>
      </c>
      <c r="B804" t="inlineStr">
        <is>
          <t>Gucci Flora (01228)</t>
        </is>
      </c>
      <c r="C804" t="inlineStr">
        <is>
          <t>Gucci Flora Gorgeous Orchid (00006613)</t>
        </is>
      </c>
      <c r="D804" s="1" t="n">
        <v>3616305169273</v>
      </c>
      <c r="E804" t="inlineStr">
        <is>
          <t>GUCCI FL G ORC EDP 100 ML VP IV</t>
        </is>
      </c>
      <c r="F804" t="inlineStr">
        <is>
          <t>P_US_ULTA</t>
        </is>
      </c>
      <c r="G804" t="inlineStr">
        <is>
          <t>CurrentWorkingView</t>
        </is>
      </c>
      <c r="H804" t="inlineStr">
        <is>
          <t>Total Demand Assumption</t>
        </is>
      </c>
    </row>
    <row r="805">
      <c r="A805" t="inlineStr">
        <is>
          <t>Gucci</t>
        </is>
      </c>
      <c r="B805" t="inlineStr">
        <is>
          <t>Gucci Flora (01228)</t>
        </is>
      </c>
      <c r="C805" t="inlineStr">
        <is>
          <t>Gucci Flora Gorgeous Orchid (00006613)</t>
        </is>
      </c>
      <c r="D805" s="1" t="n">
        <v>3616305169273</v>
      </c>
      <c r="E805" t="inlineStr">
        <is>
          <t>GUCCI FL G ORC EDP 100 ML VP IV</t>
        </is>
      </c>
      <c r="F805" t="inlineStr">
        <is>
          <t>P_US_ULTA</t>
        </is>
      </c>
      <c r="G805" t="inlineStr">
        <is>
          <t>CurrentWorkingView</t>
        </is>
      </c>
      <c r="H805" t="inlineStr">
        <is>
          <t>Consensus - Final</t>
        </is>
      </c>
      <c r="I805" t="n">
        <v>576</v>
      </c>
      <c r="J805" t="n">
        <v>661</v>
      </c>
      <c r="K805" t="n">
        <v>2212.71056338028</v>
      </c>
      <c r="L805" t="n">
        <v>1602</v>
      </c>
      <c r="M805" t="n">
        <v>145</v>
      </c>
      <c r="N805" t="n">
        <v>766</v>
      </c>
      <c r="O805" t="n">
        <v>837</v>
      </c>
      <c r="P805" t="n">
        <v>764</v>
      </c>
      <c r="Q805" t="n">
        <v>1032</v>
      </c>
      <c r="R805" t="n">
        <v>341</v>
      </c>
      <c r="S805" t="n">
        <v>527</v>
      </c>
      <c r="T805" t="n">
        <v>462</v>
      </c>
    </row>
    <row r="806">
      <c r="A806" t="inlineStr">
        <is>
          <t>Gucci</t>
        </is>
      </c>
      <c r="B806" t="inlineStr">
        <is>
          <t>Gucci Flora (01228)</t>
        </is>
      </c>
      <c r="C806" t="inlineStr">
        <is>
          <t>Gucci Flora Gorgeous Orchid (00006613)</t>
        </is>
      </c>
      <c r="D806" s="1" t="n">
        <v>3616305169273</v>
      </c>
      <c r="E806" t="inlineStr">
        <is>
          <t>GUCCI FL G ORC EDP 100 ML VP IV</t>
        </is>
      </c>
      <c r="F806" t="inlineStr">
        <is>
          <t>P_US_ULTA</t>
        </is>
      </c>
      <c r="G806" t="inlineStr">
        <is>
          <t>CurrentWorkingView</t>
        </is>
      </c>
      <c r="H806" t="inlineStr">
        <is>
          <t>Supply Cuts</t>
        </is>
      </c>
      <c r="J806" t="n">
        <v>587</v>
      </c>
    </row>
    <row r="807">
      <c r="A807" t="inlineStr">
        <is>
          <t>Gucci</t>
        </is>
      </c>
      <c r="B807" t="inlineStr">
        <is>
          <t>Gucci Flora (01228)</t>
        </is>
      </c>
      <c r="C807" t="inlineStr">
        <is>
          <t>Gucci Flora Gorgeous Orchid (00006613)</t>
        </is>
      </c>
      <c r="D807" s="1" t="n">
        <v>3616305169273</v>
      </c>
      <c r="E807" t="inlineStr">
        <is>
          <t>GUCCI FL G ORC EDP 100 ML VP IV</t>
        </is>
      </c>
      <c r="F807" t="inlineStr">
        <is>
          <t>P_US_ULTA</t>
        </is>
      </c>
      <c r="G807" t="inlineStr">
        <is>
          <t>Month-2026.M09.W38</t>
        </is>
      </c>
      <c r="H807" t="inlineStr">
        <is>
          <t>Consensus - Final LY M</t>
        </is>
      </c>
      <c r="I807" t="n">
        <v>1250</v>
      </c>
      <c r="J807" t="n">
        <v>658</v>
      </c>
      <c r="K807" t="n">
        <v>996</v>
      </c>
      <c r="L807" t="n">
        <v>30</v>
      </c>
      <c r="M807" t="n">
        <v>713</v>
      </c>
      <c r="N807" t="n">
        <v>1098</v>
      </c>
      <c r="O807" t="n">
        <v>1899</v>
      </c>
      <c r="P807" t="n">
        <v>1452</v>
      </c>
      <c r="Q807" t="n">
        <v>1564</v>
      </c>
      <c r="R807" t="n">
        <v>141</v>
      </c>
      <c r="S807" t="n">
        <v>598</v>
      </c>
      <c r="T807" t="n">
        <v>304</v>
      </c>
    </row>
    <row r="808">
      <c r="A808" t="inlineStr">
        <is>
          <t>Gucci</t>
        </is>
      </c>
      <c r="B808" t="inlineStr">
        <is>
          <t>Gucci Flora (01228)</t>
        </is>
      </c>
      <c r="C808" t="inlineStr">
        <is>
          <t>Gucci Flora Gorgeous Orchid (00006613)</t>
        </is>
      </c>
      <c r="D808" s="1" t="n">
        <v>3616305169273</v>
      </c>
      <c r="E808" t="inlineStr">
        <is>
          <t>GUCCI FL G ORC EDP 100 ML VP IV</t>
        </is>
      </c>
      <c r="F808" t="inlineStr">
        <is>
          <t>P_US_ULTA</t>
        </is>
      </c>
      <c r="G808" t="inlineStr">
        <is>
          <t>Month-2026.M09.W38</t>
        </is>
      </c>
      <c r="H808" t="inlineStr">
        <is>
          <t>System FC - Final</t>
        </is>
      </c>
      <c r="I808" t="n">
        <v>576</v>
      </c>
      <c r="J808" t="n">
        <v>661</v>
      </c>
      <c r="K808" t="n">
        <v>958</v>
      </c>
      <c r="L808" t="n">
        <v>486</v>
      </c>
      <c r="M808" t="n">
        <v>981</v>
      </c>
      <c r="N808" t="n">
        <v>670</v>
      </c>
      <c r="O808" t="n">
        <v>1196</v>
      </c>
      <c r="P808" t="n">
        <v>824</v>
      </c>
      <c r="Q808" t="n">
        <v>1917</v>
      </c>
      <c r="R808" t="n">
        <v>266</v>
      </c>
      <c r="S808" t="n">
        <v>779</v>
      </c>
      <c r="T808" t="n">
        <v>476</v>
      </c>
    </row>
    <row r="809">
      <c r="A809" t="inlineStr">
        <is>
          <t>Gucci</t>
        </is>
      </c>
      <c r="B809" t="inlineStr">
        <is>
          <t>Gucci Flora (01228)</t>
        </is>
      </c>
      <c r="C809" t="inlineStr">
        <is>
          <t>Gucci Flora Gorgeous Orchid (00006613)</t>
        </is>
      </c>
      <c r="D809" s="1" t="n">
        <v>3616305169273</v>
      </c>
      <c r="E809" t="inlineStr">
        <is>
          <t>GUCCI FL G ORC EDP 100 ML VP IV</t>
        </is>
      </c>
      <c r="F809" t="inlineStr">
        <is>
          <t>P_US_ULTA</t>
        </is>
      </c>
      <c r="G809" t="inlineStr">
        <is>
          <t>Month-2026.M09.W38</t>
        </is>
      </c>
      <c r="H809" t="inlineStr">
        <is>
          <t>EPOS</t>
        </is>
      </c>
      <c r="I809" t="n">
        <v>935</v>
      </c>
    </row>
    <row r="810">
      <c r="A810" t="inlineStr">
        <is>
          <t>Gucci</t>
        </is>
      </c>
      <c r="B810" t="inlineStr">
        <is>
          <t>Gucci Flora (01228)</t>
        </is>
      </c>
      <c r="C810" t="inlineStr">
        <is>
          <t>Gucci Flora Gorgeous Orchid (00006613)</t>
        </is>
      </c>
      <c r="D810" s="1" t="n">
        <v>3616305169273</v>
      </c>
      <c r="E810" t="inlineStr">
        <is>
          <t>GUCCI FL G ORC EDP 100 ML VP IV</t>
        </is>
      </c>
      <c r="F810" t="inlineStr">
        <is>
          <t>P_US_ULTA</t>
        </is>
      </c>
      <c r="G810" t="inlineStr">
        <is>
          <t>Month-2026.M09.W38</t>
        </is>
      </c>
      <c r="H810" t="inlineStr">
        <is>
          <t>Reasonability Adjustment</t>
        </is>
      </c>
      <c r="K810" t="n">
        <v>1684</v>
      </c>
      <c r="L810" t="n">
        <v>1140</v>
      </c>
      <c r="M810" t="n">
        <v>-1089</v>
      </c>
      <c r="N810" t="n">
        <v>0</v>
      </c>
      <c r="O810" t="n">
        <v>0</v>
      </c>
      <c r="P810" t="n">
        <v>0</v>
      </c>
      <c r="Q810" t="n">
        <v>0</v>
      </c>
      <c r="R810" t="n">
        <v>144</v>
      </c>
    </row>
    <row r="811">
      <c r="A811" t="inlineStr">
        <is>
          <t>Gucci</t>
        </is>
      </c>
      <c r="B811" t="inlineStr">
        <is>
          <t>Gucci Flora (01228)</t>
        </is>
      </c>
      <c r="C811" t="inlineStr">
        <is>
          <t>Gucci Flora Gorgeous Orchid (00006613)</t>
        </is>
      </c>
      <c r="D811" s="1" t="n">
        <v>3616305169273</v>
      </c>
      <c r="E811" t="inlineStr">
        <is>
          <t>GUCCI FL G ORC EDP 100 ML VP IV</t>
        </is>
      </c>
      <c r="F811" t="inlineStr">
        <is>
          <t>P_US_ULTA</t>
        </is>
      </c>
      <c r="G811" t="inlineStr">
        <is>
          <t>Month-2026.M09.W38</t>
        </is>
      </c>
      <c r="H811" t="inlineStr">
        <is>
          <t>Total Demand Assumption</t>
        </is>
      </c>
    </row>
    <row r="812">
      <c r="A812" t="inlineStr">
        <is>
          <t>Gucci</t>
        </is>
      </c>
      <c r="B812" t="inlineStr">
        <is>
          <t>Gucci Flora (01228)</t>
        </is>
      </c>
      <c r="C812" t="inlineStr">
        <is>
          <t>Gucci Flora Gorgeous Orchid (00006613)</t>
        </is>
      </c>
      <c r="D812" s="1" t="n">
        <v>3616305169273</v>
      </c>
      <c r="E812" t="inlineStr">
        <is>
          <t>GUCCI FL G ORC EDP 100 ML VP IV</t>
        </is>
      </c>
      <c r="F812" t="inlineStr">
        <is>
          <t>P_US_ULTA</t>
        </is>
      </c>
      <c r="G812" t="inlineStr">
        <is>
          <t>Month-2026.M09.W38</t>
        </is>
      </c>
      <c r="H812" t="inlineStr">
        <is>
          <t>Consensus - Final</t>
        </is>
      </c>
      <c r="I812" t="n">
        <v>576</v>
      </c>
      <c r="J812" t="n">
        <v>661</v>
      </c>
      <c r="K812" t="n">
        <v>2212.71056338028</v>
      </c>
      <c r="L812" t="n">
        <v>1626</v>
      </c>
      <c r="M812" t="n">
        <v>167</v>
      </c>
      <c r="N812" t="n">
        <v>670</v>
      </c>
      <c r="O812" t="n">
        <v>1196</v>
      </c>
      <c r="P812" t="n">
        <v>824</v>
      </c>
      <c r="Q812" t="n">
        <v>1917</v>
      </c>
      <c r="R812" t="n">
        <v>410</v>
      </c>
      <c r="S812" t="n">
        <v>779</v>
      </c>
      <c r="T812" t="n">
        <v>476</v>
      </c>
    </row>
    <row r="813">
      <c r="A813" t="inlineStr">
        <is>
          <t>Gucci</t>
        </is>
      </c>
      <c r="B813" t="inlineStr">
        <is>
          <t>Gucci Flora (01228)</t>
        </is>
      </c>
      <c r="C813" t="inlineStr">
        <is>
          <t>Gucci Flora Gorgeous Orchid (00006613)</t>
        </is>
      </c>
      <c r="D813" s="1" t="n">
        <v>3616305169273</v>
      </c>
      <c r="E813" t="inlineStr">
        <is>
          <t>GUCCI FL G ORC EDP 100 ML VP IV</t>
        </is>
      </c>
      <c r="F813" t="inlineStr">
        <is>
          <t>P_US_ULTA</t>
        </is>
      </c>
      <c r="G813" t="inlineStr">
        <is>
          <t>Month-2026.M09.W38</t>
        </is>
      </c>
      <c r="H813" t="inlineStr">
        <is>
          <t>Supply Cuts</t>
        </is>
      </c>
      <c r="J813" t="n">
        <v>587</v>
      </c>
    </row>
    <row r="814">
      <c r="A814" t="inlineStr">
        <is>
          <t>Gucci</t>
        </is>
      </c>
      <c r="B814" t="inlineStr">
        <is>
          <t>Gucci Flora (01228)</t>
        </is>
      </c>
      <c r="C814" t="inlineStr">
        <is>
          <t>Gucci Flora Gorgeous Orchid (00006613)</t>
        </is>
      </c>
      <c r="D814" s="1" t="n">
        <v>3616305169297</v>
      </c>
      <c r="E814" t="inlineStr">
        <is>
          <t>GUCCI FL G ORC EDP 10 ML PENSPRAY VP IV</t>
        </is>
      </c>
      <c r="F814" t="inlineStr">
        <is>
          <t>P_US_ALL_OTHERS</t>
        </is>
      </c>
      <c r="G814" t="inlineStr">
        <is>
          <t>CurrentWorkingView</t>
        </is>
      </c>
      <c r="H814" t="inlineStr">
        <is>
          <t>Consensus - Final LY M</t>
        </is>
      </c>
      <c r="I814" t="n">
        <v>13160</v>
      </c>
      <c r="J814" t="n">
        <v>6250</v>
      </c>
      <c r="K814" t="n">
        <v>7496</v>
      </c>
      <c r="L814" t="n">
        <v>1173</v>
      </c>
      <c r="M814" t="n">
        <v>366</v>
      </c>
      <c r="N814" t="n">
        <v>5852</v>
      </c>
      <c r="O814" t="n">
        <v>2154</v>
      </c>
      <c r="P814" t="n">
        <v>2157</v>
      </c>
      <c r="Q814" t="n">
        <v>7188</v>
      </c>
      <c r="R814" t="n">
        <v>2147</v>
      </c>
      <c r="S814" t="n">
        <v>1866</v>
      </c>
      <c r="T814" t="n">
        <v>7605</v>
      </c>
    </row>
    <row r="815">
      <c r="A815" t="inlineStr">
        <is>
          <t>Gucci</t>
        </is>
      </c>
      <c r="B815" t="inlineStr">
        <is>
          <t>Gucci Flora (01228)</t>
        </is>
      </c>
      <c r="C815" t="inlineStr">
        <is>
          <t>Gucci Flora Gorgeous Orchid (00006613)</t>
        </is>
      </c>
      <c r="D815" s="1" t="n">
        <v>3616305169297</v>
      </c>
      <c r="E815" t="inlineStr">
        <is>
          <t>GUCCI FL G ORC EDP 10 ML PENSPRAY VP IV</t>
        </is>
      </c>
      <c r="F815" t="inlineStr">
        <is>
          <t>P_US_ALL_OTHERS</t>
        </is>
      </c>
      <c r="G815" t="inlineStr">
        <is>
          <t>CurrentWorkingView</t>
        </is>
      </c>
      <c r="H815" t="inlineStr">
        <is>
          <t>System FC - Final</t>
        </is>
      </c>
      <c r="I815" t="n">
        <v>4320</v>
      </c>
      <c r="J815" t="n">
        <v>3285</v>
      </c>
      <c r="K815" t="n">
        <v>5120</v>
      </c>
      <c r="L815" t="n">
        <v>4569</v>
      </c>
      <c r="M815" t="n">
        <v>2896</v>
      </c>
      <c r="N815" t="n">
        <v>3986</v>
      </c>
      <c r="O815" t="n">
        <v>2059</v>
      </c>
      <c r="P815" t="n">
        <v>3052</v>
      </c>
      <c r="Q815" t="n">
        <v>8095</v>
      </c>
      <c r="R815" t="n">
        <v>2079</v>
      </c>
      <c r="S815" t="n">
        <v>3375</v>
      </c>
      <c r="T815" t="n">
        <v>5771</v>
      </c>
    </row>
    <row r="816">
      <c r="A816" t="inlineStr">
        <is>
          <t>Gucci</t>
        </is>
      </c>
      <c r="B816" t="inlineStr">
        <is>
          <t>Gucci Flora (01228)</t>
        </is>
      </c>
      <c r="C816" t="inlineStr">
        <is>
          <t>Gucci Flora Gorgeous Orchid (00006613)</t>
        </is>
      </c>
      <c r="D816" s="1" t="n">
        <v>3616305169297</v>
      </c>
      <c r="E816" t="inlineStr">
        <is>
          <t>GUCCI FL G ORC EDP 10 ML PENSPRAY VP IV</t>
        </is>
      </c>
      <c r="F816" t="inlineStr">
        <is>
          <t>P_US_ALL_OTHERS</t>
        </is>
      </c>
      <c r="G816" t="inlineStr">
        <is>
          <t>CurrentWorkingView</t>
        </is>
      </c>
      <c r="H816" t="inlineStr">
        <is>
          <t>EPOS</t>
        </is>
      </c>
      <c r="I816" t="n">
        <v>3485</v>
      </c>
    </row>
    <row r="817">
      <c r="A817" t="inlineStr">
        <is>
          <t>Gucci</t>
        </is>
      </c>
      <c r="B817" t="inlineStr">
        <is>
          <t>Gucci Flora (01228)</t>
        </is>
      </c>
      <c r="C817" t="inlineStr">
        <is>
          <t>Gucci Flora Gorgeous Orchid (00006613)</t>
        </is>
      </c>
      <c r="D817" s="1" t="n">
        <v>3616305169297</v>
      </c>
      <c r="E817" t="inlineStr">
        <is>
          <t>GUCCI FL G ORC EDP 10 ML PENSPRAY VP IV</t>
        </is>
      </c>
      <c r="F817" t="inlineStr">
        <is>
          <t>P_US_ALL_OTHERS</t>
        </is>
      </c>
      <c r="G817" t="inlineStr">
        <is>
          <t>CurrentWorkingView</t>
        </is>
      </c>
      <c r="H817" t="inlineStr">
        <is>
          <t>Reasonability Adjustment</t>
        </is>
      </c>
      <c r="I817" t="n">
        <v>1483</v>
      </c>
    </row>
    <row r="818">
      <c r="A818" t="inlineStr">
        <is>
          <t>Gucci</t>
        </is>
      </c>
      <c r="B818" t="inlineStr">
        <is>
          <t>Gucci Flora (01228)</t>
        </is>
      </c>
      <c r="C818" t="inlineStr">
        <is>
          <t>Gucci Flora Gorgeous Orchid (00006613)</t>
        </is>
      </c>
      <c r="D818" s="1" t="n">
        <v>3616305169297</v>
      </c>
      <c r="E818" t="inlineStr">
        <is>
          <t>GUCCI FL G ORC EDP 10 ML PENSPRAY VP IV</t>
        </is>
      </c>
      <c r="F818" t="inlineStr">
        <is>
          <t>P_US_ALL_OTHERS</t>
        </is>
      </c>
      <c r="G818" t="inlineStr">
        <is>
          <t>CurrentWorkingView</t>
        </is>
      </c>
      <c r="H818" t="inlineStr">
        <is>
          <t>Total Demand Assumption</t>
        </is>
      </c>
    </row>
    <row r="819">
      <c r="A819" t="inlineStr">
        <is>
          <t>Gucci</t>
        </is>
      </c>
      <c r="B819" t="inlineStr">
        <is>
          <t>Gucci Flora (01228)</t>
        </is>
      </c>
      <c r="C819" t="inlineStr">
        <is>
          <t>Gucci Flora Gorgeous Orchid (00006613)</t>
        </is>
      </c>
      <c r="D819" s="1" t="n">
        <v>3616305169297</v>
      </c>
      <c r="E819" t="inlineStr">
        <is>
          <t>GUCCI FL G ORC EDP 10 ML PENSPRAY VP IV</t>
        </is>
      </c>
      <c r="F819" t="inlineStr">
        <is>
          <t>P_US_ALL_OTHERS</t>
        </is>
      </c>
      <c r="G819" t="inlineStr">
        <is>
          <t>CurrentWorkingView</t>
        </is>
      </c>
      <c r="H819" t="inlineStr">
        <is>
          <t>Consensus - Final</t>
        </is>
      </c>
      <c r="I819" t="n">
        <v>4320</v>
      </c>
      <c r="J819" t="n">
        <v>3285</v>
      </c>
      <c r="K819" t="n">
        <v>7255.22596414991</v>
      </c>
      <c r="L819" t="n">
        <v>4569</v>
      </c>
      <c r="M819" t="n">
        <v>2896</v>
      </c>
      <c r="N819" t="n">
        <v>3986</v>
      </c>
      <c r="O819" t="n">
        <v>2059</v>
      </c>
      <c r="P819" t="n">
        <v>3052</v>
      </c>
      <c r="Q819" t="n">
        <v>8095</v>
      </c>
      <c r="R819" t="n">
        <v>2079</v>
      </c>
      <c r="S819" t="n">
        <v>3375</v>
      </c>
      <c r="T819" t="n">
        <v>5771</v>
      </c>
    </row>
    <row r="820">
      <c r="A820" t="inlineStr">
        <is>
          <t>Gucci</t>
        </is>
      </c>
      <c r="B820" t="inlineStr">
        <is>
          <t>Gucci Flora (01228)</t>
        </is>
      </c>
      <c r="C820" t="inlineStr">
        <is>
          <t>Gucci Flora Gorgeous Orchid (00006613)</t>
        </is>
      </c>
      <c r="D820" s="1" t="n">
        <v>3616305169297</v>
      </c>
      <c r="E820" t="inlineStr">
        <is>
          <t>GUCCI FL G ORC EDP 10 ML PENSPRAY VP IV</t>
        </is>
      </c>
      <c r="F820" t="inlineStr">
        <is>
          <t>P_US_ALL_OTHERS</t>
        </is>
      </c>
      <c r="G820" t="inlineStr">
        <is>
          <t>CurrentWorkingView</t>
        </is>
      </c>
      <c r="H820" t="inlineStr">
        <is>
          <t>Supply Cuts</t>
        </is>
      </c>
    </row>
    <row r="821">
      <c r="A821" t="inlineStr">
        <is>
          <t>Gucci</t>
        </is>
      </c>
      <c r="B821" t="inlineStr">
        <is>
          <t>Gucci Flora (01228)</t>
        </is>
      </c>
      <c r="C821" t="inlineStr">
        <is>
          <t>Gucci Flora Gorgeous Orchid (00006613)</t>
        </is>
      </c>
      <c r="D821" s="1" t="n">
        <v>3616305169297</v>
      </c>
      <c r="E821" t="inlineStr">
        <is>
          <t>GUCCI FL G ORC EDP 10 ML PENSPRAY VP IV</t>
        </is>
      </c>
      <c r="F821" t="inlineStr">
        <is>
          <t>P_US_ALL_OTHERS</t>
        </is>
      </c>
      <c r="G821" t="inlineStr">
        <is>
          <t>Month-2026.M09.W38</t>
        </is>
      </c>
      <c r="H821" t="inlineStr">
        <is>
          <t>Consensus - Final LY M</t>
        </is>
      </c>
      <c r="I821" t="n">
        <v>13160</v>
      </c>
      <c r="J821" t="n">
        <v>6250</v>
      </c>
      <c r="K821" t="n">
        <v>7496</v>
      </c>
      <c r="L821" t="n">
        <v>1173</v>
      </c>
      <c r="M821" t="n">
        <v>366</v>
      </c>
      <c r="N821" t="n">
        <v>5852</v>
      </c>
      <c r="O821" t="n">
        <v>2154</v>
      </c>
      <c r="P821" t="n">
        <v>2157</v>
      </c>
      <c r="Q821" t="n">
        <v>7188</v>
      </c>
      <c r="R821" t="n">
        <v>2147</v>
      </c>
      <c r="S821" t="n">
        <v>1866</v>
      </c>
      <c r="T821" t="n">
        <v>7605</v>
      </c>
    </row>
    <row r="822">
      <c r="A822" t="inlineStr">
        <is>
          <t>Gucci</t>
        </is>
      </c>
      <c r="B822" t="inlineStr">
        <is>
          <t>Gucci Flora (01228)</t>
        </is>
      </c>
      <c r="C822" t="inlineStr">
        <is>
          <t>Gucci Flora Gorgeous Orchid (00006613)</t>
        </is>
      </c>
      <c r="D822" s="1" t="n">
        <v>3616305169297</v>
      </c>
      <c r="E822" t="inlineStr">
        <is>
          <t>GUCCI FL G ORC EDP 10 ML PENSPRAY VP IV</t>
        </is>
      </c>
      <c r="F822" t="inlineStr">
        <is>
          <t>P_US_ALL_OTHERS</t>
        </is>
      </c>
      <c r="G822" t="inlineStr">
        <is>
          <t>Month-2026.M09.W38</t>
        </is>
      </c>
      <c r="H822" t="inlineStr">
        <is>
          <t>System FC - Final</t>
        </is>
      </c>
      <c r="I822" t="n">
        <v>4320</v>
      </c>
      <c r="J822" t="n">
        <v>3285</v>
      </c>
      <c r="K822" t="n">
        <v>5750</v>
      </c>
      <c r="L822" t="n">
        <v>3415</v>
      </c>
      <c r="M822" t="n">
        <v>2164</v>
      </c>
      <c r="N822" t="n">
        <v>2984</v>
      </c>
      <c r="O822" t="n">
        <v>1545</v>
      </c>
      <c r="P822" t="n">
        <v>2284</v>
      </c>
      <c r="Q822" t="n">
        <v>6054</v>
      </c>
      <c r="R822" t="n">
        <v>1557</v>
      </c>
      <c r="S822" t="n">
        <v>2524</v>
      </c>
      <c r="T822" t="n">
        <v>4344</v>
      </c>
    </row>
    <row r="823">
      <c r="A823" t="inlineStr">
        <is>
          <t>Gucci</t>
        </is>
      </c>
      <c r="B823" t="inlineStr">
        <is>
          <t>Gucci Flora (01228)</t>
        </is>
      </c>
      <c r="C823" t="inlineStr">
        <is>
          <t>Gucci Flora Gorgeous Orchid (00006613)</t>
        </is>
      </c>
      <c r="D823" s="1" t="n">
        <v>3616305169297</v>
      </c>
      <c r="E823" t="inlineStr">
        <is>
          <t>GUCCI FL G ORC EDP 10 ML PENSPRAY VP IV</t>
        </is>
      </c>
      <c r="F823" t="inlineStr">
        <is>
          <t>P_US_ALL_OTHERS</t>
        </is>
      </c>
      <c r="G823" t="inlineStr">
        <is>
          <t>Month-2026.M09.W38</t>
        </is>
      </c>
      <c r="H823" t="inlineStr">
        <is>
          <t>EPOS</t>
        </is>
      </c>
      <c r="I823" t="n">
        <v>3485</v>
      </c>
    </row>
    <row r="824">
      <c r="A824" t="inlineStr">
        <is>
          <t>Gucci</t>
        </is>
      </c>
      <c r="B824" t="inlineStr">
        <is>
          <t>Gucci Flora (01228)</t>
        </is>
      </c>
      <c r="C824" t="inlineStr">
        <is>
          <t>Gucci Flora Gorgeous Orchid (00006613)</t>
        </is>
      </c>
      <c r="D824" s="1" t="n">
        <v>3616305169297</v>
      </c>
      <c r="E824" t="inlineStr">
        <is>
          <t>GUCCI FL G ORC EDP 10 ML PENSPRAY VP IV</t>
        </is>
      </c>
      <c r="F824" t="inlineStr">
        <is>
          <t>P_US_ALL_OTHERS</t>
        </is>
      </c>
      <c r="G824" t="inlineStr">
        <is>
          <t>Month-2026.M09.W38</t>
        </is>
      </c>
      <c r="H824" t="inlineStr">
        <is>
          <t>Reasonability Adjustment</t>
        </is>
      </c>
      <c r="I824" t="n">
        <v>1483</v>
      </c>
    </row>
    <row r="825">
      <c r="A825" t="inlineStr">
        <is>
          <t>Gucci</t>
        </is>
      </c>
      <c r="B825" t="inlineStr">
        <is>
          <t>Gucci Flora (01228)</t>
        </is>
      </c>
      <c r="C825" t="inlineStr">
        <is>
          <t>Gucci Flora Gorgeous Orchid (00006613)</t>
        </is>
      </c>
      <c r="D825" s="1" t="n">
        <v>3616305169297</v>
      </c>
      <c r="E825" t="inlineStr">
        <is>
          <t>GUCCI FL G ORC EDP 10 ML PENSPRAY VP IV</t>
        </is>
      </c>
      <c r="F825" t="inlineStr">
        <is>
          <t>P_US_ALL_OTHERS</t>
        </is>
      </c>
      <c r="G825" t="inlineStr">
        <is>
          <t>Month-2026.M09.W38</t>
        </is>
      </c>
      <c r="H825" t="inlineStr">
        <is>
          <t>Total Demand Assumption</t>
        </is>
      </c>
    </row>
    <row r="826">
      <c r="A826" t="inlineStr">
        <is>
          <t>Gucci</t>
        </is>
      </c>
      <c r="B826" t="inlineStr">
        <is>
          <t>Gucci Flora (01228)</t>
        </is>
      </c>
      <c r="C826" t="inlineStr">
        <is>
          <t>Gucci Flora Gorgeous Orchid (00006613)</t>
        </is>
      </c>
      <c r="D826" s="1" t="n">
        <v>3616305169297</v>
      </c>
      <c r="E826" t="inlineStr">
        <is>
          <t>GUCCI FL G ORC EDP 10 ML PENSPRAY VP IV</t>
        </is>
      </c>
      <c r="F826" t="inlineStr">
        <is>
          <t>P_US_ALL_OTHERS</t>
        </is>
      </c>
      <c r="G826" t="inlineStr">
        <is>
          <t>Month-2026.M09.W38</t>
        </is>
      </c>
      <c r="H826" t="inlineStr">
        <is>
          <t>Consensus - Final</t>
        </is>
      </c>
      <c r="I826" t="n">
        <v>4320</v>
      </c>
      <c r="J826" t="n">
        <v>3285</v>
      </c>
      <c r="K826" t="n">
        <v>7255.22596414991</v>
      </c>
      <c r="L826" t="n">
        <v>3415</v>
      </c>
      <c r="M826" t="n">
        <v>2164</v>
      </c>
      <c r="N826" t="n">
        <v>2984</v>
      </c>
      <c r="O826" t="n">
        <v>1545</v>
      </c>
      <c r="P826" t="n">
        <v>2284</v>
      </c>
      <c r="Q826" t="n">
        <v>6054</v>
      </c>
      <c r="R826" t="n">
        <v>1557</v>
      </c>
      <c r="S826" t="n">
        <v>2524</v>
      </c>
      <c r="T826" t="n">
        <v>4344</v>
      </c>
    </row>
    <row r="827">
      <c r="A827" t="inlineStr">
        <is>
          <t>Gucci</t>
        </is>
      </c>
      <c r="B827" t="inlineStr">
        <is>
          <t>Gucci Flora (01228)</t>
        </is>
      </c>
      <c r="C827" t="inlineStr">
        <is>
          <t>Gucci Flora Gorgeous Orchid (00006613)</t>
        </is>
      </c>
      <c r="D827" s="1" t="n">
        <v>3616305169297</v>
      </c>
      <c r="E827" t="inlineStr">
        <is>
          <t>GUCCI FL G ORC EDP 10 ML PENSPRAY VP IV</t>
        </is>
      </c>
      <c r="F827" t="inlineStr">
        <is>
          <t>P_US_ALL_OTHERS</t>
        </is>
      </c>
      <c r="G827" t="inlineStr">
        <is>
          <t>Month-2026.M09.W38</t>
        </is>
      </c>
      <c r="H827" t="inlineStr">
        <is>
          <t>Supply Cuts</t>
        </is>
      </c>
    </row>
    <row r="828">
      <c r="A828" t="inlineStr">
        <is>
          <t>Gucci</t>
        </is>
      </c>
      <c r="B828" t="inlineStr">
        <is>
          <t>Gucci Flora (01228)</t>
        </is>
      </c>
      <c r="C828" t="inlineStr">
        <is>
          <t>Gucci Flora Gorgeous Orchid (00006613)</t>
        </is>
      </c>
      <c r="D828" s="1" t="n">
        <v>3616305169297</v>
      </c>
      <c r="E828" t="inlineStr">
        <is>
          <t>GUCCI FL G ORC EDP 10 ML PENSPRAY VP IV</t>
        </is>
      </c>
      <c r="F828" t="inlineStr">
        <is>
          <t>P_US_FG</t>
        </is>
      </c>
      <c r="G828" t="inlineStr">
        <is>
          <t>CurrentWorkingView</t>
        </is>
      </c>
      <c r="H828" t="inlineStr">
        <is>
          <t>Consensus - Final LY M</t>
        </is>
      </c>
      <c r="P828" t="n">
        <v>10</v>
      </c>
      <c r="Q828" t="n">
        <v>2800</v>
      </c>
      <c r="R828" t="n">
        <v>1</v>
      </c>
      <c r="T828" t="n">
        <v>10</v>
      </c>
    </row>
    <row r="829">
      <c r="A829" t="inlineStr">
        <is>
          <t>Gucci</t>
        </is>
      </c>
      <c r="B829" t="inlineStr">
        <is>
          <t>Gucci Flora (01228)</t>
        </is>
      </c>
      <c r="C829" t="inlineStr">
        <is>
          <t>Gucci Flora Gorgeous Orchid (00006613)</t>
        </is>
      </c>
      <c r="D829" s="1" t="n">
        <v>3616305169297</v>
      </c>
      <c r="E829" t="inlineStr">
        <is>
          <t>GUCCI FL G ORC EDP 10 ML PENSPRAY VP IV</t>
        </is>
      </c>
      <c r="F829" t="inlineStr">
        <is>
          <t>P_US_FG</t>
        </is>
      </c>
      <c r="G829" t="inlineStr">
        <is>
          <t>CurrentWorkingView</t>
        </is>
      </c>
      <c r="H829" t="inlineStr">
        <is>
          <t>System FC - Final</t>
        </is>
      </c>
      <c r="K829" t="n">
        <v>15</v>
      </c>
      <c r="L829" t="n">
        <v>35</v>
      </c>
      <c r="M829" t="n">
        <v>38</v>
      </c>
      <c r="N829" t="n">
        <v>88</v>
      </c>
      <c r="O829" t="n">
        <v>75</v>
      </c>
      <c r="P829" t="n">
        <v>60</v>
      </c>
      <c r="Q829" t="n">
        <v>133</v>
      </c>
      <c r="R829" t="n">
        <v>125</v>
      </c>
      <c r="S829" t="n">
        <v>66</v>
      </c>
      <c r="T829" t="n">
        <v>60</v>
      </c>
    </row>
    <row r="830">
      <c r="A830" t="inlineStr">
        <is>
          <t>Gucci</t>
        </is>
      </c>
      <c r="B830" t="inlineStr">
        <is>
          <t>Gucci Flora (01228)</t>
        </is>
      </c>
      <c r="C830" t="inlineStr">
        <is>
          <t>Gucci Flora Gorgeous Orchid (00006613)</t>
        </is>
      </c>
      <c r="D830" s="1" t="n">
        <v>3616305169297</v>
      </c>
      <c r="E830" t="inlineStr">
        <is>
          <t>GUCCI FL G ORC EDP 10 ML PENSPRAY VP IV</t>
        </is>
      </c>
      <c r="F830" t="inlineStr">
        <is>
          <t>P_US_FG</t>
        </is>
      </c>
      <c r="G830" t="inlineStr">
        <is>
          <t>CurrentWorkingView</t>
        </is>
      </c>
      <c r="H830" t="inlineStr">
        <is>
          <t>EPOS</t>
        </is>
      </c>
    </row>
    <row r="831">
      <c r="A831" t="inlineStr">
        <is>
          <t>Gucci</t>
        </is>
      </c>
      <c r="B831" t="inlineStr">
        <is>
          <t>Gucci Flora (01228)</t>
        </is>
      </c>
      <c r="C831" t="inlineStr">
        <is>
          <t>Gucci Flora Gorgeous Orchid (00006613)</t>
        </is>
      </c>
      <c r="D831" s="1" t="n">
        <v>3616305169297</v>
      </c>
      <c r="E831" t="inlineStr">
        <is>
          <t>GUCCI FL G ORC EDP 10 ML PENSPRAY VP IV</t>
        </is>
      </c>
      <c r="F831" t="inlineStr">
        <is>
          <t>P_US_FG</t>
        </is>
      </c>
      <c r="G831" t="inlineStr">
        <is>
          <t>CurrentWorkingView</t>
        </is>
      </c>
      <c r="H831" t="inlineStr">
        <is>
          <t>Reasonability Adjustment</t>
        </is>
      </c>
    </row>
    <row r="832">
      <c r="A832" t="inlineStr">
        <is>
          <t>Gucci</t>
        </is>
      </c>
      <c r="B832" t="inlineStr">
        <is>
          <t>Gucci Flora (01228)</t>
        </is>
      </c>
      <c r="C832" t="inlineStr">
        <is>
          <t>Gucci Flora Gorgeous Orchid (00006613)</t>
        </is>
      </c>
      <c r="D832" s="1" t="n">
        <v>3616305169297</v>
      </c>
      <c r="E832" t="inlineStr">
        <is>
          <t>GUCCI FL G ORC EDP 10 ML PENSPRAY VP IV</t>
        </is>
      </c>
      <c r="F832" t="inlineStr">
        <is>
          <t>P_US_FG</t>
        </is>
      </c>
      <c r="G832" t="inlineStr">
        <is>
          <t>CurrentWorkingView</t>
        </is>
      </c>
      <c r="H832" t="inlineStr">
        <is>
          <t>Total Demand Assumption</t>
        </is>
      </c>
    </row>
    <row r="833">
      <c r="A833" t="inlineStr">
        <is>
          <t>Gucci</t>
        </is>
      </c>
      <c r="B833" t="inlineStr">
        <is>
          <t>Gucci Flora (01228)</t>
        </is>
      </c>
      <c r="C833" t="inlineStr">
        <is>
          <t>Gucci Flora Gorgeous Orchid (00006613)</t>
        </is>
      </c>
      <c r="D833" s="1" t="n">
        <v>3616305169297</v>
      </c>
      <c r="E833" t="inlineStr">
        <is>
          <t>GUCCI FL G ORC EDP 10 ML PENSPRAY VP IV</t>
        </is>
      </c>
      <c r="F833" t="inlineStr">
        <is>
          <t>P_US_FG</t>
        </is>
      </c>
      <c r="G833" t="inlineStr">
        <is>
          <t>CurrentWorkingView</t>
        </is>
      </c>
      <c r="H833" t="inlineStr">
        <is>
          <t>Consensus - Final</t>
        </is>
      </c>
      <c r="K833" t="n">
        <v>0</v>
      </c>
    </row>
    <row r="834">
      <c r="A834" t="inlineStr">
        <is>
          <t>Gucci</t>
        </is>
      </c>
      <c r="B834" t="inlineStr">
        <is>
          <t>Gucci Flora (01228)</t>
        </is>
      </c>
      <c r="C834" t="inlineStr">
        <is>
          <t>Gucci Flora Gorgeous Orchid (00006613)</t>
        </is>
      </c>
      <c r="D834" s="1" t="n">
        <v>3616305169297</v>
      </c>
      <c r="E834" t="inlineStr">
        <is>
          <t>GUCCI FL G ORC EDP 10 ML PENSPRAY VP IV</t>
        </is>
      </c>
      <c r="F834" t="inlineStr">
        <is>
          <t>P_US_FG</t>
        </is>
      </c>
      <c r="G834" t="inlineStr">
        <is>
          <t>CurrentWorkingView</t>
        </is>
      </c>
      <c r="H834" t="inlineStr">
        <is>
          <t>Supply Cuts</t>
        </is>
      </c>
    </row>
    <row r="835">
      <c r="A835" t="inlineStr">
        <is>
          <t>Gucci</t>
        </is>
      </c>
      <c r="B835" t="inlineStr">
        <is>
          <t>Gucci Flora (01228)</t>
        </is>
      </c>
      <c r="C835" t="inlineStr">
        <is>
          <t>Gucci Flora Gorgeous Orchid (00006613)</t>
        </is>
      </c>
      <c r="D835" s="1" t="n">
        <v>3616305169297</v>
      </c>
      <c r="E835" t="inlineStr">
        <is>
          <t>GUCCI FL G ORC EDP 10 ML PENSPRAY VP IV</t>
        </is>
      </c>
      <c r="F835" t="inlineStr">
        <is>
          <t>P_US_FG</t>
        </is>
      </c>
      <c r="G835" t="inlineStr">
        <is>
          <t>Month-2026.M09.W38</t>
        </is>
      </c>
      <c r="H835" t="inlineStr">
        <is>
          <t>Consensus - Final LY M</t>
        </is>
      </c>
      <c r="P835" t="n">
        <v>10</v>
      </c>
      <c r="Q835" t="n">
        <v>2800</v>
      </c>
      <c r="R835" t="n">
        <v>1</v>
      </c>
      <c r="T835" t="n">
        <v>10</v>
      </c>
    </row>
    <row r="836">
      <c r="A836" t="inlineStr">
        <is>
          <t>Gucci</t>
        </is>
      </c>
      <c r="B836" t="inlineStr">
        <is>
          <t>Gucci Flora (01228)</t>
        </is>
      </c>
      <c r="C836" t="inlineStr">
        <is>
          <t>Gucci Flora Gorgeous Orchid (00006613)</t>
        </is>
      </c>
      <c r="D836" s="1" t="n">
        <v>3616305169297</v>
      </c>
      <c r="E836" t="inlineStr">
        <is>
          <t>GUCCI FL G ORC EDP 10 ML PENSPRAY VP IV</t>
        </is>
      </c>
      <c r="F836" t="inlineStr">
        <is>
          <t>P_US_FG</t>
        </is>
      </c>
      <c r="G836" t="inlineStr">
        <is>
          <t>Month-2026.M09.W38</t>
        </is>
      </c>
      <c r="H836" t="inlineStr">
        <is>
          <t>System FC - Final</t>
        </is>
      </c>
      <c r="K836" t="n">
        <v>22</v>
      </c>
      <c r="L836" t="n">
        <v>163</v>
      </c>
      <c r="M836" t="n">
        <v>60</v>
      </c>
      <c r="N836" t="n">
        <v>70</v>
      </c>
      <c r="O836" t="n">
        <v>4</v>
      </c>
      <c r="P836" t="n">
        <v>4</v>
      </c>
      <c r="Q836" t="n">
        <v>0</v>
      </c>
      <c r="R836" t="n">
        <v>38</v>
      </c>
      <c r="S836" t="n">
        <v>146</v>
      </c>
      <c r="T836" t="n">
        <v>126</v>
      </c>
    </row>
    <row r="837">
      <c r="A837" t="inlineStr">
        <is>
          <t>Gucci</t>
        </is>
      </c>
      <c r="B837" t="inlineStr">
        <is>
          <t>Gucci Flora (01228)</t>
        </is>
      </c>
      <c r="C837" t="inlineStr">
        <is>
          <t>Gucci Flora Gorgeous Orchid (00006613)</t>
        </is>
      </c>
      <c r="D837" s="1" t="n">
        <v>3616305169297</v>
      </c>
      <c r="E837" t="inlineStr">
        <is>
          <t>GUCCI FL G ORC EDP 10 ML PENSPRAY VP IV</t>
        </is>
      </c>
      <c r="F837" t="inlineStr">
        <is>
          <t>P_US_FG</t>
        </is>
      </c>
      <c r="G837" t="inlineStr">
        <is>
          <t>Month-2026.M09.W38</t>
        </is>
      </c>
      <c r="H837" t="inlineStr">
        <is>
          <t>EPOS</t>
        </is>
      </c>
    </row>
    <row r="838">
      <c r="A838" t="inlineStr">
        <is>
          <t>Gucci</t>
        </is>
      </c>
      <c r="B838" t="inlineStr">
        <is>
          <t>Gucci Flora (01228)</t>
        </is>
      </c>
      <c r="C838" t="inlineStr">
        <is>
          <t>Gucci Flora Gorgeous Orchid (00006613)</t>
        </is>
      </c>
      <c r="D838" s="1" t="n">
        <v>3616305169297</v>
      </c>
      <c r="E838" t="inlineStr">
        <is>
          <t>GUCCI FL G ORC EDP 10 ML PENSPRAY VP IV</t>
        </is>
      </c>
      <c r="F838" t="inlineStr">
        <is>
          <t>P_US_FG</t>
        </is>
      </c>
      <c r="G838" t="inlineStr">
        <is>
          <t>Month-2026.M09.W38</t>
        </is>
      </c>
      <c r="H838" t="inlineStr">
        <is>
          <t>Reasonability Adjustment</t>
        </is>
      </c>
    </row>
    <row r="839">
      <c r="A839" t="inlineStr">
        <is>
          <t>Gucci</t>
        </is>
      </c>
      <c r="B839" t="inlineStr">
        <is>
          <t>Gucci Flora (01228)</t>
        </is>
      </c>
      <c r="C839" t="inlineStr">
        <is>
          <t>Gucci Flora Gorgeous Orchid (00006613)</t>
        </is>
      </c>
      <c r="D839" s="1" t="n">
        <v>3616305169297</v>
      </c>
      <c r="E839" t="inlineStr">
        <is>
          <t>GUCCI FL G ORC EDP 10 ML PENSPRAY VP IV</t>
        </is>
      </c>
      <c r="F839" t="inlineStr">
        <is>
          <t>P_US_FG</t>
        </is>
      </c>
      <c r="G839" t="inlineStr">
        <is>
          <t>Month-2026.M09.W38</t>
        </is>
      </c>
      <c r="H839" t="inlineStr">
        <is>
          <t>Total Demand Assumption</t>
        </is>
      </c>
    </row>
    <row r="840">
      <c r="A840" t="inlineStr">
        <is>
          <t>Gucci</t>
        </is>
      </c>
      <c r="B840" t="inlineStr">
        <is>
          <t>Gucci Flora (01228)</t>
        </is>
      </c>
      <c r="C840" t="inlineStr">
        <is>
          <t>Gucci Flora Gorgeous Orchid (00006613)</t>
        </is>
      </c>
      <c r="D840" s="1" t="n">
        <v>3616305169297</v>
      </c>
      <c r="E840" t="inlineStr">
        <is>
          <t>GUCCI FL G ORC EDP 10 ML PENSPRAY VP IV</t>
        </is>
      </c>
      <c r="F840" t="inlineStr">
        <is>
          <t>P_US_FG</t>
        </is>
      </c>
      <c r="G840" t="inlineStr">
        <is>
          <t>Month-2026.M09.W38</t>
        </is>
      </c>
      <c r="H840" t="inlineStr">
        <is>
          <t>Consensus - Final</t>
        </is>
      </c>
      <c r="K840" t="n">
        <v>0</v>
      </c>
    </row>
    <row r="841">
      <c r="A841" t="inlineStr">
        <is>
          <t>Gucci</t>
        </is>
      </c>
      <c r="B841" t="inlineStr">
        <is>
          <t>Gucci Flora (01228)</t>
        </is>
      </c>
      <c r="C841" t="inlineStr">
        <is>
          <t>Gucci Flora Gorgeous Orchid (00006613)</t>
        </is>
      </c>
      <c r="D841" s="1" t="n">
        <v>3616305169297</v>
      </c>
      <c r="E841" t="inlineStr">
        <is>
          <t>GUCCI FL G ORC EDP 10 ML PENSPRAY VP IV</t>
        </is>
      </c>
      <c r="F841" t="inlineStr">
        <is>
          <t>P_US_FG</t>
        </is>
      </c>
      <c r="G841" t="inlineStr">
        <is>
          <t>Month-2026.M09.W38</t>
        </is>
      </c>
      <c r="H841" t="inlineStr">
        <is>
          <t>Supply Cuts</t>
        </is>
      </c>
    </row>
    <row r="842">
      <c r="A842" t="inlineStr">
        <is>
          <t>Gucci</t>
        </is>
      </c>
      <c r="B842" t="inlineStr">
        <is>
          <t>Gucci Flora (01228)</t>
        </is>
      </c>
      <c r="C842" t="inlineStr">
        <is>
          <t>Gucci Flora Gorgeous Orchid (00006613)</t>
        </is>
      </c>
      <c r="D842" s="1" t="n">
        <v>3616305169297</v>
      </c>
      <c r="E842" t="inlineStr">
        <is>
          <t>GUCCI FL G ORC EDP 10 ML PENSPRAY VP IV</t>
        </is>
      </c>
      <c r="F842" t="inlineStr">
        <is>
          <t>P_US_ULTA</t>
        </is>
      </c>
      <c r="G842" t="inlineStr">
        <is>
          <t>CurrentWorkingView</t>
        </is>
      </c>
      <c r="H842" t="inlineStr">
        <is>
          <t>Consensus - Final LY M</t>
        </is>
      </c>
      <c r="I842" t="n">
        <v>984</v>
      </c>
      <c r="J842" t="n">
        <v>7755</v>
      </c>
      <c r="K842" t="n">
        <v>2613</v>
      </c>
      <c r="L842" t="n">
        <v>8274</v>
      </c>
      <c r="M842" t="n">
        <v>1002</v>
      </c>
      <c r="N842" t="n">
        <v>696</v>
      </c>
      <c r="P842" t="n">
        <v>1146</v>
      </c>
      <c r="Q842" t="n">
        <v>6210</v>
      </c>
      <c r="S842" t="n">
        <v>627</v>
      </c>
      <c r="T842" t="n">
        <v>1665</v>
      </c>
    </row>
    <row r="843">
      <c r="A843" t="inlineStr">
        <is>
          <t>Gucci</t>
        </is>
      </c>
      <c r="B843" t="inlineStr">
        <is>
          <t>Gucci Flora (01228)</t>
        </is>
      </c>
      <c r="C843" t="inlineStr">
        <is>
          <t>Gucci Flora Gorgeous Orchid (00006613)</t>
        </is>
      </c>
      <c r="D843" s="1" t="n">
        <v>3616305169297</v>
      </c>
      <c r="E843" t="inlineStr">
        <is>
          <t>GUCCI FL G ORC EDP 10 ML PENSPRAY VP IV</t>
        </is>
      </c>
      <c r="F843" t="inlineStr">
        <is>
          <t>P_US_ULTA</t>
        </is>
      </c>
      <c r="G843" t="inlineStr">
        <is>
          <t>CurrentWorkingView</t>
        </is>
      </c>
      <c r="H843" t="inlineStr">
        <is>
          <t>System FC - Final</t>
        </is>
      </c>
      <c r="I843" t="n">
        <v>1008</v>
      </c>
      <c r="J843" t="n">
        <v>3882</v>
      </c>
      <c r="K843" t="n">
        <v>5068</v>
      </c>
      <c r="L843" t="n">
        <v>2055</v>
      </c>
      <c r="M843" t="n">
        <v>1303</v>
      </c>
      <c r="N843" t="n">
        <v>1793</v>
      </c>
      <c r="O843" t="n">
        <v>929</v>
      </c>
      <c r="P843" t="n">
        <v>1372</v>
      </c>
      <c r="Q843" t="n">
        <v>3641</v>
      </c>
      <c r="R843" t="n">
        <v>935</v>
      </c>
      <c r="S843" t="n">
        <v>1518</v>
      </c>
      <c r="T843" t="n">
        <v>2596</v>
      </c>
    </row>
    <row r="844">
      <c r="A844" t="inlineStr">
        <is>
          <t>Gucci</t>
        </is>
      </c>
      <c r="B844" t="inlineStr">
        <is>
          <t>Gucci Flora (01228)</t>
        </is>
      </c>
      <c r="C844" t="inlineStr">
        <is>
          <t>Gucci Flora Gorgeous Orchid (00006613)</t>
        </is>
      </c>
      <c r="D844" s="1" t="n">
        <v>3616305169297</v>
      </c>
      <c r="E844" t="inlineStr">
        <is>
          <t>GUCCI FL G ORC EDP 10 ML PENSPRAY VP IV</t>
        </is>
      </c>
      <c r="F844" t="inlineStr">
        <is>
          <t>P_US_ULTA</t>
        </is>
      </c>
      <c r="G844" t="inlineStr">
        <is>
          <t>CurrentWorkingView</t>
        </is>
      </c>
      <c r="H844" t="inlineStr">
        <is>
          <t>EPOS</t>
        </is>
      </c>
      <c r="I844" t="n">
        <v>2387</v>
      </c>
    </row>
    <row r="845">
      <c r="A845" t="inlineStr">
        <is>
          <t>Gucci</t>
        </is>
      </c>
      <c r="B845" t="inlineStr">
        <is>
          <t>Gucci Flora (01228)</t>
        </is>
      </c>
      <c r="C845" t="inlineStr">
        <is>
          <t>Gucci Flora Gorgeous Orchid (00006613)</t>
        </is>
      </c>
      <c r="D845" s="1" t="n">
        <v>3616305169297</v>
      </c>
      <c r="E845" t="inlineStr">
        <is>
          <t>GUCCI FL G ORC EDP 10 ML PENSPRAY VP IV</t>
        </is>
      </c>
      <c r="F845" t="inlineStr">
        <is>
          <t>P_US_ULTA</t>
        </is>
      </c>
      <c r="G845" t="inlineStr">
        <is>
          <t>CurrentWorkingView</t>
        </is>
      </c>
      <c r="H845" t="inlineStr">
        <is>
          <t>Reasonability Adjustment</t>
        </is>
      </c>
      <c r="I845" t="n">
        <v>517</v>
      </c>
    </row>
    <row r="846">
      <c r="A846" t="inlineStr">
        <is>
          <t>Gucci</t>
        </is>
      </c>
      <c r="B846" t="inlineStr">
        <is>
          <t>Gucci Flora (01228)</t>
        </is>
      </c>
      <c r="C846" t="inlineStr">
        <is>
          <t>Gucci Flora Gorgeous Orchid (00006613)</t>
        </is>
      </c>
      <c r="D846" s="1" t="n">
        <v>3616305169297</v>
      </c>
      <c r="E846" t="inlineStr">
        <is>
          <t>GUCCI FL G ORC EDP 10 ML PENSPRAY VP IV</t>
        </is>
      </c>
      <c r="F846" t="inlineStr">
        <is>
          <t>P_US_ULTA</t>
        </is>
      </c>
      <c r="G846" t="inlineStr">
        <is>
          <t>CurrentWorkingView</t>
        </is>
      </c>
      <c r="H846" t="inlineStr">
        <is>
          <t>Total Demand Assumption</t>
        </is>
      </c>
    </row>
    <row r="847">
      <c r="A847" t="inlineStr">
        <is>
          <t>Gucci</t>
        </is>
      </c>
      <c r="B847" t="inlineStr">
        <is>
          <t>Gucci Flora (01228)</t>
        </is>
      </c>
      <c r="C847" t="inlineStr">
        <is>
          <t>Gucci Flora Gorgeous Orchid (00006613)</t>
        </is>
      </c>
      <c r="D847" s="1" t="n">
        <v>3616305169297</v>
      </c>
      <c r="E847" t="inlineStr">
        <is>
          <t>GUCCI FL G ORC EDP 10 ML PENSPRAY VP IV</t>
        </is>
      </c>
      <c r="F847" t="inlineStr">
        <is>
          <t>P_US_ULTA</t>
        </is>
      </c>
      <c r="G847" t="inlineStr">
        <is>
          <t>CurrentWorkingView</t>
        </is>
      </c>
      <c r="H847" t="inlineStr">
        <is>
          <t>Consensus - Final</t>
        </is>
      </c>
      <c r="I847" t="n">
        <v>1008</v>
      </c>
      <c r="J847" t="n">
        <v>3882</v>
      </c>
      <c r="K847" t="n">
        <v>3954</v>
      </c>
      <c r="L847" t="n">
        <v>2055</v>
      </c>
      <c r="M847" t="n">
        <v>1303</v>
      </c>
      <c r="N847" t="n">
        <v>1793</v>
      </c>
      <c r="O847" t="n">
        <v>929</v>
      </c>
      <c r="P847" t="n">
        <v>1372</v>
      </c>
      <c r="Q847" t="n">
        <v>3641</v>
      </c>
      <c r="R847" t="n">
        <v>935</v>
      </c>
      <c r="S847" t="n">
        <v>1518</v>
      </c>
      <c r="T847" t="n">
        <v>2596</v>
      </c>
    </row>
    <row r="848">
      <c r="A848" t="inlineStr">
        <is>
          <t>Gucci</t>
        </is>
      </c>
      <c r="B848" t="inlineStr">
        <is>
          <t>Gucci Flora (01228)</t>
        </is>
      </c>
      <c r="C848" t="inlineStr">
        <is>
          <t>Gucci Flora Gorgeous Orchid (00006613)</t>
        </is>
      </c>
      <c r="D848" s="1" t="n">
        <v>3616305169297</v>
      </c>
      <c r="E848" t="inlineStr">
        <is>
          <t>GUCCI FL G ORC EDP 10 ML PENSPRAY VP IV</t>
        </is>
      </c>
      <c r="F848" t="inlineStr">
        <is>
          <t>P_US_ULTA</t>
        </is>
      </c>
      <c r="G848" t="inlineStr">
        <is>
          <t>CurrentWorkingView</t>
        </is>
      </c>
      <c r="H848" t="inlineStr">
        <is>
          <t>Supply Cuts</t>
        </is>
      </c>
    </row>
    <row r="849">
      <c r="A849" t="inlineStr">
        <is>
          <t>Gucci</t>
        </is>
      </c>
      <c r="B849" t="inlineStr">
        <is>
          <t>Gucci Flora (01228)</t>
        </is>
      </c>
      <c r="C849" t="inlineStr">
        <is>
          <t>Gucci Flora Gorgeous Orchid (00006613)</t>
        </is>
      </c>
      <c r="D849" s="1" t="n">
        <v>3616305169297</v>
      </c>
      <c r="E849" t="inlineStr">
        <is>
          <t>GUCCI FL G ORC EDP 10 ML PENSPRAY VP IV</t>
        </is>
      </c>
      <c r="F849" t="inlineStr">
        <is>
          <t>P_US_ULTA</t>
        </is>
      </c>
      <c r="G849" t="inlineStr">
        <is>
          <t>Month-2026.M09.W38</t>
        </is>
      </c>
      <c r="H849" t="inlineStr">
        <is>
          <t>Consensus - Final LY M</t>
        </is>
      </c>
      <c r="I849" t="n">
        <v>984</v>
      </c>
      <c r="J849" t="n">
        <v>7755</v>
      </c>
      <c r="K849" t="n">
        <v>2613</v>
      </c>
      <c r="L849" t="n">
        <v>8274</v>
      </c>
      <c r="M849" t="n">
        <v>1002</v>
      </c>
      <c r="N849" t="n">
        <v>696</v>
      </c>
      <c r="P849" t="n">
        <v>1146</v>
      </c>
      <c r="Q849" t="n">
        <v>6210</v>
      </c>
      <c r="S849" t="n">
        <v>627</v>
      </c>
      <c r="T849" t="n">
        <v>1665</v>
      </c>
    </row>
    <row r="850">
      <c r="A850" t="inlineStr">
        <is>
          <t>Gucci</t>
        </is>
      </c>
      <c r="B850" t="inlineStr">
        <is>
          <t>Gucci Flora (01228)</t>
        </is>
      </c>
      <c r="C850" t="inlineStr">
        <is>
          <t>Gucci Flora Gorgeous Orchid (00006613)</t>
        </is>
      </c>
      <c r="D850" s="1" t="n">
        <v>3616305169297</v>
      </c>
      <c r="E850" t="inlineStr">
        <is>
          <t>GUCCI FL G ORC EDP 10 ML PENSPRAY VP IV</t>
        </is>
      </c>
      <c r="F850" t="inlineStr">
        <is>
          <t>P_US_ULTA</t>
        </is>
      </c>
      <c r="G850" t="inlineStr">
        <is>
          <t>Month-2026.M09.W38</t>
        </is>
      </c>
      <c r="H850" t="inlineStr">
        <is>
          <t>System FC - Final</t>
        </is>
      </c>
      <c r="I850" t="n">
        <v>1008</v>
      </c>
      <c r="J850" t="n">
        <v>3882</v>
      </c>
      <c r="K850" t="n">
        <v>1951</v>
      </c>
      <c r="L850" t="n">
        <v>1547</v>
      </c>
      <c r="M850" t="n">
        <v>982</v>
      </c>
      <c r="N850" t="n">
        <v>1351</v>
      </c>
      <c r="O850" t="n">
        <v>695</v>
      </c>
      <c r="P850" t="n">
        <v>1036</v>
      </c>
      <c r="Q850" t="n">
        <v>2745</v>
      </c>
      <c r="R850" t="n">
        <v>704</v>
      </c>
      <c r="S850" t="n">
        <v>1143</v>
      </c>
      <c r="T850" t="n">
        <v>1968</v>
      </c>
    </row>
    <row r="851">
      <c r="A851" t="inlineStr">
        <is>
          <t>Gucci</t>
        </is>
      </c>
      <c r="B851" t="inlineStr">
        <is>
          <t>Gucci Flora (01228)</t>
        </is>
      </c>
      <c r="C851" t="inlineStr">
        <is>
          <t>Gucci Flora Gorgeous Orchid (00006613)</t>
        </is>
      </c>
      <c r="D851" s="1" t="n">
        <v>3616305169297</v>
      </c>
      <c r="E851" t="inlineStr">
        <is>
          <t>GUCCI FL G ORC EDP 10 ML PENSPRAY VP IV</t>
        </is>
      </c>
      <c r="F851" t="inlineStr">
        <is>
          <t>P_US_ULTA</t>
        </is>
      </c>
      <c r="G851" t="inlineStr">
        <is>
          <t>Month-2026.M09.W38</t>
        </is>
      </c>
      <c r="H851" t="inlineStr">
        <is>
          <t>EPOS</t>
        </is>
      </c>
      <c r="I851" t="n">
        <v>2387</v>
      </c>
    </row>
    <row r="852">
      <c r="A852" t="inlineStr">
        <is>
          <t>Gucci</t>
        </is>
      </c>
      <c r="B852" t="inlineStr">
        <is>
          <t>Gucci Flora (01228)</t>
        </is>
      </c>
      <c r="C852" t="inlineStr">
        <is>
          <t>Gucci Flora Gorgeous Orchid (00006613)</t>
        </is>
      </c>
      <c r="D852" s="1" t="n">
        <v>3616305169297</v>
      </c>
      <c r="E852" t="inlineStr">
        <is>
          <t>GUCCI FL G ORC EDP 10 ML PENSPRAY VP IV</t>
        </is>
      </c>
      <c r="F852" t="inlineStr">
        <is>
          <t>P_US_ULTA</t>
        </is>
      </c>
      <c r="G852" t="inlineStr">
        <is>
          <t>Month-2026.M09.W38</t>
        </is>
      </c>
      <c r="H852" t="inlineStr">
        <is>
          <t>Reasonability Adjustment</t>
        </is>
      </c>
      <c r="I852" t="n">
        <v>517</v>
      </c>
    </row>
    <row r="853">
      <c r="A853" t="inlineStr">
        <is>
          <t>Gucci</t>
        </is>
      </c>
      <c r="B853" t="inlineStr">
        <is>
          <t>Gucci Flora (01228)</t>
        </is>
      </c>
      <c r="C853" t="inlineStr">
        <is>
          <t>Gucci Flora Gorgeous Orchid (00006613)</t>
        </is>
      </c>
      <c r="D853" s="1" t="n">
        <v>3616305169297</v>
      </c>
      <c r="E853" t="inlineStr">
        <is>
          <t>GUCCI FL G ORC EDP 10 ML PENSPRAY VP IV</t>
        </is>
      </c>
      <c r="F853" t="inlineStr">
        <is>
          <t>P_US_ULTA</t>
        </is>
      </c>
      <c r="G853" t="inlineStr">
        <is>
          <t>Month-2026.M09.W38</t>
        </is>
      </c>
      <c r="H853" t="inlineStr">
        <is>
          <t>Total Demand Assumption</t>
        </is>
      </c>
    </row>
    <row r="854">
      <c r="A854" t="inlineStr">
        <is>
          <t>Gucci</t>
        </is>
      </c>
      <c r="B854" t="inlineStr">
        <is>
          <t>Gucci Flora (01228)</t>
        </is>
      </c>
      <c r="C854" t="inlineStr">
        <is>
          <t>Gucci Flora Gorgeous Orchid (00006613)</t>
        </is>
      </c>
      <c r="D854" s="1" t="n">
        <v>3616305169297</v>
      </c>
      <c r="E854" t="inlineStr">
        <is>
          <t>GUCCI FL G ORC EDP 10 ML PENSPRAY VP IV</t>
        </is>
      </c>
      <c r="F854" t="inlineStr">
        <is>
          <t>P_US_ULTA</t>
        </is>
      </c>
      <c r="G854" t="inlineStr">
        <is>
          <t>Month-2026.M09.W38</t>
        </is>
      </c>
      <c r="H854" t="inlineStr">
        <is>
          <t>Consensus - Final</t>
        </is>
      </c>
      <c r="I854" t="n">
        <v>1008</v>
      </c>
      <c r="J854" t="n">
        <v>3882</v>
      </c>
      <c r="K854" t="n">
        <v>3262.77403585008</v>
      </c>
      <c r="L854" t="n">
        <v>1547</v>
      </c>
      <c r="M854" t="n">
        <v>982</v>
      </c>
      <c r="N854" t="n">
        <v>1351</v>
      </c>
      <c r="O854" t="n">
        <v>695</v>
      </c>
      <c r="P854" t="n">
        <v>1036</v>
      </c>
      <c r="Q854" t="n">
        <v>2745</v>
      </c>
      <c r="R854" t="n">
        <v>704</v>
      </c>
      <c r="S854" t="n">
        <v>1143</v>
      </c>
      <c r="T854" t="n">
        <v>1968</v>
      </c>
    </row>
    <row r="855">
      <c r="A855" t="inlineStr">
        <is>
          <t>Gucci</t>
        </is>
      </c>
      <c r="B855" t="inlineStr">
        <is>
          <t>Gucci Flora (01228)</t>
        </is>
      </c>
      <c r="C855" t="inlineStr">
        <is>
          <t>Gucci Flora Gorgeous Orchid (00006613)</t>
        </is>
      </c>
      <c r="D855" s="1" t="n">
        <v>3616305169297</v>
      </c>
      <c r="E855" t="inlineStr">
        <is>
          <t>GUCCI FL G ORC EDP 10 ML PENSPRAY VP IV</t>
        </is>
      </c>
      <c r="F855" t="inlineStr">
        <is>
          <t>P_US_ULTA</t>
        </is>
      </c>
      <c r="G855" t="inlineStr">
        <is>
          <t>Month-2026.M09.W38</t>
        </is>
      </c>
      <c r="H855" t="inlineStr">
        <is>
          <t>Supply Cuts</t>
        </is>
      </c>
    </row>
    <row r="856">
      <c r="A856" t="inlineStr">
        <is>
          <t>Gucci</t>
        </is>
      </c>
      <c r="B856" t="inlineStr">
        <is>
          <t>Gucci Flora (01228)</t>
        </is>
      </c>
      <c r="C856" t="inlineStr">
        <is>
          <t>Gucci Flora Gorgeous Gardenia Intense (00007022)</t>
        </is>
      </c>
      <c r="D856" s="1" t="n">
        <v>3616305275745</v>
      </c>
      <c r="E856" t="inlineStr">
        <is>
          <t>GUCCI FLG EDPI PRFM 100 ML INTENSE IV</t>
        </is>
      </c>
      <c r="F856" t="inlineStr">
        <is>
          <t>P_US_ALL_OTHERS</t>
        </is>
      </c>
      <c r="G856" t="inlineStr">
        <is>
          <t>CurrentWorkingView</t>
        </is>
      </c>
      <c r="H856" t="inlineStr">
        <is>
          <t>Consensus - Final LY M</t>
        </is>
      </c>
      <c r="I856" t="n">
        <v>9339</v>
      </c>
      <c r="J856" t="n">
        <v>5226</v>
      </c>
      <c r="K856" t="n">
        <v>4360</v>
      </c>
      <c r="L856" t="n">
        <v>6716</v>
      </c>
      <c r="M856" t="n">
        <v>4495</v>
      </c>
      <c r="N856" t="n">
        <v>4809</v>
      </c>
      <c r="O856" t="n">
        <v>481</v>
      </c>
      <c r="P856" t="n">
        <v>1306</v>
      </c>
      <c r="Q856" t="n">
        <v>2939</v>
      </c>
      <c r="R856" t="n">
        <v>1223</v>
      </c>
      <c r="S856" t="n">
        <v>3951</v>
      </c>
      <c r="T856" t="n">
        <v>1910</v>
      </c>
    </row>
    <row r="857">
      <c r="A857" t="inlineStr">
        <is>
          <t>Gucci</t>
        </is>
      </c>
      <c r="B857" t="inlineStr">
        <is>
          <t>Gucci Flora (01228)</t>
        </is>
      </c>
      <c r="C857" t="inlineStr">
        <is>
          <t>Gucci Flora Gorgeous Gardenia Intense (00007022)</t>
        </is>
      </c>
      <c r="D857" s="1" t="n">
        <v>3616305275745</v>
      </c>
      <c r="E857" t="inlineStr">
        <is>
          <t>GUCCI FLG EDPI PRFM 100 ML INTENSE IV</t>
        </is>
      </c>
      <c r="F857" t="inlineStr">
        <is>
          <t>P_US_ALL_OTHERS</t>
        </is>
      </c>
      <c r="G857" t="inlineStr">
        <is>
          <t>CurrentWorkingView</t>
        </is>
      </c>
      <c r="H857" t="inlineStr">
        <is>
          <t>System FC - Final</t>
        </is>
      </c>
      <c r="I857" t="n">
        <v>630</v>
      </c>
      <c r="J857" t="n">
        <v>1342</v>
      </c>
      <c r="K857" t="n">
        <v>984</v>
      </c>
      <c r="L857" t="n">
        <v>1855</v>
      </c>
      <c r="M857" t="n">
        <v>1851</v>
      </c>
      <c r="N857" t="n">
        <v>1855</v>
      </c>
      <c r="O857" t="n">
        <v>1855</v>
      </c>
      <c r="P857" t="n">
        <v>1852</v>
      </c>
      <c r="Q857" t="n">
        <v>1855</v>
      </c>
      <c r="R857" t="n">
        <v>1852</v>
      </c>
      <c r="S857" t="n">
        <v>1856</v>
      </c>
      <c r="T857" t="n">
        <v>1852</v>
      </c>
    </row>
    <row r="858">
      <c r="A858" t="inlineStr">
        <is>
          <t>Gucci</t>
        </is>
      </c>
      <c r="B858" t="inlineStr">
        <is>
          <t>Gucci Flora (01228)</t>
        </is>
      </c>
      <c r="C858" t="inlineStr">
        <is>
          <t>Gucci Flora Gorgeous Gardenia Intense (00007022)</t>
        </is>
      </c>
      <c r="D858" s="1" t="n">
        <v>3616305275745</v>
      </c>
      <c r="E858" t="inlineStr">
        <is>
          <t>GUCCI FLG EDPI PRFM 100 ML INTENSE IV</t>
        </is>
      </c>
      <c r="F858" t="inlineStr">
        <is>
          <t>P_US_ALL_OTHERS</t>
        </is>
      </c>
      <c r="G858" t="inlineStr">
        <is>
          <t>CurrentWorkingView</t>
        </is>
      </c>
      <c r="H858" t="inlineStr">
        <is>
          <t>EPOS</t>
        </is>
      </c>
      <c r="I858" t="n">
        <v>1294</v>
      </c>
    </row>
    <row r="859">
      <c r="A859" t="inlineStr">
        <is>
          <t>Gucci</t>
        </is>
      </c>
      <c r="B859" t="inlineStr">
        <is>
          <t>Gucci Flora (01228)</t>
        </is>
      </c>
      <c r="C859" t="inlineStr">
        <is>
          <t>Gucci Flora Gorgeous Gardenia Intense (00007022)</t>
        </is>
      </c>
      <c r="D859" s="1" t="n">
        <v>3616305275745</v>
      </c>
      <c r="E859" t="inlineStr">
        <is>
          <t>GUCCI FLG EDPI PRFM 100 ML INTENSE IV</t>
        </is>
      </c>
      <c r="F859" t="inlineStr">
        <is>
          <t>P_US_ALL_OTHERS</t>
        </is>
      </c>
      <c r="G859" t="inlineStr">
        <is>
          <t>CurrentWorkingView</t>
        </is>
      </c>
      <c r="H859" t="inlineStr">
        <is>
          <t>Reasonability Adjustment</t>
        </is>
      </c>
      <c r="S859" t="n">
        <v>-1000</v>
      </c>
    </row>
    <row r="860">
      <c r="A860" t="inlineStr">
        <is>
          <t>Gucci</t>
        </is>
      </c>
      <c r="B860" t="inlineStr">
        <is>
          <t>Gucci Flora (01228)</t>
        </is>
      </c>
      <c r="C860" t="inlineStr">
        <is>
          <t>Gucci Flora Gorgeous Gardenia Intense (00007022)</t>
        </is>
      </c>
      <c r="D860" s="1" t="n">
        <v>3616305275745</v>
      </c>
      <c r="E860" t="inlineStr">
        <is>
          <t>GUCCI FLG EDPI PRFM 100 ML INTENSE IV</t>
        </is>
      </c>
      <c r="F860" t="inlineStr">
        <is>
          <t>P_US_ALL_OTHERS</t>
        </is>
      </c>
      <c r="G860" t="inlineStr">
        <is>
          <t>CurrentWorkingView</t>
        </is>
      </c>
      <c r="H860" t="inlineStr">
        <is>
          <t>Total Demand Assumption</t>
        </is>
      </c>
      <c r="J860" t="n">
        <v>-800</v>
      </c>
    </row>
    <row r="861">
      <c r="A861" t="inlineStr">
        <is>
          <t>Gucci</t>
        </is>
      </c>
      <c r="B861" t="inlineStr">
        <is>
          <t>Gucci Flora (01228)</t>
        </is>
      </c>
      <c r="C861" t="inlineStr">
        <is>
          <t>Gucci Flora Gorgeous Gardenia Intense (00007022)</t>
        </is>
      </c>
      <c r="D861" s="1" t="n">
        <v>3616305275745</v>
      </c>
      <c r="E861" t="inlineStr">
        <is>
          <t>GUCCI FLG EDPI PRFM 100 ML INTENSE IV</t>
        </is>
      </c>
      <c r="F861" t="inlineStr">
        <is>
          <t>P_US_ALL_OTHERS</t>
        </is>
      </c>
      <c r="G861" t="inlineStr">
        <is>
          <t>CurrentWorkingView</t>
        </is>
      </c>
      <c r="H861" t="inlineStr">
        <is>
          <t>Consensus - Final</t>
        </is>
      </c>
      <c r="I861" t="n">
        <v>630</v>
      </c>
      <c r="J861" t="n">
        <v>1342</v>
      </c>
      <c r="K861" t="n">
        <v>1222.98776418242</v>
      </c>
      <c r="L861" t="n">
        <v>1855</v>
      </c>
      <c r="M861" t="n">
        <v>1851</v>
      </c>
      <c r="N861" t="n">
        <v>1855</v>
      </c>
      <c r="O861" t="n">
        <v>1855</v>
      </c>
      <c r="P861" t="n">
        <v>1852</v>
      </c>
      <c r="Q861" t="n">
        <v>1855</v>
      </c>
      <c r="R861" t="n">
        <v>1852</v>
      </c>
      <c r="S861" t="n">
        <v>856</v>
      </c>
      <c r="T861" t="n">
        <v>1852</v>
      </c>
    </row>
    <row r="862">
      <c r="A862" t="inlineStr">
        <is>
          <t>Gucci</t>
        </is>
      </c>
      <c r="B862" t="inlineStr">
        <is>
          <t>Gucci Flora (01228)</t>
        </is>
      </c>
      <c r="C862" t="inlineStr">
        <is>
          <t>Gucci Flora Gorgeous Gardenia Intense (00007022)</t>
        </is>
      </c>
      <c r="D862" s="1" t="n">
        <v>3616305275745</v>
      </c>
      <c r="E862" t="inlineStr">
        <is>
          <t>GUCCI FLG EDPI PRFM 100 ML INTENSE IV</t>
        </is>
      </c>
      <c r="F862" t="inlineStr">
        <is>
          <t>P_US_ALL_OTHERS</t>
        </is>
      </c>
      <c r="G862" t="inlineStr">
        <is>
          <t>CurrentWorkingView</t>
        </is>
      </c>
      <c r="H862" t="inlineStr">
        <is>
          <t>Supply Cuts</t>
        </is>
      </c>
    </row>
    <row r="863">
      <c r="A863" t="inlineStr">
        <is>
          <t>Gucci</t>
        </is>
      </c>
      <c r="B863" t="inlineStr">
        <is>
          <t>Gucci Flora (01228)</t>
        </is>
      </c>
      <c r="C863" t="inlineStr">
        <is>
          <t>Gucci Flora Gorgeous Gardenia Intense (00007022)</t>
        </is>
      </c>
      <c r="D863" s="1" t="n">
        <v>3616305275745</v>
      </c>
      <c r="E863" t="inlineStr">
        <is>
          <t>GUCCI FLG EDPI PRFM 100 ML INTENSE IV</t>
        </is>
      </c>
      <c r="F863" t="inlineStr">
        <is>
          <t>P_US_ALL_OTHERS</t>
        </is>
      </c>
      <c r="G863" t="inlineStr">
        <is>
          <t>Month-2026.M09.W38</t>
        </is>
      </c>
      <c r="H863" t="inlineStr">
        <is>
          <t>Consensus - Final LY M</t>
        </is>
      </c>
      <c r="I863" t="n">
        <v>9339</v>
      </c>
      <c r="J863" t="n">
        <v>5226</v>
      </c>
      <c r="K863" t="n">
        <v>4360</v>
      </c>
      <c r="L863" t="n">
        <v>6716</v>
      </c>
      <c r="M863" t="n">
        <v>4495</v>
      </c>
      <c r="N863" t="n">
        <v>4809</v>
      </c>
      <c r="O863" t="n">
        <v>481</v>
      </c>
      <c r="P863" t="n">
        <v>1306</v>
      </c>
      <c r="Q863" t="n">
        <v>2939</v>
      </c>
      <c r="R863" t="n">
        <v>1223</v>
      </c>
      <c r="S863" t="n">
        <v>3951</v>
      </c>
      <c r="T863" t="n">
        <v>1910</v>
      </c>
    </row>
    <row r="864">
      <c r="A864" t="inlineStr">
        <is>
          <t>Gucci</t>
        </is>
      </c>
      <c r="B864" t="inlineStr">
        <is>
          <t>Gucci Flora (01228)</t>
        </is>
      </c>
      <c r="C864" t="inlineStr">
        <is>
          <t>Gucci Flora Gorgeous Gardenia Intense (00007022)</t>
        </is>
      </c>
      <c r="D864" s="1" t="n">
        <v>3616305275745</v>
      </c>
      <c r="E864" t="inlineStr">
        <is>
          <t>GUCCI FLG EDPI PRFM 100 ML INTENSE IV</t>
        </is>
      </c>
      <c r="F864" t="inlineStr">
        <is>
          <t>P_US_ALL_OTHERS</t>
        </is>
      </c>
      <c r="G864" t="inlineStr">
        <is>
          <t>Month-2026.M09.W38</t>
        </is>
      </c>
      <c r="H864" t="inlineStr">
        <is>
          <t>System FC - Final</t>
        </is>
      </c>
      <c r="I864" t="n">
        <v>630</v>
      </c>
      <c r="J864" t="n">
        <v>1342</v>
      </c>
      <c r="K864" t="n">
        <v>1314</v>
      </c>
      <c r="L864" t="n">
        <v>2073</v>
      </c>
      <c r="M864" t="n">
        <v>2074</v>
      </c>
      <c r="N864" t="n">
        <v>2073</v>
      </c>
      <c r="O864" t="n">
        <v>2073</v>
      </c>
      <c r="P864" t="n">
        <v>2072</v>
      </c>
      <c r="Q864" t="n">
        <v>2073</v>
      </c>
      <c r="R864" t="n">
        <v>2074</v>
      </c>
      <c r="S864" t="n">
        <v>2073</v>
      </c>
      <c r="T864" t="n">
        <v>1824</v>
      </c>
    </row>
    <row r="865">
      <c r="A865" t="inlineStr">
        <is>
          <t>Gucci</t>
        </is>
      </c>
      <c r="B865" t="inlineStr">
        <is>
          <t>Gucci Flora (01228)</t>
        </is>
      </c>
      <c r="C865" t="inlineStr">
        <is>
          <t>Gucci Flora Gorgeous Gardenia Intense (00007022)</t>
        </is>
      </c>
      <c r="D865" s="1" t="n">
        <v>3616305275745</v>
      </c>
      <c r="E865" t="inlineStr">
        <is>
          <t>GUCCI FLG EDPI PRFM 100 ML INTENSE IV</t>
        </is>
      </c>
      <c r="F865" t="inlineStr">
        <is>
          <t>P_US_ALL_OTHERS</t>
        </is>
      </c>
      <c r="G865" t="inlineStr">
        <is>
          <t>Month-2026.M09.W38</t>
        </is>
      </c>
      <c r="H865" t="inlineStr">
        <is>
          <t>EPOS</t>
        </is>
      </c>
      <c r="I865" t="n">
        <v>1294</v>
      </c>
    </row>
    <row r="866">
      <c r="A866" t="inlineStr">
        <is>
          <t>Gucci</t>
        </is>
      </c>
      <c r="B866" t="inlineStr">
        <is>
          <t>Gucci Flora (01228)</t>
        </is>
      </c>
      <c r="C866" t="inlineStr">
        <is>
          <t>Gucci Flora Gorgeous Gardenia Intense (00007022)</t>
        </is>
      </c>
      <c r="D866" s="1" t="n">
        <v>3616305275745</v>
      </c>
      <c r="E866" t="inlineStr">
        <is>
          <t>GUCCI FLG EDPI PRFM 100 ML INTENSE IV</t>
        </is>
      </c>
      <c r="F866" t="inlineStr">
        <is>
          <t>P_US_ALL_OTHERS</t>
        </is>
      </c>
      <c r="G866" t="inlineStr">
        <is>
          <t>Month-2026.M09.W38</t>
        </is>
      </c>
      <c r="H866" t="inlineStr">
        <is>
          <t>Reasonability Adjustment</t>
        </is>
      </c>
      <c r="S866" t="n">
        <v>-1000</v>
      </c>
    </row>
    <row r="867">
      <c r="A867" t="inlineStr">
        <is>
          <t>Gucci</t>
        </is>
      </c>
      <c r="B867" t="inlineStr">
        <is>
          <t>Gucci Flora (01228)</t>
        </is>
      </c>
      <c r="C867" t="inlineStr">
        <is>
          <t>Gucci Flora Gorgeous Gardenia Intense (00007022)</t>
        </is>
      </c>
      <c r="D867" s="1" t="n">
        <v>3616305275745</v>
      </c>
      <c r="E867" t="inlineStr">
        <is>
          <t>GUCCI FLG EDPI PRFM 100 ML INTENSE IV</t>
        </is>
      </c>
      <c r="F867" t="inlineStr">
        <is>
          <t>P_US_ALL_OTHERS</t>
        </is>
      </c>
      <c r="G867" t="inlineStr">
        <is>
          <t>Month-2026.M09.W38</t>
        </is>
      </c>
      <c r="H867" t="inlineStr">
        <is>
          <t>Total Demand Assumption</t>
        </is>
      </c>
      <c r="J867" t="n">
        <v>-800</v>
      </c>
    </row>
    <row r="868">
      <c r="A868" t="inlineStr">
        <is>
          <t>Gucci</t>
        </is>
      </c>
      <c r="B868" t="inlineStr">
        <is>
          <t>Gucci Flora (01228)</t>
        </is>
      </c>
      <c r="C868" t="inlineStr">
        <is>
          <t>Gucci Flora Gorgeous Gardenia Intense (00007022)</t>
        </is>
      </c>
      <c r="D868" s="1" t="n">
        <v>3616305275745</v>
      </c>
      <c r="E868" t="inlineStr">
        <is>
          <t>GUCCI FLG EDPI PRFM 100 ML INTENSE IV</t>
        </is>
      </c>
      <c r="F868" t="inlineStr">
        <is>
          <t>P_US_ALL_OTHERS</t>
        </is>
      </c>
      <c r="G868" t="inlineStr">
        <is>
          <t>Month-2026.M09.W38</t>
        </is>
      </c>
      <c r="H868" t="inlineStr">
        <is>
          <t>Consensus - Final</t>
        </is>
      </c>
      <c r="I868" t="n">
        <v>630</v>
      </c>
      <c r="J868" t="n">
        <v>1342</v>
      </c>
      <c r="K868" t="n">
        <v>1222.98776418242</v>
      </c>
      <c r="L868" t="n">
        <v>2073</v>
      </c>
      <c r="M868" t="n">
        <v>2074</v>
      </c>
      <c r="N868" t="n">
        <v>2073</v>
      </c>
      <c r="O868" t="n">
        <v>2073</v>
      </c>
      <c r="P868" t="n">
        <v>2072</v>
      </c>
      <c r="Q868" t="n">
        <v>2073</v>
      </c>
      <c r="R868" t="n">
        <v>2074</v>
      </c>
      <c r="S868" t="n">
        <v>1073</v>
      </c>
      <c r="T868" t="n">
        <v>1824</v>
      </c>
    </row>
    <row r="869">
      <c r="A869" t="inlineStr">
        <is>
          <t>Gucci</t>
        </is>
      </c>
      <c r="B869" t="inlineStr">
        <is>
          <t>Gucci Flora (01228)</t>
        </is>
      </c>
      <c r="C869" t="inlineStr">
        <is>
          <t>Gucci Flora Gorgeous Gardenia Intense (00007022)</t>
        </is>
      </c>
      <c r="D869" s="1" t="n">
        <v>3616305275745</v>
      </c>
      <c r="E869" t="inlineStr">
        <is>
          <t>GUCCI FLG EDPI PRFM 100 ML INTENSE IV</t>
        </is>
      </c>
      <c r="F869" t="inlineStr">
        <is>
          <t>P_US_ALL_OTHERS</t>
        </is>
      </c>
      <c r="G869" t="inlineStr">
        <is>
          <t>Month-2026.M09.W38</t>
        </is>
      </c>
      <c r="H869" t="inlineStr">
        <is>
          <t>Supply Cuts</t>
        </is>
      </c>
    </row>
    <row r="870">
      <c r="A870" t="inlineStr">
        <is>
          <t>Gucci</t>
        </is>
      </c>
      <c r="B870" t="inlineStr">
        <is>
          <t>Gucci Flora (01228)</t>
        </is>
      </c>
      <c r="C870" t="inlineStr">
        <is>
          <t>Gucci Flora Gorgeous Gardenia Intense (00007022)</t>
        </is>
      </c>
      <c r="D870" s="1" t="n">
        <v>3616305275745</v>
      </c>
      <c r="E870" t="inlineStr">
        <is>
          <t>GUCCI FLG EDPI PRFM 100 ML INTENSE IV</t>
        </is>
      </c>
      <c r="F870" t="inlineStr">
        <is>
          <t>P_US_FG</t>
        </is>
      </c>
      <c r="G870" t="inlineStr">
        <is>
          <t>CurrentWorkingView</t>
        </is>
      </c>
      <c r="H870" t="inlineStr">
        <is>
          <t>Consensus - Final LY M</t>
        </is>
      </c>
      <c r="I870" t="n">
        <v>9810</v>
      </c>
      <c r="J870" t="n">
        <v>38</v>
      </c>
      <c r="K870" t="n">
        <v>10</v>
      </c>
      <c r="L870" t="n">
        <v>300</v>
      </c>
      <c r="M870" t="n">
        <v>111</v>
      </c>
      <c r="P870" t="n">
        <v>104</v>
      </c>
      <c r="Q870" t="n">
        <v>9</v>
      </c>
      <c r="R870" t="n">
        <v>1</v>
      </c>
      <c r="T870" t="n">
        <v>33</v>
      </c>
    </row>
    <row r="871">
      <c r="A871" t="inlineStr">
        <is>
          <t>Gucci</t>
        </is>
      </c>
      <c r="B871" t="inlineStr">
        <is>
          <t>Gucci Flora (01228)</t>
        </is>
      </c>
      <c r="C871" t="inlineStr">
        <is>
          <t>Gucci Flora Gorgeous Gardenia Intense (00007022)</t>
        </is>
      </c>
      <c r="D871" s="1" t="n">
        <v>3616305275745</v>
      </c>
      <c r="E871" t="inlineStr">
        <is>
          <t>GUCCI FLG EDPI PRFM 100 ML INTENSE IV</t>
        </is>
      </c>
      <c r="F871" t="inlineStr">
        <is>
          <t>P_US_FG</t>
        </is>
      </c>
      <c r="G871" t="inlineStr">
        <is>
          <t>CurrentWorkingView</t>
        </is>
      </c>
      <c r="H871" t="inlineStr">
        <is>
          <t>System FC - Final</t>
        </is>
      </c>
      <c r="K871" t="n">
        <v>191</v>
      </c>
      <c r="L871" t="n">
        <v>17</v>
      </c>
      <c r="M871" t="n">
        <v>102</v>
      </c>
      <c r="N871" t="n">
        <v>137</v>
      </c>
      <c r="O871" t="n">
        <v>44</v>
      </c>
      <c r="P871" t="n">
        <v>0</v>
      </c>
      <c r="Q871" t="n">
        <v>186</v>
      </c>
      <c r="R871" t="n">
        <v>3</v>
      </c>
      <c r="S871" t="n">
        <v>71</v>
      </c>
      <c r="T871" t="n">
        <v>26</v>
      </c>
    </row>
    <row r="872">
      <c r="A872" t="inlineStr">
        <is>
          <t>Gucci</t>
        </is>
      </c>
      <c r="B872" t="inlineStr">
        <is>
          <t>Gucci Flora (01228)</t>
        </is>
      </c>
      <c r="C872" t="inlineStr">
        <is>
          <t>Gucci Flora Gorgeous Gardenia Intense (00007022)</t>
        </is>
      </c>
      <c r="D872" s="1" t="n">
        <v>3616305275745</v>
      </c>
      <c r="E872" t="inlineStr">
        <is>
          <t>GUCCI FLG EDPI PRFM 100 ML INTENSE IV</t>
        </is>
      </c>
      <c r="F872" t="inlineStr">
        <is>
          <t>P_US_FG</t>
        </is>
      </c>
      <c r="G872" t="inlineStr">
        <is>
          <t>CurrentWorkingView</t>
        </is>
      </c>
      <c r="H872" t="inlineStr">
        <is>
          <t>EPOS</t>
        </is>
      </c>
    </row>
    <row r="873">
      <c r="A873" t="inlineStr">
        <is>
          <t>Gucci</t>
        </is>
      </c>
      <c r="B873" t="inlineStr">
        <is>
          <t>Gucci Flora (01228)</t>
        </is>
      </c>
      <c r="C873" t="inlineStr">
        <is>
          <t>Gucci Flora Gorgeous Gardenia Intense (00007022)</t>
        </is>
      </c>
      <c r="D873" s="1" t="n">
        <v>3616305275745</v>
      </c>
      <c r="E873" t="inlineStr">
        <is>
          <t>GUCCI FLG EDPI PRFM 100 ML INTENSE IV</t>
        </is>
      </c>
      <c r="F873" t="inlineStr">
        <is>
          <t>P_US_FG</t>
        </is>
      </c>
      <c r="G873" t="inlineStr">
        <is>
          <t>CurrentWorkingView</t>
        </is>
      </c>
      <c r="H873" t="inlineStr">
        <is>
          <t>Reasonability Adjustment</t>
        </is>
      </c>
      <c r="N873" t="n">
        <v>2</v>
      </c>
      <c r="S873" t="n">
        <v>-82</v>
      </c>
      <c r="T873" t="n">
        <v>-105</v>
      </c>
    </row>
    <row r="874">
      <c r="A874" t="inlineStr">
        <is>
          <t>Gucci</t>
        </is>
      </c>
      <c r="B874" t="inlineStr">
        <is>
          <t>Gucci Flora (01228)</t>
        </is>
      </c>
      <c r="C874" t="inlineStr">
        <is>
          <t>Gucci Flora Gorgeous Gardenia Intense (00007022)</t>
        </is>
      </c>
      <c r="D874" s="1" t="n">
        <v>3616305275745</v>
      </c>
      <c r="E874" t="inlineStr">
        <is>
          <t>GUCCI FLG EDPI PRFM 100 ML INTENSE IV</t>
        </is>
      </c>
      <c r="F874" t="inlineStr">
        <is>
          <t>P_US_FG</t>
        </is>
      </c>
      <c r="G874" t="inlineStr">
        <is>
          <t>CurrentWorkingView</t>
        </is>
      </c>
      <c r="H874" t="inlineStr">
        <is>
          <t>Total Demand Assumption</t>
        </is>
      </c>
    </row>
    <row r="875">
      <c r="A875" t="inlineStr">
        <is>
          <t>Gucci</t>
        </is>
      </c>
      <c r="B875" t="inlineStr">
        <is>
          <t>Gucci Flora (01228)</t>
        </is>
      </c>
      <c r="C875" t="inlineStr">
        <is>
          <t>Gucci Flora Gorgeous Gardenia Intense (00007022)</t>
        </is>
      </c>
      <c r="D875" s="1" t="n">
        <v>3616305275745</v>
      </c>
      <c r="E875" t="inlineStr">
        <is>
          <t>GUCCI FLG EDPI PRFM 100 ML INTENSE IV</t>
        </is>
      </c>
      <c r="F875" t="inlineStr">
        <is>
          <t>P_US_FG</t>
        </is>
      </c>
      <c r="G875" t="inlineStr">
        <is>
          <t>CurrentWorkingView</t>
        </is>
      </c>
      <c r="H875" t="inlineStr">
        <is>
          <t>Consensus - Final</t>
        </is>
      </c>
      <c r="K875" t="n">
        <v>162</v>
      </c>
      <c r="N875" t="n">
        <v>2</v>
      </c>
    </row>
    <row r="876">
      <c r="A876" t="inlineStr">
        <is>
          <t>Gucci</t>
        </is>
      </c>
      <c r="B876" t="inlineStr">
        <is>
          <t>Gucci Flora (01228)</t>
        </is>
      </c>
      <c r="C876" t="inlineStr">
        <is>
          <t>Gucci Flora Gorgeous Gardenia Intense (00007022)</t>
        </is>
      </c>
      <c r="D876" s="1" t="n">
        <v>3616305275745</v>
      </c>
      <c r="E876" t="inlineStr">
        <is>
          <t>GUCCI FLG EDPI PRFM 100 ML INTENSE IV</t>
        </is>
      </c>
      <c r="F876" t="inlineStr">
        <is>
          <t>P_US_FG</t>
        </is>
      </c>
      <c r="G876" t="inlineStr">
        <is>
          <t>CurrentWorkingView</t>
        </is>
      </c>
      <c r="H876" t="inlineStr">
        <is>
          <t>Supply Cuts</t>
        </is>
      </c>
    </row>
    <row r="877">
      <c r="A877" t="inlineStr">
        <is>
          <t>Gucci</t>
        </is>
      </c>
      <c r="B877" t="inlineStr">
        <is>
          <t>Gucci Flora (01228)</t>
        </is>
      </c>
      <c r="C877" t="inlineStr">
        <is>
          <t>Gucci Flora Gorgeous Gardenia Intense (00007022)</t>
        </is>
      </c>
      <c r="D877" s="1" t="n">
        <v>3616305275745</v>
      </c>
      <c r="E877" t="inlineStr">
        <is>
          <t>GUCCI FLG EDPI PRFM 100 ML INTENSE IV</t>
        </is>
      </c>
      <c r="F877" t="inlineStr">
        <is>
          <t>P_US_FG</t>
        </is>
      </c>
      <c r="G877" t="inlineStr">
        <is>
          <t>Month-2026.M09.W38</t>
        </is>
      </c>
      <c r="H877" t="inlineStr">
        <is>
          <t>Consensus - Final LY M</t>
        </is>
      </c>
      <c r="I877" t="n">
        <v>9810</v>
      </c>
      <c r="J877" t="n">
        <v>38</v>
      </c>
      <c r="K877" t="n">
        <v>10</v>
      </c>
      <c r="L877" t="n">
        <v>300</v>
      </c>
      <c r="M877" t="n">
        <v>111</v>
      </c>
      <c r="P877" t="n">
        <v>104</v>
      </c>
      <c r="Q877" t="n">
        <v>9</v>
      </c>
      <c r="R877" t="n">
        <v>1</v>
      </c>
      <c r="T877" t="n">
        <v>33</v>
      </c>
    </row>
    <row r="878">
      <c r="A878" t="inlineStr">
        <is>
          <t>Gucci</t>
        </is>
      </c>
      <c r="B878" t="inlineStr">
        <is>
          <t>Gucci Flora (01228)</t>
        </is>
      </c>
      <c r="C878" t="inlineStr">
        <is>
          <t>Gucci Flora Gorgeous Gardenia Intense (00007022)</t>
        </is>
      </c>
      <c r="D878" s="1" t="n">
        <v>3616305275745</v>
      </c>
      <c r="E878" t="inlineStr">
        <is>
          <t>GUCCI FLG EDPI PRFM 100 ML INTENSE IV</t>
        </is>
      </c>
      <c r="F878" t="inlineStr">
        <is>
          <t>P_US_FG</t>
        </is>
      </c>
      <c r="G878" t="inlineStr">
        <is>
          <t>Month-2026.M09.W38</t>
        </is>
      </c>
      <c r="H878" t="inlineStr">
        <is>
          <t>System FC - Final</t>
        </is>
      </c>
      <c r="K878" t="n">
        <v>43</v>
      </c>
      <c r="L878" t="n">
        <v>31</v>
      </c>
      <c r="M878" t="n">
        <v>22</v>
      </c>
      <c r="N878" t="n">
        <v>14</v>
      </c>
      <c r="O878" t="n">
        <v>31</v>
      </c>
      <c r="P878" t="n">
        <v>80</v>
      </c>
      <c r="Q878" t="n">
        <v>146</v>
      </c>
      <c r="R878" t="n">
        <v>77</v>
      </c>
      <c r="S878" t="n">
        <v>106</v>
      </c>
      <c r="T878" t="n">
        <v>12</v>
      </c>
    </row>
    <row r="879">
      <c r="A879" t="inlineStr">
        <is>
          <t>Gucci</t>
        </is>
      </c>
      <c r="B879" t="inlineStr">
        <is>
          <t>Gucci Flora (01228)</t>
        </is>
      </c>
      <c r="C879" t="inlineStr">
        <is>
          <t>Gucci Flora Gorgeous Gardenia Intense (00007022)</t>
        </is>
      </c>
      <c r="D879" s="1" t="n">
        <v>3616305275745</v>
      </c>
      <c r="E879" t="inlineStr">
        <is>
          <t>GUCCI FLG EDPI PRFM 100 ML INTENSE IV</t>
        </is>
      </c>
      <c r="F879" t="inlineStr">
        <is>
          <t>P_US_FG</t>
        </is>
      </c>
      <c r="G879" t="inlineStr">
        <is>
          <t>Month-2026.M09.W38</t>
        </is>
      </c>
      <c r="H879" t="inlineStr">
        <is>
          <t>EPOS</t>
        </is>
      </c>
    </row>
    <row r="880">
      <c r="A880" t="inlineStr">
        <is>
          <t>Gucci</t>
        </is>
      </c>
      <c r="B880" t="inlineStr">
        <is>
          <t>Gucci Flora (01228)</t>
        </is>
      </c>
      <c r="C880" t="inlineStr">
        <is>
          <t>Gucci Flora Gorgeous Gardenia Intense (00007022)</t>
        </is>
      </c>
      <c r="D880" s="1" t="n">
        <v>3616305275745</v>
      </c>
      <c r="E880" t="inlineStr">
        <is>
          <t>GUCCI FLG EDPI PRFM 100 ML INTENSE IV</t>
        </is>
      </c>
      <c r="F880" t="inlineStr">
        <is>
          <t>P_US_FG</t>
        </is>
      </c>
      <c r="G880" t="inlineStr">
        <is>
          <t>Month-2026.M09.W38</t>
        </is>
      </c>
      <c r="H880" t="inlineStr">
        <is>
          <t>Reasonability Adjustment</t>
        </is>
      </c>
      <c r="N880" t="n">
        <v>2</v>
      </c>
      <c r="S880" t="n">
        <v>-82</v>
      </c>
      <c r="T880" t="n">
        <v>-105</v>
      </c>
    </row>
    <row r="881">
      <c r="A881" t="inlineStr">
        <is>
          <t>Gucci</t>
        </is>
      </c>
      <c r="B881" t="inlineStr">
        <is>
          <t>Gucci Flora (01228)</t>
        </is>
      </c>
      <c r="C881" t="inlineStr">
        <is>
          <t>Gucci Flora Gorgeous Gardenia Intense (00007022)</t>
        </is>
      </c>
      <c r="D881" s="1" t="n">
        <v>3616305275745</v>
      </c>
      <c r="E881" t="inlineStr">
        <is>
          <t>GUCCI FLG EDPI PRFM 100 ML INTENSE IV</t>
        </is>
      </c>
      <c r="F881" t="inlineStr">
        <is>
          <t>P_US_FG</t>
        </is>
      </c>
      <c r="G881" t="inlineStr">
        <is>
          <t>Month-2026.M09.W38</t>
        </is>
      </c>
      <c r="H881" t="inlineStr">
        <is>
          <t>Total Demand Assumption</t>
        </is>
      </c>
    </row>
    <row r="882">
      <c r="A882" t="inlineStr">
        <is>
          <t>Gucci</t>
        </is>
      </c>
      <c r="B882" t="inlineStr">
        <is>
          <t>Gucci Flora (01228)</t>
        </is>
      </c>
      <c r="C882" t="inlineStr">
        <is>
          <t>Gucci Flora Gorgeous Gardenia Intense (00007022)</t>
        </is>
      </c>
      <c r="D882" s="1" t="n">
        <v>3616305275745</v>
      </c>
      <c r="E882" t="inlineStr">
        <is>
          <t>GUCCI FLG EDPI PRFM 100 ML INTENSE IV</t>
        </is>
      </c>
      <c r="F882" t="inlineStr">
        <is>
          <t>P_US_FG</t>
        </is>
      </c>
      <c r="G882" t="inlineStr">
        <is>
          <t>Month-2026.M09.W38</t>
        </is>
      </c>
      <c r="H882" t="inlineStr">
        <is>
          <t>Consensus - Final</t>
        </is>
      </c>
      <c r="K882" t="n">
        <v>1</v>
      </c>
      <c r="N882" t="n">
        <v>2</v>
      </c>
    </row>
    <row r="883">
      <c r="A883" t="inlineStr">
        <is>
          <t>Gucci</t>
        </is>
      </c>
      <c r="B883" t="inlineStr">
        <is>
          <t>Gucci Flora (01228)</t>
        </is>
      </c>
      <c r="C883" t="inlineStr">
        <is>
          <t>Gucci Flora Gorgeous Gardenia Intense (00007022)</t>
        </is>
      </c>
      <c r="D883" s="1" t="n">
        <v>3616305275745</v>
      </c>
      <c r="E883" t="inlineStr">
        <is>
          <t>GUCCI FLG EDPI PRFM 100 ML INTENSE IV</t>
        </is>
      </c>
      <c r="F883" t="inlineStr">
        <is>
          <t>P_US_FG</t>
        </is>
      </c>
      <c r="G883" t="inlineStr">
        <is>
          <t>Month-2026.M09.W38</t>
        </is>
      </c>
      <c r="H883" t="inlineStr">
        <is>
          <t>Supply Cuts</t>
        </is>
      </c>
    </row>
    <row r="884">
      <c r="A884" t="inlineStr">
        <is>
          <t>Gucci</t>
        </is>
      </c>
      <c r="B884" t="inlineStr">
        <is>
          <t>Gucci Flora (01228)</t>
        </is>
      </c>
      <c r="C884" t="inlineStr">
        <is>
          <t>Gucci Flora Gorgeous Gardenia Intense (00007022)</t>
        </is>
      </c>
      <c r="D884" s="1" t="n">
        <v>3616305275745</v>
      </c>
      <c r="E884" t="inlineStr">
        <is>
          <t>GUCCI FLG EDPI PRFM 100 ML INTENSE IV</t>
        </is>
      </c>
      <c r="F884" t="inlineStr">
        <is>
          <t>P_US_ULTA</t>
        </is>
      </c>
      <c r="G884" t="inlineStr">
        <is>
          <t>CurrentWorkingView</t>
        </is>
      </c>
      <c r="H884" t="inlineStr">
        <is>
          <t>Consensus - Final LY M</t>
        </is>
      </c>
      <c r="K884" t="n">
        <v>1780</v>
      </c>
      <c r="M884" t="n">
        <v>705</v>
      </c>
      <c r="N884" t="n">
        <v>1083</v>
      </c>
      <c r="O884" t="n">
        <v>525</v>
      </c>
      <c r="P884" t="n">
        <v>1167</v>
      </c>
      <c r="Q884" t="n">
        <v>1230</v>
      </c>
      <c r="R884" t="n">
        <v>51</v>
      </c>
      <c r="S884" t="n">
        <v>396</v>
      </c>
      <c r="T884" t="n">
        <v>195</v>
      </c>
    </row>
    <row r="885">
      <c r="A885" t="inlineStr">
        <is>
          <t>Gucci</t>
        </is>
      </c>
      <c r="B885" t="inlineStr">
        <is>
          <t>Gucci Flora (01228)</t>
        </is>
      </c>
      <c r="C885" t="inlineStr">
        <is>
          <t>Gucci Flora Gorgeous Gardenia Intense (00007022)</t>
        </is>
      </c>
      <c r="D885" s="1" t="n">
        <v>3616305275745</v>
      </c>
      <c r="E885" t="inlineStr">
        <is>
          <t>GUCCI FLG EDPI PRFM 100 ML INTENSE IV</t>
        </is>
      </c>
      <c r="F885" t="inlineStr">
        <is>
          <t>P_US_ULTA</t>
        </is>
      </c>
      <c r="G885" t="inlineStr">
        <is>
          <t>CurrentWorkingView</t>
        </is>
      </c>
      <c r="H885" t="inlineStr">
        <is>
          <t>System FC - Final</t>
        </is>
      </c>
      <c r="I885" t="n">
        <v>123</v>
      </c>
      <c r="J885" t="n">
        <v>657</v>
      </c>
      <c r="K885" t="n">
        <v>712</v>
      </c>
      <c r="L885" t="n">
        <v>882</v>
      </c>
      <c r="M885" t="n">
        <v>882</v>
      </c>
      <c r="N885" t="n">
        <v>882</v>
      </c>
      <c r="O885" t="n">
        <v>881</v>
      </c>
      <c r="P885" t="n">
        <v>884</v>
      </c>
      <c r="Q885" t="n">
        <v>881</v>
      </c>
      <c r="R885" t="n">
        <v>883</v>
      </c>
      <c r="S885" t="n">
        <v>881</v>
      </c>
      <c r="T885" t="n">
        <v>883</v>
      </c>
    </row>
    <row r="886">
      <c r="A886" t="inlineStr">
        <is>
          <t>Gucci</t>
        </is>
      </c>
      <c r="B886" t="inlineStr">
        <is>
          <t>Gucci Flora (01228)</t>
        </is>
      </c>
      <c r="C886" t="inlineStr">
        <is>
          <t>Gucci Flora Gorgeous Gardenia Intense (00007022)</t>
        </is>
      </c>
      <c r="D886" s="1" t="n">
        <v>3616305275745</v>
      </c>
      <c r="E886" t="inlineStr">
        <is>
          <t>GUCCI FLG EDPI PRFM 100 ML INTENSE IV</t>
        </is>
      </c>
      <c r="F886" t="inlineStr">
        <is>
          <t>P_US_ULTA</t>
        </is>
      </c>
      <c r="G886" t="inlineStr">
        <is>
          <t>CurrentWorkingView</t>
        </is>
      </c>
      <c r="H886" t="inlineStr">
        <is>
          <t>EPOS</t>
        </is>
      </c>
      <c r="I886" t="n">
        <v>643</v>
      </c>
    </row>
    <row r="887">
      <c r="A887" t="inlineStr">
        <is>
          <t>Gucci</t>
        </is>
      </c>
      <c r="B887" t="inlineStr">
        <is>
          <t>Gucci Flora (01228)</t>
        </is>
      </c>
      <c r="C887" t="inlineStr">
        <is>
          <t>Gucci Flora Gorgeous Gardenia Intense (00007022)</t>
        </is>
      </c>
      <c r="D887" s="1" t="n">
        <v>3616305275745</v>
      </c>
      <c r="E887" t="inlineStr">
        <is>
          <t>GUCCI FLG EDPI PRFM 100 ML INTENSE IV</t>
        </is>
      </c>
      <c r="F887" t="inlineStr">
        <is>
          <t>P_US_ULTA</t>
        </is>
      </c>
      <c r="G887" t="inlineStr">
        <is>
          <t>CurrentWorkingView</t>
        </is>
      </c>
      <c r="H887" t="inlineStr">
        <is>
          <t>Reasonability Adjustment</t>
        </is>
      </c>
      <c r="S887" t="n">
        <v>-600</v>
      </c>
      <c r="T887" t="n">
        <v>-500</v>
      </c>
    </row>
    <row r="888">
      <c r="A888" t="inlineStr">
        <is>
          <t>Gucci</t>
        </is>
      </c>
      <c r="B888" t="inlineStr">
        <is>
          <t>Gucci Flora (01228)</t>
        </is>
      </c>
      <c r="C888" t="inlineStr">
        <is>
          <t>Gucci Flora Gorgeous Gardenia Intense (00007022)</t>
        </is>
      </c>
      <c r="D888" s="1" t="n">
        <v>3616305275745</v>
      </c>
      <c r="E888" t="inlineStr">
        <is>
          <t>GUCCI FLG EDPI PRFM 100 ML INTENSE IV</t>
        </is>
      </c>
      <c r="F888" t="inlineStr">
        <is>
          <t>P_US_ULTA</t>
        </is>
      </c>
      <c r="G888" t="inlineStr">
        <is>
          <t>CurrentWorkingView</t>
        </is>
      </c>
      <c r="H888" t="inlineStr">
        <is>
          <t>Total Demand Assumption</t>
        </is>
      </c>
    </row>
    <row r="889">
      <c r="A889" t="inlineStr">
        <is>
          <t>Gucci</t>
        </is>
      </c>
      <c r="B889" t="inlineStr">
        <is>
          <t>Gucci Flora (01228)</t>
        </is>
      </c>
      <c r="C889" t="inlineStr">
        <is>
          <t>Gucci Flora Gorgeous Gardenia Intense (00007022)</t>
        </is>
      </c>
      <c r="D889" s="1" t="n">
        <v>3616305275745</v>
      </c>
      <c r="E889" t="inlineStr">
        <is>
          <t>GUCCI FLG EDPI PRFM 100 ML INTENSE IV</t>
        </is>
      </c>
      <c r="F889" t="inlineStr">
        <is>
          <t>P_US_ULTA</t>
        </is>
      </c>
      <c r="G889" t="inlineStr">
        <is>
          <t>CurrentWorkingView</t>
        </is>
      </c>
      <c r="H889" t="inlineStr">
        <is>
          <t>Consensus - Final</t>
        </is>
      </c>
      <c r="I889" t="n">
        <v>123</v>
      </c>
      <c r="J889" t="n">
        <v>657</v>
      </c>
      <c r="K889" t="n">
        <v>533.0122358175749</v>
      </c>
      <c r="L889" t="n">
        <v>882</v>
      </c>
      <c r="M889" t="n">
        <v>882</v>
      </c>
      <c r="N889" t="n">
        <v>882</v>
      </c>
      <c r="O889" t="n">
        <v>881</v>
      </c>
      <c r="P889" t="n">
        <v>884</v>
      </c>
      <c r="Q889" t="n">
        <v>881</v>
      </c>
      <c r="R889" t="n">
        <v>883</v>
      </c>
      <c r="S889" t="n">
        <v>281</v>
      </c>
      <c r="T889" t="n">
        <v>383</v>
      </c>
    </row>
    <row r="890">
      <c r="A890" t="inlineStr">
        <is>
          <t>Gucci</t>
        </is>
      </c>
      <c r="B890" t="inlineStr">
        <is>
          <t>Gucci Flora (01228)</t>
        </is>
      </c>
      <c r="C890" t="inlineStr">
        <is>
          <t>Gucci Flora Gorgeous Gardenia Intense (00007022)</t>
        </is>
      </c>
      <c r="D890" s="1" t="n">
        <v>3616305275745</v>
      </c>
      <c r="E890" t="inlineStr">
        <is>
          <t>GUCCI FLG EDPI PRFM 100 ML INTENSE IV</t>
        </is>
      </c>
      <c r="F890" t="inlineStr">
        <is>
          <t>P_US_ULTA</t>
        </is>
      </c>
      <c r="G890" t="inlineStr">
        <is>
          <t>CurrentWorkingView</t>
        </is>
      </c>
      <c r="H890" t="inlineStr">
        <is>
          <t>Supply Cuts</t>
        </is>
      </c>
    </row>
    <row r="891">
      <c r="A891" t="inlineStr">
        <is>
          <t>Gucci</t>
        </is>
      </c>
      <c r="B891" t="inlineStr">
        <is>
          <t>Gucci Flora (01228)</t>
        </is>
      </c>
      <c r="C891" t="inlineStr">
        <is>
          <t>Gucci Flora Gorgeous Gardenia Intense (00007022)</t>
        </is>
      </c>
      <c r="D891" s="1" t="n">
        <v>3616305275745</v>
      </c>
      <c r="E891" t="inlineStr">
        <is>
          <t>GUCCI FLG EDPI PRFM 100 ML INTENSE IV</t>
        </is>
      </c>
      <c r="F891" t="inlineStr">
        <is>
          <t>P_US_ULTA</t>
        </is>
      </c>
      <c r="G891" t="inlineStr">
        <is>
          <t>Month-2026.M09.W38</t>
        </is>
      </c>
      <c r="H891" t="inlineStr">
        <is>
          <t>Consensus - Final LY M</t>
        </is>
      </c>
      <c r="K891" t="n">
        <v>1780</v>
      </c>
      <c r="M891" t="n">
        <v>705</v>
      </c>
      <c r="N891" t="n">
        <v>1083</v>
      </c>
      <c r="O891" t="n">
        <v>525</v>
      </c>
      <c r="P891" t="n">
        <v>1167</v>
      </c>
      <c r="Q891" t="n">
        <v>1230</v>
      </c>
      <c r="R891" t="n">
        <v>51</v>
      </c>
      <c r="S891" t="n">
        <v>396</v>
      </c>
      <c r="T891" t="n">
        <v>195</v>
      </c>
    </row>
    <row r="892">
      <c r="A892" t="inlineStr">
        <is>
          <t>Gucci</t>
        </is>
      </c>
      <c r="B892" t="inlineStr">
        <is>
          <t>Gucci Flora (01228)</t>
        </is>
      </c>
      <c r="C892" t="inlineStr">
        <is>
          <t>Gucci Flora Gorgeous Gardenia Intense (00007022)</t>
        </is>
      </c>
      <c r="D892" s="1" t="n">
        <v>3616305275745</v>
      </c>
      <c r="E892" t="inlineStr">
        <is>
          <t>GUCCI FLG EDPI PRFM 100 ML INTENSE IV</t>
        </is>
      </c>
      <c r="F892" t="inlineStr">
        <is>
          <t>P_US_ULTA</t>
        </is>
      </c>
      <c r="G892" t="inlineStr">
        <is>
          <t>Month-2026.M09.W38</t>
        </is>
      </c>
      <c r="H892" t="inlineStr">
        <is>
          <t>System FC - Final</t>
        </is>
      </c>
      <c r="I892" t="n">
        <v>123</v>
      </c>
      <c r="J892" t="n">
        <v>657</v>
      </c>
      <c r="K892" t="n">
        <v>571</v>
      </c>
      <c r="L892" t="n">
        <v>912</v>
      </c>
      <c r="M892" t="n">
        <v>912</v>
      </c>
      <c r="N892" t="n">
        <v>912</v>
      </c>
      <c r="O892" t="n">
        <v>912</v>
      </c>
      <c r="P892" t="n">
        <v>912</v>
      </c>
      <c r="Q892" t="n">
        <v>912</v>
      </c>
      <c r="R892" t="n">
        <v>913</v>
      </c>
      <c r="S892" t="n">
        <v>912</v>
      </c>
      <c r="T892" t="n">
        <v>324</v>
      </c>
    </row>
    <row r="893">
      <c r="A893" t="inlineStr">
        <is>
          <t>Gucci</t>
        </is>
      </c>
      <c r="B893" t="inlineStr">
        <is>
          <t>Gucci Flora (01228)</t>
        </is>
      </c>
      <c r="C893" t="inlineStr">
        <is>
          <t>Gucci Flora Gorgeous Gardenia Intense (00007022)</t>
        </is>
      </c>
      <c r="D893" s="1" t="n">
        <v>3616305275745</v>
      </c>
      <c r="E893" t="inlineStr">
        <is>
          <t>GUCCI FLG EDPI PRFM 100 ML INTENSE IV</t>
        </is>
      </c>
      <c r="F893" t="inlineStr">
        <is>
          <t>P_US_ULTA</t>
        </is>
      </c>
      <c r="G893" t="inlineStr">
        <is>
          <t>Month-2026.M09.W38</t>
        </is>
      </c>
      <c r="H893" t="inlineStr">
        <is>
          <t>EPOS</t>
        </is>
      </c>
      <c r="I893" t="n">
        <v>643</v>
      </c>
    </row>
    <row r="894">
      <c r="A894" t="inlineStr">
        <is>
          <t>Gucci</t>
        </is>
      </c>
      <c r="B894" t="inlineStr">
        <is>
          <t>Gucci Flora (01228)</t>
        </is>
      </c>
      <c r="C894" t="inlineStr">
        <is>
          <t>Gucci Flora Gorgeous Gardenia Intense (00007022)</t>
        </is>
      </c>
      <c r="D894" s="1" t="n">
        <v>3616305275745</v>
      </c>
      <c r="E894" t="inlineStr">
        <is>
          <t>GUCCI FLG EDPI PRFM 100 ML INTENSE IV</t>
        </is>
      </c>
      <c r="F894" t="inlineStr">
        <is>
          <t>P_US_ULTA</t>
        </is>
      </c>
      <c r="G894" t="inlineStr">
        <is>
          <t>Month-2026.M09.W38</t>
        </is>
      </c>
      <c r="H894" t="inlineStr">
        <is>
          <t>Reasonability Adjustment</t>
        </is>
      </c>
      <c r="S894" t="n">
        <v>-600</v>
      </c>
      <c r="T894" t="n">
        <v>-500</v>
      </c>
    </row>
    <row r="895">
      <c r="A895" t="inlineStr">
        <is>
          <t>Gucci</t>
        </is>
      </c>
      <c r="B895" t="inlineStr">
        <is>
          <t>Gucci Flora (01228)</t>
        </is>
      </c>
      <c r="C895" t="inlineStr">
        <is>
          <t>Gucci Flora Gorgeous Gardenia Intense (00007022)</t>
        </is>
      </c>
      <c r="D895" s="1" t="n">
        <v>3616305275745</v>
      </c>
      <c r="E895" t="inlineStr">
        <is>
          <t>GUCCI FLG EDPI PRFM 100 ML INTENSE IV</t>
        </is>
      </c>
      <c r="F895" t="inlineStr">
        <is>
          <t>P_US_ULTA</t>
        </is>
      </c>
      <c r="G895" t="inlineStr">
        <is>
          <t>Month-2026.M09.W38</t>
        </is>
      </c>
      <c r="H895" t="inlineStr">
        <is>
          <t>Total Demand Assumption</t>
        </is>
      </c>
    </row>
    <row r="896">
      <c r="A896" t="inlineStr">
        <is>
          <t>Gucci</t>
        </is>
      </c>
      <c r="B896" t="inlineStr">
        <is>
          <t>Gucci Flora (01228)</t>
        </is>
      </c>
      <c r="C896" t="inlineStr">
        <is>
          <t>Gucci Flora Gorgeous Gardenia Intense (00007022)</t>
        </is>
      </c>
      <c r="D896" s="1" t="n">
        <v>3616305275745</v>
      </c>
      <c r="E896" t="inlineStr">
        <is>
          <t>GUCCI FLG EDPI PRFM 100 ML INTENSE IV</t>
        </is>
      </c>
      <c r="F896" t="inlineStr">
        <is>
          <t>P_US_ULTA</t>
        </is>
      </c>
      <c r="G896" t="inlineStr">
        <is>
          <t>Month-2026.M09.W38</t>
        </is>
      </c>
      <c r="H896" t="inlineStr">
        <is>
          <t>Consensus - Final</t>
        </is>
      </c>
      <c r="I896" t="n">
        <v>123</v>
      </c>
      <c r="J896" t="n">
        <v>657</v>
      </c>
      <c r="K896" t="n">
        <v>533.0122358175749</v>
      </c>
      <c r="L896" t="n">
        <v>912</v>
      </c>
      <c r="M896" t="n">
        <v>912</v>
      </c>
      <c r="N896" t="n">
        <v>912</v>
      </c>
      <c r="O896" t="n">
        <v>912</v>
      </c>
      <c r="P896" t="n">
        <v>912</v>
      </c>
      <c r="Q896" t="n">
        <v>912</v>
      </c>
      <c r="R896" t="n">
        <v>913</v>
      </c>
      <c r="S896" t="n">
        <v>312</v>
      </c>
    </row>
    <row r="897">
      <c r="A897" t="inlineStr">
        <is>
          <t>Gucci</t>
        </is>
      </c>
      <c r="B897" t="inlineStr">
        <is>
          <t>Gucci Flora (01228)</t>
        </is>
      </c>
      <c r="C897" t="inlineStr">
        <is>
          <t>Gucci Flora Gorgeous Gardenia Intense (00007022)</t>
        </is>
      </c>
      <c r="D897" s="1" t="n">
        <v>3616305275745</v>
      </c>
      <c r="E897" t="inlineStr">
        <is>
          <t>GUCCI FLG EDPI PRFM 100 ML INTENSE IV</t>
        </is>
      </c>
      <c r="F897" t="inlineStr">
        <is>
          <t>P_US_ULTA</t>
        </is>
      </c>
      <c r="G897" t="inlineStr">
        <is>
          <t>Month-2026.M09.W38</t>
        </is>
      </c>
      <c r="H897" t="inlineStr">
        <is>
          <t>Supply Cuts</t>
        </is>
      </c>
    </row>
    <row r="898">
      <c r="A898" t="inlineStr">
        <is>
          <t>Gucci</t>
        </is>
      </c>
      <c r="B898" t="inlineStr">
        <is>
          <t>Gucci Flora (01228)</t>
        </is>
      </c>
      <c r="C898" t="inlineStr">
        <is>
          <t>Gucci Flora Gorgeous Gardenia Intense (00007022)</t>
        </is>
      </c>
      <c r="D898" s="1" t="n">
        <v>3616305275776</v>
      </c>
      <c r="E898" t="inlineStr">
        <is>
          <t>GUCCI FLG EDPI PRFM 10ML INTEN P/SPRY IV</t>
        </is>
      </c>
      <c r="F898" t="inlineStr">
        <is>
          <t>P_US_ALL_OTHERS</t>
        </is>
      </c>
      <c r="G898" t="inlineStr">
        <is>
          <t>CurrentWorkingView</t>
        </is>
      </c>
      <c r="H898" t="inlineStr">
        <is>
          <t>Consensus - Final LY M</t>
        </is>
      </c>
      <c r="I898" t="n">
        <v>2277</v>
      </c>
      <c r="J898" t="n">
        <v>11454</v>
      </c>
      <c r="K898" t="n">
        <v>10350</v>
      </c>
      <c r="L898" t="n">
        <v>993</v>
      </c>
      <c r="M898" t="n">
        <v>840</v>
      </c>
      <c r="N898" t="n">
        <v>3846</v>
      </c>
      <c r="O898" t="n">
        <v>1917</v>
      </c>
      <c r="P898" t="n">
        <v>1098</v>
      </c>
      <c r="Q898" t="n">
        <v>2754</v>
      </c>
      <c r="R898" t="n">
        <v>2007</v>
      </c>
      <c r="S898" t="n">
        <v>2648</v>
      </c>
      <c r="T898" t="n">
        <v>1757</v>
      </c>
    </row>
    <row r="899">
      <c r="A899" t="inlineStr">
        <is>
          <t>Gucci</t>
        </is>
      </c>
      <c r="B899" t="inlineStr">
        <is>
          <t>Gucci Flora (01228)</t>
        </is>
      </c>
      <c r="C899" t="inlineStr">
        <is>
          <t>Gucci Flora Gorgeous Gardenia Intense (00007022)</t>
        </is>
      </c>
      <c r="D899" s="1" t="n">
        <v>3616305275776</v>
      </c>
      <c r="E899" t="inlineStr">
        <is>
          <t>GUCCI FLG EDPI PRFM 10ML INTEN P/SPRY IV</t>
        </is>
      </c>
      <c r="F899" t="inlineStr">
        <is>
          <t>P_US_ALL_OTHERS</t>
        </is>
      </c>
      <c r="G899" t="inlineStr">
        <is>
          <t>CurrentWorkingView</t>
        </is>
      </c>
      <c r="H899" t="inlineStr">
        <is>
          <t>System FC - Final</t>
        </is>
      </c>
      <c r="I899" t="n">
        <v>1690</v>
      </c>
      <c r="J899" t="n">
        <v>1734</v>
      </c>
      <c r="K899" t="n">
        <v>2548</v>
      </c>
      <c r="L899" t="n">
        <v>1717</v>
      </c>
      <c r="M899" t="n">
        <v>1728</v>
      </c>
      <c r="N899" t="n">
        <v>1723</v>
      </c>
      <c r="O899" t="n">
        <v>1723</v>
      </c>
      <c r="P899" t="n">
        <v>1724</v>
      </c>
      <c r="Q899" t="n">
        <v>1723</v>
      </c>
      <c r="R899" t="n">
        <v>1723</v>
      </c>
      <c r="S899" t="n">
        <v>1723</v>
      </c>
      <c r="T899" t="n">
        <v>1723</v>
      </c>
    </row>
    <row r="900">
      <c r="A900" t="inlineStr">
        <is>
          <t>Gucci</t>
        </is>
      </c>
      <c r="B900" t="inlineStr">
        <is>
          <t>Gucci Flora (01228)</t>
        </is>
      </c>
      <c r="C900" t="inlineStr">
        <is>
          <t>Gucci Flora Gorgeous Gardenia Intense (00007022)</t>
        </is>
      </c>
      <c r="D900" s="1" t="n">
        <v>3616305275776</v>
      </c>
      <c r="E900" t="inlineStr">
        <is>
          <t>GUCCI FLG EDPI PRFM 10ML INTEN P/SPRY IV</t>
        </is>
      </c>
      <c r="F900" t="inlineStr">
        <is>
          <t>P_US_ALL_OTHERS</t>
        </is>
      </c>
      <c r="G900" t="inlineStr">
        <is>
          <t>CurrentWorkingView</t>
        </is>
      </c>
      <c r="H900" t="inlineStr">
        <is>
          <t>EPOS</t>
        </is>
      </c>
      <c r="I900" t="n">
        <v>1798</v>
      </c>
    </row>
    <row r="901">
      <c r="A901" t="inlineStr">
        <is>
          <t>Gucci</t>
        </is>
      </c>
      <c r="B901" t="inlineStr">
        <is>
          <t>Gucci Flora (01228)</t>
        </is>
      </c>
      <c r="C901" t="inlineStr">
        <is>
          <t>Gucci Flora Gorgeous Gardenia Intense (00007022)</t>
        </is>
      </c>
      <c r="D901" s="1" t="n">
        <v>3616305275776</v>
      </c>
      <c r="E901" t="inlineStr">
        <is>
          <t>GUCCI FLG EDPI PRFM 10ML INTEN P/SPRY IV</t>
        </is>
      </c>
      <c r="F901" t="inlineStr">
        <is>
          <t>P_US_ALL_OTHERS</t>
        </is>
      </c>
      <c r="G901" t="inlineStr">
        <is>
          <t>CurrentWorkingView</t>
        </is>
      </c>
      <c r="H901" t="inlineStr">
        <is>
          <t>Reasonability Adjustment</t>
        </is>
      </c>
      <c r="N901" t="n">
        <v>1535</v>
      </c>
    </row>
    <row r="902">
      <c r="A902" t="inlineStr">
        <is>
          <t>Gucci</t>
        </is>
      </c>
      <c r="B902" t="inlineStr">
        <is>
          <t>Gucci Flora (01228)</t>
        </is>
      </c>
      <c r="C902" t="inlineStr">
        <is>
          <t>Gucci Flora Gorgeous Gardenia Intense (00007022)</t>
        </is>
      </c>
      <c r="D902" s="1" t="n">
        <v>3616305275776</v>
      </c>
      <c r="E902" t="inlineStr">
        <is>
          <t>GUCCI FLG EDPI PRFM 10ML INTEN P/SPRY IV</t>
        </is>
      </c>
      <c r="F902" t="inlineStr">
        <is>
          <t>P_US_ALL_OTHERS</t>
        </is>
      </c>
      <c r="G902" t="inlineStr">
        <is>
          <t>CurrentWorkingView</t>
        </is>
      </c>
      <c r="H902" t="inlineStr">
        <is>
          <t>Total Demand Assumption</t>
        </is>
      </c>
    </row>
    <row r="903">
      <c r="A903" t="inlineStr">
        <is>
          <t>Gucci</t>
        </is>
      </c>
      <c r="B903" t="inlineStr">
        <is>
          <t>Gucci Flora (01228)</t>
        </is>
      </c>
      <c r="C903" t="inlineStr">
        <is>
          <t>Gucci Flora Gorgeous Gardenia Intense (00007022)</t>
        </is>
      </c>
      <c r="D903" s="1" t="n">
        <v>3616305275776</v>
      </c>
      <c r="E903" t="inlineStr">
        <is>
          <t>GUCCI FLG EDPI PRFM 10ML INTEN P/SPRY IV</t>
        </is>
      </c>
      <c r="F903" t="inlineStr">
        <is>
          <t>P_US_ALL_OTHERS</t>
        </is>
      </c>
      <c r="G903" t="inlineStr">
        <is>
          <t>CurrentWorkingView</t>
        </is>
      </c>
      <c r="H903" t="inlineStr">
        <is>
          <t>Consensus - Final</t>
        </is>
      </c>
      <c r="I903" t="n">
        <v>1690</v>
      </c>
      <c r="J903" t="n">
        <v>1734</v>
      </c>
      <c r="K903" t="n">
        <v>2447.22981366459</v>
      </c>
      <c r="L903" t="n">
        <v>1717</v>
      </c>
      <c r="M903" t="n">
        <v>1728</v>
      </c>
      <c r="N903" t="n">
        <v>3258</v>
      </c>
      <c r="O903" t="n">
        <v>1723</v>
      </c>
      <c r="P903" t="n">
        <v>1724</v>
      </c>
      <c r="Q903" t="n">
        <v>1723</v>
      </c>
      <c r="R903" t="n">
        <v>1723</v>
      </c>
      <c r="S903" t="n">
        <v>1723</v>
      </c>
      <c r="T903" t="n">
        <v>1723</v>
      </c>
    </row>
    <row r="904">
      <c r="A904" t="inlineStr">
        <is>
          <t>Gucci</t>
        </is>
      </c>
      <c r="B904" t="inlineStr">
        <is>
          <t>Gucci Flora (01228)</t>
        </is>
      </c>
      <c r="C904" t="inlineStr">
        <is>
          <t>Gucci Flora Gorgeous Gardenia Intense (00007022)</t>
        </is>
      </c>
      <c r="D904" s="1" t="n">
        <v>3616305275776</v>
      </c>
      <c r="E904" t="inlineStr">
        <is>
          <t>GUCCI FLG EDPI PRFM 10ML INTEN P/SPRY IV</t>
        </is>
      </c>
      <c r="F904" t="inlineStr">
        <is>
          <t>P_US_ALL_OTHERS</t>
        </is>
      </c>
      <c r="G904" t="inlineStr">
        <is>
          <t>CurrentWorkingView</t>
        </is>
      </c>
      <c r="H904" t="inlineStr">
        <is>
          <t>Supply Cuts</t>
        </is>
      </c>
    </row>
    <row r="905">
      <c r="A905" t="inlineStr">
        <is>
          <t>Gucci</t>
        </is>
      </c>
      <c r="B905" t="inlineStr">
        <is>
          <t>Gucci Flora (01228)</t>
        </is>
      </c>
      <c r="C905" t="inlineStr">
        <is>
          <t>Gucci Flora Gorgeous Gardenia Intense (00007022)</t>
        </is>
      </c>
      <c r="D905" s="1" t="n">
        <v>3616305275776</v>
      </c>
      <c r="E905" t="inlineStr">
        <is>
          <t>GUCCI FLG EDPI PRFM 10ML INTEN P/SPRY IV</t>
        </is>
      </c>
      <c r="F905" t="inlineStr">
        <is>
          <t>P_US_ALL_OTHERS</t>
        </is>
      </c>
      <c r="G905" t="inlineStr">
        <is>
          <t>Month-2026.M09.W38</t>
        </is>
      </c>
      <c r="H905" t="inlineStr">
        <is>
          <t>Consensus - Final LY M</t>
        </is>
      </c>
      <c r="I905" t="n">
        <v>2277</v>
      </c>
      <c r="J905" t="n">
        <v>11454</v>
      </c>
      <c r="K905" t="n">
        <v>10350</v>
      </c>
      <c r="L905" t="n">
        <v>993</v>
      </c>
      <c r="M905" t="n">
        <v>840</v>
      </c>
      <c r="N905" t="n">
        <v>3846</v>
      </c>
      <c r="O905" t="n">
        <v>1917</v>
      </c>
      <c r="P905" t="n">
        <v>1098</v>
      </c>
      <c r="Q905" t="n">
        <v>2754</v>
      </c>
      <c r="R905" t="n">
        <v>2007</v>
      </c>
      <c r="S905" t="n">
        <v>2648</v>
      </c>
      <c r="T905" t="n">
        <v>1757</v>
      </c>
    </row>
    <row r="906">
      <c r="A906" t="inlineStr">
        <is>
          <t>Gucci</t>
        </is>
      </c>
      <c r="B906" t="inlineStr">
        <is>
          <t>Gucci Flora (01228)</t>
        </is>
      </c>
      <c r="C906" t="inlineStr">
        <is>
          <t>Gucci Flora Gorgeous Gardenia Intense (00007022)</t>
        </is>
      </c>
      <c r="D906" s="1" t="n">
        <v>3616305275776</v>
      </c>
      <c r="E906" t="inlineStr">
        <is>
          <t>GUCCI FLG EDPI PRFM 10ML INTEN P/SPRY IV</t>
        </is>
      </c>
      <c r="F906" t="inlineStr">
        <is>
          <t>P_US_ALL_OTHERS</t>
        </is>
      </c>
      <c r="G906" t="inlineStr">
        <is>
          <t>Month-2026.M09.W38</t>
        </is>
      </c>
      <c r="H906" t="inlineStr">
        <is>
          <t>System FC - Final</t>
        </is>
      </c>
      <c r="I906" t="n">
        <v>1690</v>
      </c>
      <c r="J906" t="n">
        <v>1734</v>
      </c>
      <c r="K906" t="n">
        <v>2211</v>
      </c>
      <c r="L906" t="n">
        <v>1851</v>
      </c>
      <c r="M906" t="n">
        <v>1902</v>
      </c>
      <c r="N906" t="n">
        <v>1860</v>
      </c>
      <c r="O906" t="n">
        <v>1869</v>
      </c>
      <c r="P906" t="n">
        <v>1876</v>
      </c>
      <c r="Q906" t="n">
        <v>1869</v>
      </c>
      <c r="R906" t="n">
        <v>1873</v>
      </c>
      <c r="S906" t="n">
        <v>1873</v>
      </c>
      <c r="T906" t="n">
        <v>1929</v>
      </c>
    </row>
    <row r="907">
      <c r="A907" t="inlineStr">
        <is>
          <t>Gucci</t>
        </is>
      </c>
      <c r="B907" t="inlineStr">
        <is>
          <t>Gucci Flora (01228)</t>
        </is>
      </c>
      <c r="C907" t="inlineStr">
        <is>
          <t>Gucci Flora Gorgeous Gardenia Intense (00007022)</t>
        </is>
      </c>
      <c r="D907" s="1" t="n">
        <v>3616305275776</v>
      </c>
      <c r="E907" t="inlineStr">
        <is>
          <t>GUCCI FLG EDPI PRFM 10ML INTEN P/SPRY IV</t>
        </is>
      </c>
      <c r="F907" t="inlineStr">
        <is>
          <t>P_US_ALL_OTHERS</t>
        </is>
      </c>
      <c r="G907" t="inlineStr">
        <is>
          <t>Month-2026.M09.W38</t>
        </is>
      </c>
      <c r="H907" t="inlineStr">
        <is>
          <t>EPOS</t>
        </is>
      </c>
      <c r="I907" t="n">
        <v>1798</v>
      </c>
    </row>
    <row r="908">
      <c r="A908" t="inlineStr">
        <is>
          <t>Gucci</t>
        </is>
      </c>
      <c r="B908" t="inlineStr">
        <is>
          <t>Gucci Flora (01228)</t>
        </is>
      </c>
      <c r="C908" t="inlineStr">
        <is>
          <t>Gucci Flora Gorgeous Gardenia Intense (00007022)</t>
        </is>
      </c>
      <c r="D908" s="1" t="n">
        <v>3616305275776</v>
      </c>
      <c r="E908" t="inlineStr">
        <is>
          <t>GUCCI FLG EDPI PRFM 10ML INTEN P/SPRY IV</t>
        </is>
      </c>
      <c r="F908" t="inlineStr">
        <is>
          <t>P_US_ALL_OTHERS</t>
        </is>
      </c>
      <c r="G908" t="inlineStr">
        <is>
          <t>Month-2026.M09.W38</t>
        </is>
      </c>
      <c r="H908" t="inlineStr">
        <is>
          <t>Reasonability Adjustment</t>
        </is>
      </c>
      <c r="N908" t="n">
        <v>1535</v>
      </c>
    </row>
    <row r="909">
      <c r="A909" t="inlineStr">
        <is>
          <t>Gucci</t>
        </is>
      </c>
      <c r="B909" t="inlineStr">
        <is>
          <t>Gucci Flora (01228)</t>
        </is>
      </c>
      <c r="C909" t="inlineStr">
        <is>
          <t>Gucci Flora Gorgeous Gardenia Intense (00007022)</t>
        </is>
      </c>
      <c r="D909" s="1" t="n">
        <v>3616305275776</v>
      </c>
      <c r="E909" t="inlineStr">
        <is>
          <t>GUCCI FLG EDPI PRFM 10ML INTEN P/SPRY IV</t>
        </is>
      </c>
      <c r="F909" t="inlineStr">
        <is>
          <t>P_US_ALL_OTHERS</t>
        </is>
      </c>
      <c r="G909" t="inlineStr">
        <is>
          <t>Month-2026.M09.W38</t>
        </is>
      </c>
      <c r="H909" t="inlineStr">
        <is>
          <t>Total Demand Assumption</t>
        </is>
      </c>
    </row>
    <row r="910">
      <c r="A910" t="inlineStr">
        <is>
          <t>Gucci</t>
        </is>
      </c>
      <c r="B910" t="inlineStr">
        <is>
          <t>Gucci Flora (01228)</t>
        </is>
      </c>
      <c r="C910" t="inlineStr">
        <is>
          <t>Gucci Flora Gorgeous Gardenia Intense (00007022)</t>
        </is>
      </c>
      <c r="D910" s="1" t="n">
        <v>3616305275776</v>
      </c>
      <c r="E910" t="inlineStr">
        <is>
          <t>GUCCI FLG EDPI PRFM 10ML INTEN P/SPRY IV</t>
        </is>
      </c>
      <c r="F910" t="inlineStr">
        <is>
          <t>P_US_ALL_OTHERS</t>
        </is>
      </c>
      <c r="G910" t="inlineStr">
        <is>
          <t>Month-2026.M09.W38</t>
        </is>
      </c>
      <c r="H910" t="inlineStr">
        <is>
          <t>Consensus - Final</t>
        </is>
      </c>
      <c r="I910" t="n">
        <v>1690</v>
      </c>
      <c r="J910" t="n">
        <v>1734</v>
      </c>
      <c r="K910" t="n">
        <v>2447.22981366459</v>
      </c>
      <c r="L910" t="n">
        <v>1851</v>
      </c>
      <c r="M910" t="n">
        <v>1902</v>
      </c>
      <c r="N910" t="n">
        <v>3395</v>
      </c>
      <c r="O910" t="n">
        <v>1869</v>
      </c>
      <c r="P910" t="n">
        <v>1876</v>
      </c>
      <c r="Q910" t="n">
        <v>1869</v>
      </c>
      <c r="R910" t="n">
        <v>1873</v>
      </c>
      <c r="S910" t="n">
        <v>1873</v>
      </c>
      <c r="T910" t="n">
        <v>1929</v>
      </c>
    </row>
    <row r="911">
      <c r="A911" t="inlineStr">
        <is>
          <t>Gucci</t>
        </is>
      </c>
      <c r="B911" t="inlineStr">
        <is>
          <t>Gucci Flora (01228)</t>
        </is>
      </c>
      <c r="C911" t="inlineStr">
        <is>
          <t>Gucci Flora Gorgeous Gardenia Intense (00007022)</t>
        </is>
      </c>
      <c r="D911" s="1" t="n">
        <v>3616305275776</v>
      </c>
      <c r="E911" t="inlineStr">
        <is>
          <t>GUCCI FLG EDPI PRFM 10ML INTEN P/SPRY IV</t>
        </is>
      </c>
      <c r="F911" t="inlineStr">
        <is>
          <t>P_US_ALL_OTHERS</t>
        </is>
      </c>
      <c r="G911" t="inlineStr">
        <is>
          <t>Month-2026.M09.W38</t>
        </is>
      </c>
      <c r="H911" t="inlineStr">
        <is>
          <t>Supply Cuts</t>
        </is>
      </c>
    </row>
    <row r="912">
      <c r="A912" t="inlineStr">
        <is>
          <t>Gucci</t>
        </is>
      </c>
      <c r="B912" t="inlineStr">
        <is>
          <t>Gucci Flora (01228)</t>
        </is>
      </c>
      <c r="C912" t="inlineStr">
        <is>
          <t>Gucci Flora Gorgeous Gardenia Intense (00007022)</t>
        </is>
      </c>
      <c r="D912" s="1" t="n">
        <v>3616305275776</v>
      </c>
      <c r="E912" t="inlineStr">
        <is>
          <t>GUCCI FLG EDPI PRFM 10ML INTEN P/SPRY IV</t>
        </is>
      </c>
      <c r="F912" t="inlineStr">
        <is>
          <t>P_US_FG</t>
        </is>
      </c>
      <c r="G912" t="inlineStr">
        <is>
          <t>CurrentWorkingView</t>
        </is>
      </c>
      <c r="H912" t="inlineStr">
        <is>
          <t>Consensus - Final LY M</t>
        </is>
      </c>
      <c r="P912" t="n">
        <v>10</v>
      </c>
      <c r="R912" t="n">
        <v>1</v>
      </c>
      <c r="T912" t="n">
        <v>5</v>
      </c>
    </row>
    <row r="913">
      <c r="A913" t="inlineStr">
        <is>
          <t>Gucci</t>
        </is>
      </c>
      <c r="B913" t="inlineStr">
        <is>
          <t>Gucci Flora (01228)</t>
        </is>
      </c>
      <c r="C913" t="inlineStr">
        <is>
          <t>Gucci Flora Gorgeous Gardenia Intense (00007022)</t>
        </is>
      </c>
      <c r="D913" s="1" t="n">
        <v>3616305275776</v>
      </c>
      <c r="E913" t="inlineStr">
        <is>
          <t>GUCCI FLG EDPI PRFM 10ML INTEN P/SPRY IV</t>
        </is>
      </c>
      <c r="F913" t="inlineStr">
        <is>
          <t>P_US_FG</t>
        </is>
      </c>
      <c r="G913" t="inlineStr">
        <is>
          <t>CurrentWorkingView</t>
        </is>
      </c>
      <c r="H913" t="inlineStr">
        <is>
          <t>System FC - Final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Gucci</t>
        </is>
      </c>
      <c r="B914" t="inlineStr">
        <is>
          <t>Gucci Flora (01228)</t>
        </is>
      </c>
      <c r="C914" t="inlineStr">
        <is>
          <t>Gucci Flora Gorgeous Gardenia Intense (00007022)</t>
        </is>
      </c>
      <c r="D914" s="1" t="n">
        <v>3616305275776</v>
      </c>
      <c r="E914" t="inlineStr">
        <is>
          <t>GUCCI FLG EDPI PRFM 10ML INTEN P/SPRY IV</t>
        </is>
      </c>
      <c r="F914" t="inlineStr">
        <is>
          <t>P_US_FG</t>
        </is>
      </c>
      <c r="G914" t="inlineStr">
        <is>
          <t>CurrentWorkingView</t>
        </is>
      </c>
      <c r="H914" t="inlineStr">
        <is>
          <t>EPOS</t>
        </is>
      </c>
    </row>
    <row r="915">
      <c r="A915" t="inlineStr">
        <is>
          <t>Gucci</t>
        </is>
      </c>
      <c r="B915" t="inlineStr">
        <is>
          <t>Gucci Flora (01228)</t>
        </is>
      </c>
      <c r="C915" t="inlineStr">
        <is>
          <t>Gucci Flora Gorgeous Gardenia Intense (00007022)</t>
        </is>
      </c>
      <c r="D915" s="1" t="n">
        <v>3616305275776</v>
      </c>
      <c r="E915" t="inlineStr">
        <is>
          <t>GUCCI FLG EDPI PRFM 10ML INTEN P/SPRY IV</t>
        </is>
      </c>
      <c r="F915" t="inlineStr">
        <is>
          <t>P_US_FG</t>
        </is>
      </c>
      <c r="G915" t="inlineStr">
        <is>
          <t>CurrentWorkingView</t>
        </is>
      </c>
      <c r="H915" t="inlineStr">
        <is>
          <t>Reasonability Adjustment</t>
        </is>
      </c>
    </row>
    <row r="916">
      <c r="A916" t="inlineStr">
        <is>
          <t>Gucci</t>
        </is>
      </c>
      <c r="B916" t="inlineStr">
        <is>
          <t>Gucci Flora (01228)</t>
        </is>
      </c>
      <c r="C916" t="inlineStr">
        <is>
          <t>Gucci Flora Gorgeous Gardenia Intense (00007022)</t>
        </is>
      </c>
      <c r="D916" s="1" t="n">
        <v>3616305275776</v>
      </c>
      <c r="E916" t="inlineStr">
        <is>
          <t>GUCCI FLG EDPI PRFM 10ML INTEN P/SPRY IV</t>
        </is>
      </c>
      <c r="F916" t="inlineStr">
        <is>
          <t>P_US_FG</t>
        </is>
      </c>
      <c r="G916" t="inlineStr">
        <is>
          <t>CurrentWorkingView</t>
        </is>
      </c>
      <c r="H916" t="inlineStr">
        <is>
          <t>Total Demand Assumption</t>
        </is>
      </c>
    </row>
    <row r="917">
      <c r="A917" t="inlineStr">
        <is>
          <t>Gucci</t>
        </is>
      </c>
      <c r="B917" t="inlineStr">
        <is>
          <t>Gucci Flora (01228)</t>
        </is>
      </c>
      <c r="C917" t="inlineStr">
        <is>
          <t>Gucci Flora Gorgeous Gardenia Intense (00007022)</t>
        </is>
      </c>
      <c r="D917" s="1" t="n">
        <v>3616305275776</v>
      </c>
      <c r="E917" t="inlineStr">
        <is>
          <t>GUCCI FLG EDPI PRFM 10ML INTEN P/SPRY IV</t>
        </is>
      </c>
      <c r="F917" t="inlineStr">
        <is>
          <t>P_US_FG</t>
        </is>
      </c>
      <c r="G917" t="inlineStr">
        <is>
          <t>CurrentWorkingView</t>
        </is>
      </c>
      <c r="H917" t="inlineStr">
        <is>
          <t>Consensus - Final</t>
        </is>
      </c>
      <c r="K917" t="n">
        <v>0</v>
      </c>
    </row>
    <row r="918">
      <c r="A918" t="inlineStr">
        <is>
          <t>Gucci</t>
        </is>
      </c>
      <c r="B918" t="inlineStr">
        <is>
          <t>Gucci Flora (01228)</t>
        </is>
      </c>
      <c r="C918" t="inlineStr">
        <is>
          <t>Gucci Flora Gorgeous Gardenia Intense (00007022)</t>
        </is>
      </c>
      <c r="D918" s="1" t="n">
        <v>3616305275776</v>
      </c>
      <c r="E918" t="inlineStr">
        <is>
          <t>GUCCI FLG EDPI PRFM 10ML INTEN P/SPRY IV</t>
        </is>
      </c>
      <c r="F918" t="inlineStr">
        <is>
          <t>P_US_FG</t>
        </is>
      </c>
      <c r="G918" t="inlineStr">
        <is>
          <t>CurrentWorkingView</t>
        </is>
      </c>
      <c r="H918" t="inlineStr">
        <is>
          <t>Supply Cuts</t>
        </is>
      </c>
    </row>
    <row r="919">
      <c r="A919" t="inlineStr">
        <is>
          <t>Gucci</t>
        </is>
      </c>
      <c r="B919" t="inlineStr">
        <is>
          <t>Gucci Flora (01228)</t>
        </is>
      </c>
      <c r="C919" t="inlineStr">
        <is>
          <t>Gucci Flora Gorgeous Gardenia Intense (00007022)</t>
        </is>
      </c>
      <c r="D919" s="1" t="n">
        <v>3616305275776</v>
      </c>
      <c r="E919" t="inlineStr">
        <is>
          <t>GUCCI FLG EDPI PRFM 10ML INTEN P/SPRY IV</t>
        </is>
      </c>
      <c r="F919" t="inlineStr">
        <is>
          <t>P_US_FG</t>
        </is>
      </c>
      <c r="G919" t="inlineStr">
        <is>
          <t>Month-2026.M09.W38</t>
        </is>
      </c>
      <c r="H919" t="inlineStr">
        <is>
          <t>Consensus - Final LY M</t>
        </is>
      </c>
      <c r="P919" t="n">
        <v>10</v>
      </c>
      <c r="R919" t="n">
        <v>1</v>
      </c>
      <c r="T919" t="n">
        <v>5</v>
      </c>
    </row>
    <row r="920">
      <c r="A920" t="inlineStr">
        <is>
          <t>Gucci</t>
        </is>
      </c>
      <c r="B920" t="inlineStr">
        <is>
          <t>Gucci Flora (01228)</t>
        </is>
      </c>
      <c r="C920" t="inlineStr">
        <is>
          <t>Gucci Flora Gorgeous Gardenia Intense (00007022)</t>
        </is>
      </c>
      <c r="D920" s="1" t="n">
        <v>3616305275776</v>
      </c>
      <c r="E920" t="inlineStr">
        <is>
          <t>GUCCI FLG EDPI PRFM 10ML INTEN P/SPRY IV</t>
        </is>
      </c>
      <c r="F920" t="inlineStr">
        <is>
          <t>P_US_FG</t>
        </is>
      </c>
      <c r="G920" t="inlineStr">
        <is>
          <t>Month-2026.M09.W38</t>
        </is>
      </c>
      <c r="H920" t="inlineStr">
        <is>
          <t>System FC - Final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Gucci</t>
        </is>
      </c>
      <c r="B921" t="inlineStr">
        <is>
          <t>Gucci Flora (01228)</t>
        </is>
      </c>
      <c r="C921" t="inlineStr">
        <is>
          <t>Gucci Flora Gorgeous Gardenia Intense (00007022)</t>
        </is>
      </c>
      <c r="D921" s="1" t="n">
        <v>3616305275776</v>
      </c>
      <c r="E921" t="inlineStr">
        <is>
          <t>GUCCI FLG EDPI PRFM 10ML INTEN P/SPRY IV</t>
        </is>
      </c>
      <c r="F921" t="inlineStr">
        <is>
          <t>P_US_FG</t>
        </is>
      </c>
      <c r="G921" t="inlineStr">
        <is>
          <t>Month-2026.M09.W38</t>
        </is>
      </c>
      <c r="H921" t="inlineStr">
        <is>
          <t>EPOS</t>
        </is>
      </c>
    </row>
    <row r="922">
      <c r="A922" t="inlineStr">
        <is>
          <t>Gucci</t>
        </is>
      </c>
      <c r="B922" t="inlineStr">
        <is>
          <t>Gucci Flora (01228)</t>
        </is>
      </c>
      <c r="C922" t="inlineStr">
        <is>
          <t>Gucci Flora Gorgeous Gardenia Intense (00007022)</t>
        </is>
      </c>
      <c r="D922" s="1" t="n">
        <v>3616305275776</v>
      </c>
      <c r="E922" t="inlineStr">
        <is>
          <t>GUCCI FLG EDPI PRFM 10ML INTEN P/SPRY IV</t>
        </is>
      </c>
      <c r="F922" t="inlineStr">
        <is>
          <t>P_US_FG</t>
        </is>
      </c>
      <c r="G922" t="inlineStr">
        <is>
          <t>Month-2026.M09.W38</t>
        </is>
      </c>
      <c r="H922" t="inlineStr">
        <is>
          <t>Reasonability Adjustment</t>
        </is>
      </c>
    </row>
    <row r="923">
      <c r="A923" t="inlineStr">
        <is>
          <t>Gucci</t>
        </is>
      </c>
      <c r="B923" t="inlineStr">
        <is>
          <t>Gucci Flora (01228)</t>
        </is>
      </c>
      <c r="C923" t="inlineStr">
        <is>
          <t>Gucci Flora Gorgeous Gardenia Intense (00007022)</t>
        </is>
      </c>
      <c r="D923" s="1" t="n">
        <v>3616305275776</v>
      </c>
      <c r="E923" t="inlineStr">
        <is>
          <t>GUCCI FLG EDPI PRFM 10ML INTEN P/SPRY IV</t>
        </is>
      </c>
      <c r="F923" t="inlineStr">
        <is>
          <t>P_US_FG</t>
        </is>
      </c>
      <c r="G923" t="inlineStr">
        <is>
          <t>Month-2026.M09.W38</t>
        </is>
      </c>
      <c r="H923" t="inlineStr">
        <is>
          <t>Total Demand Assumption</t>
        </is>
      </c>
    </row>
    <row r="924">
      <c r="A924" t="inlineStr">
        <is>
          <t>Gucci</t>
        </is>
      </c>
      <c r="B924" t="inlineStr">
        <is>
          <t>Gucci Flora (01228)</t>
        </is>
      </c>
      <c r="C924" t="inlineStr">
        <is>
          <t>Gucci Flora Gorgeous Gardenia Intense (00007022)</t>
        </is>
      </c>
      <c r="D924" s="1" t="n">
        <v>3616305275776</v>
      </c>
      <c r="E924" t="inlineStr">
        <is>
          <t>GUCCI FLG EDPI PRFM 10ML INTEN P/SPRY IV</t>
        </is>
      </c>
      <c r="F924" t="inlineStr">
        <is>
          <t>P_US_FG</t>
        </is>
      </c>
      <c r="G924" t="inlineStr">
        <is>
          <t>Month-2026.M09.W38</t>
        </is>
      </c>
      <c r="H924" t="inlineStr">
        <is>
          <t>Consensus - Final</t>
        </is>
      </c>
      <c r="K924" t="n">
        <v>0</v>
      </c>
    </row>
    <row r="925">
      <c r="A925" t="inlineStr">
        <is>
          <t>Gucci</t>
        </is>
      </c>
      <c r="B925" t="inlineStr">
        <is>
          <t>Gucci Flora (01228)</t>
        </is>
      </c>
      <c r="C925" t="inlineStr">
        <is>
          <t>Gucci Flora Gorgeous Gardenia Intense (00007022)</t>
        </is>
      </c>
      <c r="D925" s="1" t="n">
        <v>3616305275776</v>
      </c>
      <c r="E925" t="inlineStr">
        <is>
          <t>GUCCI FLG EDPI PRFM 10ML INTEN P/SPRY IV</t>
        </is>
      </c>
      <c r="F925" t="inlineStr">
        <is>
          <t>P_US_FG</t>
        </is>
      </c>
      <c r="G925" t="inlineStr">
        <is>
          <t>Month-2026.M09.W38</t>
        </is>
      </c>
      <c r="H925" t="inlineStr">
        <is>
          <t>Supply Cuts</t>
        </is>
      </c>
    </row>
    <row r="926">
      <c r="A926" t="inlineStr">
        <is>
          <t>Gucci</t>
        </is>
      </c>
      <c r="B926" t="inlineStr">
        <is>
          <t>Gucci Flora (01228)</t>
        </is>
      </c>
      <c r="C926" t="inlineStr">
        <is>
          <t>Gucci Flora Gorgeous Gardenia Intense (00007022)</t>
        </is>
      </c>
      <c r="D926" s="1" t="n">
        <v>3616305275776</v>
      </c>
      <c r="E926" t="inlineStr">
        <is>
          <t>GUCCI FLG EDPI PRFM 10ML INTEN P/SPRY IV</t>
        </is>
      </c>
      <c r="F926" t="inlineStr">
        <is>
          <t>P_US_ULTA</t>
        </is>
      </c>
      <c r="G926" t="inlineStr">
        <is>
          <t>CurrentWorkingView</t>
        </is>
      </c>
      <c r="H926" t="inlineStr">
        <is>
          <t>Consensus - Final LY M</t>
        </is>
      </c>
      <c r="K926" t="n">
        <v>10004</v>
      </c>
      <c r="N926" t="n">
        <v>501</v>
      </c>
      <c r="S926" t="n">
        <v>510</v>
      </c>
      <c r="T926" t="n">
        <v>672</v>
      </c>
    </row>
    <row r="927">
      <c r="A927" t="inlineStr">
        <is>
          <t>Gucci</t>
        </is>
      </c>
      <c r="B927" t="inlineStr">
        <is>
          <t>Gucci Flora (01228)</t>
        </is>
      </c>
      <c r="C927" t="inlineStr">
        <is>
          <t>Gucci Flora Gorgeous Gardenia Intense (00007022)</t>
        </is>
      </c>
      <c r="D927" s="1" t="n">
        <v>3616305275776</v>
      </c>
      <c r="E927" t="inlineStr">
        <is>
          <t>GUCCI FLG EDPI PRFM 10ML INTEN P/SPRY IV</t>
        </is>
      </c>
      <c r="F927" t="inlineStr">
        <is>
          <t>P_US_ULTA</t>
        </is>
      </c>
      <c r="G927" t="inlineStr">
        <is>
          <t>CurrentWorkingView</t>
        </is>
      </c>
      <c r="H927" t="inlineStr">
        <is>
          <t>System FC - Final</t>
        </is>
      </c>
      <c r="I927" t="n">
        <v>501</v>
      </c>
      <c r="J927" t="n">
        <v>1320</v>
      </c>
      <c r="K927" t="n">
        <v>1932</v>
      </c>
      <c r="L927" t="n">
        <v>885</v>
      </c>
      <c r="M927" t="n">
        <v>1012</v>
      </c>
      <c r="N927" t="n">
        <v>908</v>
      </c>
      <c r="O927" t="n">
        <v>934</v>
      </c>
      <c r="P927" t="n">
        <v>952</v>
      </c>
      <c r="Q927" t="n">
        <v>930</v>
      </c>
      <c r="R927" t="n">
        <v>939</v>
      </c>
      <c r="S927" t="n">
        <v>939</v>
      </c>
      <c r="T927" t="n">
        <v>938</v>
      </c>
    </row>
    <row r="928">
      <c r="A928" t="inlineStr">
        <is>
          <t>Gucci</t>
        </is>
      </c>
      <c r="B928" t="inlineStr">
        <is>
          <t>Gucci Flora (01228)</t>
        </is>
      </c>
      <c r="C928" t="inlineStr">
        <is>
          <t>Gucci Flora Gorgeous Gardenia Intense (00007022)</t>
        </is>
      </c>
      <c r="D928" s="1" t="n">
        <v>3616305275776</v>
      </c>
      <c r="E928" t="inlineStr">
        <is>
          <t>GUCCI FLG EDPI PRFM 10ML INTEN P/SPRY IV</t>
        </is>
      </c>
      <c r="F928" t="inlineStr">
        <is>
          <t>P_US_ULTA</t>
        </is>
      </c>
      <c r="G928" t="inlineStr">
        <is>
          <t>CurrentWorkingView</t>
        </is>
      </c>
      <c r="H928" t="inlineStr">
        <is>
          <t>EPOS</t>
        </is>
      </c>
      <c r="I928" t="n">
        <v>1537</v>
      </c>
    </row>
    <row r="929">
      <c r="A929" t="inlineStr">
        <is>
          <t>Gucci</t>
        </is>
      </c>
      <c r="B929" t="inlineStr">
        <is>
          <t>Gucci Flora (01228)</t>
        </is>
      </c>
      <c r="C929" t="inlineStr">
        <is>
          <t>Gucci Flora Gorgeous Gardenia Intense (00007022)</t>
        </is>
      </c>
      <c r="D929" s="1" t="n">
        <v>3616305275776</v>
      </c>
      <c r="E929" t="inlineStr">
        <is>
          <t>GUCCI FLG EDPI PRFM 10ML INTEN P/SPRY IV</t>
        </is>
      </c>
      <c r="F929" t="inlineStr">
        <is>
          <t>P_US_ULTA</t>
        </is>
      </c>
      <c r="G929" t="inlineStr">
        <is>
          <t>CurrentWorkingView</t>
        </is>
      </c>
      <c r="H929" t="inlineStr">
        <is>
          <t>Reasonability Adjustment</t>
        </is>
      </c>
      <c r="N929" t="n">
        <v>465</v>
      </c>
    </row>
    <row r="930">
      <c r="A930" t="inlineStr">
        <is>
          <t>Gucci</t>
        </is>
      </c>
      <c r="B930" t="inlineStr">
        <is>
          <t>Gucci Flora (01228)</t>
        </is>
      </c>
      <c r="C930" t="inlineStr">
        <is>
          <t>Gucci Flora Gorgeous Gardenia Intense (00007022)</t>
        </is>
      </c>
      <c r="D930" s="1" t="n">
        <v>3616305275776</v>
      </c>
      <c r="E930" t="inlineStr">
        <is>
          <t>GUCCI FLG EDPI PRFM 10ML INTEN P/SPRY IV</t>
        </is>
      </c>
      <c r="F930" t="inlineStr">
        <is>
          <t>P_US_ULTA</t>
        </is>
      </c>
      <c r="G930" t="inlineStr">
        <is>
          <t>CurrentWorkingView</t>
        </is>
      </c>
      <c r="H930" t="inlineStr">
        <is>
          <t>Total Demand Assumption</t>
        </is>
      </c>
    </row>
    <row r="931">
      <c r="A931" t="inlineStr">
        <is>
          <t>Gucci</t>
        </is>
      </c>
      <c r="B931" t="inlineStr">
        <is>
          <t>Gucci Flora (01228)</t>
        </is>
      </c>
      <c r="C931" t="inlineStr">
        <is>
          <t>Gucci Flora Gorgeous Gardenia Intense (00007022)</t>
        </is>
      </c>
      <c r="D931" s="1" t="n">
        <v>3616305275776</v>
      </c>
      <c r="E931" t="inlineStr">
        <is>
          <t>GUCCI FLG EDPI PRFM 10ML INTEN P/SPRY IV</t>
        </is>
      </c>
      <c r="F931" t="inlineStr">
        <is>
          <t>P_US_ULTA</t>
        </is>
      </c>
      <c r="G931" t="inlineStr">
        <is>
          <t>CurrentWorkingView</t>
        </is>
      </c>
      <c r="H931" t="inlineStr">
        <is>
          <t>Consensus - Final</t>
        </is>
      </c>
      <c r="I931" t="n">
        <v>501</v>
      </c>
      <c r="J931" t="n">
        <v>1320</v>
      </c>
      <c r="K931" t="n">
        <v>2284.7701863354</v>
      </c>
      <c r="L931" t="n">
        <v>885</v>
      </c>
      <c r="M931" t="n">
        <v>1012</v>
      </c>
      <c r="N931" t="n">
        <v>1373</v>
      </c>
      <c r="O931" t="n">
        <v>934</v>
      </c>
      <c r="P931" t="n">
        <v>952</v>
      </c>
      <c r="Q931" t="n">
        <v>930</v>
      </c>
      <c r="R931" t="n">
        <v>939</v>
      </c>
      <c r="S931" t="n">
        <v>939</v>
      </c>
      <c r="T931" t="n">
        <v>938</v>
      </c>
    </row>
    <row r="932">
      <c r="A932" t="inlineStr">
        <is>
          <t>Gucci</t>
        </is>
      </c>
      <c r="B932" t="inlineStr">
        <is>
          <t>Gucci Flora (01228)</t>
        </is>
      </c>
      <c r="C932" t="inlineStr">
        <is>
          <t>Gucci Flora Gorgeous Gardenia Intense (00007022)</t>
        </is>
      </c>
      <c r="D932" s="1" t="n">
        <v>3616305275776</v>
      </c>
      <c r="E932" t="inlineStr">
        <is>
          <t>GUCCI FLG EDPI PRFM 10ML INTEN P/SPRY IV</t>
        </is>
      </c>
      <c r="F932" t="inlineStr">
        <is>
          <t>P_US_ULTA</t>
        </is>
      </c>
      <c r="G932" t="inlineStr">
        <is>
          <t>CurrentWorkingView</t>
        </is>
      </c>
      <c r="H932" t="inlineStr">
        <is>
          <t>Supply Cuts</t>
        </is>
      </c>
    </row>
    <row r="933">
      <c r="A933" t="inlineStr">
        <is>
          <t>Gucci</t>
        </is>
      </c>
      <c r="B933" t="inlineStr">
        <is>
          <t>Gucci Flora (01228)</t>
        </is>
      </c>
      <c r="C933" t="inlineStr">
        <is>
          <t>Gucci Flora Gorgeous Gardenia Intense (00007022)</t>
        </is>
      </c>
      <c r="D933" s="1" t="n">
        <v>3616305275776</v>
      </c>
      <c r="E933" t="inlineStr">
        <is>
          <t>GUCCI FLG EDPI PRFM 10ML INTEN P/SPRY IV</t>
        </is>
      </c>
      <c r="F933" t="inlineStr">
        <is>
          <t>P_US_ULTA</t>
        </is>
      </c>
      <c r="G933" t="inlineStr">
        <is>
          <t>Month-2026.M09.W38</t>
        </is>
      </c>
      <c r="H933" t="inlineStr">
        <is>
          <t>Consensus - Final LY M</t>
        </is>
      </c>
      <c r="K933" t="n">
        <v>10004</v>
      </c>
      <c r="N933" t="n">
        <v>501</v>
      </c>
      <c r="S933" t="n">
        <v>510</v>
      </c>
      <c r="T933" t="n">
        <v>672</v>
      </c>
    </row>
    <row r="934">
      <c r="A934" t="inlineStr">
        <is>
          <t>Gucci</t>
        </is>
      </c>
      <c r="B934" t="inlineStr">
        <is>
          <t>Gucci Flora (01228)</t>
        </is>
      </c>
      <c r="C934" t="inlineStr">
        <is>
          <t>Gucci Flora Gorgeous Gardenia Intense (00007022)</t>
        </is>
      </c>
      <c r="D934" s="1" t="n">
        <v>3616305275776</v>
      </c>
      <c r="E934" t="inlineStr">
        <is>
          <t>GUCCI FLG EDPI PRFM 10ML INTEN P/SPRY IV</t>
        </is>
      </c>
      <c r="F934" t="inlineStr">
        <is>
          <t>P_US_ULTA</t>
        </is>
      </c>
      <c r="G934" t="inlineStr">
        <is>
          <t>Month-2026.M09.W38</t>
        </is>
      </c>
      <c r="H934" t="inlineStr">
        <is>
          <t>System FC - Final</t>
        </is>
      </c>
      <c r="I934" t="n">
        <v>501</v>
      </c>
      <c r="J934" t="n">
        <v>1320</v>
      </c>
      <c r="K934" t="n">
        <v>598</v>
      </c>
      <c r="L934" t="n">
        <v>547</v>
      </c>
      <c r="M934" t="n">
        <v>562</v>
      </c>
      <c r="N934" t="n">
        <v>563</v>
      </c>
      <c r="O934" t="n">
        <v>558</v>
      </c>
      <c r="P934" t="n">
        <v>560</v>
      </c>
      <c r="Q934" t="n">
        <v>558</v>
      </c>
      <c r="R934" t="n">
        <v>558</v>
      </c>
      <c r="S934" t="n">
        <v>558</v>
      </c>
      <c r="T934" t="n">
        <v>359</v>
      </c>
    </row>
    <row r="935">
      <c r="A935" t="inlineStr">
        <is>
          <t>Gucci</t>
        </is>
      </c>
      <c r="B935" t="inlineStr">
        <is>
          <t>Gucci Flora (01228)</t>
        </is>
      </c>
      <c r="C935" t="inlineStr">
        <is>
          <t>Gucci Flora Gorgeous Gardenia Intense (00007022)</t>
        </is>
      </c>
      <c r="D935" s="1" t="n">
        <v>3616305275776</v>
      </c>
      <c r="E935" t="inlineStr">
        <is>
          <t>GUCCI FLG EDPI PRFM 10ML INTEN P/SPRY IV</t>
        </is>
      </c>
      <c r="F935" t="inlineStr">
        <is>
          <t>P_US_ULTA</t>
        </is>
      </c>
      <c r="G935" t="inlineStr">
        <is>
          <t>Month-2026.M09.W38</t>
        </is>
      </c>
      <c r="H935" t="inlineStr">
        <is>
          <t>EPOS</t>
        </is>
      </c>
      <c r="I935" t="n">
        <v>1537</v>
      </c>
    </row>
    <row r="936">
      <c r="A936" t="inlineStr">
        <is>
          <t>Gucci</t>
        </is>
      </c>
      <c r="B936" t="inlineStr">
        <is>
          <t>Gucci Flora (01228)</t>
        </is>
      </c>
      <c r="C936" t="inlineStr">
        <is>
          <t>Gucci Flora Gorgeous Gardenia Intense (00007022)</t>
        </is>
      </c>
      <c r="D936" s="1" t="n">
        <v>3616305275776</v>
      </c>
      <c r="E936" t="inlineStr">
        <is>
          <t>GUCCI FLG EDPI PRFM 10ML INTEN P/SPRY IV</t>
        </is>
      </c>
      <c r="F936" t="inlineStr">
        <is>
          <t>P_US_ULTA</t>
        </is>
      </c>
      <c r="G936" t="inlineStr">
        <is>
          <t>Month-2026.M09.W38</t>
        </is>
      </c>
      <c r="H936" t="inlineStr">
        <is>
          <t>Reasonability Adjustment</t>
        </is>
      </c>
      <c r="N936" t="n">
        <v>465</v>
      </c>
    </row>
    <row r="937">
      <c r="A937" t="inlineStr">
        <is>
          <t>Gucci</t>
        </is>
      </c>
      <c r="B937" t="inlineStr">
        <is>
          <t>Gucci Flora (01228)</t>
        </is>
      </c>
      <c r="C937" t="inlineStr">
        <is>
          <t>Gucci Flora Gorgeous Gardenia Intense (00007022)</t>
        </is>
      </c>
      <c r="D937" s="1" t="n">
        <v>3616305275776</v>
      </c>
      <c r="E937" t="inlineStr">
        <is>
          <t>GUCCI FLG EDPI PRFM 10ML INTEN P/SPRY IV</t>
        </is>
      </c>
      <c r="F937" t="inlineStr">
        <is>
          <t>P_US_ULTA</t>
        </is>
      </c>
      <c r="G937" t="inlineStr">
        <is>
          <t>Month-2026.M09.W38</t>
        </is>
      </c>
      <c r="H937" t="inlineStr">
        <is>
          <t>Total Demand Assumption</t>
        </is>
      </c>
    </row>
    <row r="938">
      <c r="A938" t="inlineStr">
        <is>
          <t>Gucci</t>
        </is>
      </c>
      <c r="B938" t="inlineStr">
        <is>
          <t>Gucci Flora (01228)</t>
        </is>
      </c>
      <c r="C938" t="inlineStr">
        <is>
          <t>Gucci Flora Gorgeous Gardenia Intense (00007022)</t>
        </is>
      </c>
      <c r="D938" s="1" t="n">
        <v>3616305275776</v>
      </c>
      <c r="E938" t="inlineStr">
        <is>
          <t>GUCCI FLG EDPI PRFM 10ML INTEN P/SPRY IV</t>
        </is>
      </c>
      <c r="F938" t="inlineStr">
        <is>
          <t>P_US_ULTA</t>
        </is>
      </c>
      <c r="G938" t="inlineStr">
        <is>
          <t>Month-2026.M09.W38</t>
        </is>
      </c>
      <c r="H938" t="inlineStr">
        <is>
          <t>Consensus - Final</t>
        </is>
      </c>
      <c r="I938" t="n">
        <v>501</v>
      </c>
      <c r="J938" t="n">
        <v>1320</v>
      </c>
      <c r="K938" t="n">
        <v>2284.7701863354</v>
      </c>
      <c r="L938" t="n">
        <v>547</v>
      </c>
      <c r="M938" t="n">
        <v>562</v>
      </c>
      <c r="N938" t="n">
        <v>1028</v>
      </c>
      <c r="O938" t="n">
        <v>558</v>
      </c>
      <c r="P938" t="n">
        <v>560</v>
      </c>
      <c r="Q938" t="n">
        <v>558</v>
      </c>
      <c r="R938" t="n">
        <v>558</v>
      </c>
      <c r="S938" t="n">
        <v>558</v>
      </c>
      <c r="T938" t="n">
        <v>359</v>
      </c>
    </row>
    <row r="939">
      <c r="A939" t="inlineStr">
        <is>
          <t>Gucci</t>
        </is>
      </c>
      <c r="B939" t="inlineStr">
        <is>
          <t>Gucci Flora (01228)</t>
        </is>
      </c>
      <c r="C939" t="inlineStr">
        <is>
          <t>Gucci Flora Gorgeous Gardenia Intense (00007022)</t>
        </is>
      </c>
      <c r="D939" s="1" t="n">
        <v>3616305275776</v>
      </c>
      <c r="E939" t="inlineStr">
        <is>
          <t>GUCCI FLG EDPI PRFM 10ML INTEN P/SPRY IV</t>
        </is>
      </c>
      <c r="F939" t="inlineStr">
        <is>
          <t>P_US_ULTA</t>
        </is>
      </c>
      <c r="G939" t="inlineStr">
        <is>
          <t>Month-2026.M09.W38</t>
        </is>
      </c>
      <c r="H939" t="inlineStr">
        <is>
          <t>Supply Cuts</t>
        </is>
      </c>
    </row>
    <row r="940">
      <c r="A940" t="inlineStr">
        <is>
          <t>Gucci</t>
        </is>
      </c>
      <c r="B940" t="inlineStr">
        <is>
          <t>Gucci Guilty (00840)</t>
        </is>
      </c>
      <c r="C940" t="inlineStr">
        <is>
          <t>Gucci Guilty Black Pour Homme (00003465)</t>
        </is>
      </c>
      <c r="D940" s="1" t="n">
        <v>3616305820846</v>
      </c>
      <c r="E940" t="inlineStr">
        <is>
          <t>GUCCI G BLK H RG EDT 90 ML ESSENCE IV</t>
        </is>
      </c>
      <c r="F940" t="inlineStr">
        <is>
          <t>P_US_ALL_OTHERS</t>
        </is>
      </c>
      <c r="G940" t="inlineStr">
        <is>
          <t>CurrentWorkingView</t>
        </is>
      </c>
      <c r="H940" t="inlineStr">
        <is>
          <t>Consensus - Final LY M</t>
        </is>
      </c>
      <c r="I940" t="n">
        <v>4808</v>
      </c>
      <c r="J940" t="n">
        <v>5417</v>
      </c>
      <c r="K940" t="n">
        <v>3131</v>
      </c>
      <c r="L940" t="n">
        <v>9115</v>
      </c>
      <c r="M940" t="n">
        <v>9623</v>
      </c>
      <c r="N940" t="n">
        <v>5493</v>
      </c>
      <c r="O940" t="n">
        <v>1709</v>
      </c>
      <c r="P940" t="n">
        <v>1972</v>
      </c>
      <c r="Q940" t="n">
        <v>3953</v>
      </c>
      <c r="R940" t="n">
        <v>2257</v>
      </c>
      <c r="S940" t="n">
        <v>2515</v>
      </c>
      <c r="T940" t="n">
        <v>3673</v>
      </c>
    </row>
    <row r="941">
      <c r="A941" t="inlineStr">
        <is>
          <t>Gucci</t>
        </is>
      </c>
      <c r="B941" t="inlineStr">
        <is>
          <t>Gucci Guilty (00840)</t>
        </is>
      </c>
      <c r="C941" t="inlineStr">
        <is>
          <t>Gucci Guilty Black Pour Homme (00003465)</t>
        </is>
      </c>
      <c r="D941" s="1" t="n">
        <v>3616305820846</v>
      </c>
      <c r="E941" t="inlineStr">
        <is>
          <t>GUCCI G BLK H RG EDT 90 ML ESSENCE IV</t>
        </is>
      </c>
      <c r="F941" t="inlineStr">
        <is>
          <t>P_US_ALL_OTHERS</t>
        </is>
      </c>
      <c r="G941" t="inlineStr">
        <is>
          <t>CurrentWorkingView</t>
        </is>
      </c>
      <c r="H941" t="inlineStr">
        <is>
          <t>System FC - Final</t>
        </is>
      </c>
      <c r="I941" t="n">
        <v>4757</v>
      </c>
      <c r="J941" t="n">
        <v>3001</v>
      </c>
      <c r="K941" t="n">
        <v>1728</v>
      </c>
      <c r="L941" t="n">
        <v>2170</v>
      </c>
      <c r="M941" t="n">
        <v>1856</v>
      </c>
      <c r="N941" t="n">
        <v>4225</v>
      </c>
      <c r="O941" t="n">
        <v>1085</v>
      </c>
      <c r="P941" t="n">
        <v>724</v>
      </c>
      <c r="Q941" t="n">
        <v>2905</v>
      </c>
      <c r="R941" t="n">
        <v>1375</v>
      </c>
      <c r="S941" t="n">
        <v>1776</v>
      </c>
      <c r="T941" t="n">
        <v>3549</v>
      </c>
    </row>
    <row r="942">
      <c r="A942" t="inlineStr">
        <is>
          <t>Gucci</t>
        </is>
      </c>
      <c r="B942" t="inlineStr">
        <is>
          <t>Gucci Guilty (00840)</t>
        </is>
      </c>
      <c r="C942" t="inlineStr">
        <is>
          <t>Gucci Guilty Black Pour Homme (00003465)</t>
        </is>
      </c>
      <c r="D942" s="1" t="n">
        <v>3616305820846</v>
      </c>
      <c r="E942" t="inlineStr">
        <is>
          <t>GUCCI G BLK H RG EDT 90 ML ESSENCE IV</t>
        </is>
      </c>
      <c r="F942" t="inlineStr">
        <is>
          <t>P_US_ALL_OTHERS</t>
        </is>
      </c>
      <c r="G942" t="inlineStr">
        <is>
          <t>CurrentWorkingView</t>
        </is>
      </c>
      <c r="H942" t="inlineStr">
        <is>
          <t>EPOS</t>
        </is>
      </c>
      <c r="I942" t="n">
        <v>2377</v>
      </c>
    </row>
    <row r="943">
      <c r="A943" t="inlineStr">
        <is>
          <t>Gucci</t>
        </is>
      </c>
      <c r="B943" t="inlineStr">
        <is>
          <t>Gucci Guilty (00840)</t>
        </is>
      </c>
      <c r="C943" t="inlineStr">
        <is>
          <t>Gucci Guilty Black Pour Homme (00003465)</t>
        </is>
      </c>
      <c r="D943" s="1" t="n">
        <v>3616305820846</v>
      </c>
      <c r="E943" t="inlineStr">
        <is>
          <t>GUCCI G BLK H RG EDT 90 ML ESSENCE IV</t>
        </is>
      </c>
      <c r="F943" t="inlineStr">
        <is>
          <t>P_US_ALL_OTHERS</t>
        </is>
      </c>
      <c r="G943" t="inlineStr">
        <is>
          <t>CurrentWorkingView</t>
        </is>
      </c>
      <c r="H943" t="inlineStr">
        <is>
          <t>Reasonability Adjustment</t>
        </is>
      </c>
      <c r="I943" t="n">
        <v>-2043</v>
      </c>
      <c r="K943" t="n">
        <v>-1067</v>
      </c>
      <c r="L943" t="n">
        <v>4411</v>
      </c>
      <c r="M943" t="n">
        <v>-2602</v>
      </c>
      <c r="Q943" t="n">
        <v>-1090</v>
      </c>
      <c r="T943" t="n">
        <v>-706</v>
      </c>
    </row>
    <row r="944">
      <c r="A944" t="inlineStr">
        <is>
          <t>Gucci</t>
        </is>
      </c>
      <c r="B944" t="inlineStr">
        <is>
          <t>Gucci Guilty (00840)</t>
        </is>
      </c>
      <c r="C944" t="inlineStr">
        <is>
          <t>Gucci Guilty Black Pour Homme (00003465)</t>
        </is>
      </c>
      <c r="D944" s="1" t="n">
        <v>3616305820846</v>
      </c>
      <c r="E944" t="inlineStr">
        <is>
          <t>GUCCI G BLK H RG EDT 90 ML ESSENCE IV</t>
        </is>
      </c>
      <c r="F944" t="inlineStr">
        <is>
          <t>P_US_ALL_OTHERS</t>
        </is>
      </c>
      <c r="G944" t="inlineStr">
        <is>
          <t>CurrentWorkingView</t>
        </is>
      </c>
      <c r="H944" t="inlineStr">
        <is>
          <t>Total Demand Assumption</t>
        </is>
      </c>
    </row>
    <row r="945">
      <c r="A945" t="inlineStr">
        <is>
          <t>Gucci</t>
        </is>
      </c>
      <c r="B945" t="inlineStr">
        <is>
          <t>Gucci Guilty (00840)</t>
        </is>
      </c>
      <c r="C945" t="inlineStr">
        <is>
          <t>Gucci Guilty Black Pour Homme (00003465)</t>
        </is>
      </c>
      <c r="D945" s="1" t="n">
        <v>3616305820846</v>
      </c>
      <c r="E945" t="inlineStr">
        <is>
          <t>GUCCI G BLK H RG EDT 90 ML ESSENCE IV</t>
        </is>
      </c>
      <c r="F945" t="inlineStr">
        <is>
          <t>P_US_ALL_OTHERS</t>
        </is>
      </c>
      <c r="G945" t="inlineStr">
        <is>
          <t>CurrentWorkingView</t>
        </is>
      </c>
      <c r="H945" t="inlineStr">
        <is>
          <t>Consensus - Final</t>
        </is>
      </c>
      <c r="I945" t="n">
        <v>4757</v>
      </c>
      <c r="J945" t="n">
        <v>3001</v>
      </c>
      <c r="K945" t="n">
        <v>1651.82932996207</v>
      </c>
      <c r="L945" t="n">
        <v>6581</v>
      </c>
      <c r="M945" t="n">
        <v>170</v>
      </c>
      <c r="N945" t="n">
        <v>4225</v>
      </c>
      <c r="O945" t="n">
        <v>1085</v>
      </c>
      <c r="P945" t="n">
        <v>724</v>
      </c>
      <c r="Q945" t="n">
        <v>1815</v>
      </c>
      <c r="R945" t="n">
        <v>1375</v>
      </c>
      <c r="S945" t="n">
        <v>1776</v>
      </c>
      <c r="T945" t="n">
        <v>2843</v>
      </c>
    </row>
    <row r="946">
      <c r="A946" t="inlineStr">
        <is>
          <t>Gucci</t>
        </is>
      </c>
      <c r="B946" t="inlineStr">
        <is>
          <t>Gucci Guilty (00840)</t>
        </is>
      </c>
      <c r="C946" t="inlineStr">
        <is>
          <t>Gucci Guilty Black Pour Homme (00003465)</t>
        </is>
      </c>
      <c r="D946" s="1" t="n">
        <v>3616305820846</v>
      </c>
      <c r="E946" t="inlineStr">
        <is>
          <t>GUCCI G BLK H RG EDT 90 ML ESSENCE IV</t>
        </is>
      </c>
      <c r="F946" t="inlineStr">
        <is>
          <t>P_US_ALL_OTHERS</t>
        </is>
      </c>
      <c r="G946" t="inlineStr">
        <is>
          <t>CurrentWorkingView</t>
        </is>
      </c>
      <c r="H946" t="inlineStr">
        <is>
          <t>Supply Cuts</t>
        </is>
      </c>
    </row>
    <row r="947">
      <c r="A947" t="inlineStr">
        <is>
          <t>Gucci</t>
        </is>
      </c>
      <c r="B947" t="inlineStr">
        <is>
          <t>Gucci Guilty (00840)</t>
        </is>
      </c>
      <c r="C947" t="inlineStr">
        <is>
          <t>Gucci Guilty Black Pour Homme (00003465)</t>
        </is>
      </c>
      <c r="D947" s="1" t="n">
        <v>3616305820846</v>
      </c>
      <c r="E947" t="inlineStr">
        <is>
          <t>GUCCI G BLK H RG EDT 90 ML ESSENCE IV</t>
        </is>
      </c>
      <c r="F947" t="inlineStr">
        <is>
          <t>P_US_ALL_OTHERS</t>
        </is>
      </c>
      <c r="G947" t="inlineStr">
        <is>
          <t>Month-2026.M09.W38</t>
        </is>
      </c>
      <c r="H947" t="inlineStr">
        <is>
          <t>Consensus - Final LY M</t>
        </is>
      </c>
      <c r="I947" t="n">
        <v>4808</v>
      </c>
      <c r="J947" t="n">
        <v>5417</v>
      </c>
      <c r="K947" t="n">
        <v>3131</v>
      </c>
      <c r="L947" t="n">
        <v>9115</v>
      </c>
      <c r="M947" t="n">
        <v>9623</v>
      </c>
      <c r="N947" t="n">
        <v>5493</v>
      </c>
      <c r="O947" t="n">
        <v>1709</v>
      </c>
      <c r="P947" t="n">
        <v>1972</v>
      </c>
      <c r="Q947" t="n">
        <v>3953</v>
      </c>
      <c r="R947" t="n">
        <v>2257</v>
      </c>
      <c r="S947" t="n">
        <v>2515</v>
      </c>
      <c r="T947" t="n">
        <v>3673</v>
      </c>
    </row>
    <row r="948">
      <c r="A948" t="inlineStr">
        <is>
          <t>Gucci</t>
        </is>
      </c>
      <c r="B948" t="inlineStr">
        <is>
          <t>Gucci Guilty (00840)</t>
        </is>
      </c>
      <c r="C948" t="inlineStr">
        <is>
          <t>Gucci Guilty Black Pour Homme (00003465)</t>
        </is>
      </c>
      <c r="D948" s="1" t="n">
        <v>3616305820846</v>
      </c>
      <c r="E948" t="inlineStr">
        <is>
          <t>GUCCI G BLK H RG EDT 90 ML ESSENCE IV</t>
        </is>
      </c>
      <c r="F948" t="inlineStr">
        <is>
          <t>P_US_ALL_OTHERS</t>
        </is>
      </c>
      <c r="G948" t="inlineStr">
        <is>
          <t>Month-2026.M09.W38</t>
        </is>
      </c>
      <c r="H948" t="inlineStr">
        <is>
          <t>System FC - Final</t>
        </is>
      </c>
      <c r="I948" t="n">
        <v>4757</v>
      </c>
      <c r="J948" t="n">
        <v>3001</v>
      </c>
      <c r="K948" t="n">
        <v>2145</v>
      </c>
      <c r="L948" t="n">
        <v>3375</v>
      </c>
      <c r="M948" t="n">
        <v>8074</v>
      </c>
      <c r="N948" t="n">
        <v>4326</v>
      </c>
      <c r="O948" t="n">
        <v>1240</v>
      </c>
      <c r="P948" t="n">
        <v>1064</v>
      </c>
      <c r="Q948" t="n">
        <v>2799</v>
      </c>
      <c r="R948" t="n">
        <v>1612</v>
      </c>
      <c r="S948" t="n">
        <v>709</v>
      </c>
      <c r="T948" t="n">
        <v>2441</v>
      </c>
    </row>
    <row r="949">
      <c r="A949" t="inlineStr">
        <is>
          <t>Gucci</t>
        </is>
      </c>
      <c r="B949" t="inlineStr">
        <is>
          <t>Gucci Guilty (00840)</t>
        </is>
      </c>
      <c r="C949" t="inlineStr">
        <is>
          <t>Gucci Guilty Black Pour Homme (00003465)</t>
        </is>
      </c>
      <c r="D949" s="1" t="n">
        <v>3616305820846</v>
      </c>
      <c r="E949" t="inlineStr">
        <is>
          <t>GUCCI G BLK H RG EDT 90 ML ESSENCE IV</t>
        </is>
      </c>
      <c r="F949" t="inlineStr">
        <is>
          <t>P_US_ALL_OTHERS</t>
        </is>
      </c>
      <c r="G949" t="inlineStr">
        <is>
          <t>Month-2026.M09.W38</t>
        </is>
      </c>
      <c r="H949" t="inlineStr">
        <is>
          <t>EPOS</t>
        </is>
      </c>
      <c r="I949" t="n">
        <v>2377</v>
      </c>
    </row>
    <row r="950">
      <c r="A950" t="inlineStr">
        <is>
          <t>Gucci</t>
        </is>
      </c>
      <c r="B950" t="inlineStr">
        <is>
          <t>Gucci Guilty (00840)</t>
        </is>
      </c>
      <c r="C950" t="inlineStr">
        <is>
          <t>Gucci Guilty Black Pour Homme (00003465)</t>
        </is>
      </c>
      <c r="D950" s="1" t="n">
        <v>3616305820846</v>
      </c>
      <c r="E950" t="inlineStr">
        <is>
          <t>GUCCI G BLK H RG EDT 90 ML ESSENCE IV</t>
        </is>
      </c>
      <c r="F950" t="inlineStr">
        <is>
          <t>P_US_ALL_OTHERS</t>
        </is>
      </c>
      <c r="G950" t="inlineStr">
        <is>
          <t>Month-2026.M09.W38</t>
        </is>
      </c>
      <c r="H950" t="inlineStr">
        <is>
          <t>Reasonability Adjustment</t>
        </is>
      </c>
      <c r="I950" t="n">
        <v>-2043</v>
      </c>
      <c r="K950" t="n">
        <v>-1067</v>
      </c>
      <c r="L950" t="n">
        <v>4411</v>
      </c>
      <c r="M950" t="n">
        <v>-2602</v>
      </c>
      <c r="Q950" t="n">
        <v>-1090</v>
      </c>
      <c r="T950" t="n">
        <v>-706</v>
      </c>
    </row>
    <row r="951">
      <c r="A951" t="inlineStr">
        <is>
          <t>Gucci</t>
        </is>
      </c>
      <c r="B951" t="inlineStr">
        <is>
          <t>Gucci Guilty (00840)</t>
        </is>
      </c>
      <c r="C951" t="inlineStr">
        <is>
          <t>Gucci Guilty Black Pour Homme (00003465)</t>
        </is>
      </c>
      <c r="D951" s="1" t="n">
        <v>3616305820846</v>
      </c>
      <c r="E951" t="inlineStr">
        <is>
          <t>GUCCI G BLK H RG EDT 90 ML ESSENCE IV</t>
        </is>
      </c>
      <c r="F951" t="inlineStr">
        <is>
          <t>P_US_ALL_OTHERS</t>
        </is>
      </c>
      <c r="G951" t="inlineStr">
        <is>
          <t>Month-2026.M09.W38</t>
        </is>
      </c>
      <c r="H951" t="inlineStr">
        <is>
          <t>Total Demand Assumption</t>
        </is>
      </c>
    </row>
    <row r="952">
      <c r="A952" t="inlineStr">
        <is>
          <t>Gucci</t>
        </is>
      </c>
      <c r="B952" t="inlineStr">
        <is>
          <t>Gucci Guilty (00840)</t>
        </is>
      </c>
      <c r="C952" t="inlineStr">
        <is>
          <t>Gucci Guilty Black Pour Homme (00003465)</t>
        </is>
      </c>
      <c r="D952" s="1" t="n">
        <v>3616305820846</v>
      </c>
      <c r="E952" t="inlineStr">
        <is>
          <t>GUCCI G BLK H RG EDT 90 ML ESSENCE IV</t>
        </is>
      </c>
      <c r="F952" t="inlineStr">
        <is>
          <t>P_US_ALL_OTHERS</t>
        </is>
      </c>
      <c r="G952" t="inlineStr">
        <is>
          <t>Month-2026.M09.W38</t>
        </is>
      </c>
      <c r="H952" t="inlineStr">
        <is>
          <t>Consensus - Final</t>
        </is>
      </c>
      <c r="I952" t="n">
        <v>4757</v>
      </c>
      <c r="J952" t="n">
        <v>3001</v>
      </c>
      <c r="K952" t="n">
        <v>1651.82932996207</v>
      </c>
      <c r="L952" t="n">
        <v>7786</v>
      </c>
      <c r="M952" t="n">
        <v>5472</v>
      </c>
      <c r="N952" t="n">
        <v>4326</v>
      </c>
      <c r="O952" t="n">
        <v>1240</v>
      </c>
      <c r="P952" t="n">
        <v>1064</v>
      </c>
      <c r="Q952" t="n">
        <v>1709</v>
      </c>
      <c r="R952" t="n">
        <v>1612</v>
      </c>
      <c r="S952" t="n">
        <v>709</v>
      </c>
      <c r="T952" t="n">
        <v>1735</v>
      </c>
    </row>
    <row r="953">
      <c r="A953" t="inlineStr">
        <is>
          <t>Gucci</t>
        </is>
      </c>
      <c r="B953" t="inlineStr">
        <is>
          <t>Gucci Guilty (00840)</t>
        </is>
      </c>
      <c r="C953" t="inlineStr">
        <is>
          <t>Gucci Guilty Black Pour Homme (00003465)</t>
        </is>
      </c>
      <c r="D953" s="1" t="n">
        <v>3616305820846</v>
      </c>
      <c r="E953" t="inlineStr">
        <is>
          <t>GUCCI G BLK H RG EDT 90 ML ESSENCE IV</t>
        </is>
      </c>
      <c r="F953" t="inlineStr">
        <is>
          <t>P_US_ALL_OTHERS</t>
        </is>
      </c>
      <c r="G953" t="inlineStr">
        <is>
          <t>Month-2026.M09.W38</t>
        </is>
      </c>
      <c r="H953" t="inlineStr">
        <is>
          <t>Supply Cuts</t>
        </is>
      </c>
    </row>
    <row r="954">
      <c r="A954" t="inlineStr">
        <is>
          <t>Gucci</t>
        </is>
      </c>
      <c r="B954" t="inlineStr">
        <is>
          <t>Gucci Guilty (00840)</t>
        </is>
      </c>
      <c r="C954" t="inlineStr">
        <is>
          <t>Gucci Guilty Black Pour Homme (00003465)</t>
        </is>
      </c>
      <c r="D954" s="1" t="n">
        <v>3616305820846</v>
      </c>
      <c r="E954" t="inlineStr">
        <is>
          <t>GUCCI G BLK H RG EDT 90 ML ESSENCE IV</t>
        </is>
      </c>
      <c r="F954" t="inlineStr">
        <is>
          <t>P_US_FG</t>
        </is>
      </c>
      <c r="G954" t="inlineStr">
        <is>
          <t>CurrentWorkingView</t>
        </is>
      </c>
      <c r="H954" t="inlineStr">
        <is>
          <t>Consensus - Final LY M</t>
        </is>
      </c>
      <c r="I954" t="n">
        <v>20</v>
      </c>
      <c r="J954" t="n">
        <v>18</v>
      </c>
      <c r="K954" t="n">
        <v>1</v>
      </c>
      <c r="M954" t="n">
        <v>50</v>
      </c>
      <c r="P954" t="n">
        <v>15</v>
      </c>
      <c r="R954" t="n">
        <v>2</v>
      </c>
      <c r="T954" t="n">
        <v>40</v>
      </c>
    </row>
    <row r="955">
      <c r="A955" t="inlineStr">
        <is>
          <t>Gucci</t>
        </is>
      </c>
      <c r="B955" t="inlineStr">
        <is>
          <t>Gucci Guilty (00840)</t>
        </is>
      </c>
      <c r="C955" t="inlineStr">
        <is>
          <t>Gucci Guilty Black Pour Homme (00003465)</t>
        </is>
      </c>
      <c r="D955" s="1" t="n">
        <v>3616305820846</v>
      </c>
      <c r="E955" t="inlineStr">
        <is>
          <t>GUCCI G BLK H RG EDT 90 ML ESSENCE IV</t>
        </is>
      </c>
      <c r="F955" t="inlineStr">
        <is>
          <t>P_US_FG</t>
        </is>
      </c>
      <c r="G955" t="inlineStr">
        <is>
          <t>CurrentWorkingView</t>
        </is>
      </c>
      <c r="H955" t="inlineStr">
        <is>
          <t>System FC - Final</t>
        </is>
      </c>
      <c r="I955" t="n">
        <v>1</v>
      </c>
      <c r="J955" t="n">
        <v>6</v>
      </c>
      <c r="K955" t="n">
        <v>137</v>
      </c>
      <c r="L955" t="n">
        <v>23</v>
      </c>
      <c r="M955" t="n">
        <v>22</v>
      </c>
      <c r="N955" t="n">
        <v>31</v>
      </c>
      <c r="O955" t="n">
        <v>9</v>
      </c>
      <c r="P955" t="n">
        <v>8</v>
      </c>
      <c r="Q955" t="n">
        <v>22</v>
      </c>
      <c r="R955" t="n">
        <v>8</v>
      </c>
      <c r="S955" t="n">
        <v>10</v>
      </c>
      <c r="T955" t="n">
        <v>11</v>
      </c>
    </row>
    <row r="956">
      <c r="A956" t="inlineStr">
        <is>
          <t>Gucci</t>
        </is>
      </c>
      <c r="B956" t="inlineStr">
        <is>
          <t>Gucci Guilty (00840)</t>
        </is>
      </c>
      <c r="C956" t="inlineStr">
        <is>
          <t>Gucci Guilty Black Pour Homme (00003465)</t>
        </is>
      </c>
      <c r="D956" s="1" t="n">
        <v>3616305820846</v>
      </c>
      <c r="E956" t="inlineStr">
        <is>
          <t>GUCCI G BLK H RG EDT 90 ML ESSENCE IV</t>
        </is>
      </c>
      <c r="F956" t="inlineStr">
        <is>
          <t>P_US_FG</t>
        </is>
      </c>
      <c r="G956" t="inlineStr">
        <is>
          <t>CurrentWorkingView</t>
        </is>
      </c>
      <c r="H956" t="inlineStr">
        <is>
          <t>EPOS</t>
        </is>
      </c>
    </row>
    <row r="957">
      <c r="A957" t="inlineStr">
        <is>
          <t>Gucci</t>
        </is>
      </c>
      <c r="B957" t="inlineStr">
        <is>
          <t>Gucci Guilty (00840)</t>
        </is>
      </c>
      <c r="C957" t="inlineStr">
        <is>
          <t>Gucci Guilty Black Pour Homme (00003465)</t>
        </is>
      </c>
      <c r="D957" s="1" t="n">
        <v>3616305820846</v>
      </c>
      <c r="E957" t="inlineStr">
        <is>
          <t>GUCCI G BLK H RG EDT 90 ML ESSENCE IV</t>
        </is>
      </c>
      <c r="F957" t="inlineStr">
        <is>
          <t>P_US_FG</t>
        </is>
      </c>
      <c r="G957" t="inlineStr">
        <is>
          <t>CurrentWorkingView</t>
        </is>
      </c>
      <c r="H957" t="inlineStr">
        <is>
          <t>Reasonability Adjustment</t>
        </is>
      </c>
      <c r="M957" t="n">
        <v>2</v>
      </c>
      <c r="O957" t="n">
        <v>5</v>
      </c>
      <c r="Q957" t="n">
        <v>-1</v>
      </c>
    </row>
    <row r="958">
      <c r="A958" t="inlineStr">
        <is>
          <t>Gucci</t>
        </is>
      </c>
      <c r="B958" t="inlineStr">
        <is>
          <t>Gucci Guilty (00840)</t>
        </is>
      </c>
      <c r="C958" t="inlineStr">
        <is>
          <t>Gucci Guilty Black Pour Homme (00003465)</t>
        </is>
      </c>
      <c r="D958" s="1" t="n">
        <v>3616305820846</v>
      </c>
      <c r="E958" t="inlineStr">
        <is>
          <t>GUCCI G BLK H RG EDT 90 ML ESSENCE IV</t>
        </is>
      </c>
      <c r="F958" t="inlineStr">
        <is>
          <t>P_US_FG</t>
        </is>
      </c>
      <c r="G958" t="inlineStr">
        <is>
          <t>CurrentWorkingView</t>
        </is>
      </c>
      <c r="H958" t="inlineStr">
        <is>
          <t>Total Demand Assumption</t>
        </is>
      </c>
    </row>
    <row r="959">
      <c r="A959" t="inlineStr">
        <is>
          <t>Gucci</t>
        </is>
      </c>
      <c r="B959" t="inlineStr">
        <is>
          <t>Gucci Guilty (00840)</t>
        </is>
      </c>
      <c r="C959" t="inlineStr">
        <is>
          <t>Gucci Guilty Black Pour Homme (00003465)</t>
        </is>
      </c>
      <c r="D959" s="1" t="n">
        <v>3616305820846</v>
      </c>
      <c r="E959" t="inlineStr">
        <is>
          <t>GUCCI G BLK H RG EDT 90 ML ESSENCE IV</t>
        </is>
      </c>
      <c r="F959" t="inlineStr">
        <is>
          <t>P_US_FG</t>
        </is>
      </c>
      <c r="G959" t="inlineStr">
        <is>
          <t>CurrentWorkingView</t>
        </is>
      </c>
      <c r="H959" t="inlineStr">
        <is>
          <t>Consensus - Final</t>
        </is>
      </c>
      <c r="I959" t="n">
        <v>1</v>
      </c>
      <c r="J959" t="n">
        <v>6</v>
      </c>
      <c r="K959" t="n">
        <v>130</v>
      </c>
      <c r="M959" t="n">
        <v>2</v>
      </c>
      <c r="O959" t="n">
        <v>5</v>
      </c>
    </row>
    <row r="960">
      <c r="A960" t="inlineStr">
        <is>
          <t>Gucci</t>
        </is>
      </c>
      <c r="B960" t="inlineStr">
        <is>
          <t>Gucci Guilty (00840)</t>
        </is>
      </c>
      <c r="C960" t="inlineStr">
        <is>
          <t>Gucci Guilty Black Pour Homme (00003465)</t>
        </is>
      </c>
      <c r="D960" s="1" t="n">
        <v>3616305820846</v>
      </c>
      <c r="E960" t="inlineStr">
        <is>
          <t>GUCCI G BLK H RG EDT 90 ML ESSENCE IV</t>
        </is>
      </c>
      <c r="F960" t="inlineStr">
        <is>
          <t>P_US_FG</t>
        </is>
      </c>
      <c r="G960" t="inlineStr">
        <is>
          <t>CurrentWorkingView</t>
        </is>
      </c>
      <c r="H960" t="inlineStr">
        <is>
          <t>Supply Cuts</t>
        </is>
      </c>
    </row>
    <row r="961">
      <c r="A961" t="inlineStr">
        <is>
          <t>Gucci</t>
        </is>
      </c>
      <c r="B961" t="inlineStr">
        <is>
          <t>Gucci Guilty (00840)</t>
        </is>
      </c>
      <c r="C961" t="inlineStr">
        <is>
          <t>Gucci Guilty Black Pour Homme (00003465)</t>
        </is>
      </c>
      <c r="D961" s="1" t="n">
        <v>3616305820846</v>
      </c>
      <c r="E961" t="inlineStr">
        <is>
          <t>GUCCI G BLK H RG EDT 90 ML ESSENCE IV</t>
        </is>
      </c>
      <c r="F961" t="inlineStr">
        <is>
          <t>P_US_FG</t>
        </is>
      </c>
      <c r="G961" t="inlineStr">
        <is>
          <t>Month-2026.M09.W38</t>
        </is>
      </c>
      <c r="H961" t="inlineStr">
        <is>
          <t>Consensus - Final LY M</t>
        </is>
      </c>
      <c r="I961" t="n">
        <v>20</v>
      </c>
      <c r="J961" t="n">
        <v>18</v>
      </c>
      <c r="K961" t="n">
        <v>1</v>
      </c>
      <c r="M961" t="n">
        <v>50</v>
      </c>
      <c r="P961" t="n">
        <v>15</v>
      </c>
      <c r="R961" t="n">
        <v>2</v>
      </c>
      <c r="T961" t="n">
        <v>40</v>
      </c>
    </row>
    <row r="962">
      <c r="A962" t="inlineStr">
        <is>
          <t>Gucci</t>
        </is>
      </c>
      <c r="B962" t="inlineStr">
        <is>
          <t>Gucci Guilty (00840)</t>
        </is>
      </c>
      <c r="C962" t="inlineStr">
        <is>
          <t>Gucci Guilty Black Pour Homme (00003465)</t>
        </is>
      </c>
      <c r="D962" s="1" t="n">
        <v>3616305820846</v>
      </c>
      <c r="E962" t="inlineStr">
        <is>
          <t>GUCCI G BLK H RG EDT 90 ML ESSENCE IV</t>
        </is>
      </c>
      <c r="F962" t="inlineStr">
        <is>
          <t>P_US_FG</t>
        </is>
      </c>
      <c r="G962" t="inlineStr">
        <is>
          <t>Month-2026.M09.W38</t>
        </is>
      </c>
      <c r="H962" t="inlineStr">
        <is>
          <t>System FC - Final</t>
        </is>
      </c>
      <c r="I962" t="n">
        <v>1</v>
      </c>
      <c r="J962" t="n">
        <v>6</v>
      </c>
      <c r="K962" t="n">
        <v>20</v>
      </c>
      <c r="L962" t="n">
        <v>21</v>
      </c>
      <c r="M962" t="n">
        <v>18</v>
      </c>
      <c r="N962" t="n">
        <v>23</v>
      </c>
      <c r="O962" t="n">
        <v>5</v>
      </c>
      <c r="P962" t="n">
        <v>12</v>
      </c>
      <c r="Q962" t="n">
        <v>18</v>
      </c>
      <c r="R962" t="n">
        <v>8</v>
      </c>
      <c r="S962" t="n">
        <v>9</v>
      </c>
      <c r="T962" t="n">
        <v>8</v>
      </c>
    </row>
    <row r="963">
      <c r="A963" t="inlineStr">
        <is>
          <t>Gucci</t>
        </is>
      </c>
      <c r="B963" t="inlineStr">
        <is>
          <t>Gucci Guilty (00840)</t>
        </is>
      </c>
      <c r="C963" t="inlineStr">
        <is>
          <t>Gucci Guilty Black Pour Homme (00003465)</t>
        </is>
      </c>
      <c r="D963" s="1" t="n">
        <v>3616305820846</v>
      </c>
      <c r="E963" t="inlineStr">
        <is>
          <t>GUCCI G BLK H RG EDT 90 ML ESSENCE IV</t>
        </is>
      </c>
      <c r="F963" t="inlineStr">
        <is>
          <t>P_US_FG</t>
        </is>
      </c>
      <c r="G963" t="inlineStr">
        <is>
          <t>Month-2026.M09.W38</t>
        </is>
      </c>
      <c r="H963" t="inlineStr">
        <is>
          <t>EPOS</t>
        </is>
      </c>
    </row>
    <row r="964">
      <c r="A964" t="inlineStr">
        <is>
          <t>Gucci</t>
        </is>
      </c>
      <c r="B964" t="inlineStr">
        <is>
          <t>Gucci Guilty (00840)</t>
        </is>
      </c>
      <c r="C964" t="inlineStr">
        <is>
          <t>Gucci Guilty Black Pour Homme (00003465)</t>
        </is>
      </c>
      <c r="D964" s="1" t="n">
        <v>3616305820846</v>
      </c>
      <c r="E964" t="inlineStr">
        <is>
          <t>GUCCI G BLK H RG EDT 90 ML ESSENCE IV</t>
        </is>
      </c>
      <c r="F964" t="inlineStr">
        <is>
          <t>P_US_FG</t>
        </is>
      </c>
      <c r="G964" t="inlineStr">
        <is>
          <t>Month-2026.M09.W38</t>
        </is>
      </c>
      <c r="H964" t="inlineStr">
        <is>
          <t>Reasonability Adjustment</t>
        </is>
      </c>
      <c r="M964" t="n">
        <v>2</v>
      </c>
      <c r="O964" t="n">
        <v>5</v>
      </c>
      <c r="Q964" t="n">
        <v>-1</v>
      </c>
    </row>
    <row r="965">
      <c r="A965" t="inlineStr">
        <is>
          <t>Gucci</t>
        </is>
      </c>
      <c r="B965" t="inlineStr">
        <is>
          <t>Gucci Guilty (00840)</t>
        </is>
      </c>
      <c r="C965" t="inlineStr">
        <is>
          <t>Gucci Guilty Black Pour Homme (00003465)</t>
        </is>
      </c>
      <c r="D965" s="1" t="n">
        <v>3616305820846</v>
      </c>
      <c r="E965" t="inlineStr">
        <is>
          <t>GUCCI G BLK H RG EDT 90 ML ESSENCE IV</t>
        </is>
      </c>
      <c r="F965" t="inlineStr">
        <is>
          <t>P_US_FG</t>
        </is>
      </c>
      <c r="G965" t="inlineStr">
        <is>
          <t>Month-2026.M09.W38</t>
        </is>
      </c>
      <c r="H965" t="inlineStr">
        <is>
          <t>Total Demand Assumption</t>
        </is>
      </c>
    </row>
    <row r="966">
      <c r="A966" t="inlineStr">
        <is>
          <t>Gucci</t>
        </is>
      </c>
      <c r="B966" t="inlineStr">
        <is>
          <t>Gucci Guilty (00840)</t>
        </is>
      </c>
      <c r="C966" t="inlineStr">
        <is>
          <t>Gucci Guilty Black Pour Homme (00003465)</t>
        </is>
      </c>
      <c r="D966" s="1" t="n">
        <v>3616305820846</v>
      </c>
      <c r="E966" t="inlineStr">
        <is>
          <t>GUCCI G BLK H RG EDT 90 ML ESSENCE IV</t>
        </is>
      </c>
      <c r="F966" t="inlineStr">
        <is>
          <t>P_US_FG</t>
        </is>
      </c>
      <c r="G966" t="inlineStr">
        <is>
          <t>Month-2026.M09.W38</t>
        </is>
      </c>
      <c r="H966" t="inlineStr">
        <is>
          <t>Consensus - Final</t>
        </is>
      </c>
      <c r="I966" t="n">
        <v>1</v>
      </c>
      <c r="J966" t="n">
        <v>6</v>
      </c>
      <c r="K966" t="n">
        <v>10</v>
      </c>
      <c r="M966" t="n">
        <v>2</v>
      </c>
      <c r="O966" t="n">
        <v>5</v>
      </c>
    </row>
    <row r="967">
      <c r="A967" t="inlineStr">
        <is>
          <t>Gucci</t>
        </is>
      </c>
      <c r="B967" t="inlineStr">
        <is>
          <t>Gucci Guilty (00840)</t>
        </is>
      </c>
      <c r="C967" t="inlineStr">
        <is>
          <t>Gucci Guilty Black Pour Homme (00003465)</t>
        </is>
      </c>
      <c r="D967" s="1" t="n">
        <v>3616305820846</v>
      </c>
      <c r="E967" t="inlineStr">
        <is>
          <t>GUCCI G BLK H RG EDT 90 ML ESSENCE IV</t>
        </is>
      </c>
      <c r="F967" t="inlineStr">
        <is>
          <t>P_US_FG</t>
        </is>
      </c>
      <c r="G967" t="inlineStr">
        <is>
          <t>Month-2026.M09.W38</t>
        </is>
      </c>
      <c r="H967" t="inlineStr">
        <is>
          <t>Supply Cuts</t>
        </is>
      </c>
    </row>
    <row r="968">
      <c r="A968" t="inlineStr">
        <is>
          <t>Gucci</t>
        </is>
      </c>
      <c r="B968" t="inlineStr">
        <is>
          <t>Gucci Guilty (00840)</t>
        </is>
      </c>
      <c r="C968" t="inlineStr">
        <is>
          <t>Gucci Guilty Black Pour Homme (00003465)</t>
        </is>
      </c>
      <c r="D968" s="1" t="n">
        <v>3616305820846</v>
      </c>
      <c r="E968" t="inlineStr">
        <is>
          <t>GUCCI G BLK H RG EDT 90 ML ESSENCE IV</t>
        </is>
      </c>
      <c r="F968" t="inlineStr">
        <is>
          <t>P_US_ULTA</t>
        </is>
      </c>
      <c r="G968" t="inlineStr">
        <is>
          <t>CurrentWorkingView</t>
        </is>
      </c>
      <c r="H968" t="inlineStr">
        <is>
          <t>Consensus - Final LY M</t>
        </is>
      </c>
      <c r="I968" t="n">
        <v>428</v>
      </c>
      <c r="J968" t="n">
        <v>3098</v>
      </c>
      <c r="K968" t="n">
        <v>1114</v>
      </c>
      <c r="L968" t="n">
        <v>4419</v>
      </c>
      <c r="M968" t="n">
        <v>1908</v>
      </c>
      <c r="N968" t="n">
        <v>3031</v>
      </c>
      <c r="O968" t="n">
        <v>1999</v>
      </c>
      <c r="P968" t="n">
        <v>1519</v>
      </c>
      <c r="Q968" t="n">
        <v>1812</v>
      </c>
      <c r="R968" t="n">
        <v>261</v>
      </c>
      <c r="S968" t="n">
        <v>1129</v>
      </c>
      <c r="T968" t="n">
        <v>487</v>
      </c>
    </row>
    <row r="969">
      <c r="A969" t="inlineStr">
        <is>
          <t>Gucci</t>
        </is>
      </c>
      <c r="B969" t="inlineStr">
        <is>
          <t>Gucci Guilty (00840)</t>
        </is>
      </c>
      <c r="C969" t="inlineStr">
        <is>
          <t>Gucci Guilty Black Pour Homme (00003465)</t>
        </is>
      </c>
      <c r="D969" s="1" t="n">
        <v>3616305820846</v>
      </c>
      <c r="E969" t="inlineStr">
        <is>
          <t>GUCCI G BLK H RG EDT 90 ML ESSENCE IV</t>
        </is>
      </c>
      <c r="F969" t="inlineStr">
        <is>
          <t>P_US_ULTA</t>
        </is>
      </c>
      <c r="G969" t="inlineStr">
        <is>
          <t>CurrentWorkingView</t>
        </is>
      </c>
      <c r="H969" t="inlineStr">
        <is>
          <t>System FC - Final</t>
        </is>
      </c>
      <c r="I969" t="n">
        <v>1479</v>
      </c>
      <c r="J969" t="n">
        <v>856</v>
      </c>
      <c r="K969" t="n">
        <v>1682</v>
      </c>
      <c r="L969" t="n">
        <v>2165</v>
      </c>
      <c r="M969" t="n">
        <v>1140</v>
      </c>
      <c r="N969" t="n">
        <v>1545</v>
      </c>
      <c r="O969" t="n">
        <v>784</v>
      </c>
      <c r="P969" t="n">
        <v>960</v>
      </c>
      <c r="Q969" t="n">
        <v>1209</v>
      </c>
      <c r="R969" t="n">
        <v>485</v>
      </c>
      <c r="S969" t="n">
        <v>841</v>
      </c>
      <c r="T969" t="n">
        <v>626</v>
      </c>
    </row>
    <row r="970">
      <c r="A970" t="inlineStr">
        <is>
          <t>Gucci</t>
        </is>
      </c>
      <c r="B970" t="inlineStr">
        <is>
          <t>Gucci Guilty (00840)</t>
        </is>
      </c>
      <c r="C970" t="inlineStr">
        <is>
          <t>Gucci Guilty Black Pour Homme (00003465)</t>
        </is>
      </c>
      <c r="D970" s="1" t="n">
        <v>3616305820846</v>
      </c>
      <c r="E970" t="inlineStr">
        <is>
          <t>GUCCI G BLK H RG EDT 90 ML ESSENCE IV</t>
        </is>
      </c>
      <c r="F970" t="inlineStr">
        <is>
          <t>P_US_ULTA</t>
        </is>
      </c>
      <c r="G970" t="inlineStr">
        <is>
          <t>CurrentWorkingView</t>
        </is>
      </c>
      <c r="H970" t="inlineStr">
        <is>
          <t>EPOS</t>
        </is>
      </c>
      <c r="I970" t="n">
        <v>850</v>
      </c>
    </row>
    <row r="971">
      <c r="A971" t="inlineStr">
        <is>
          <t>Gucci</t>
        </is>
      </c>
      <c r="B971" t="inlineStr">
        <is>
          <t>Gucci Guilty (00840)</t>
        </is>
      </c>
      <c r="C971" t="inlineStr">
        <is>
          <t>Gucci Guilty Black Pour Homme (00003465)</t>
        </is>
      </c>
      <c r="D971" s="1" t="n">
        <v>3616305820846</v>
      </c>
      <c r="E971" t="inlineStr">
        <is>
          <t>GUCCI G BLK H RG EDT 90 ML ESSENCE IV</t>
        </is>
      </c>
      <c r="F971" t="inlineStr">
        <is>
          <t>P_US_ULTA</t>
        </is>
      </c>
      <c r="G971" t="inlineStr">
        <is>
          <t>CurrentWorkingView</t>
        </is>
      </c>
      <c r="H971" t="inlineStr">
        <is>
          <t>Reasonability Adjustment</t>
        </is>
      </c>
      <c r="I971" t="n">
        <v>-357</v>
      </c>
      <c r="K971" t="n">
        <v>-933</v>
      </c>
      <c r="L971" t="n">
        <v>1589</v>
      </c>
      <c r="M971" t="n">
        <v>-398</v>
      </c>
      <c r="Q971" t="n">
        <v>-910</v>
      </c>
      <c r="T971" t="n">
        <v>-294</v>
      </c>
    </row>
    <row r="972">
      <c r="A972" t="inlineStr">
        <is>
          <t>Gucci</t>
        </is>
      </c>
      <c r="B972" t="inlineStr">
        <is>
          <t>Gucci Guilty (00840)</t>
        </is>
      </c>
      <c r="C972" t="inlineStr">
        <is>
          <t>Gucci Guilty Black Pour Homme (00003465)</t>
        </is>
      </c>
      <c r="D972" s="1" t="n">
        <v>3616305820846</v>
      </c>
      <c r="E972" t="inlineStr">
        <is>
          <t>GUCCI G BLK H RG EDT 90 ML ESSENCE IV</t>
        </is>
      </c>
      <c r="F972" t="inlineStr">
        <is>
          <t>P_US_ULTA</t>
        </is>
      </c>
      <c r="G972" t="inlineStr">
        <is>
          <t>CurrentWorkingView</t>
        </is>
      </c>
      <c r="H972" t="inlineStr">
        <is>
          <t>Total Demand Assumption</t>
        </is>
      </c>
    </row>
    <row r="973">
      <c r="A973" t="inlineStr">
        <is>
          <t>Gucci</t>
        </is>
      </c>
      <c r="B973" t="inlineStr">
        <is>
          <t>Gucci Guilty (00840)</t>
        </is>
      </c>
      <c r="C973" t="inlineStr">
        <is>
          <t>Gucci Guilty Black Pour Homme (00003465)</t>
        </is>
      </c>
      <c r="D973" s="1" t="n">
        <v>3616305820846</v>
      </c>
      <c r="E973" t="inlineStr">
        <is>
          <t>GUCCI G BLK H RG EDT 90 ML ESSENCE IV</t>
        </is>
      </c>
      <c r="F973" t="inlineStr">
        <is>
          <t>P_US_ULTA</t>
        </is>
      </c>
      <c r="G973" t="inlineStr">
        <is>
          <t>CurrentWorkingView</t>
        </is>
      </c>
      <c r="H973" t="inlineStr">
        <is>
          <t>Consensus - Final</t>
        </is>
      </c>
      <c r="I973" t="n">
        <v>1479</v>
      </c>
      <c r="J973" t="n">
        <v>856</v>
      </c>
      <c r="K973" t="n">
        <v>1318.17067003792</v>
      </c>
      <c r="L973" t="n">
        <v>3754</v>
      </c>
      <c r="M973" t="n">
        <v>755</v>
      </c>
      <c r="N973" t="n">
        <v>1545</v>
      </c>
      <c r="O973" t="n">
        <v>784</v>
      </c>
      <c r="P973" t="n">
        <v>960</v>
      </c>
      <c r="Q973" t="n">
        <v>299</v>
      </c>
      <c r="R973" t="n">
        <v>485</v>
      </c>
      <c r="S973" t="n">
        <v>841</v>
      </c>
      <c r="T973" t="n">
        <v>332</v>
      </c>
    </row>
    <row r="974">
      <c r="A974" t="inlineStr">
        <is>
          <t>Gucci</t>
        </is>
      </c>
      <c r="B974" t="inlineStr">
        <is>
          <t>Gucci Guilty (00840)</t>
        </is>
      </c>
      <c r="C974" t="inlineStr">
        <is>
          <t>Gucci Guilty Black Pour Homme (00003465)</t>
        </is>
      </c>
      <c r="D974" s="1" t="n">
        <v>3616305820846</v>
      </c>
      <c r="E974" t="inlineStr">
        <is>
          <t>GUCCI G BLK H RG EDT 90 ML ESSENCE IV</t>
        </is>
      </c>
      <c r="F974" t="inlineStr">
        <is>
          <t>P_US_ULTA</t>
        </is>
      </c>
      <c r="G974" t="inlineStr">
        <is>
          <t>CurrentWorkingView</t>
        </is>
      </c>
      <c r="H974" t="inlineStr">
        <is>
          <t>Supply Cuts</t>
        </is>
      </c>
    </row>
    <row r="975">
      <c r="A975" t="inlineStr">
        <is>
          <t>Gucci</t>
        </is>
      </c>
      <c r="B975" t="inlineStr">
        <is>
          <t>Gucci Guilty (00840)</t>
        </is>
      </c>
      <c r="C975" t="inlineStr">
        <is>
          <t>Gucci Guilty Black Pour Homme (00003465)</t>
        </is>
      </c>
      <c r="D975" s="1" t="n">
        <v>3616305820846</v>
      </c>
      <c r="E975" t="inlineStr">
        <is>
          <t>GUCCI G BLK H RG EDT 90 ML ESSENCE IV</t>
        </is>
      </c>
      <c r="F975" t="inlineStr">
        <is>
          <t>P_US_ULTA</t>
        </is>
      </c>
      <c r="G975" t="inlineStr">
        <is>
          <t>Month-2026.M09.W38</t>
        </is>
      </c>
      <c r="H975" t="inlineStr">
        <is>
          <t>Consensus - Final LY M</t>
        </is>
      </c>
      <c r="I975" t="n">
        <v>428</v>
      </c>
      <c r="J975" t="n">
        <v>3098</v>
      </c>
      <c r="K975" t="n">
        <v>1114</v>
      </c>
      <c r="L975" t="n">
        <v>4419</v>
      </c>
      <c r="M975" t="n">
        <v>1908</v>
      </c>
      <c r="N975" t="n">
        <v>3031</v>
      </c>
      <c r="O975" t="n">
        <v>1999</v>
      </c>
      <c r="P975" t="n">
        <v>1519</v>
      </c>
      <c r="Q975" t="n">
        <v>1812</v>
      </c>
      <c r="R975" t="n">
        <v>261</v>
      </c>
      <c r="S975" t="n">
        <v>1129</v>
      </c>
      <c r="T975" t="n">
        <v>487</v>
      </c>
    </row>
    <row r="976">
      <c r="A976" t="inlineStr">
        <is>
          <t>Gucci</t>
        </is>
      </c>
      <c r="B976" t="inlineStr">
        <is>
          <t>Gucci Guilty (00840)</t>
        </is>
      </c>
      <c r="C976" t="inlineStr">
        <is>
          <t>Gucci Guilty Black Pour Homme (00003465)</t>
        </is>
      </c>
      <c r="D976" s="1" t="n">
        <v>3616305820846</v>
      </c>
      <c r="E976" t="inlineStr">
        <is>
          <t>GUCCI G BLK H RG EDT 90 ML ESSENCE IV</t>
        </is>
      </c>
      <c r="F976" t="inlineStr">
        <is>
          <t>P_US_ULTA</t>
        </is>
      </c>
      <c r="G976" t="inlineStr">
        <is>
          <t>Month-2026.M09.W38</t>
        </is>
      </c>
      <c r="H976" t="inlineStr">
        <is>
          <t>System FC - Final</t>
        </is>
      </c>
      <c r="I976" t="n">
        <v>1479</v>
      </c>
      <c r="J976" t="n">
        <v>856</v>
      </c>
      <c r="K976" t="n">
        <v>1596</v>
      </c>
      <c r="L976" t="n">
        <v>1413</v>
      </c>
      <c r="M976" t="n">
        <v>1234</v>
      </c>
      <c r="N976" t="n">
        <v>1643</v>
      </c>
      <c r="O976" t="n">
        <v>576</v>
      </c>
      <c r="P976" t="n">
        <v>1356</v>
      </c>
      <c r="Q976" t="n">
        <v>2338</v>
      </c>
      <c r="R976" t="n">
        <v>793</v>
      </c>
      <c r="S976" t="n">
        <v>868</v>
      </c>
      <c r="T976" t="n">
        <v>1018</v>
      </c>
    </row>
    <row r="977">
      <c r="A977" t="inlineStr">
        <is>
          <t>Gucci</t>
        </is>
      </c>
      <c r="B977" t="inlineStr">
        <is>
          <t>Gucci Guilty (00840)</t>
        </is>
      </c>
      <c r="C977" t="inlineStr">
        <is>
          <t>Gucci Guilty Black Pour Homme (00003465)</t>
        </is>
      </c>
      <c r="D977" s="1" t="n">
        <v>3616305820846</v>
      </c>
      <c r="E977" t="inlineStr">
        <is>
          <t>GUCCI G BLK H RG EDT 90 ML ESSENCE IV</t>
        </is>
      </c>
      <c r="F977" t="inlineStr">
        <is>
          <t>P_US_ULTA</t>
        </is>
      </c>
      <c r="G977" t="inlineStr">
        <is>
          <t>Month-2026.M09.W38</t>
        </is>
      </c>
      <c r="H977" t="inlineStr">
        <is>
          <t>EPOS</t>
        </is>
      </c>
      <c r="I977" t="n">
        <v>850</v>
      </c>
    </row>
    <row r="978">
      <c r="A978" t="inlineStr">
        <is>
          <t>Gucci</t>
        </is>
      </c>
      <c r="B978" t="inlineStr">
        <is>
          <t>Gucci Guilty (00840)</t>
        </is>
      </c>
      <c r="C978" t="inlineStr">
        <is>
          <t>Gucci Guilty Black Pour Homme (00003465)</t>
        </is>
      </c>
      <c r="D978" s="1" t="n">
        <v>3616305820846</v>
      </c>
      <c r="E978" t="inlineStr">
        <is>
          <t>GUCCI G BLK H RG EDT 90 ML ESSENCE IV</t>
        </is>
      </c>
      <c r="F978" t="inlineStr">
        <is>
          <t>P_US_ULTA</t>
        </is>
      </c>
      <c r="G978" t="inlineStr">
        <is>
          <t>Month-2026.M09.W38</t>
        </is>
      </c>
      <c r="H978" t="inlineStr">
        <is>
          <t>Reasonability Adjustment</t>
        </is>
      </c>
      <c r="I978" t="n">
        <v>-357</v>
      </c>
      <c r="K978" t="n">
        <v>-933</v>
      </c>
      <c r="L978" t="n">
        <v>1589</v>
      </c>
      <c r="M978" t="n">
        <v>-398</v>
      </c>
      <c r="Q978" t="n">
        <v>-910</v>
      </c>
      <c r="T978" t="n">
        <v>-294</v>
      </c>
    </row>
    <row r="979">
      <c r="A979" t="inlineStr">
        <is>
          <t>Gucci</t>
        </is>
      </c>
      <c r="B979" t="inlineStr">
        <is>
          <t>Gucci Guilty (00840)</t>
        </is>
      </c>
      <c r="C979" t="inlineStr">
        <is>
          <t>Gucci Guilty Black Pour Homme (00003465)</t>
        </is>
      </c>
      <c r="D979" s="1" t="n">
        <v>3616305820846</v>
      </c>
      <c r="E979" t="inlineStr">
        <is>
          <t>GUCCI G BLK H RG EDT 90 ML ESSENCE IV</t>
        </is>
      </c>
      <c r="F979" t="inlineStr">
        <is>
          <t>P_US_ULTA</t>
        </is>
      </c>
      <c r="G979" t="inlineStr">
        <is>
          <t>Month-2026.M09.W38</t>
        </is>
      </c>
      <c r="H979" t="inlineStr">
        <is>
          <t>Total Demand Assumption</t>
        </is>
      </c>
    </row>
    <row r="980">
      <c r="A980" t="inlineStr">
        <is>
          <t>Gucci</t>
        </is>
      </c>
      <c r="B980" t="inlineStr">
        <is>
          <t>Gucci Guilty (00840)</t>
        </is>
      </c>
      <c r="C980" t="inlineStr">
        <is>
          <t>Gucci Guilty Black Pour Homme (00003465)</t>
        </is>
      </c>
      <c r="D980" s="1" t="n">
        <v>3616305820846</v>
      </c>
      <c r="E980" t="inlineStr">
        <is>
          <t>GUCCI G BLK H RG EDT 90 ML ESSENCE IV</t>
        </is>
      </c>
      <c r="F980" t="inlineStr">
        <is>
          <t>P_US_ULTA</t>
        </is>
      </c>
      <c r="G980" t="inlineStr">
        <is>
          <t>Month-2026.M09.W38</t>
        </is>
      </c>
      <c r="H980" t="inlineStr">
        <is>
          <t>Consensus - Final</t>
        </is>
      </c>
      <c r="I980" t="n">
        <v>1479</v>
      </c>
      <c r="J980" t="n">
        <v>856</v>
      </c>
      <c r="K980" t="n">
        <v>1318.17067003792</v>
      </c>
      <c r="L980" t="n">
        <v>3002</v>
      </c>
      <c r="M980" t="n">
        <v>836</v>
      </c>
      <c r="N980" t="n">
        <v>1643</v>
      </c>
      <c r="O980" t="n">
        <v>576</v>
      </c>
      <c r="P980" t="n">
        <v>1356</v>
      </c>
      <c r="Q980" t="n">
        <v>1428</v>
      </c>
      <c r="R980" t="n">
        <v>793</v>
      </c>
      <c r="S980" t="n">
        <v>868</v>
      </c>
      <c r="T980" t="n">
        <v>724</v>
      </c>
    </row>
    <row r="981">
      <c r="A981" t="inlineStr">
        <is>
          <t>Gucci</t>
        </is>
      </c>
      <c r="B981" t="inlineStr">
        <is>
          <t>Gucci Guilty (00840)</t>
        </is>
      </c>
      <c r="C981" t="inlineStr">
        <is>
          <t>Gucci Guilty Black Pour Homme (00003465)</t>
        </is>
      </c>
      <c r="D981" s="1" t="n">
        <v>3616305820846</v>
      </c>
      <c r="E981" t="inlineStr">
        <is>
          <t>GUCCI G BLK H RG EDT 90 ML ESSENCE IV</t>
        </is>
      </c>
      <c r="F981" t="inlineStr">
        <is>
          <t>P_US_ULTA</t>
        </is>
      </c>
      <c r="G981" t="inlineStr">
        <is>
          <t>Month-2026.M09.W38</t>
        </is>
      </c>
      <c r="H981" t="inlineStr">
        <is>
          <t>Supply Cuts</t>
        </is>
      </c>
    </row>
    <row r="982">
      <c r="A982" t="inlineStr">
        <is>
          <t>Kylie Makeup</t>
        </is>
      </c>
      <c r="B982" t="inlineStr">
        <is>
          <t>Lips (01245)</t>
        </is>
      </c>
      <c r="C982" t="inlineStr">
        <is>
          <t>Kylie Matte Lip Kit (00006094)</t>
        </is>
      </c>
      <c r="D982" s="1" t="n">
        <v>4064941006657</v>
      </c>
      <c r="E982" t="inlineStr">
        <is>
          <t>KJ MU M LIQ K SET NEW MDIN808 KYLIE 23IV</t>
        </is>
      </c>
      <c r="F982" t="inlineStr">
        <is>
          <t>P_US_ALL_OTHERS</t>
        </is>
      </c>
      <c r="G982" t="inlineStr">
        <is>
          <t>CurrentWorkingView</t>
        </is>
      </c>
      <c r="H982" t="inlineStr">
        <is>
          <t>Consensus - Final LY M</t>
        </is>
      </c>
      <c r="I982" t="n">
        <v>588</v>
      </c>
      <c r="J982" t="n">
        <v>549</v>
      </c>
      <c r="K982" t="n">
        <v>653</v>
      </c>
      <c r="L982" t="n">
        <v>578</v>
      </c>
      <c r="M982" t="n">
        <v>405</v>
      </c>
      <c r="N982" t="n">
        <v>492</v>
      </c>
      <c r="O982" t="n">
        <v>412</v>
      </c>
      <c r="P982" t="n">
        <v>958</v>
      </c>
      <c r="Q982" t="n">
        <v>560</v>
      </c>
      <c r="R982" t="n">
        <v>634</v>
      </c>
      <c r="S982" t="n">
        <v>780</v>
      </c>
      <c r="T982" t="n">
        <v>345</v>
      </c>
    </row>
    <row r="983">
      <c r="A983" t="inlineStr">
        <is>
          <t>Kylie Makeup</t>
        </is>
      </c>
      <c r="B983" t="inlineStr">
        <is>
          <t>Lips (01245)</t>
        </is>
      </c>
      <c r="C983" t="inlineStr">
        <is>
          <t>Kylie Matte Lip Kit (00006094)</t>
        </is>
      </c>
      <c r="D983" s="1" t="n">
        <v>4064941006657</v>
      </c>
      <c r="E983" t="inlineStr">
        <is>
          <t>KJ MU M LIQ K SET NEW MDIN808 KYLIE 23IV</t>
        </is>
      </c>
      <c r="F983" t="inlineStr">
        <is>
          <t>P_US_ALL_OTHERS</t>
        </is>
      </c>
      <c r="G983" t="inlineStr">
        <is>
          <t>CurrentWorkingView</t>
        </is>
      </c>
      <c r="H983" t="inlineStr">
        <is>
          <t>System FC - Final</t>
        </is>
      </c>
      <c r="I983" t="n">
        <v>291</v>
      </c>
      <c r="J983" t="n">
        <v>329</v>
      </c>
      <c r="K983" t="n">
        <v>277</v>
      </c>
      <c r="L983" t="n">
        <v>305</v>
      </c>
      <c r="M983" t="n">
        <v>367</v>
      </c>
      <c r="N983" t="n">
        <v>195</v>
      </c>
      <c r="O983" t="n">
        <v>341</v>
      </c>
      <c r="P983" t="n">
        <v>628</v>
      </c>
      <c r="Q983" t="n">
        <v>686</v>
      </c>
      <c r="R983" t="n">
        <v>788</v>
      </c>
      <c r="S983" t="n">
        <v>271</v>
      </c>
      <c r="T983" t="n">
        <v>562</v>
      </c>
    </row>
    <row r="984">
      <c r="A984" t="inlineStr">
        <is>
          <t>Kylie Makeup</t>
        </is>
      </c>
      <c r="B984" t="inlineStr">
        <is>
          <t>Lips (01245)</t>
        </is>
      </c>
      <c r="C984" t="inlineStr">
        <is>
          <t>Kylie Matte Lip Kit (00006094)</t>
        </is>
      </c>
      <c r="D984" s="1" t="n">
        <v>4064941006657</v>
      </c>
      <c r="E984" t="inlineStr">
        <is>
          <t>KJ MU M LIQ K SET NEW MDIN808 KYLIE 23IV</t>
        </is>
      </c>
      <c r="F984" t="inlineStr">
        <is>
          <t>P_US_ALL_OTHERS</t>
        </is>
      </c>
      <c r="G984" t="inlineStr">
        <is>
          <t>CurrentWorkingView</t>
        </is>
      </c>
      <c r="H984" t="inlineStr">
        <is>
          <t>EPOS</t>
        </is>
      </c>
      <c r="I984" t="n">
        <v>279</v>
      </c>
    </row>
    <row r="985">
      <c r="A985" t="inlineStr">
        <is>
          <t>Kylie Makeup</t>
        </is>
      </c>
      <c r="B985" t="inlineStr">
        <is>
          <t>Lips (01245)</t>
        </is>
      </c>
      <c r="C985" t="inlineStr">
        <is>
          <t>Kylie Matte Lip Kit (00006094)</t>
        </is>
      </c>
      <c r="D985" s="1" t="n">
        <v>4064941006657</v>
      </c>
      <c r="E985" t="inlineStr">
        <is>
          <t>KJ MU M LIQ K SET NEW MDIN808 KYLIE 23IV</t>
        </is>
      </c>
      <c r="F985" t="inlineStr">
        <is>
          <t>P_US_ALL_OTHERS</t>
        </is>
      </c>
      <c r="G985" t="inlineStr">
        <is>
          <t>CurrentWorkingView</t>
        </is>
      </c>
      <c r="H985" t="inlineStr">
        <is>
          <t>Reasonability Adjustment</t>
        </is>
      </c>
      <c r="T985" t="n">
        <v>-139</v>
      </c>
    </row>
    <row r="986">
      <c r="A986" t="inlineStr">
        <is>
          <t>Kylie Makeup</t>
        </is>
      </c>
      <c r="B986" t="inlineStr">
        <is>
          <t>Lips (01245)</t>
        </is>
      </c>
      <c r="C986" t="inlineStr">
        <is>
          <t>Kylie Matte Lip Kit (00006094)</t>
        </is>
      </c>
      <c r="D986" s="1" t="n">
        <v>4064941006657</v>
      </c>
      <c r="E986" t="inlineStr">
        <is>
          <t>KJ MU M LIQ K SET NEW MDIN808 KYLIE 23IV</t>
        </is>
      </c>
      <c r="F986" t="inlineStr">
        <is>
          <t>P_US_ALL_OTHERS</t>
        </is>
      </c>
      <c r="G986" t="inlineStr">
        <is>
          <t>CurrentWorkingView</t>
        </is>
      </c>
      <c r="H986" t="inlineStr">
        <is>
          <t>Total Demand Assumption</t>
        </is>
      </c>
      <c r="I986" t="n">
        <v>7075</v>
      </c>
    </row>
    <row r="987">
      <c r="A987" t="inlineStr">
        <is>
          <t>Kylie Makeup</t>
        </is>
      </c>
      <c r="B987" t="inlineStr">
        <is>
          <t>Lips (01245)</t>
        </is>
      </c>
      <c r="C987" t="inlineStr">
        <is>
          <t>Kylie Matte Lip Kit (00006094)</t>
        </is>
      </c>
      <c r="D987" s="1" t="n">
        <v>4064941006657</v>
      </c>
      <c r="E987" t="inlineStr">
        <is>
          <t>KJ MU M LIQ K SET NEW MDIN808 KYLIE 23IV</t>
        </is>
      </c>
      <c r="F987" t="inlineStr">
        <is>
          <t>P_US_ALL_OTHERS</t>
        </is>
      </c>
      <c r="G987" t="inlineStr">
        <is>
          <t>CurrentWorkingView</t>
        </is>
      </c>
      <c r="H987" t="inlineStr">
        <is>
          <t>Consensus - Final</t>
        </is>
      </c>
      <c r="I987" t="n">
        <v>291</v>
      </c>
      <c r="J987" t="n">
        <v>329</v>
      </c>
      <c r="K987" t="n">
        <v>337.447058823529</v>
      </c>
      <c r="L987" t="n">
        <v>305</v>
      </c>
      <c r="M987" t="n">
        <v>367</v>
      </c>
      <c r="N987" t="n">
        <v>195</v>
      </c>
      <c r="O987" t="n">
        <v>341</v>
      </c>
      <c r="P987" t="n">
        <v>628</v>
      </c>
      <c r="Q987" t="n">
        <v>686</v>
      </c>
      <c r="R987" t="n">
        <v>788</v>
      </c>
      <c r="S987" t="n">
        <v>271</v>
      </c>
      <c r="T987" t="n">
        <v>423</v>
      </c>
    </row>
    <row r="988">
      <c r="A988" t="inlineStr">
        <is>
          <t>Kylie Makeup</t>
        </is>
      </c>
      <c r="B988" t="inlineStr">
        <is>
          <t>Lips (01245)</t>
        </is>
      </c>
      <c r="C988" t="inlineStr">
        <is>
          <t>Kylie Matte Lip Kit (00006094)</t>
        </is>
      </c>
      <c r="D988" s="1" t="n">
        <v>4064941006657</v>
      </c>
      <c r="E988" t="inlineStr">
        <is>
          <t>KJ MU M LIQ K SET NEW MDIN808 KYLIE 23IV</t>
        </is>
      </c>
      <c r="F988" t="inlineStr">
        <is>
          <t>P_US_ALL_OTHERS</t>
        </is>
      </c>
      <c r="G988" t="inlineStr">
        <is>
          <t>CurrentWorkingView</t>
        </is>
      </c>
      <c r="H988" t="inlineStr">
        <is>
          <t>Supply Cuts</t>
        </is>
      </c>
    </row>
    <row r="989">
      <c r="A989" t="inlineStr">
        <is>
          <t>Kylie Makeup</t>
        </is>
      </c>
      <c r="B989" t="inlineStr">
        <is>
          <t>Lips (01245)</t>
        </is>
      </c>
      <c r="C989" t="inlineStr">
        <is>
          <t>Kylie Matte Lip Kit (00006094)</t>
        </is>
      </c>
      <c r="D989" s="1" t="n">
        <v>4064941006657</v>
      </c>
      <c r="E989" t="inlineStr">
        <is>
          <t>KJ MU M LIQ K SET NEW MDIN808 KYLIE 23IV</t>
        </is>
      </c>
      <c r="F989" t="inlineStr">
        <is>
          <t>P_US_ALL_OTHERS</t>
        </is>
      </c>
      <c r="G989" t="inlineStr">
        <is>
          <t>Month-2026.M09.W38</t>
        </is>
      </c>
      <c r="H989" t="inlineStr">
        <is>
          <t>Consensus - Final LY M</t>
        </is>
      </c>
      <c r="I989" t="n">
        <v>588</v>
      </c>
      <c r="J989" t="n">
        <v>549</v>
      </c>
      <c r="K989" t="n">
        <v>653</v>
      </c>
      <c r="L989" t="n">
        <v>578</v>
      </c>
      <c r="M989" t="n">
        <v>405</v>
      </c>
      <c r="N989" t="n">
        <v>492</v>
      </c>
      <c r="O989" t="n">
        <v>412</v>
      </c>
      <c r="P989" t="n">
        <v>958</v>
      </c>
      <c r="Q989" t="n">
        <v>560</v>
      </c>
      <c r="R989" t="n">
        <v>634</v>
      </c>
      <c r="S989" t="n">
        <v>780</v>
      </c>
      <c r="T989" t="n">
        <v>345</v>
      </c>
    </row>
    <row r="990">
      <c r="A990" t="inlineStr">
        <is>
          <t>Kylie Makeup</t>
        </is>
      </c>
      <c r="B990" t="inlineStr">
        <is>
          <t>Lips (01245)</t>
        </is>
      </c>
      <c r="C990" t="inlineStr">
        <is>
          <t>Kylie Matte Lip Kit (00006094)</t>
        </is>
      </c>
      <c r="D990" s="1" t="n">
        <v>4064941006657</v>
      </c>
      <c r="E990" t="inlineStr">
        <is>
          <t>KJ MU M LIQ K SET NEW MDIN808 KYLIE 23IV</t>
        </is>
      </c>
      <c r="F990" t="inlineStr">
        <is>
          <t>P_US_ALL_OTHERS</t>
        </is>
      </c>
      <c r="G990" t="inlineStr">
        <is>
          <t>Month-2026.M09.W38</t>
        </is>
      </c>
      <c r="H990" t="inlineStr">
        <is>
          <t>System FC - Final</t>
        </is>
      </c>
      <c r="I990" t="n">
        <v>291</v>
      </c>
      <c r="J990" t="n">
        <v>329</v>
      </c>
      <c r="K990" t="n">
        <v>334</v>
      </c>
      <c r="L990" t="n">
        <v>446</v>
      </c>
      <c r="M990" t="n">
        <v>270</v>
      </c>
      <c r="N990" t="n">
        <v>408</v>
      </c>
      <c r="O990" t="n">
        <v>669</v>
      </c>
      <c r="P990" t="n">
        <v>612</v>
      </c>
      <c r="Q990" t="n">
        <v>859</v>
      </c>
      <c r="R990" t="n">
        <v>378</v>
      </c>
      <c r="S990" t="n">
        <v>354</v>
      </c>
      <c r="T990" t="n">
        <v>588</v>
      </c>
    </row>
    <row r="991">
      <c r="A991" t="inlineStr">
        <is>
          <t>Kylie Makeup</t>
        </is>
      </c>
      <c r="B991" t="inlineStr">
        <is>
          <t>Lips (01245)</t>
        </is>
      </c>
      <c r="C991" t="inlineStr">
        <is>
          <t>Kylie Matte Lip Kit (00006094)</t>
        </is>
      </c>
      <c r="D991" s="1" t="n">
        <v>4064941006657</v>
      </c>
      <c r="E991" t="inlineStr">
        <is>
          <t>KJ MU M LIQ K SET NEW MDIN808 KYLIE 23IV</t>
        </is>
      </c>
      <c r="F991" t="inlineStr">
        <is>
          <t>P_US_ALL_OTHERS</t>
        </is>
      </c>
      <c r="G991" t="inlineStr">
        <is>
          <t>Month-2026.M09.W38</t>
        </is>
      </c>
      <c r="H991" t="inlineStr">
        <is>
          <t>EPOS</t>
        </is>
      </c>
      <c r="I991" t="n">
        <v>279</v>
      </c>
    </row>
    <row r="992">
      <c r="A992" t="inlineStr">
        <is>
          <t>Kylie Makeup</t>
        </is>
      </c>
      <c r="B992" t="inlineStr">
        <is>
          <t>Lips (01245)</t>
        </is>
      </c>
      <c r="C992" t="inlineStr">
        <is>
          <t>Kylie Matte Lip Kit (00006094)</t>
        </is>
      </c>
      <c r="D992" s="1" t="n">
        <v>4064941006657</v>
      </c>
      <c r="E992" t="inlineStr">
        <is>
          <t>KJ MU M LIQ K SET NEW MDIN808 KYLIE 23IV</t>
        </is>
      </c>
      <c r="F992" t="inlineStr">
        <is>
          <t>P_US_ALL_OTHERS</t>
        </is>
      </c>
      <c r="G992" t="inlineStr">
        <is>
          <t>Month-2026.M09.W38</t>
        </is>
      </c>
      <c r="H992" t="inlineStr">
        <is>
          <t>Reasonability Adjustment</t>
        </is>
      </c>
      <c r="T992" t="n">
        <v>-139</v>
      </c>
    </row>
    <row r="993">
      <c r="A993" t="inlineStr">
        <is>
          <t>Kylie Makeup</t>
        </is>
      </c>
      <c r="B993" t="inlineStr">
        <is>
          <t>Lips (01245)</t>
        </is>
      </c>
      <c r="C993" t="inlineStr">
        <is>
          <t>Kylie Matte Lip Kit (00006094)</t>
        </is>
      </c>
      <c r="D993" s="1" t="n">
        <v>4064941006657</v>
      </c>
      <c r="E993" t="inlineStr">
        <is>
          <t>KJ MU M LIQ K SET NEW MDIN808 KYLIE 23IV</t>
        </is>
      </c>
      <c r="F993" t="inlineStr">
        <is>
          <t>P_US_ALL_OTHERS</t>
        </is>
      </c>
      <c r="G993" t="inlineStr">
        <is>
          <t>Month-2026.M09.W38</t>
        </is>
      </c>
      <c r="H993" t="inlineStr">
        <is>
          <t>Total Demand Assumption</t>
        </is>
      </c>
      <c r="I993" t="n">
        <v>7075</v>
      </c>
    </row>
    <row r="994">
      <c r="A994" t="inlineStr">
        <is>
          <t>Kylie Makeup</t>
        </is>
      </c>
      <c r="B994" t="inlineStr">
        <is>
          <t>Lips (01245)</t>
        </is>
      </c>
      <c r="C994" t="inlineStr">
        <is>
          <t>Kylie Matte Lip Kit (00006094)</t>
        </is>
      </c>
      <c r="D994" s="1" t="n">
        <v>4064941006657</v>
      </c>
      <c r="E994" t="inlineStr">
        <is>
          <t>KJ MU M LIQ K SET NEW MDIN808 KYLIE 23IV</t>
        </is>
      </c>
      <c r="F994" t="inlineStr">
        <is>
          <t>P_US_ALL_OTHERS</t>
        </is>
      </c>
      <c r="G994" t="inlineStr">
        <is>
          <t>Month-2026.M09.W38</t>
        </is>
      </c>
      <c r="H994" t="inlineStr">
        <is>
          <t>Consensus - Final</t>
        </is>
      </c>
      <c r="I994" t="n">
        <v>291</v>
      </c>
      <c r="J994" t="n">
        <v>329</v>
      </c>
      <c r="K994" t="n">
        <v>337.447058823529</v>
      </c>
      <c r="L994" t="n">
        <v>446</v>
      </c>
      <c r="M994" t="n">
        <v>270</v>
      </c>
      <c r="N994" t="n">
        <v>408</v>
      </c>
      <c r="O994" t="n">
        <v>669</v>
      </c>
      <c r="P994" t="n">
        <v>612</v>
      </c>
      <c r="Q994" t="n">
        <v>859</v>
      </c>
      <c r="R994" t="n">
        <v>378</v>
      </c>
      <c r="S994" t="n">
        <v>354</v>
      </c>
      <c r="T994" t="n">
        <v>449</v>
      </c>
    </row>
    <row r="995">
      <c r="A995" t="inlineStr">
        <is>
          <t>Kylie Makeup</t>
        </is>
      </c>
      <c r="B995" t="inlineStr">
        <is>
          <t>Lips (01245)</t>
        </is>
      </c>
      <c r="C995" t="inlineStr">
        <is>
          <t>Kylie Matte Lip Kit (00006094)</t>
        </is>
      </c>
      <c r="D995" s="1" t="n">
        <v>4064941006657</v>
      </c>
      <c r="E995" t="inlineStr">
        <is>
          <t>KJ MU M LIQ K SET NEW MDIN808 KYLIE 23IV</t>
        </is>
      </c>
      <c r="F995" t="inlineStr">
        <is>
          <t>P_US_ALL_OTHERS</t>
        </is>
      </c>
      <c r="G995" t="inlineStr">
        <is>
          <t>Month-2026.M09.W38</t>
        </is>
      </c>
      <c r="H995" t="inlineStr">
        <is>
          <t>Supply Cuts</t>
        </is>
      </c>
    </row>
    <row r="996">
      <c r="A996" t="inlineStr">
        <is>
          <t>Kylie Makeup</t>
        </is>
      </c>
      <c r="B996" t="inlineStr">
        <is>
          <t>Lips (01245)</t>
        </is>
      </c>
      <c r="C996" t="inlineStr">
        <is>
          <t>Kylie Matte Lip Kit (00006094)</t>
        </is>
      </c>
      <c r="D996" s="1" t="n">
        <v>4064941006657</v>
      </c>
      <c r="E996" t="inlineStr">
        <is>
          <t>KJ MU M LIQ K SET NEW MDIN808 KYLIE 23IV</t>
        </is>
      </c>
      <c r="F996" t="inlineStr">
        <is>
          <t>P_US_FG</t>
        </is>
      </c>
      <c r="G996" t="inlineStr">
        <is>
          <t>CurrentWorkingView</t>
        </is>
      </c>
      <c r="H996" t="inlineStr">
        <is>
          <t>Consensus - Final LY M</t>
        </is>
      </c>
      <c r="I996" t="n">
        <v>65</v>
      </c>
      <c r="J996" t="n">
        <v>40</v>
      </c>
      <c r="K996" t="n">
        <v>252</v>
      </c>
      <c r="L996" t="n">
        <v>9</v>
      </c>
      <c r="M996" t="n">
        <v>36</v>
      </c>
      <c r="N996" t="n">
        <v>70</v>
      </c>
      <c r="O996" t="n">
        <v>88</v>
      </c>
      <c r="Q996" t="n">
        <v>122</v>
      </c>
      <c r="R996" t="n">
        <v>300</v>
      </c>
      <c r="T996" t="n">
        <v>21</v>
      </c>
    </row>
    <row r="997">
      <c r="A997" t="inlineStr">
        <is>
          <t>Kylie Makeup</t>
        </is>
      </c>
      <c r="B997" t="inlineStr">
        <is>
          <t>Lips (01245)</t>
        </is>
      </c>
      <c r="C997" t="inlineStr">
        <is>
          <t>Kylie Matte Lip Kit (00006094)</t>
        </is>
      </c>
      <c r="D997" s="1" t="n">
        <v>4064941006657</v>
      </c>
      <c r="E997" t="inlineStr">
        <is>
          <t>KJ MU M LIQ K SET NEW MDIN808 KYLIE 23IV</t>
        </is>
      </c>
      <c r="F997" t="inlineStr">
        <is>
          <t>P_US_FG</t>
        </is>
      </c>
      <c r="G997" t="inlineStr">
        <is>
          <t>CurrentWorkingView</t>
        </is>
      </c>
      <c r="H997" t="inlineStr">
        <is>
          <t>System FC - Final</t>
        </is>
      </c>
      <c r="K997" t="n">
        <v>85</v>
      </c>
      <c r="L997" t="n">
        <v>134</v>
      </c>
      <c r="M997" t="n">
        <v>52</v>
      </c>
      <c r="N997" t="n">
        <v>67</v>
      </c>
      <c r="O997" t="n">
        <v>71</v>
      </c>
      <c r="P997" t="n">
        <v>4</v>
      </c>
      <c r="Q997" t="n">
        <v>106</v>
      </c>
      <c r="R997" t="n">
        <v>278</v>
      </c>
      <c r="S997" t="n">
        <v>18</v>
      </c>
      <c r="T997" t="n">
        <v>21</v>
      </c>
    </row>
    <row r="998">
      <c r="A998" t="inlineStr">
        <is>
          <t>Kylie Makeup</t>
        </is>
      </c>
      <c r="B998" t="inlineStr">
        <is>
          <t>Lips (01245)</t>
        </is>
      </c>
      <c r="C998" t="inlineStr">
        <is>
          <t>Kylie Matte Lip Kit (00006094)</t>
        </is>
      </c>
      <c r="D998" s="1" t="n">
        <v>4064941006657</v>
      </c>
      <c r="E998" t="inlineStr">
        <is>
          <t>KJ MU M LIQ K SET NEW MDIN808 KYLIE 23IV</t>
        </is>
      </c>
      <c r="F998" t="inlineStr">
        <is>
          <t>P_US_FG</t>
        </is>
      </c>
      <c r="G998" t="inlineStr">
        <is>
          <t>CurrentWorkingView</t>
        </is>
      </c>
      <c r="H998" t="inlineStr">
        <is>
          <t>EPOS</t>
        </is>
      </c>
    </row>
    <row r="999">
      <c r="A999" t="inlineStr">
        <is>
          <t>Kylie Makeup</t>
        </is>
      </c>
      <c r="B999" t="inlineStr">
        <is>
          <t>Lips (01245)</t>
        </is>
      </c>
      <c r="C999" t="inlineStr">
        <is>
          <t>Kylie Matte Lip Kit (00006094)</t>
        </is>
      </c>
      <c r="D999" s="1" t="n">
        <v>4064941006657</v>
      </c>
      <c r="E999" t="inlineStr">
        <is>
          <t>KJ MU M LIQ K SET NEW MDIN808 KYLIE 23IV</t>
        </is>
      </c>
      <c r="F999" t="inlineStr">
        <is>
          <t>P_US_FG</t>
        </is>
      </c>
      <c r="G999" t="inlineStr">
        <is>
          <t>CurrentWorkingView</t>
        </is>
      </c>
      <c r="H999" t="inlineStr">
        <is>
          <t>Reasonability Adjustment</t>
        </is>
      </c>
      <c r="J999" t="n">
        <v>-40</v>
      </c>
      <c r="K999" t="n">
        <v>-20</v>
      </c>
      <c r="N999" t="n">
        <v>-7</v>
      </c>
      <c r="P999" t="n">
        <v>-11</v>
      </c>
      <c r="Q999" t="n">
        <v>-27</v>
      </c>
      <c r="T999" t="n">
        <v>-15</v>
      </c>
    </row>
    <row r="1000">
      <c r="A1000" t="inlineStr">
        <is>
          <t>Kylie Makeup</t>
        </is>
      </c>
      <c r="B1000" t="inlineStr">
        <is>
          <t>Lips (01245)</t>
        </is>
      </c>
      <c r="C1000" t="inlineStr">
        <is>
          <t>Kylie Matte Lip Kit (00006094)</t>
        </is>
      </c>
      <c r="D1000" s="1" t="n">
        <v>4064941006657</v>
      </c>
      <c r="E1000" t="inlineStr">
        <is>
          <t>KJ MU M LIQ K SET NEW MDIN808 KYLIE 23IV</t>
        </is>
      </c>
      <c r="F1000" t="inlineStr">
        <is>
          <t>P_US_FG</t>
        </is>
      </c>
      <c r="G1000" t="inlineStr">
        <is>
          <t>CurrentWorkingView</t>
        </is>
      </c>
      <c r="H1000" t="inlineStr">
        <is>
          <t>Total Demand Assumption</t>
        </is>
      </c>
    </row>
    <row r="1001">
      <c r="A1001" t="inlineStr">
        <is>
          <t>Kylie Makeup</t>
        </is>
      </c>
      <c r="B1001" t="inlineStr">
        <is>
          <t>Lips (01245)</t>
        </is>
      </c>
      <c r="C1001" t="inlineStr">
        <is>
          <t>Kylie Matte Lip Kit (00006094)</t>
        </is>
      </c>
      <c r="D1001" s="1" t="n">
        <v>4064941006657</v>
      </c>
      <c r="E1001" t="inlineStr">
        <is>
          <t>KJ MU M LIQ K SET NEW MDIN808 KYLIE 23IV</t>
        </is>
      </c>
      <c r="F1001" t="inlineStr">
        <is>
          <t>P_US_FG</t>
        </is>
      </c>
      <c r="G1001" t="inlineStr">
        <is>
          <t>CurrentWorkingView</t>
        </is>
      </c>
      <c r="H1001" t="inlineStr">
        <is>
          <t>Consensus - Final</t>
        </is>
      </c>
    </row>
    <row r="1002">
      <c r="A1002" t="inlineStr">
        <is>
          <t>Kylie Makeup</t>
        </is>
      </c>
      <c r="B1002" t="inlineStr">
        <is>
          <t>Lips (01245)</t>
        </is>
      </c>
      <c r="C1002" t="inlineStr">
        <is>
          <t>Kylie Matte Lip Kit (00006094)</t>
        </is>
      </c>
      <c r="D1002" s="1" t="n">
        <v>4064941006657</v>
      </c>
      <c r="E1002" t="inlineStr">
        <is>
          <t>KJ MU M LIQ K SET NEW MDIN808 KYLIE 23IV</t>
        </is>
      </c>
      <c r="F1002" t="inlineStr">
        <is>
          <t>P_US_FG</t>
        </is>
      </c>
      <c r="G1002" t="inlineStr">
        <is>
          <t>CurrentWorkingView</t>
        </is>
      </c>
      <c r="H1002" t="inlineStr">
        <is>
          <t>Supply Cuts</t>
        </is>
      </c>
    </row>
    <row r="1003">
      <c r="A1003" t="inlineStr">
        <is>
          <t>Kylie Makeup</t>
        </is>
      </c>
      <c r="B1003" t="inlineStr">
        <is>
          <t>Lips (01245)</t>
        </is>
      </c>
      <c r="C1003" t="inlineStr">
        <is>
          <t>Kylie Matte Lip Kit (00006094)</t>
        </is>
      </c>
      <c r="D1003" s="1" t="n">
        <v>4064941006657</v>
      </c>
      <c r="E1003" t="inlineStr">
        <is>
          <t>KJ MU M LIQ K SET NEW MDIN808 KYLIE 23IV</t>
        </is>
      </c>
      <c r="F1003" t="inlineStr">
        <is>
          <t>P_US_FG</t>
        </is>
      </c>
      <c r="G1003" t="inlineStr">
        <is>
          <t>Month-2026.M09.W38</t>
        </is>
      </c>
      <c r="H1003" t="inlineStr">
        <is>
          <t>Consensus - Final LY M</t>
        </is>
      </c>
      <c r="I1003" t="n">
        <v>65</v>
      </c>
      <c r="J1003" t="n">
        <v>40</v>
      </c>
      <c r="K1003" t="n">
        <v>252</v>
      </c>
      <c r="L1003" t="n">
        <v>9</v>
      </c>
      <c r="M1003" t="n">
        <v>36</v>
      </c>
      <c r="N1003" t="n">
        <v>70</v>
      </c>
      <c r="O1003" t="n">
        <v>88</v>
      </c>
      <c r="Q1003" t="n">
        <v>122</v>
      </c>
      <c r="R1003" t="n">
        <v>300</v>
      </c>
      <c r="T1003" t="n">
        <v>21</v>
      </c>
    </row>
    <row r="1004">
      <c r="A1004" t="inlineStr">
        <is>
          <t>Kylie Makeup</t>
        </is>
      </c>
      <c r="B1004" t="inlineStr">
        <is>
          <t>Lips (01245)</t>
        </is>
      </c>
      <c r="C1004" t="inlineStr">
        <is>
          <t>Kylie Matte Lip Kit (00006094)</t>
        </is>
      </c>
      <c r="D1004" s="1" t="n">
        <v>4064941006657</v>
      </c>
      <c r="E1004" t="inlineStr">
        <is>
          <t>KJ MU M LIQ K SET NEW MDIN808 KYLIE 23IV</t>
        </is>
      </c>
      <c r="F1004" t="inlineStr">
        <is>
          <t>P_US_FG</t>
        </is>
      </c>
      <c r="G1004" t="inlineStr">
        <is>
          <t>Month-2026.M09.W38</t>
        </is>
      </c>
      <c r="H1004" t="inlineStr">
        <is>
          <t>System FC - Final</t>
        </is>
      </c>
      <c r="K1004" t="n">
        <v>125</v>
      </c>
      <c r="L1004" t="n">
        <v>134</v>
      </c>
      <c r="M1004" t="n">
        <v>52</v>
      </c>
      <c r="N1004" t="n">
        <v>66</v>
      </c>
      <c r="O1004" t="n">
        <v>71</v>
      </c>
      <c r="P1004" t="n">
        <v>0</v>
      </c>
      <c r="Q1004" t="n">
        <v>102</v>
      </c>
      <c r="R1004" t="n">
        <v>274</v>
      </c>
      <c r="S1004" t="n">
        <v>13</v>
      </c>
      <c r="T1004" t="n">
        <v>59</v>
      </c>
    </row>
    <row r="1005">
      <c r="A1005" t="inlineStr">
        <is>
          <t>Kylie Makeup</t>
        </is>
      </c>
      <c r="B1005" t="inlineStr">
        <is>
          <t>Lips (01245)</t>
        </is>
      </c>
      <c r="C1005" t="inlineStr">
        <is>
          <t>Kylie Matte Lip Kit (00006094)</t>
        </is>
      </c>
      <c r="D1005" s="1" t="n">
        <v>4064941006657</v>
      </c>
      <c r="E1005" t="inlineStr">
        <is>
          <t>KJ MU M LIQ K SET NEW MDIN808 KYLIE 23IV</t>
        </is>
      </c>
      <c r="F1005" t="inlineStr">
        <is>
          <t>P_US_FG</t>
        </is>
      </c>
      <c r="G1005" t="inlineStr">
        <is>
          <t>Month-2026.M09.W38</t>
        </is>
      </c>
      <c r="H1005" t="inlineStr">
        <is>
          <t>EPOS</t>
        </is>
      </c>
    </row>
    <row r="1006">
      <c r="A1006" t="inlineStr">
        <is>
          <t>Kylie Makeup</t>
        </is>
      </c>
      <c r="B1006" t="inlineStr">
        <is>
          <t>Lips (01245)</t>
        </is>
      </c>
      <c r="C1006" t="inlineStr">
        <is>
          <t>Kylie Matte Lip Kit (00006094)</t>
        </is>
      </c>
      <c r="D1006" s="1" t="n">
        <v>4064941006657</v>
      </c>
      <c r="E1006" t="inlineStr">
        <is>
          <t>KJ MU M LIQ K SET NEW MDIN808 KYLIE 23IV</t>
        </is>
      </c>
      <c r="F1006" t="inlineStr">
        <is>
          <t>P_US_FG</t>
        </is>
      </c>
      <c r="G1006" t="inlineStr">
        <is>
          <t>Month-2026.M09.W38</t>
        </is>
      </c>
      <c r="H1006" t="inlineStr">
        <is>
          <t>Reasonability Adjustment</t>
        </is>
      </c>
      <c r="J1006" t="n">
        <v>-40</v>
      </c>
      <c r="K1006" t="n">
        <v>-20</v>
      </c>
      <c r="N1006" t="n">
        <v>-7</v>
      </c>
      <c r="P1006" t="n">
        <v>-11</v>
      </c>
      <c r="Q1006" t="n">
        <v>-27</v>
      </c>
      <c r="T1006" t="n">
        <v>-15</v>
      </c>
    </row>
    <row r="1007">
      <c r="A1007" t="inlineStr">
        <is>
          <t>Kylie Makeup</t>
        </is>
      </c>
      <c r="B1007" t="inlineStr">
        <is>
          <t>Lips (01245)</t>
        </is>
      </c>
      <c r="C1007" t="inlineStr">
        <is>
          <t>Kylie Matte Lip Kit (00006094)</t>
        </is>
      </c>
      <c r="D1007" s="1" t="n">
        <v>4064941006657</v>
      </c>
      <c r="E1007" t="inlineStr">
        <is>
          <t>KJ MU M LIQ K SET NEW MDIN808 KYLIE 23IV</t>
        </is>
      </c>
      <c r="F1007" t="inlineStr">
        <is>
          <t>P_US_FG</t>
        </is>
      </c>
      <c r="G1007" t="inlineStr">
        <is>
          <t>Month-2026.M09.W38</t>
        </is>
      </c>
      <c r="H1007" t="inlineStr">
        <is>
          <t>Total Demand Assumption</t>
        </is>
      </c>
    </row>
    <row r="1008">
      <c r="A1008" t="inlineStr">
        <is>
          <t>Kylie Makeup</t>
        </is>
      </c>
      <c r="B1008" t="inlineStr">
        <is>
          <t>Lips (01245)</t>
        </is>
      </c>
      <c r="C1008" t="inlineStr">
        <is>
          <t>Kylie Matte Lip Kit (00006094)</t>
        </is>
      </c>
      <c r="D1008" s="1" t="n">
        <v>4064941006657</v>
      </c>
      <c r="E1008" t="inlineStr">
        <is>
          <t>KJ MU M LIQ K SET NEW MDIN808 KYLIE 23IV</t>
        </is>
      </c>
      <c r="F1008" t="inlineStr">
        <is>
          <t>P_US_FG</t>
        </is>
      </c>
      <c r="G1008" t="inlineStr">
        <is>
          <t>Month-2026.M09.W38</t>
        </is>
      </c>
      <c r="H1008" t="inlineStr">
        <is>
          <t>Consensus - Final</t>
        </is>
      </c>
    </row>
    <row r="1009">
      <c r="A1009" t="inlineStr">
        <is>
          <t>Kylie Makeup</t>
        </is>
      </c>
      <c r="B1009" t="inlineStr">
        <is>
          <t>Lips (01245)</t>
        </is>
      </c>
      <c r="C1009" t="inlineStr">
        <is>
          <t>Kylie Matte Lip Kit (00006094)</t>
        </is>
      </c>
      <c r="D1009" s="1" t="n">
        <v>4064941006657</v>
      </c>
      <c r="E1009" t="inlineStr">
        <is>
          <t>KJ MU M LIQ K SET NEW MDIN808 KYLIE 23IV</t>
        </is>
      </c>
      <c r="F1009" t="inlineStr">
        <is>
          <t>P_US_FG</t>
        </is>
      </c>
      <c r="G1009" t="inlineStr">
        <is>
          <t>Month-2026.M09.W38</t>
        </is>
      </c>
      <c r="H1009" t="inlineStr">
        <is>
          <t>Supply Cuts</t>
        </is>
      </c>
    </row>
    <row r="1010">
      <c r="A1010" t="inlineStr">
        <is>
          <t>Kylie Makeup</t>
        </is>
      </c>
      <c r="B1010" t="inlineStr">
        <is>
          <t>Lips (01245)</t>
        </is>
      </c>
      <c r="C1010" t="inlineStr">
        <is>
          <t>Kylie Matte Lip Kit (00006094)</t>
        </is>
      </c>
      <c r="D1010" s="1" t="n">
        <v>4064941006657</v>
      </c>
      <c r="E1010" t="inlineStr">
        <is>
          <t>KJ MU M LIQ K SET NEW MDIN808 KYLIE 23IV</t>
        </is>
      </c>
      <c r="F1010" t="inlineStr">
        <is>
          <t>P_US_ULTA</t>
        </is>
      </c>
      <c r="G1010" t="inlineStr">
        <is>
          <t>CurrentWorkingView</t>
        </is>
      </c>
      <c r="H1010" t="inlineStr">
        <is>
          <t>Consensus - Final LY M</t>
        </is>
      </c>
      <c r="I1010" t="n">
        <v>3460</v>
      </c>
      <c r="J1010" t="n">
        <v>1635</v>
      </c>
      <c r="K1010" t="n">
        <v>1959</v>
      </c>
      <c r="L1010" t="n">
        <v>3948</v>
      </c>
      <c r="M1010" t="n">
        <v>3462</v>
      </c>
      <c r="N1010" t="n">
        <v>3025</v>
      </c>
      <c r="O1010" t="n">
        <v>6994</v>
      </c>
      <c r="P1010" t="n">
        <v>3451</v>
      </c>
      <c r="Q1010" t="n">
        <v>3714</v>
      </c>
      <c r="R1010" t="n">
        <v>5613</v>
      </c>
      <c r="S1010" t="n">
        <v>4268</v>
      </c>
      <c r="T1010" t="n">
        <v>3036</v>
      </c>
    </row>
    <row r="1011">
      <c r="A1011" t="inlineStr">
        <is>
          <t>Kylie Makeup</t>
        </is>
      </c>
      <c r="B1011" t="inlineStr">
        <is>
          <t>Lips (01245)</t>
        </is>
      </c>
      <c r="C1011" t="inlineStr">
        <is>
          <t>Kylie Matte Lip Kit (00006094)</t>
        </is>
      </c>
      <c r="D1011" s="1" t="n">
        <v>4064941006657</v>
      </c>
      <c r="E1011" t="inlineStr">
        <is>
          <t>KJ MU M LIQ K SET NEW MDIN808 KYLIE 23IV</t>
        </is>
      </c>
      <c r="F1011" t="inlineStr">
        <is>
          <t>P_US_ULTA</t>
        </is>
      </c>
      <c r="G1011" t="inlineStr">
        <is>
          <t>CurrentWorkingView</t>
        </is>
      </c>
      <c r="H1011" t="inlineStr">
        <is>
          <t>System FC - Final</t>
        </is>
      </c>
      <c r="I1011" t="n">
        <v>5050</v>
      </c>
      <c r="J1011" t="n">
        <v>3219</v>
      </c>
      <c r="K1011" t="n">
        <v>3818</v>
      </c>
      <c r="L1011" t="n">
        <v>2512</v>
      </c>
      <c r="M1011" t="n">
        <v>2550</v>
      </c>
      <c r="N1011" t="n">
        <v>3134</v>
      </c>
      <c r="O1011" t="n">
        <v>4978</v>
      </c>
      <c r="P1011" t="n">
        <v>5280</v>
      </c>
      <c r="Q1011" t="n">
        <v>6094</v>
      </c>
      <c r="R1011" t="n">
        <v>4827</v>
      </c>
      <c r="S1011" t="n">
        <v>3902</v>
      </c>
      <c r="T1011" t="n">
        <v>3347</v>
      </c>
    </row>
    <row r="1012">
      <c r="A1012" t="inlineStr">
        <is>
          <t>Kylie Makeup</t>
        </is>
      </c>
      <c r="B1012" t="inlineStr">
        <is>
          <t>Lips (01245)</t>
        </is>
      </c>
      <c r="C1012" t="inlineStr">
        <is>
          <t>Kylie Matte Lip Kit (00006094)</t>
        </is>
      </c>
      <c r="D1012" s="1" t="n">
        <v>4064941006657</v>
      </c>
      <c r="E1012" t="inlineStr">
        <is>
          <t>KJ MU M LIQ K SET NEW MDIN808 KYLIE 23IV</t>
        </is>
      </c>
      <c r="F1012" t="inlineStr">
        <is>
          <t>P_US_ULTA</t>
        </is>
      </c>
      <c r="G1012" t="inlineStr">
        <is>
          <t>CurrentWorkingView</t>
        </is>
      </c>
      <c r="H1012" t="inlineStr">
        <is>
          <t>EPOS</t>
        </is>
      </c>
      <c r="I1012" t="n">
        <v>2330</v>
      </c>
    </row>
    <row r="1013">
      <c r="A1013" t="inlineStr">
        <is>
          <t>Kylie Makeup</t>
        </is>
      </c>
      <c r="B1013" t="inlineStr">
        <is>
          <t>Lips (01245)</t>
        </is>
      </c>
      <c r="C1013" t="inlineStr">
        <is>
          <t>Kylie Matte Lip Kit (00006094)</t>
        </is>
      </c>
      <c r="D1013" s="1" t="n">
        <v>4064941006657</v>
      </c>
      <c r="E1013" t="inlineStr">
        <is>
          <t>KJ MU M LIQ K SET NEW MDIN808 KYLIE 23IV</t>
        </is>
      </c>
      <c r="F1013" t="inlineStr">
        <is>
          <t>P_US_ULTA</t>
        </is>
      </c>
      <c r="G1013" t="inlineStr">
        <is>
          <t>CurrentWorkingView</t>
        </is>
      </c>
      <c r="H1013" t="inlineStr">
        <is>
          <t>Reasonability Adjustment</t>
        </is>
      </c>
      <c r="T1013" t="n">
        <v>-904</v>
      </c>
    </row>
    <row r="1014">
      <c r="A1014" t="inlineStr">
        <is>
          <t>Kylie Makeup</t>
        </is>
      </c>
      <c r="B1014" t="inlineStr">
        <is>
          <t>Lips (01245)</t>
        </is>
      </c>
      <c r="C1014" t="inlineStr">
        <is>
          <t>Kylie Matte Lip Kit (00006094)</t>
        </is>
      </c>
      <c r="D1014" s="1" t="n">
        <v>4064941006657</v>
      </c>
      <c r="E1014" t="inlineStr">
        <is>
          <t>KJ MU M LIQ K SET NEW MDIN808 KYLIE 23IV</t>
        </is>
      </c>
      <c r="F1014" t="inlineStr">
        <is>
          <t>P_US_ULTA</t>
        </is>
      </c>
      <c r="G1014" t="inlineStr">
        <is>
          <t>CurrentWorkingView</t>
        </is>
      </c>
      <c r="H1014" t="inlineStr">
        <is>
          <t>Total Demand Assumption</t>
        </is>
      </c>
    </row>
    <row r="1015">
      <c r="A1015" t="inlineStr">
        <is>
          <t>Kylie Makeup</t>
        </is>
      </c>
      <c r="B1015" t="inlineStr">
        <is>
          <t>Lips (01245)</t>
        </is>
      </c>
      <c r="C1015" t="inlineStr">
        <is>
          <t>Kylie Matte Lip Kit (00006094)</t>
        </is>
      </c>
      <c r="D1015" s="1" t="n">
        <v>4064941006657</v>
      </c>
      <c r="E1015" t="inlineStr">
        <is>
          <t>KJ MU M LIQ K SET NEW MDIN808 KYLIE 23IV</t>
        </is>
      </c>
      <c r="F1015" t="inlineStr">
        <is>
          <t>P_US_ULTA</t>
        </is>
      </c>
      <c r="G1015" t="inlineStr">
        <is>
          <t>CurrentWorkingView</t>
        </is>
      </c>
      <c r="H1015" t="inlineStr">
        <is>
          <t>Consensus - Final</t>
        </is>
      </c>
      <c r="I1015" t="n">
        <v>5050</v>
      </c>
      <c r="J1015" t="n">
        <v>3219</v>
      </c>
      <c r="K1015" t="n">
        <v>4051.55294117647</v>
      </c>
      <c r="L1015" t="n">
        <v>2512</v>
      </c>
      <c r="M1015" t="n">
        <v>2550</v>
      </c>
      <c r="N1015" t="n">
        <v>3134</v>
      </c>
      <c r="O1015" t="n">
        <v>4978</v>
      </c>
      <c r="P1015" t="n">
        <v>5280</v>
      </c>
      <c r="Q1015" t="n">
        <v>6094</v>
      </c>
      <c r="R1015" t="n">
        <v>4827</v>
      </c>
      <c r="S1015" t="n">
        <v>3902</v>
      </c>
      <c r="T1015" t="n">
        <v>2443</v>
      </c>
    </row>
    <row r="1016">
      <c r="A1016" t="inlineStr">
        <is>
          <t>Kylie Makeup</t>
        </is>
      </c>
      <c r="B1016" t="inlineStr">
        <is>
          <t>Lips (01245)</t>
        </is>
      </c>
      <c r="C1016" t="inlineStr">
        <is>
          <t>Kylie Matte Lip Kit (00006094)</t>
        </is>
      </c>
      <c r="D1016" s="1" t="n">
        <v>4064941006657</v>
      </c>
      <c r="E1016" t="inlineStr">
        <is>
          <t>KJ MU M LIQ K SET NEW MDIN808 KYLIE 23IV</t>
        </is>
      </c>
      <c r="F1016" t="inlineStr">
        <is>
          <t>P_US_ULTA</t>
        </is>
      </c>
      <c r="G1016" t="inlineStr">
        <is>
          <t>CurrentWorkingView</t>
        </is>
      </c>
      <c r="H1016" t="inlineStr">
        <is>
          <t>Supply Cuts</t>
        </is>
      </c>
    </row>
    <row r="1017">
      <c r="A1017" t="inlineStr">
        <is>
          <t>Kylie Makeup</t>
        </is>
      </c>
      <c r="B1017" t="inlineStr">
        <is>
          <t>Lips (01245)</t>
        </is>
      </c>
      <c r="C1017" t="inlineStr">
        <is>
          <t>Kylie Matte Lip Kit (00006094)</t>
        </is>
      </c>
      <c r="D1017" s="1" t="n">
        <v>4064941006657</v>
      </c>
      <c r="E1017" t="inlineStr">
        <is>
          <t>KJ MU M LIQ K SET NEW MDIN808 KYLIE 23IV</t>
        </is>
      </c>
      <c r="F1017" t="inlineStr">
        <is>
          <t>P_US_ULTA</t>
        </is>
      </c>
      <c r="G1017" t="inlineStr">
        <is>
          <t>Month-2026.M09.W38</t>
        </is>
      </c>
      <c r="H1017" t="inlineStr">
        <is>
          <t>Consensus - Final LY M</t>
        </is>
      </c>
      <c r="I1017" t="n">
        <v>3460</v>
      </c>
      <c r="J1017" t="n">
        <v>1635</v>
      </c>
      <c r="K1017" t="n">
        <v>1959</v>
      </c>
      <c r="L1017" t="n">
        <v>3948</v>
      </c>
      <c r="M1017" t="n">
        <v>3462</v>
      </c>
      <c r="N1017" t="n">
        <v>3025</v>
      </c>
      <c r="O1017" t="n">
        <v>6994</v>
      </c>
      <c r="P1017" t="n">
        <v>3451</v>
      </c>
      <c r="Q1017" t="n">
        <v>3714</v>
      </c>
      <c r="R1017" t="n">
        <v>5613</v>
      </c>
      <c r="S1017" t="n">
        <v>4268</v>
      </c>
      <c r="T1017" t="n">
        <v>3036</v>
      </c>
    </row>
    <row r="1018">
      <c r="A1018" t="inlineStr">
        <is>
          <t>Kylie Makeup</t>
        </is>
      </c>
      <c r="B1018" t="inlineStr">
        <is>
          <t>Lips (01245)</t>
        </is>
      </c>
      <c r="C1018" t="inlineStr">
        <is>
          <t>Kylie Matte Lip Kit (00006094)</t>
        </is>
      </c>
      <c r="D1018" s="1" t="n">
        <v>4064941006657</v>
      </c>
      <c r="E1018" t="inlineStr">
        <is>
          <t>KJ MU M LIQ K SET NEW MDIN808 KYLIE 23IV</t>
        </is>
      </c>
      <c r="F1018" t="inlineStr">
        <is>
          <t>P_US_ULTA</t>
        </is>
      </c>
      <c r="G1018" t="inlineStr">
        <is>
          <t>Month-2026.M09.W38</t>
        </is>
      </c>
      <c r="H1018" t="inlineStr">
        <is>
          <t>System FC - Final</t>
        </is>
      </c>
      <c r="I1018" t="n">
        <v>5050</v>
      </c>
      <c r="J1018" t="n">
        <v>3219</v>
      </c>
      <c r="K1018" t="n">
        <v>4361</v>
      </c>
      <c r="L1018" t="n">
        <v>3977</v>
      </c>
      <c r="M1018" t="n">
        <v>3052</v>
      </c>
      <c r="N1018" t="n">
        <v>5142</v>
      </c>
      <c r="O1018" t="n">
        <v>6395</v>
      </c>
      <c r="P1018" t="n">
        <v>5976</v>
      </c>
      <c r="Q1018" t="n">
        <v>5562</v>
      </c>
      <c r="R1018" t="n">
        <v>3853</v>
      </c>
      <c r="S1018" t="n">
        <v>4446</v>
      </c>
      <c r="T1018" t="n">
        <v>3836</v>
      </c>
    </row>
    <row r="1019">
      <c r="A1019" t="inlineStr">
        <is>
          <t>Kylie Makeup</t>
        </is>
      </c>
      <c r="B1019" t="inlineStr">
        <is>
          <t>Lips (01245)</t>
        </is>
      </c>
      <c r="C1019" t="inlineStr">
        <is>
          <t>Kylie Matte Lip Kit (00006094)</t>
        </is>
      </c>
      <c r="D1019" s="1" t="n">
        <v>4064941006657</v>
      </c>
      <c r="E1019" t="inlineStr">
        <is>
          <t>KJ MU M LIQ K SET NEW MDIN808 KYLIE 23IV</t>
        </is>
      </c>
      <c r="F1019" t="inlineStr">
        <is>
          <t>P_US_ULTA</t>
        </is>
      </c>
      <c r="G1019" t="inlineStr">
        <is>
          <t>Month-2026.M09.W38</t>
        </is>
      </c>
      <c r="H1019" t="inlineStr">
        <is>
          <t>EPOS</t>
        </is>
      </c>
      <c r="I1019" t="n">
        <v>2330</v>
      </c>
    </row>
    <row r="1020">
      <c r="A1020" t="inlineStr">
        <is>
          <t>Kylie Makeup</t>
        </is>
      </c>
      <c r="B1020" t="inlineStr">
        <is>
          <t>Lips (01245)</t>
        </is>
      </c>
      <c r="C1020" t="inlineStr">
        <is>
          <t>Kylie Matte Lip Kit (00006094)</t>
        </is>
      </c>
      <c r="D1020" s="1" t="n">
        <v>4064941006657</v>
      </c>
      <c r="E1020" t="inlineStr">
        <is>
          <t>KJ MU M LIQ K SET NEW MDIN808 KYLIE 23IV</t>
        </is>
      </c>
      <c r="F1020" t="inlineStr">
        <is>
          <t>P_US_ULTA</t>
        </is>
      </c>
      <c r="G1020" t="inlineStr">
        <is>
          <t>Month-2026.M09.W38</t>
        </is>
      </c>
      <c r="H1020" t="inlineStr">
        <is>
          <t>Reasonability Adjustment</t>
        </is>
      </c>
      <c r="T1020" t="n">
        <v>-904</v>
      </c>
    </row>
    <row r="1021">
      <c r="A1021" t="inlineStr">
        <is>
          <t>Kylie Makeup</t>
        </is>
      </c>
      <c r="B1021" t="inlineStr">
        <is>
          <t>Lips (01245)</t>
        </is>
      </c>
      <c r="C1021" t="inlineStr">
        <is>
          <t>Kylie Matte Lip Kit (00006094)</t>
        </is>
      </c>
      <c r="D1021" s="1" t="n">
        <v>4064941006657</v>
      </c>
      <c r="E1021" t="inlineStr">
        <is>
          <t>KJ MU M LIQ K SET NEW MDIN808 KYLIE 23IV</t>
        </is>
      </c>
      <c r="F1021" t="inlineStr">
        <is>
          <t>P_US_ULTA</t>
        </is>
      </c>
      <c r="G1021" t="inlineStr">
        <is>
          <t>Month-2026.M09.W38</t>
        </is>
      </c>
      <c r="H1021" t="inlineStr">
        <is>
          <t>Total Demand Assumption</t>
        </is>
      </c>
    </row>
    <row r="1022">
      <c r="A1022" t="inlineStr">
        <is>
          <t>Kylie Makeup</t>
        </is>
      </c>
      <c r="B1022" t="inlineStr">
        <is>
          <t>Lips (01245)</t>
        </is>
      </c>
      <c r="C1022" t="inlineStr">
        <is>
          <t>Kylie Matte Lip Kit (00006094)</t>
        </is>
      </c>
      <c r="D1022" s="1" t="n">
        <v>4064941006657</v>
      </c>
      <c r="E1022" t="inlineStr">
        <is>
          <t>KJ MU M LIQ K SET NEW MDIN808 KYLIE 23IV</t>
        </is>
      </c>
      <c r="F1022" t="inlineStr">
        <is>
          <t>P_US_ULTA</t>
        </is>
      </c>
      <c r="G1022" t="inlineStr">
        <is>
          <t>Month-2026.M09.W38</t>
        </is>
      </c>
      <c r="H1022" t="inlineStr">
        <is>
          <t>Consensus - Final</t>
        </is>
      </c>
      <c r="I1022" t="n">
        <v>5050</v>
      </c>
      <c r="J1022" t="n">
        <v>3219</v>
      </c>
      <c r="K1022" t="n">
        <v>4051.55294117647</v>
      </c>
      <c r="L1022" t="n">
        <v>3977</v>
      </c>
      <c r="M1022" t="n">
        <v>3052</v>
      </c>
      <c r="N1022" t="n">
        <v>5142</v>
      </c>
      <c r="O1022" t="n">
        <v>6395</v>
      </c>
      <c r="P1022" t="n">
        <v>5976</v>
      </c>
      <c r="Q1022" t="n">
        <v>5562</v>
      </c>
      <c r="R1022" t="n">
        <v>3853</v>
      </c>
      <c r="S1022" t="n">
        <v>4446</v>
      </c>
      <c r="T1022" t="n">
        <v>2932</v>
      </c>
    </row>
    <row r="1023">
      <c r="A1023" t="inlineStr">
        <is>
          <t>Kylie Makeup</t>
        </is>
      </c>
      <c r="B1023" t="inlineStr">
        <is>
          <t>Lips (01245)</t>
        </is>
      </c>
      <c r="C1023" t="inlineStr">
        <is>
          <t>Kylie Matte Lip Kit (00006094)</t>
        </is>
      </c>
      <c r="D1023" s="1" t="n">
        <v>4064941006657</v>
      </c>
      <c r="E1023" t="inlineStr">
        <is>
          <t>KJ MU M LIQ K SET NEW MDIN808 KYLIE 23IV</t>
        </is>
      </c>
      <c r="F1023" t="inlineStr">
        <is>
          <t>P_US_ULTA</t>
        </is>
      </c>
      <c r="G1023" t="inlineStr">
        <is>
          <t>Month-2026.M09.W38</t>
        </is>
      </c>
      <c r="H1023" t="inlineStr">
        <is>
          <t>Supply Cuts</t>
        </is>
      </c>
    </row>
    <row r="1024">
      <c r="A1024" t="inlineStr">
        <is>
          <t>Kylie Makeup</t>
        </is>
      </c>
      <c r="B1024" t="inlineStr">
        <is>
          <t>Lips (01245)</t>
        </is>
      </c>
      <c r="C1024" t="inlineStr">
        <is>
          <t>Kylie Matte Lip Kit (00006094)</t>
        </is>
      </c>
      <c r="D1024" s="1" t="n">
        <v>4064941006671</v>
      </c>
      <c r="E1024" t="inlineStr">
        <is>
          <t>KJ MU M LIQ K SET NWMDIN802 CANDY K 23IV</t>
        </is>
      </c>
      <c r="F1024" t="inlineStr">
        <is>
          <t>P_US_ALL_OTHERS</t>
        </is>
      </c>
      <c r="G1024" t="inlineStr">
        <is>
          <t>CurrentWorkingView</t>
        </is>
      </c>
      <c r="H1024" t="inlineStr">
        <is>
          <t>Consensus - Final LY M</t>
        </is>
      </c>
      <c r="I1024" t="n">
        <v>253</v>
      </c>
      <c r="J1024" t="n">
        <v>155</v>
      </c>
      <c r="K1024" t="n">
        <v>221</v>
      </c>
      <c r="L1024" t="n">
        <v>185</v>
      </c>
      <c r="M1024" t="n">
        <v>193</v>
      </c>
      <c r="N1024" t="n">
        <v>235</v>
      </c>
      <c r="O1024" t="n">
        <v>197</v>
      </c>
      <c r="P1024" t="n">
        <v>310</v>
      </c>
      <c r="Q1024" t="n">
        <v>204</v>
      </c>
      <c r="R1024" t="n">
        <v>248</v>
      </c>
      <c r="S1024" t="n">
        <v>350</v>
      </c>
      <c r="T1024" t="n">
        <v>127</v>
      </c>
    </row>
    <row r="1025">
      <c r="A1025" t="inlineStr">
        <is>
          <t>Kylie Makeup</t>
        </is>
      </c>
      <c r="B1025" t="inlineStr">
        <is>
          <t>Lips (01245)</t>
        </is>
      </c>
      <c r="C1025" t="inlineStr">
        <is>
          <t>Kylie Matte Lip Kit (00006094)</t>
        </is>
      </c>
      <c r="D1025" s="1" t="n">
        <v>4064941006671</v>
      </c>
      <c r="E1025" t="inlineStr">
        <is>
          <t>KJ MU M LIQ K SET NWMDIN802 CANDY K 23IV</t>
        </is>
      </c>
      <c r="F1025" t="inlineStr">
        <is>
          <t>P_US_ALL_OTHERS</t>
        </is>
      </c>
      <c r="G1025" t="inlineStr">
        <is>
          <t>CurrentWorkingView</t>
        </is>
      </c>
      <c r="H1025" t="inlineStr">
        <is>
          <t>System FC - Final</t>
        </is>
      </c>
      <c r="I1025" t="n">
        <v>150</v>
      </c>
      <c r="J1025" t="n">
        <v>169</v>
      </c>
      <c r="K1025" t="n">
        <v>171</v>
      </c>
      <c r="L1025" t="n">
        <v>169</v>
      </c>
      <c r="M1025" t="n">
        <v>233</v>
      </c>
      <c r="N1025" t="n">
        <v>242</v>
      </c>
      <c r="O1025" t="n">
        <v>261</v>
      </c>
      <c r="P1025" t="n">
        <v>291</v>
      </c>
      <c r="Q1025" t="n">
        <v>284</v>
      </c>
      <c r="R1025" t="n">
        <v>230</v>
      </c>
      <c r="S1025" t="n">
        <v>279</v>
      </c>
      <c r="T1025" t="n">
        <v>237</v>
      </c>
    </row>
    <row r="1026">
      <c r="A1026" t="inlineStr">
        <is>
          <t>Kylie Makeup</t>
        </is>
      </c>
      <c r="B1026" t="inlineStr">
        <is>
          <t>Lips (01245)</t>
        </is>
      </c>
      <c r="C1026" t="inlineStr">
        <is>
          <t>Kylie Matte Lip Kit (00006094)</t>
        </is>
      </c>
      <c r="D1026" s="1" t="n">
        <v>4064941006671</v>
      </c>
      <c r="E1026" t="inlineStr">
        <is>
          <t>KJ MU M LIQ K SET NWMDIN802 CANDY K 23IV</t>
        </is>
      </c>
      <c r="F1026" t="inlineStr">
        <is>
          <t>P_US_ALL_OTHERS</t>
        </is>
      </c>
      <c r="G1026" t="inlineStr">
        <is>
          <t>CurrentWorkingView</t>
        </is>
      </c>
      <c r="H1026" t="inlineStr">
        <is>
          <t>EPOS</t>
        </is>
      </c>
      <c r="I1026" t="n">
        <v>137</v>
      </c>
    </row>
    <row r="1027">
      <c r="A1027" t="inlineStr">
        <is>
          <t>Kylie Makeup</t>
        </is>
      </c>
      <c r="B1027" t="inlineStr">
        <is>
          <t>Lips (01245)</t>
        </is>
      </c>
      <c r="C1027" t="inlineStr">
        <is>
          <t>Kylie Matte Lip Kit (00006094)</t>
        </is>
      </c>
      <c r="D1027" s="1" t="n">
        <v>4064941006671</v>
      </c>
      <c r="E1027" t="inlineStr">
        <is>
          <t>KJ MU M LIQ K SET NWMDIN802 CANDY K 23IV</t>
        </is>
      </c>
      <c r="F1027" t="inlineStr">
        <is>
          <t>P_US_ALL_OTHERS</t>
        </is>
      </c>
      <c r="G1027" t="inlineStr">
        <is>
          <t>CurrentWorkingView</t>
        </is>
      </c>
      <c r="H1027" t="inlineStr">
        <is>
          <t>Reasonability Adjustment</t>
        </is>
      </c>
      <c r="R1027" t="n">
        <v>-33</v>
      </c>
      <c r="S1027" t="n">
        <v>-70</v>
      </c>
      <c r="T1027" t="n">
        <v>-83</v>
      </c>
    </row>
    <row r="1028">
      <c r="A1028" t="inlineStr">
        <is>
          <t>Kylie Makeup</t>
        </is>
      </c>
      <c r="B1028" t="inlineStr">
        <is>
          <t>Lips (01245)</t>
        </is>
      </c>
      <c r="C1028" t="inlineStr">
        <is>
          <t>Kylie Matte Lip Kit (00006094)</t>
        </is>
      </c>
      <c r="D1028" s="1" t="n">
        <v>4064941006671</v>
      </c>
      <c r="E1028" t="inlineStr">
        <is>
          <t>KJ MU M LIQ K SET NWMDIN802 CANDY K 23IV</t>
        </is>
      </c>
      <c r="F1028" t="inlineStr">
        <is>
          <t>P_US_ALL_OTHERS</t>
        </is>
      </c>
      <c r="G1028" t="inlineStr">
        <is>
          <t>CurrentWorkingView</t>
        </is>
      </c>
      <c r="H1028" t="inlineStr">
        <is>
          <t>Total Demand Assumption</t>
        </is>
      </c>
      <c r="I1028" t="n">
        <v>7075</v>
      </c>
    </row>
    <row r="1029">
      <c r="A1029" t="inlineStr">
        <is>
          <t>Kylie Makeup</t>
        </is>
      </c>
      <c r="B1029" t="inlineStr">
        <is>
          <t>Lips (01245)</t>
        </is>
      </c>
      <c r="C1029" t="inlineStr">
        <is>
          <t>Kylie Matte Lip Kit (00006094)</t>
        </is>
      </c>
      <c r="D1029" s="1" t="n">
        <v>4064941006671</v>
      </c>
      <c r="E1029" t="inlineStr">
        <is>
          <t>KJ MU M LIQ K SET NWMDIN802 CANDY K 23IV</t>
        </is>
      </c>
      <c r="F1029" t="inlineStr">
        <is>
          <t>P_US_ALL_OTHERS</t>
        </is>
      </c>
      <c r="G1029" t="inlineStr">
        <is>
          <t>CurrentWorkingView</t>
        </is>
      </c>
      <c r="H1029" t="inlineStr">
        <is>
          <t>Consensus - Final</t>
        </is>
      </c>
      <c r="I1029" t="n">
        <v>150</v>
      </c>
      <c r="J1029" t="n">
        <v>169</v>
      </c>
      <c r="K1029" t="n">
        <v>340.573248407643</v>
      </c>
      <c r="L1029" t="n">
        <v>169</v>
      </c>
      <c r="M1029" t="n">
        <v>233</v>
      </c>
      <c r="N1029" t="n">
        <v>242</v>
      </c>
      <c r="O1029" t="n">
        <v>261</v>
      </c>
      <c r="P1029" t="n">
        <v>291</v>
      </c>
      <c r="Q1029" t="n">
        <v>284</v>
      </c>
      <c r="R1029" t="n">
        <v>197</v>
      </c>
      <c r="S1029" t="n">
        <v>209</v>
      </c>
      <c r="T1029" t="n">
        <v>154</v>
      </c>
    </row>
    <row r="1030">
      <c r="A1030" t="inlineStr">
        <is>
          <t>Kylie Makeup</t>
        </is>
      </c>
      <c r="B1030" t="inlineStr">
        <is>
          <t>Lips (01245)</t>
        </is>
      </c>
      <c r="C1030" t="inlineStr">
        <is>
          <t>Kylie Matte Lip Kit (00006094)</t>
        </is>
      </c>
      <c r="D1030" s="1" t="n">
        <v>4064941006671</v>
      </c>
      <c r="E1030" t="inlineStr">
        <is>
          <t>KJ MU M LIQ K SET NWMDIN802 CANDY K 23IV</t>
        </is>
      </c>
      <c r="F1030" t="inlineStr">
        <is>
          <t>P_US_ALL_OTHERS</t>
        </is>
      </c>
      <c r="G1030" t="inlineStr">
        <is>
          <t>CurrentWorkingView</t>
        </is>
      </c>
      <c r="H1030" t="inlineStr">
        <is>
          <t>Supply Cuts</t>
        </is>
      </c>
    </row>
    <row r="1031">
      <c r="A1031" t="inlineStr">
        <is>
          <t>Kylie Makeup</t>
        </is>
      </c>
      <c r="B1031" t="inlineStr">
        <is>
          <t>Lips (01245)</t>
        </is>
      </c>
      <c r="C1031" t="inlineStr">
        <is>
          <t>Kylie Matte Lip Kit (00006094)</t>
        </is>
      </c>
      <c r="D1031" s="1" t="n">
        <v>4064941006671</v>
      </c>
      <c r="E1031" t="inlineStr">
        <is>
          <t>KJ MU M LIQ K SET NWMDIN802 CANDY K 23IV</t>
        </is>
      </c>
      <c r="F1031" t="inlineStr">
        <is>
          <t>P_US_ALL_OTHERS</t>
        </is>
      </c>
      <c r="G1031" t="inlineStr">
        <is>
          <t>Month-2026.M09.W38</t>
        </is>
      </c>
      <c r="H1031" t="inlineStr">
        <is>
          <t>Consensus - Final LY M</t>
        </is>
      </c>
      <c r="I1031" t="n">
        <v>253</v>
      </c>
      <c r="J1031" t="n">
        <v>155</v>
      </c>
      <c r="K1031" t="n">
        <v>221</v>
      </c>
      <c r="L1031" t="n">
        <v>185</v>
      </c>
      <c r="M1031" t="n">
        <v>193</v>
      </c>
      <c r="N1031" t="n">
        <v>235</v>
      </c>
      <c r="O1031" t="n">
        <v>197</v>
      </c>
      <c r="P1031" t="n">
        <v>310</v>
      </c>
      <c r="Q1031" t="n">
        <v>204</v>
      </c>
      <c r="R1031" t="n">
        <v>248</v>
      </c>
      <c r="S1031" t="n">
        <v>350</v>
      </c>
      <c r="T1031" t="n">
        <v>127</v>
      </c>
    </row>
    <row r="1032">
      <c r="A1032" t="inlineStr">
        <is>
          <t>Kylie Makeup</t>
        </is>
      </c>
      <c r="B1032" t="inlineStr">
        <is>
          <t>Lips (01245)</t>
        </is>
      </c>
      <c r="C1032" t="inlineStr">
        <is>
          <t>Kylie Matte Lip Kit (00006094)</t>
        </is>
      </c>
      <c r="D1032" s="1" t="n">
        <v>4064941006671</v>
      </c>
      <c r="E1032" t="inlineStr">
        <is>
          <t>KJ MU M LIQ K SET NWMDIN802 CANDY K 23IV</t>
        </is>
      </c>
      <c r="F1032" t="inlineStr">
        <is>
          <t>P_US_ALL_OTHERS</t>
        </is>
      </c>
      <c r="G1032" t="inlineStr">
        <is>
          <t>Month-2026.M09.W38</t>
        </is>
      </c>
      <c r="H1032" t="inlineStr">
        <is>
          <t>System FC - Final</t>
        </is>
      </c>
      <c r="I1032" t="n">
        <v>150</v>
      </c>
      <c r="J1032" t="n">
        <v>169</v>
      </c>
      <c r="K1032" t="n">
        <v>212</v>
      </c>
      <c r="L1032" t="n">
        <v>252</v>
      </c>
      <c r="M1032" t="n">
        <v>202</v>
      </c>
      <c r="N1032" t="n">
        <v>256</v>
      </c>
      <c r="O1032" t="n">
        <v>310</v>
      </c>
      <c r="P1032" t="n">
        <v>324</v>
      </c>
      <c r="Q1032" t="n">
        <v>261</v>
      </c>
      <c r="R1032" t="n">
        <v>188</v>
      </c>
      <c r="S1032" t="n">
        <v>281</v>
      </c>
      <c r="T1032" t="n">
        <v>227</v>
      </c>
    </row>
    <row r="1033">
      <c r="A1033" t="inlineStr">
        <is>
          <t>Kylie Makeup</t>
        </is>
      </c>
      <c r="B1033" t="inlineStr">
        <is>
          <t>Lips (01245)</t>
        </is>
      </c>
      <c r="C1033" t="inlineStr">
        <is>
          <t>Kylie Matte Lip Kit (00006094)</t>
        </is>
      </c>
      <c r="D1033" s="1" t="n">
        <v>4064941006671</v>
      </c>
      <c r="E1033" t="inlineStr">
        <is>
          <t>KJ MU M LIQ K SET NWMDIN802 CANDY K 23IV</t>
        </is>
      </c>
      <c r="F1033" t="inlineStr">
        <is>
          <t>P_US_ALL_OTHERS</t>
        </is>
      </c>
      <c r="G1033" t="inlineStr">
        <is>
          <t>Month-2026.M09.W38</t>
        </is>
      </c>
      <c r="H1033" t="inlineStr">
        <is>
          <t>EPOS</t>
        </is>
      </c>
      <c r="I1033" t="n">
        <v>137</v>
      </c>
    </row>
    <row r="1034">
      <c r="A1034" t="inlineStr">
        <is>
          <t>Kylie Makeup</t>
        </is>
      </c>
      <c r="B1034" t="inlineStr">
        <is>
          <t>Lips (01245)</t>
        </is>
      </c>
      <c r="C1034" t="inlineStr">
        <is>
          <t>Kylie Matte Lip Kit (00006094)</t>
        </is>
      </c>
      <c r="D1034" s="1" t="n">
        <v>4064941006671</v>
      </c>
      <c r="E1034" t="inlineStr">
        <is>
          <t>KJ MU M LIQ K SET NWMDIN802 CANDY K 23IV</t>
        </is>
      </c>
      <c r="F1034" t="inlineStr">
        <is>
          <t>P_US_ALL_OTHERS</t>
        </is>
      </c>
      <c r="G1034" t="inlineStr">
        <is>
          <t>Month-2026.M09.W38</t>
        </is>
      </c>
      <c r="H1034" t="inlineStr">
        <is>
          <t>Reasonability Adjustment</t>
        </is>
      </c>
      <c r="R1034" t="n">
        <v>-33</v>
      </c>
      <c r="S1034" t="n">
        <v>-70</v>
      </c>
      <c r="T1034" t="n">
        <v>-83</v>
      </c>
    </row>
    <row r="1035">
      <c r="A1035" t="inlineStr">
        <is>
          <t>Kylie Makeup</t>
        </is>
      </c>
      <c r="B1035" t="inlineStr">
        <is>
          <t>Lips (01245)</t>
        </is>
      </c>
      <c r="C1035" t="inlineStr">
        <is>
          <t>Kylie Matte Lip Kit (00006094)</t>
        </is>
      </c>
      <c r="D1035" s="1" t="n">
        <v>4064941006671</v>
      </c>
      <c r="E1035" t="inlineStr">
        <is>
          <t>KJ MU M LIQ K SET NWMDIN802 CANDY K 23IV</t>
        </is>
      </c>
      <c r="F1035" t="inlineStr">
        <is>
          <t>P_US_ALL_OTHERS</t>
        </is>
      </c>
      <c r="G1035" t="inlineStr">
        <is>
          <t>Month-2026.M09.W38</t>
        </is>
      </c>
      <c r="H1035" t="inlineStr">
        <is>
          <t>Total Demand Assumption</t>
        </is>
      </c>
      <c r="I1035" t="n">
        <v>7075</v>
      </c>
    </row>
    <row r="1036">
      <c r="A1036" t="inlineStr">
        <is>
          <t>Kylie Makeup</t>
        </is>
      </c>
      <c r="B1036" t="inlineStr">
        <is>
          <t>Lips (01245)</t>
        </is>
      </c>
      <c r="C1036" t="inlineStr">
        <is>
          <t>Kylie Matte Lip Kit (00006094)</t>
        </is>
      </c>
      <c r="D1036" s="1" t="n">
        <v>4064941006671</v>
      </c>
      <c r="E1036" t="inlineStr">
        <is>
          <t>KJ MU M LIQ K SET NWMDIN802 CANDY K 23IV</t>
        </is>
      </c>
      <c r="F1036" t="inlineStr">
        <is>
          <t>P_US_ALL_OTHERS</t>
        </is>
      </c>
      <c r="G1036" t="inlineStr">
        <is>
          <t>Month-2026.M09.W38</t>
        </is>
      </c>
      <c r="H1036" t="inlineStr">
        <is>
          <t>Consensus - Final</t>
        </is>
      </c>
      <c r="I1036" t="n">
        <v>150</v>
      </c>
      <c r="J1036" t="n">
        <v>169</v>
      </c>
      <c r="K1036" t="n">
        <v>340.573248407643</v>
      </c>
      <c r="L1036" t="n">
        <v>252</v>
      </c>
      <c r="M1036" t="n">
        <v>202</v>
      </c>
      <c r="N1036" t="n">
        <v>256</v>
      </c>
      <c r="O1036" t="n">
        <v>310</v>
      </c>
      <c r="P1036" t="n">
        <v>324</v>
      </c>
      <c r="Q1036" t="n">
        <v>261</v>
      </c>
      <c r="R1036" t="n">
        <v>155</v>
      </c>
      <c r="S1036" t="n">
        <v>211</v>
      </c>
      <c r="T1036" t="n">
        <v>144</v>
      </c>
    </row>
    <row r="1037">
      <c r="A1037" t="inlineStr">
        <is>
          <t>Kylie Makeup</t>
        </is>
      </c>
      <c r="B1037" t="inlineStr">
        <is>
          <t>Lips (01245)</t>
        </is>
      </c>
      <c r="C1037" t="inlineStr">
        <is>
          <t>Kylie Matte Lip Kit (00006094)</t>
        </is>
      </c>
      <c r="D1037" s="1" t="n">
        <v>4064941006671</v>
      </c>
      <c r="E1037" t="inlineStr">
        <is>
          <t>KJ MU M LIQ K SET NWMDIN802 CANDY K 23IV</t>
        </is>
      </c>
      <c r="F1037" t="inlineStr">
        <is>
          <t>P_US_ALL_OTHERS</t>
        </is>
      </c>
      <c r="G1037" t="inlineStr">
        <is>
          <t>Month-2026.M09.W38</t>
        </is>
      </c>
      <c r="H1037" t="inlineStr">
        <is>
          <t>Supply Cuts</t>
        </is>
      </c>
    </row>
    <row r="1038">
      <c r="A1038" t="inlineStr">
        <is>
          <t>Kylie Makeup</t>
        </is>
      </c>
      <c r="B1038" t="inlineStr">
        <is>
          <t>Lips (01245)</t>
        </is>
      </c>
      <c r="C1038" t="inlineStr">
        <is>
          <t>Kylie Matte Lip Kit (00006094)</t>
        </is>
      </c>
      <c r="D1038" s="1" t="n">
        <v>4064941006671</v>
      </c>
      <c r="E1038" t="inlineStr">
        <is>
          <t>KJ MU M LIQ K SET NWMDIN802 CANDY K 23IV</t>
        </is>
      </c>
      <c r="F1038" t="inlineStr">
        <is>
          <t>P_US_FG</t>
        </is>
      </c>
      <c r="G1038" t="inlineStr">
        <is>
          <t>CurrentWorkingView</t>
        </is>
      </c>
      <c r="H1038" t="inlineStr">
        <is>
          <t>Consensus - Final LY M</t>
        </is>
      </c>
      <c r="I1038" t="n">
        <v>30</v>
      </c>
      <c r="K1038" t="n">
        <v>50</v>
      </c>
      <c r="L1038" t="n">
        <v>1</v>
      </c>
      <c r="O1038" t="n">
        <v>10</v>
      </c>
      <c r="Q1038" t="n">
        <v>41</v>
      </c>
      <c r="T1038" t="n">
        <v>1</v>
      </c>
    </row>
    <row r="1039">
      <c r="A1039" t="inlineStr">
        <is>
          <t>Kylie Makeup</t>
        </is>
      </c>
      <c r="B1039" t="inlineStr">
        <is>
          <t>Lips (01245)</t>
        </is>
      </c>
      <c r="C1039" t="inlineStr">
        <is>
          <t>Kylie Matte Lip Kit (00006094)</t>
        </is>
      </c>
      <c r="D1039" s="1" t="n">
        <v>4064941006671</v>
      </c>
      <c r="E1039" t="inlineStr">
        <is>
          <t>KJ MU M LIQ K SET NWMDIN802 CANDY K 23IV</t>
        </is>
      </c>
      <c r="F1039" t="inlineStr">
        <is>
          <t>P_US_FG</t>
        </is>
      </c>
      <c r="G1039" t="inlineStr">
        <is>
          <t>CurrentWorkingView</t>
        </is>
      </c>
      <c r="H1039" t="inlineStr">
        <is>
          <t>System FC - Final</t>
        </is>
      </c>
      <c r="K1039" t="n">
        <v>4</v>
      </c>
      <c r="L1039" t="n">
        <v>0</v>
      </c>
      <c r="M1039" t="n">
        <v>0</v>
      </c>
      <c r="N1039" t="n">
        <v>5</v>
      </c>
      <c r="O1039" t="n">
        <v>4</v>
      </c>
      <c r="P1039" t="n">
        <v>0</v>
      </c>
      <c r="Q1039" t="n">
        <v>18</v>
      </c>
      <c r="R1039" t="n">
        <v>13</v>
      </c>
      <c r="S1039" t="n">
        <v>0</v>
      </c>
      <c r="T1039" t="n">
        <v>0</v>
      </c>
    </row>
    <row r="1040">
      <c r="A1040" t="inlineStr">
        <is>
          <t>Kylie Makeup</t>
        </is>
      </c>
      <c r="B1040" t="inlineStr">
        <is>
          <t>Lips (01245)</t>
        </is>
      </c>
      <c r="C1040" t="inlineStr">
        <is>
          <t>Kylie Matte Lip Kit (00006094)</t>
        </is>
      </c>
      <c r="D1040" s="1" t="n">
        <v>4064941006671</v>
      </c>
      <c r="E1040" t="inlineStr">
        <is>
          <t>KJ MU M LIQ K SET NWMDIN802 CANDY K 23IV</t>
        </is>
      </c>
      <c r="F1040" t="inlineStr">
        <is>
          <t>P_US_FG</t>
        </is>
      </c>
      <c r="G1040" t="inlineStr">
        <is>
          <t>CurrentWorkingView</t>
        </is>
      </c>
      <c r="H1040" t="inlineStr">
        <is>
          <t>EPOS</t>
        </is>
      </c>
    </row>
    <row r="1041">
      <c r="A1041" t="inlineStr">
        <is>
          <t>Kylie Makeup</t>
        </is>
      </c>
      <c r="B1041" t="inlineStr">
        <is>
          <t>Lips (01245)</t>
        </is>
      </c>
      <c r="C1041" t="inlineStr">
        <is>
          <t>Kylie Matte Lip Kit (00006094)</t>
        </is>
      </c>
      <c r="D1041" s="1" t="n">
        <v>4064941006671</v>
      </c>
      <c r="E1041" t="inlineStr">
        <is>
          <t>KJ MU M LIQ K SET NWMDIN802 CANDY K 23IV</t>
        </is>
      </c>
      <c r="F1041" t="inlineStr">
        <is>
          <t>P_US_FG</t>
        </is>
      </c>
      <c r="G1041" t="inlineStr">
        <is>
          <t>CurrentWorkingView</t>
        </is>
      </c>
      <c r="H1041" t="inlineStr">
        <is>
          <t>Reasonability Adjustment</t>
        </is>
      </c>
    </row>
    <row r="1042">
      <c r="A1042" t="inlineStr">
        <is>
          <t>Kylie Makeup</t>
        </is>
      </c>
      <c r="B1042" t="inlineStr">
        <is>
          <t>Lips (01245)</t>
        </is>
      </c>
      <c r="C1042" t="inlineStr">
        <is>
          <t>Kylie Matte Lip Kit (00006094)</t>
        </is>
      </c>
      <c r="D1042" s="1" t="n">
        <v>4064941006671</v>
      </c>
      <c r="E1042" t="inlineStr">
        <is>
          <t>KJ MU M LIQ K SET NWMDIN802 CANDY K 23IV</t>
        </is>
      </c>
      <c r="F1042" t="inlineStr">
        <is>
          <t>P_US_FG</t>
        </is>
      </c>
      <c r="G1042" t="inlineStr">
        <is>
          <t>CurrentWorkingView</t>
        </is>
      </c>
      <c r="H1042" t="inlineStr">
        <is>
          <t>Total Demand Assumption</t>
        </is>
      </c>
    </row>
    <row r="1043">
      <c r="A1043" t="inlineStr">
        <is>
          <t>Kylie Makeup</t>
        </is>
      </c>
      <c r="B1043" t="inlineStr">
        <is>
          <t>Lips (01245)</t>
        </is>
      </c>
      <c r="C1043" t="inlineStr">
        <is>
          <t>Kylie Matte Lip Kit (00006094)</t>
        </is>
      </c>
      <c r="D1043" s="1" t="n">
        <v>4064941006671</v>
      </c>
      <c r="E1043" t="inlineStr">
        <is>
          <t>KJ MU M LIQ K SET NWMDIN802 CANDY K 23IV</t>
        </is>
      </c>
      <c r="F1043" t="inlineStr">
        <is>
          <t>P_US_FG</t>
        </is>
      </c>
      <c r="G1043" t="inlineStr">
        <is>
          <t>CurrentWorkingView</t>
        </is>
      </c>
      <c r="H1043" t="inlineStr">
        <is>
          <t>Consensus - Final</t>
        </is>
      </c>
      <c r="K1043" t="n">
        <v>0</v>
      </c>
    </row>
    <row r="1044">
      <c r="A1044" t="inlineStr">
        <is>
          <t>Kylie Makeup</t>
        </is>
      </c>
      <c r="B1044" t="inlineStr">
        <is>
          <t>Lips (01245)</t>
        </is>
      </c>
      <c r="C1044" t="inlineStr">
        <is>
          <t>Kylie Matte Lip Kit (00006094)</t>
        </is>
      </c>
      <c r="D1044" s="1" t="n">
        <v>4064941006671</v>
      </c>
      <c r="E1044" t="inlineStr">
        <is>
          <t>KJ MU M LIQ K SET NWMDIN802 CANDY K 23IV</t>
        </is>
      </c>
      <c r="F1044" t="inlineStr">
        <is>
          <t>P_US_FG</t>
        </is>
      </c>
      <c r="G1044" t="inlineStr">
        <is>
          <t>CurrentWorkingView</t>
        </is>
      </c>
      <c r="H1044" t="inlineStr">
        <is>
          <t>Supply Cuts</t>
        </is>
      </c>
    </row>
    <row r="1045">
      <c r="A1045" t="inlineStr">
        <is>
          <t>Kylie Makeup</t>
        </is>
      </c>
      <c r="B1045" t="inlineStr">
        <is>
          <t>Lips (01245)</t>
        </is>
      </c>
      <c r="C1045" t="inlineStr">
        <is>
          <t>Kylie Matte Lip Kit (00006094)</t>
        </is>
      </c>
      <c r="D1045" s="1" t="n">
        <v>4064941006671</v>
      </c>
      <c r="E1045" t="inlineStr">
        <is>
          <t>KJ MU M LIQ K SET NWMDIN802 CANDY K 23IV</t>
        </is>
      </c>
      <c r="F1045" t="inlineStr">
        <is>
          <t>P_US_FG</t>
        </is>
      </c>
      <c r="G1045" t="inlineStr">
        <is>
          <t>Month-2026.M09.W38</t>
        </is>
      </c>
      <c r="H1045" t="inlineStr">
        <is>
          <t>Consensus - Final LY M</t>
        </is>
      </c>
      <c r="I1045" t="n">
        <v>30</v>
      </c>
      <c r="K1045" t="n">
        <v>50</v>
      </c>
      <c r="L1045" t="n">
        <v>1</v>
      </c>
      <c r="O1045" t="n">
        <v>10</v>
      </c>
      <c r="Q1045" t="n">
        <v>41</v>
      </c>
      <c r="T1045" t="n">
        <v>1</v>
      </c>
    </row>
    <row r="1046">
      <c r="A1046" t="inlineStr">
        <is>
          <t>Kylie Makeup</t>
        </is>
      </c>
      <c r="B1046" t="inlineStr">
        <is>
          <t>Lips (01245)</t>
        </is>
      </c>
      <c r="C1046" t="inlineStr">
        <is>
          <t>Kylie Matte Lip Kit (00006094)</t>
        </is>
      </c>
      <c r="D1046" s="1" t="n">
        <v>4064941006671</v>
      </c>
      <c r="E1046" t="inlineStr">
        <is>
          <t>KJ MU M LIQ K SET NWMDIN802 CANDY K 23IV</t>
        </is>
      </c>
      <c r="F1046" t="inlineStr">
        <is>
          <t>P_US_FG</t>
        </is>
      </c>
      <c r="G1046" t="inlineStr">
        <is>
          <t>Month-2026.M09.W38</t>
        </is>
      </c>
      <c r="H1046" t="inlineStr">
        <is>
          <t>System FC - Final</t>
        </is>
      </c>
      <c r="K1046" t="n">
        <v>6</v>
      </c>
      <c r="L1046" t="n">
        <v>0</v>
      </c>
      <c r="M1046" t="n">
        <v>0</v>
      </c>
      <c r="N1046" t="n">
        <v>5</v>
      </c>
      <c r="O1046" t="n">
        <v>4</v>
      </c>
      <c r="P1046" t="n">
        <v>0</v>
      </c>
      <c r="Q1046" t="n">
        <v>18</v>
      </c>
      <c r="R1046" t="n">
        <v>13</v>
      </c>
      <c r="S1046" t="n">
        <v>0</v>
      </c>
      <c r="T1046" t="n">
        <v>3</v>
      </c>
    </row>
    <row r="1047">
      <c r="A1047" t="inlineStr">
        <is>
          <t>Kylie Makeup</t>
        </is>
      </c>
      <c r="B1047" t="inlineStr">
        <is>
          <t>Lips (01245)</t>
        </is>
      </c>
      <c r="C1047" t="inlineStr">
        <is>
          <t>Kylie Matte Lip Kit (00006094)</t>
        </is>
      </c>
      <c r="D1047" s="1" t="n">
        <v>4064941006671</v>
      </c>
      <c r="E1047" t="inlineStr">
        <is>
          <t>KJ MU M LIQ K SET NWMDIN802 CANDY K 23IV</t>
        </is>
      </c>
      <c r="F1047" t="inlineStr">
        <is>
          <t>P_US_FG</t>
        </is>
      </c>
      <c r="G1047" t="inlineStr">
        <is>
          <t>Month-2026.M09.W38</t>
        </is>
      </c>
      <c r="H1047" t="inlineStr">
        <is>
          <t>EPOS</t>
        </is>
      </c>
    </row>
    <row r="1048">
      <c r="A1048" t="inlineStr">
        <is>
          <t>Kylie Makeup</t>
        </is>
      </c>
      <c r="B1048" t="inlineStr">
        <is>
          <t>Lips (01245)</t>
        </is>
      </c>
      <c r="C1048" t="inlineStr">
        <is>
          <t>Kylie Matte Lip Kit (00006094)</t>
        </is>
      </c>
      <c r="D1048" s="1" t="n">
        <v>4064941006671</v>
      </c>
      <c r="E1048" t="inlineStr">
        <is>
          <t>KJ MU M LIQ K SET NWMDIN802 CANDY K 23IV</t>
        </is>
      </c>
      <c r="F1048" t="inlineStr">
        <is>
          <t>P_US_FG</t>
        </is>
      </c>
      <c r="G1048" t="inlineStr">
        <is>
          <t>Month-2026.M09.W38</t>
        </is>
      </c>
      <c r="H1048" t="inlineStr">
        <is>
          <t>Reasonability Adjustment</t>
        </is>
      </c>
    </row>
    <row r="1049">
      <c r="A1049" t="inlineStr">
        <is>
          <t>Kylie Makeup</t>
        </is>
      </c>
      <c r="B1049" t="inlineStr">
        <is>
          <t>Lips (01245)</t>
        </is>
      </c>
      <c r="C1049" t="inlineStr">
        <is>
          <t>Kylie Matte Lip Kit (00006094)</t>
        </is>
      </c>
      <c r="D1049" s="1" t="n">
        <v>4064941006671</v>
      </c>
      <c r="E1049" t="inlineStr">
        <is>
          <t>KJ MU M LIQ K SET NWMDIN802 CANDY K 23IV</t>
        </is>
      </c>
      <c r="F1049" t="inlineStr">
        <is>
          <t>P_US_FG</t>
        </is>
      </c>
      <c r="G1049" t="inlineStr">
        <is>
          <t>Month-2026.M09.W38</t>
        </is>
      </c>
      <c r="H1049" t="inlineStr">
        <is>
          <t>Total Demand Assumption</t>
        </is>
      </c>
    </row>
    <row r="1050">
      <c r="A1050" t="inlineStr">
        <is>
          <t>Kylie Makeup</t>
        </is>
      </c>
      <c r="B1050" t="inlineStr">
        <is>
          <t>Lips (01245)</t>
        </is>
      </c>
      <c r="C1050" t="inlineStr">
        <is>
          <t>Kylie Matte Lip Kit (00006094)</t>
        </is>
      </c>
      <c r="D1050" s="1" t="n">
        <v>4064941006671</v>
      </c>
      <c r="E1050" t="inlineStr">
        <is>
          <t>KJ MU M LIQ K SET NWMDIN802 CANDY K 23IV</t>
        </is>
      </c>
      <c r="F1050" t="inlineStr">
        <is>
          <t>P_US_FG</t>
        </is>
      </c>
      <c r="G1050" t="inlineStr">
        <is>
          <t>Month-2026.M09.W38</t>
        </is>
      </c>
      <c r="H1050" t="inlineStr">
        <is>
          <t>Consensus - Final</t>
        </is>
      </c>
      <c r="K1050" t="n">
        <v>0</v>
      </c>
    </row>
    <row r="1051">
      <c r="A1051" t="inlineStr">
        <is>
          <t>Kylie Makeup</t>
        </is>
      </c>
      <c r="B1051" t="inlineStr">
        <is>
          <t>Lips (01245)</t>
        </is>
      </c>
      <c r="C1051" t="inlineStr">
        <is>
          <t>Kylie Matte Lip Kit (00006094)</t>
        </is>
      </c>
      <c r="D1051" s="1" t="n">
        <v>4064941006671</v>
      </c>
      <c r="E1051" t="inlineStr">
        <is>
          <t>KJ MU M LIQ K SET NWMDIN802 CANDY K 23IV</t>
        </is>
      </c>
      <c r="F1051" t="inlineStr">
        <is>
          <t>P_US_FG</t>
        </is>
      </c>
      <c r="G1051" t="inlineStr">
        <is>
          <t>Month-2026.M09.W38</t>
        </is>
      </c>
      <c r="H1051" t="inlineStr">
        <is>
          <t>Supply Cuts</t>
        </is>
      </c>
    </row>
    <row r="1052">
      <c r="A1052" t="inlineStr">
        <is>
          <t>Kylie Makeup</t>
        </is>
      </c>
      <c r="B1052" t="inlineStr">
        <is>
          <t>Lips (01245)</t>
        </is>
      </c>
      <c r="C1052" t="inlineStr">
        <is>
          <t>Kylie Matte Lip Kit (00006094)</t>
        </is>
      </c>
      <c r="D1052" s="1" t="n">
        <v>4064941006671</v>
      </c>
      <c r="E1052" t="inlineStr">
        <is>
          <t>KJ MU M LIQ K SET NWMDIN802 CANDY K 23IV</t>
        </is>
      </c>
      <c r="F1052" t="inlineStr">
        <is>
          <t>P_US_ULTA</t>
        </is>
      </c>
      <c r="G1052" t="inlineStr">
        <is>
          <t>CurrentWorkingView</t>
        </is>
      </c>
      <c r="H1052" t="inlineStr">
        <is>
          <t>Consensus - Final LY M</t>
        </is>
      </c>
      <c r="I1052" t="n">
        <v>820</v>
      </c>
      <c r="J1052" t="n">
        <v>721</v>
      </c>
      <c r="K1052" t="n">
        <v>589</v>
      </c>
      <c r="L1052" t="n">
        <v>1105</v>
      </c>
      <c r="M1052" t="n">
        <v>1382</v>
      </c>
      <c r="N1052" t="n">
        <v>899</v>
      </c>
      <c r="O1052" t="n">
        <v>2506</v>
      </c>
      <c r="P1052" t="n">
        <v>2663</v>
      </c>
      <c r="Q1052" t="n">
        <v>1235</v>
      </c>
      <c r="R1052" t="n">
        <v>860</v>
      </c>
      <c r="S1052" t="n">
        <v>1163</v>
      </c>
      <c r="T1052" t="n">
        <v>907</v>
      </c>
    </row>
    <row r="1053">
      <c r="A1053" t="inlineStr">
        <is>
          <t>Kylie Makeup</t>
        </is>
      </c>
      <c r="B1053" t="inlineStr">
        <is>
          <t>Lips (01245)</t>
        </is>
      </c>
      <c r="C1053" t="inlineStr">
        <is>
          <t>Kylie Matte Lip Kit (00006094)</t>
        </is>
      </c>
      <c r="D1053" s="1" t="n">
        <v>4064941006671</v>
      </c>
      <c r="E1053" t="inlineStr">
        <is>
          <t>KJ MU M LIQ K SET NWMDIN802 CANDY K 23IV</t>
        </is>
      </c>
      <c r="F1053" t="inlineStr">
        <is>
          <t>P_US_ULTA</t>
        </is>
      </c>
      <c r="G1053" t="inlineStr">
        <is>
          <t>CurrentWorkingView</t>
        </is>
      </c>
      <c r="H1053" t="inlineStr">
        <is>
          <t>System FC - Final</t>
        </is>
      </c>
      <c r="I1053" t="n">
        <v>3672</v>
      </c>
      <c r="J1053" t="n">
        <v>3109</v>
      </c>
      <c r="K1053" t="n">
        <v>1570</v>
      </c>
      <c r="L1053" t="n">
        <v>1175</v>
      </c>
      <c r="M1053" t="n">
        <v>1595</v>
      </c>
      <c r="N1053" t="n">
        <v>1697</v>
      </c>
      <c r="O1053" t="n">
        <v>1804</v>
      </c>
      <c r="P1053" t="n">
        <v>2021</v>
      </c>
      <c r="Q1053" t="n">
        <v>1973</v>
      </c>
      <c r="R1053" t="n">
        <v>1579</v>
      </c>
      <c r="S1053" t="n">
        <v>1915</v>
      </c>
      <c r="T1053" t="n">
        <v>1656</v>
      </c>
    </row>
    <row r="1054">
      <c r="A1054" t="inlineStr">
        <is>
          <t>Kylie Makeup</t>
        </is>
      </c>
      <c r="B1054" t="inlineStr">
        <is>
          <t>Lips (01245)</t>
        </is>
      </c>
      <c r="C1054" t="inlineStr">
        <is>
          <t>Kylie Matte Lip Kit (00006094)</t>
        </is>
      </c>
      <c r="D1054" s="1" t="n">
        <v>4064941006671</v>
      </c>
      <c r="E1054" t="inlineStr">
        <is>
          <t>KJ MU M LIQ K SET NWMDIN802 CANDY K 23IV</t>
        </is>
      </c>
      <c r="F1054" t="inlineStr">
        <is>
          <t>P_US_ULTA</t>
        </is>
      </c>
      <c r="G1054" t="inlineStr">
        <is>
          <t>CurrentWorkingView</t>
        </is>
      </c>
      <c r="H1054" t="inlineStr">
        <is>
          <t>EPOS</t>
        </is>
      </c>
      <c r="I1054" t="n">
        <v>876</v>
      </c>
    </row>
    <row r="1055">
      <c r="A1055" t="inlineStr">
        <is>
          <t>Kylie Makeup</t>
        </is>
      </c>
      <c r="B1055" t="inlineStr">
        <is>
          <t>Lips (01245)</t>
        </is>
      </c>
      <c r="C1055" t="inlineStr">
        <is>
          <t>Kylie Matte Lip Kit (00006094)</t>
        </is>
      </c>
      <c r="D1055" s="1" t="n">
        <v>4064941006671</v>
      </c>
      <c r="E1055" t="inlineStr">
        <is>
          <t>KJ MU M LIQ K SET NWMDIN802 CANDY K 23IV</t>
        </is>
      </c>
      <c r="F1055" t="inlineStr">
        <is>
          <t>P_US_ULTA</t>
        </is>
      </c>
      <c r="G1055" t="inlineStr">
        <is>
          <t>CurrentWorkingView</t>
        </is>
      </c>
      <c r="H1055" t="inlineStr">
        <is>
          <t>Reasonability Adjustment</t>
        </is>
      </c>
      <c r="R1055" t="n">
        <v>-207</v>
      </c>
      <c r="S1055" t="n">
        <v>-434</v>
      </c>
      <c r="T1055" t="n">
        <v>-508</v>
      </c>
    </row>
    <row r="1056">
      <c r="A1056" t="inlineStr">
        <is>
          <t>Kylie Makeup</t>
        </is>
      </c>
      <c r="B1056" t="inlineStr">
        <is>
          <t>Lips (01245)</t>
        </is>
      </c>
      <c r="C1056" t="inlineStr">
        <is>
          <t>Kylie Matte Lip Kit (00006094)</t>
        </is>
      </c>
      <c r="D1056" s="1" t="n">
        <v>4064941006671</v>
      </c>
      <c r="E1056" t="inlineStr">
        <is>
          <t>KJ MU M LIQ K SET NWMDIN802 CANDY K 23IV</t>
        </is>
      </c>
      <c r="F1056" t="inlineStr">
        <is>
          <t>P_US_ULTA</t>
        </is>
      </c>
      <c r="G1056" t="inlineStr">
        <is>
          <t>CurrentWorkingView</t>
        </is>
      </c>
      <c r="H1056" t="inlineStr">
        <is>
          <t>Total Demand Assumption</t>
        </is>
      </c>
    </row>
    <row r="1057">
      <c r="A1057" t="inlineStr">
        <is>
          <t>Kylie Makeup</t>
        </is>
      </c>
      <c r="B1057" t="inlineStr">
        <is>
          <t>Lips (01245)</t>
        </is>
      </c>
      <c r="C1057" t="inlineStr">
        <is>
          <t>Kylie Matte Lip Kit (00006094)</t>
        </is>
      </c>
      <c r="D1057" s="1" t="n">
        <v>4064941006671</v>
      </c>
      <c r="E1057" t="inlineStr">
        <is>
          <t>KJ MU M LIQ K SET NWMDIN802 CANDY K 23IV</t>
        </is>
      </c>
      <c r="F1057" t="inlineStr">
        <is>
          <t>P_US_ULTA</t>
        </is>
      </c>
      <c r="G1057" t="inlineStr">
        <is>
          <t>CurrentWorkingView</t>
        </is>
      </c>
      <c r="H1057" t="inlineStr">
        <is>
          <t>Consensus - Final</t>
        </is>
      </c>
      <c r="I1057" t="n">
        <v>3672</v>
      </c>
      <c r="J1057" t="n">
        <v>3109</v>
      </c>
      <c r="K1057" t="n">
        <v>1550.42675159235</v>
      </c>
      <c r="L1057" t="n">
        <v>1175</v>
      </c>
      <c r="M1057" t="n">
        <v>1595</v>
      </c>
      <c r="N1057" t="n">
        <v>1697</v>
      </c>
      <c r="O1057" t="n">
        <v>1804</v>
      </c>
      <c r="P1057" t="n">
        <v>2021</v>
      </c>
      <c r="Q1057" t="n">
        <v>1973</v>
      </c>
      <c r="R1057" t="n">
        <v>1372</v>
      </c>
      <c r="S1057" t="n">
        <v>1481</v>
      </c>
      <c r="T1057" t="n">
        <v>1148</v>
      </c>
    </row>
    <row r="1058">
      <c r="A1058" t="inlineStr">
        <is>
          <t>Kylie Makeup</t>
        </is>
      </c>
      <c r="B1058" t="inlineStr">
        <is>
          <t>Lips (01245)</t>
        </is>
      </c>
      <c r="C1058" t="inlineStr">
        <is>
          <t>Kylie Matte Lip Kit (00006094)</t>
        </is>
      </c>
      <c r="D1058" s="1" t="n">
        <v>4064941006671</v>
      </c>
      <c r="E1058" t="inlineStr">
        <is>
          <t>KJ MU M LIQ K SET NWMDIN802 CANDY K 23IV</t>
        </is>
      </c>
      <c r="F1058" t="inlineStr">
        <is>
          <t>P_US_ULTA</t>
        </is>
      </c>
      <c r="G1058" t="inlineStr">
        <is>
          <t>CurrentWorkingView</t>
        </is>
      </c>
      <c r="H1058" t="inlineStr">
        <is>
          <t>Supply Cuts</t>
        </is>
      </c>
    </row>
    <row r="1059">
      <c r="A1059" t="inlineStr">
        <is>
          <t>Kylie Makeup</t>
        </is>
      </c>
      <c r="B1059" t="inlineStr">
        <is>
          <t>Lips (01245)</t>
        </is>
      </c>
      <c r="C1059" t="inlineStr">
        <is>
          <t>Kylie Matte Lip Kit (00006094)</t>
        </is>
      </c>
      <c r="D1059" s="1" t="n">
        <v>4064941006671</v>
      </c>
      <c r="E1059" t="inlineStr">
        <is>
          <t>KJ MU M LIQ K SET NWMDIN802 CANDY K 23IV</t>
        </is>
      </c>
      <c r="F1059" t="inlineStr">
        <is>
          <t>P_US_ULTA</t>
        </is>
      </c>
      <c r="G1059" t="inlineStr">
        <is>
          <t>Month-2026.M09.W38</t>
        </is>
      </c>
      <c r="H1059" t="inlineStr">
        <is>
          <t>Consensus - Final LY M</t>
        </is>
      </c>
      <c r="I1059" t="n">
        <v>820</v>
      </c>
      <c r="J1059" t="n">
        <v>721</v>
      </c>
      <c r="K1059" t="n">
        <v>589</v>
      </c>
      <c r="L1059" t="n">
        <v>1105</v>
      </c>
      <c r="M1059" t="n">
        <v>1382</v>
      </c>
      <c r="N1059" t="n">
        <v>899</v>
      </c>
      <c r="O1059" t="n">
        <v>2506</v>
      </c>
      <c r="P1059" t="n">
        <v>2663</v>
      </c>
      <c r="Q1059" t="n">
        <v>1235</v>
      </c>
      <c r="R1059" t="n">
        <v>860</v>
      </c>
      <c r="S1059" t="n">
        <v>1163</v>
      </c>
      <c r="T1059" t="n">
        <v>907</v>
      </c>
    </row>
    <row r="1060">
      <c r="A1060" t="inlineStr">
        <is>
          <t>Kylie Makeup</t>
        </is>
      </c>
      <c r="B1060" t="inlineStr">
        <is>
          <t>Lips (01245)</t>
        </is>
      </c>
      <c r="C1060" t="inlineStr">
        <is>
          <t>Kylie Matte Lip Kit (00006094)</t>
        </is>
      </c>
      <c r="D1060" s="1" t="n">
        <v>4064941006671</v>
      </c>
      <c r="E1060" t="inlineStr">
        <is>
          <t>KJ MU M LIQ K SET NWMDIN802 CANDY K 23IV</t>
        </is>
      </c>
      <c r="F1060" t="inlineStr">
        <is>
          <t>P_US_ULTA</t>
        </is>
      </c>
      <c r="G1060" t="inlineStr">
        <is>
          <t>Month-2026.M09.W38</t>
        </is>
      </c>
      <c r="H1060" t="inlineStr">
        <is>
          <t>System FC - Final</t>
        </is>
      </c>
      <c r="I1060" t="n">
        <v>3672</v>
      </c>
      <c r="J1060" t="n">
        <v>3109</v>
      </c>
      <c r="K1060" t="n">
        <v>1603</v>
      </c>
      <c r="L1060" t="n">
        <v>1559</v>
      </c>
      <c r="M1060" t="n">
        <v>1234</v>
      </c>
      <c r="N1060" t="n">
        <v>1576</v>
      </c>
      <c r="O1060" t="n">
        <v>1922</v>
      </c>
      <c r="P1060" t="n">
        <v>2004</v>
      </c>
      <c r="Q1060" t="n">
        <v>1594</v>
      </c>
      <c r="R1060" t="n">
        <v>1160</v>
      </c>
      <c r="S1060" t="n">
        <v>1736</v>
      </c>
      <c r="T1060" t="n">
        <v>1398</v>
      </c>
    </row>
    <row r="1061">
      <c r="A1061" t="inlineStr">
        <is>
          <t>Kylie Makeup</t>
        </is>
      </c>
      <c r="B1061" t="inlineStr">
        <is>
          <t>Lips (01245)</t>
        </is>
      </c>
      <c r="C1061" t="inlineStr">
        <is>
          <t>Kylie Matte Lip Kit (00006094)</t>
        </is>
      </c>
      <c r="D1061" s="1" t="n">
        <v>4064941006671</v>
      </c>
      <c r="E1061" t="inlineStr">
        <is>
          <t>KJ MU M LIQ K SET NWMDIN802 CANDY K 23IV</t>
        </is>
      </c>
      <c r="F1061" t="inlineStr">
        <is>
          <t>P_US_ULTA</t>
        </is>
      </c>
      <c r="G1061" t="inlineStr">
        <is>
          <t>Month-2026.M09.W38</t>
        </is>
      </c>
      <c r="H1061" t="inlineStr">
        <is>
          <t>EPOS</t>
        </is>
      </c>
      <c r="I1061" t="n">
        <v>876</v>
      </c>
    </row>
    <row r="1062">
      <c r="A1062" t="inlineStr">
        <is>
          <t>Kylie Makeup</t>
        </is>
      </c>
      <c r="B1062" t="inlineStr">
        <is>
          <t>Lips (01245)</t>
        </is>
      </c>
      <c r="C1062" t="inlineStr">
        <is>
          <t>Kylie Matte Lip Kit (00006094)</t>
        </is>
      </c>
      <c r="D1062" s="1" t="n">
        <v>4064941006671</v>
      </c>
      <c r="E1062" t="inlineStr">
        <is>
          <t>KJ MU M LIQ K SET NWMDIN802 CANDY K 23IV</t>
        </is>
      </c>
      <c r="F1062" t="inlineStr">
        <is>
          <t>P_US_ULTA</t>
        </is>
      </c>
      <c r="G1062" t="inlineStr">
        <is>
          <t>Month-2026.M09.W38</t>
        </is>
      </c>
      <c r="H1062" t="inlineStr">
        <is>
          <t>Reasonability Adjustment</t>
        </is>
      </c>
      <c r="R1062" t="n">
        <v>-207</v>
      </c>
      <c r="S1062" t="n">
        <v>-434</v>
      </c>
      <c r="T1062" t="n">
        <v>-508</v>
      </c>
    </row>
    <row r="1063">
      <c r="A1063" t="inlineStr">
        <is>
          <t>Kylie Makeup</t>
        </is>
      </c>
      <c r="B1063" t="inlineStr">
        <is>
          <t>Lips (01245)</t>
        </is>
      </c>
      <c r="C1063" t="inlineStr">
        <is>
          <t>Kylie Matte Lip Kit (00006094)</t>
        </is>
      </c>
      <c r="D1063" s="1" t="n">
        <v>4064941006671</v>
      </c>
      <c r="E1063" t="inlineStr">
        <is>
          <t>KJ MU M LIQ K SET NWMDIN802 CANDY K 23IV</t>
        </is>
      </c>
      <c r="F1063" t="inlineStr">
        <is>
          <t>P_US_ULTA</t>
        </is>
      </c>
      <c r="G1063" t="inlineStr">
        <is>
          <t>Month-2026.M09.W38</t>
        </is>
      </c>
      <c r="H1063" t="inlineStr">
        <is>
          <t>Total Demand Assumption</t>
        </is>
      </c>
    </row>
    <row r="1064">
      <c r="A1064" t="inlineStr">
        <is>
          <t>Kylie Makeup</t>
        </is>
      </c>
      <c r="B1064" t="inlineStr">
        <is>
          <t>Lips (01245)</t>
        </is>
      </c>
      <c r="C1064" t="inlineStr">
        <is>
          <t>Kylie Matte Lip Kit (00006094)</t>
        </is>
      </c>
      <c r="D1064" s="1" t="n">
        <v>4064941006671</v>
      </c>
      <c r="E1064" t="inlineStr">
        <is>
          <t>KJ MU M LIQ K SET NWMDIN802 CANDY K 23IV</t>
        </is>
      </c>
      <c r="F1064" t="inlineStr">
        <is>
          <t>P_US_ULTA</t>
        </is>
      </c>
      <c r="G1064" t="inlineStr">
        <is>
          <t>Month-2026.M09.W38</t>
        </is>
      </c>
      <c r="H1064" t="inlineStr">
        <is>
          <t>Consensus - Final</t>
        </is>
      </c>
      <c r="I1064" t="n">
        <v>3672</v>
      </c>
      <c r="J1064" t="n">
        <v>3109</v>
      </c>
      <c r="K1064" t="n">
        <v>1550.42675159235</v>
      </c>
      <c r="L1064" t="n">
        <v>1559</v>
      </c>
      <c r="M1064" t="n">
        <v>1234</v>
      </c>
      <c r="N1064" t="n">
        <v>1576</v>
      </c>
      <c r="O1064" t="n">
        <v>1922</v>
      </c>
      <c r="P1064" t="n">
        <v>2004</v>
      </c>
      <c r="Q1064" t="n">
        <v>1594</v>
      </c>
      <c r="R1064" t="n">
        <v>953</v>
      </c>
      <c r="S1064" t="n">
        <v>1302</v>
      </c>
      <c r="T1064" t="n">
        <v>890</v>
      </c>
    </row>
    <row r="1065">
      <c r="A1065" t="inlineStr">
        <is>
          <t>Kylie Makeup</t>
        </is>
      </c>
      <c r="B1065" t="inlineStr">
        <is>
          <t>Lips (01245)</t>
        </is>
      </c>
      <c r="C1065" t="inlineStr">
        <is>
          <t>Kylie Matte Lip Kit (00006094)</t>
        </is>
      </c>
      <c r="D1065" s="1" t="n">
        <v>4064941006671</v>
      </c>
      <c r="E1065" t="inlineStr">
        <is>
          <t>KJ MU M LIQ K SET NWMDIN802 CANDY K 23IV</t>
        </is>
      </c>
      <c r="F1065" t="inlineStr">
        <is>
          <t>P_US_ULTA</t>
        </is>
      </c>
      <c r="G1065" t="inlineStr">
        <is>
          <t>Month-2026.M09.W38</t>
        </is>
      </c>
      <c r="H1065" t="inlineStr">
        <is>
          <t>Supply Cuts</t>
        </is>
      </c>
    </row>
    <row r="1066">
      <c r="A1066" t="inlineStr">
        <is>
          <t>Kylie Makeup</t>
        </is>
      </c>
      <c r="B1066" t="inlineStr">
        <is>
          <t>Lips (01245)</t>
        </is>
      </c>
      <c r="C1066" t="inlineStr">
        <is>
          <t>Kylie Matte Lip Kit (00006094)</t>
        </is>
      </c>
      <c r="D1066" s="1" t="n">
        <v>4064941006701</v>
      </c>
      <c r="E1066" t="inlineStr">
        <is>
          <t>KJ MU M LIQ K SET MLTLPK 3ml1.1g 600 IV</t>
        </is>
      </c>
      <c r="F1066" t="inlineStr">
        <is>
          <t>P_US_ALL_OTHERS</t>
        </is>
      </c>
      <c r="G1066" t="inlineStr">
        <is>
          <t>CurrentWorkingView</t>
        </is>
      </c>
      <c r="H1066" t="inlineStr">
        <is>
          <t>Consensus - Final LY M</t>
        </is>
      </c>
      <c r="I1066" t="n">
        <v>558</v>
      </c>
      <c r="J1066" t="n">
        <v>334</v>
      </c>
      <c r="K1066" t="n">
        <v>442</v>
      </c>
      <c r="L1066" t="n">
        <v>351</v>
      </c>
      <c r="M1066" t="n">
        <v>178</v>
      </c>
      <c r="N1066" t="n">
        <v>403</v>
      </c>
      <c r="O1066" t="n">
        <v>335</v>
      </c>
      <c r="P1066" t="n">
        <v>479</v>
      </c>
      <c r="Q1066" t="n">
        <v>285</v>
      </c>
      <c r="R1066" t="n">
        <v>374</v>
      </c>
      <c r="S1066" t="n">
        <v>572</v>
      </c>
      <c r="T1066" t="n">
        <v>243</v>
      </c>
    </row>
    <row r="1067">
      <c r="A1067" t="inlineStr">
        <is>
          <t>Kylie Makeup</t>
        </is>
      </c>
      <c r="B1067" t="inlineStr">
        <is>
          <t>Lips (01245)</t>
        </is>
      </c>
      <c r="C1067" t="inlineStr">
        <is>
          <t>Kylie Matte Lip Kit (00006094)</t>
        </is>
      </c>
      <c r="D1067" s="1" t="n">
        <v>4064941006701</v>
      </c>
      <c r="E1067" t="inlineStr">
        <is>
          <t>KJ MU M LIQ K SET MLTLPK 3ml1.1g 600 IV</t>
        </is>
      </c>
      <c r="F1067" t="inlineStr">
        <is>
          <t>P_US_ALL_OTHERS</t>
        </is>
      </c>
      <c r="G1067" t="inlineStr">
        <is>
          <t>CurrentWorkingView</t>
        </is>
      </c>
      <c r="H1067" t="inlineStr">
        <is>
          <t>System FC - Final</t>
        </is>
      </c>
      <c r="I1067" t="n">
        <v>273</v>
      </c>
      <c r="J1067" t="n">
        <v>288</v>
      </c>
      <c r="K1067" t="n">
        <v>205</v>
      </c>
      <c r="L1067" t="n">
        <v>389</v>
      </c>
      <c r="M1067" t="n">
        <v>390</v>
      </c>
      <c r="N1067" t="n">
        <v>399</v>
      </c>
      <c r="O1067" t="n">
        <v>279</v>
      </c>
      <c r="P1067" t="n">
        <v>420</v>
      </c>
      <c r="Q1067" t="n">
        <v>257</v>
      </c>
      <c r="R1067" t="n">
        <v>273</v>
      </c>
      <c r="S1067" t="n">
        <v>550</v>
      </c>
      <c r="T1067" t="n">
        <v>257</v>
      </c>
    </row>
    <row r="1068">
      <c r="A1068" t="inlineStr">
        <is>
          <t>Kylie Makeup</t>
        </is>
      </c>
      <c r="B1068" t="inlineStr">
        <is>
          <t>Lips (01245)</t>
        </is>
      </c>
      <c r="C1068" t="inlineStr">
        <is>
          <t>Kylie Matte Lip Kit (00006094)</t>
        </is>
      </c>
      <c r="D1068" s="1" t="n">
        <v>4064941006701</v>
      </c>
      <c r="E1068" t="inlineStr">
        <is>
          <t>KJ MU M LIQ K SET MLTLPK 3ml1.1g 600 IV</t>
        </is>
      </c>
      <c r="F1068" t="inlineStr">
        <is>
          <t>P_US_ALL_OTHERS</t>
        </is>
      </c>
      <c r="G1068" t="inlineStr">
        <is>
          <t>CurrentWorkingView</t>
        </is>
      </c>
      <c r="H1068" t="inlineStr">
        <is>
          <t>EPOS</t>
        </is>
      </c>
      <c r="I1068" t="n">
        <v>212</v>
      </c>
    </row>
    <row r="1069">
      <c r="A1069" t="inlineStr">
        <is>
          <t>Kylie Makeup</t>
        </is>
      </c>
      <c r="B1069" t="inlineStr">
        <is>
          <t>Lips (01245)</t>
        </is>
      </c>
      <c r="C1069" t="inlineStr">
        <is>
          <t>Kylie Matte Lip Kit (00006094)</t>
        </is>
      </c>
      <c r="D1069" s="1" t="n">
        <v>4064941006701</v>
      </c>
      <c r="E1069" t="inlineStr">
        <is>
          <t>KJ MU M LIQ K SET MLTLPK 3ml1.1g 600 IV</t>
        </is>
      </c>
      <c r="F1069" t="inlineStr">
        <is>
          <t>P_US_ALL_OTHERS</t>
        </is>
      </c>
      <c r="G1069" t="inlineStr">
        <is>
          <t>CurrentWorkingView</t>
        </is>
      </c>
      <c r="H1069" t="inlineStr">
        <is>
          <t>Reasonability Adjustment</t>
        </is>
      </c>
      <c r="R1069" t="n">
        <v>-61</v>
      </c>
      <c r="S1069" t="n">
        <v>-93</v>
      </c>
    </row>
    <row r="1070">
      <c r="A1070" t="inlineStr">
        <is>
          <t>Kylie Makeup</t>
        </is>
      </c>
      <c r="B1070" t="inlineStr">
        <is>
          <t>Lips (01245)</t>
        </is>
      </c>
      <c r="C1070" t="inlineStr">
        <is>
          <t>Kylie Matte Lip Kit (00006094)</t>
        </is>
      </c>
      <c r="D1070" s="1" t="n">
        <v>4064941006701</v>
      </c>
      <c r="E1070" t="inlineStr">
        <is>
          <t>KJ MU M LIQ K SET MLTLPK 3ml1.1g 600 IV</t>
        </is>
      </c>
      <c r="F1070" t="inlineStr">
        <is>
          <t>P_US_ALL_OTHERS</t>
        </is>
      </c>
      <c r="G1070" t="inlineStr">
        <is>
          <t>CurrentWorkingView</t>
        </is>
      </c>
      <c r="H1070" t="inlineStr">
        <is>
          <t>Total Demand Assumption</t>
        </is>
      </c>
      <c r="I1070" t="n">
        <v>7075</v>
      </c>
    </row>
    <row r="1071">
      <c r="A1071" t="inlineStr">
        <is>
          <t>Kylie Makeup</t>
        </is>
      </c>
      <c r="B1071" t="inlineStr">
        <is>
          <t>Lips (01245)</t>
        </is>
      </c>
      <c r="C1071" t="inlineStr">
        <is>
          <t>Kylie Matte Lip Kit (00006094)</t>
        </is>
      </c>
      <c r="D1071" s="1" t="n">
        <v>4064941006701</v>
      </c>
      <c r="E1071" t="inlineStr">
        <is>
          <t>KJ MU M LIQ K SET MLTLPK 3ml1.1g 600 IV</t>
        </is>
      </c>
      <c r="F1071" t="inlineStr">
        <is>
          <t>P_US_ALL_OTHERS</t>
        </is>
      </c>
      <c r="G1071" t="inlineStr">
        <is>
          <t>CurrentWorkingView</t>
        </is>
      </c>
      <c r="H1071" t="inlineStr">
        <is>
          <t>Consensus - Final</t>
        </is>
      </c>
      <c r="I1071" t="n">
        <v>273</v>
      </c>
      <c r="J1071" t="n">
        <v>288</v>
      </c>
      <c r="K1071" t="n">
        <v>579</v>
      </c>
      <c r="L1071" t="n">
        <v>389</v>
      </c>
      <c r="M1071" t="n">
        <v>390</v>
      </c>
      <c r="N1071" t="n">
        <v>399</v>
      </c>
      <c r="O1071" t="n">
        <v>279</v>
      </c>
      <c r="P1071" t="n">
        <v>420</v>
      </c>
      <c r="Q1071" t="n">
        <v>257</v>
      </c>
      <c r="R1071" t="n">
        <v>212</v>
      </c>
      <c r="S1071" t="n">
        <v>457</v>
      </c>
      <c r="T1071" t="n">
        <v>257</v>
      </c>
    </row>
    <row r="1072">
      <c r="A1072" t="inlineStr">
        <is>
          <t>Kylie Makeup</t>
        </is>
      </c>
      <c r="B1072" t="inlineStr">
        <is>
          <t>Lips (01245)</t>
        </is>
      </c>
      <c r="C1072" t="inlineStr">
        <is>
          <t>Kylie Matte Lip Kit (00006094)</t>
        </is>
      </c>
      <c r="D1072" s="1" t="n">
        <v>4064941006701</v>
      </c>
      <c r="E1072" t="inlineStr">
        <is>
          <t>KJ MU M LIQ K SET MLTLPK 3ml1.1g 600 IV</t>
        </is>
      </c>
      <c r="F1072" t="inlineStr">
        <is>
          <t>P_US_ALL_OTHERS</t>
        </is>
      </c>
      <c r="G1072" t="inlineStr">
        <is>
          <t>CurrentWorkingView</t>
        </is>
      </c>
      <c r="H1072" t="inlineStr">
        <is>
          <t>Supply Cuts</t>
        </is>
      </c>
    </row>
    <row r="1073">
      <c r="A1073" t="inlineStr">
        <is>
          <t>Kylie Makeup</t>
        </is>
      </c>
      <c r="B1073" t="inlineStr">
        <is>
          <t>Lips (01245)</t>
        </is>
      </c>
      <c r="C1073" t="inlineStr">
        <is>
          <t>Kylie Matte Lip Kit (00006094)</t>
        </is>
      </c>
      <c r="D1073" s="1" t="n">
        <v>4064941006701</v>
      </c>
      <c r="E1073" t="inlineStr">
        <is>
          <t>KJ MU M LIQ K SET MLTLPK 3ml1.1g 600 IV</t>
        </is>
      </c>
      <c r="F1073" t="inlineStr">
        <is>
          <t>P_US_ALL_OTHERS</t>
        </is>
      </c>
      <c r="G1073" t="inlineStr">
        <is>
          <t>Month-2026.M09.W38</t>
        </is>
      </c>
      <c r="H1073" t="inlineStr">
        <is>
          <t>Consensus - Final LY M</t>
        </is>
      </c>
      <c r="I1073" t="n">
        <v>558</v>
      </c>
      <c r="J1073" t="n">
        <v>334</v>
      </c>
      <c r="K1073" t="n">
        <v>442</v>
      </c>
      <c r="L1073" t="n">
        <v>351</v>
      </c>
      <c r="M1073" t="n">
        <v>178</v>
      </c>
      <c r="N1073" t="n">
        <v>403</v>
      </c>
      <c r="O1073" t="n">
        <v>335</v>
      </c>
      <c r="P1073" t="n">
        <v>479</v>
      </c>
      <c r="Q1073" t="n">
        <v>285</v>
      </c>
      <c r="R1073" t="n">
        <v>374</v>
      </c>
      <c r="S1073" t="n">
        <v>572</v>
      </c>
      <c r="T1073" t="n">
        <v>243</v>
      </c>
    </row>
    <row r="1074">
      <c r="A1074" t="inlineStr">
        <is>
          <t>Kylie Makeup</t>
        </is>
      </c>
      <c r="B1074" t="inlineStr">
        <is>
          <t>Lips (01245)</t>
        </is>
      </c>
      <c r="C1074" t="inlineStr">
        <is>
          <t>Kylie Matte Lip Kit (00006094)</t>
        </is>
      </c>
      <c r="D1074" s="1" t="n">
        <v>4064941006701</v>
      </c>
      <c r="E1074" t="inlineStr">
        <is>
          <t>KJ MU M LIQ K SET MLTLPK 3ml1.1g 600 IV</t>
        </is>
      </c>
      <c r="F1074" t="inlineStr">
        <is>
          <t>P_US_ALL_OTHERS</t>
        </is>
      </c>
      <c r="G1074" t="inlineStr">
        <is>
          <t>Month-2026.M09.W38</t>
        </is>
      </c>
      <c r="H1074" t="inlineStr">
        <is>
          <t>System FC - Final</t>
        </is>
      </c>
      <c r="I1074" t="n">
        <v>273</v>
      </c>
      <c r="J1074" t="n">
        <v>288</v>
      </c>
      <c r="K1074" t="n">
        <v>301</v>
      </c>
      <c r="L1074" t="n">
        <v>389</v>
      </c>
      <c r="M1074" t="n">
        <v>390</v>
      </c>
      <c r="N1074" t="n">
        <v>399</v>
      </c>
      <c r="O1074" t="n">
        <v>279</v>
      </c>
      <c r="P1074" t="n">
        <v>420</v>
      </c>
      <c r="Q1074" t="n">
        <v>257</v>
      </c>
      <c r="R1074" t="n">
        <v>270</v>
      </c>
      <c r="S1074" t="n">
        <v>550</v>
      </c>
      <c r="T1074" t="n">
        <v>374</v>
      </c>
    </row>
    <row r="1075">
      <c r="A1075" t="inlineStr">
        <is>
          <t>Kylie Makeup</t>
        </is>
      </c>
      <c r="B1075" t="inlineStr">
        <is>
          <t>Lips (01245)</t>
        </is>
      </c>
      <c r="C1075" t="inlineStr">
        <is>
          <t>Kylie Matte Lip Kit (00006094)</t>
        </is>
      </c>
      <c r="D1075" s="1" t="n">
        <v>4064941006701</v>
      </c>
      <c r="E1075" t="inlineStr">
        <is>
          <t>KJ MU M LIQ K SET MLTLPK 3ml1.1g 600 IV</t>
        </is>
      </c>
      <c r="F1075" t="inlineStr">
        <is>
          <t>P_US_ALL_OTHERS</t>
        </is>
      </c>
      <c r="G1075" t="inlineStr">
        <is>
          <t>Month-2026.M09.W38</t>
        </is>
      </c>
      <c r="H1075" t="inlineStr">
        <is>
          <t>EPOS</t>
        </is>
      </c>
      <c r="I1075" t="n">
        <v>212</v>
      </c>
    </row>
    <row r="1076">
      <c r="A1076" t="inlineStr">
        <is>
          <t>Kylie Makeup</t>
        </is>
      </c>
      <c r="B1076" t="inlineStr">
        <is>
          <t>Lips (01245)</t>
        </is>
      </c>
      <c r="C1076" t="inlineStr">
        <is>
          <t>Kylie Matte Lip Kit (00006094)</t>
        </is>
      </c>
      <c r="D1076" s="1" t="n">
        <v>4064941006701</v>
      </c>
      <c r="E1076" t="inlineStr">
        <is>
          <t>KJ MU M LIQ K SET MLTLPK 3ml1.1g 600 IV</t>
        </is>
      </c>
      <c r="F1076" t="inlineStr">
        <is>
          <t>P_US_ALL_OTHERS</t>
        </is>
      </c>
      <c r="G1076" t="inlineStr">
        <is>
          <t>Month-2026.M09.W38</t>
        </is>
      </c>
      <c r="H1076" t="inlineStr">
        <is>
          <t>Reasonability Adjustment</t>
        </is>
      </c>
      <c r="R1076" t="n">
        <v>-61</v>
      </c>
      <c r="S1076" t="n">
        <v>-93</v>
      </c>
    </row>
    <row r="1077">
      <c r="A1077" t="inlineStr">
        <is>
          <t>Kylie Makeup</t>
        </is>
      </c>
      <c r="B1077" t="inlineStr">
        <is>
          <t>Lips (01245)</t>
        </is>
      </c>
      <c r="C1077" t="inlineStr">
        <is>
          <t>Kylie Matte Lip Kit (00006094)</t>
        </is>
      </c>
      <c r="D1077" s="1" t="n">
        <v>4064941006701</v>
      </c>
      <c r="E1077" t="inlineStr">
        <is>
          <t>KJ MU M LIQ K SET MLTLPK 3ml1.1g 600 IV</t>
        </is>
      </c>
      <c r="F1077" t="inlineStr">
        <is>
          <t>P_US_ALL_OTHERS</t>
        </is>
      </c>
      <c r="G1077" t="inlineStr">
        <is>
          <t>Month-2026.M09.W38</t>
        </is>
      </c>
      <c r="H1077" t="inlineStr">
        <is>
          <t>Total Demand Assumption</t>
        </is>
      </c>
      <c r="I1077" t="n">
        <v>7075</v>
      </c>
    </row>
    <row r="1078">
      <c r="A1078" t="inlineStr">
        <is>
          <t>Kylie Makeup</t>
        </is>
      </c>
      <c r="B1078" t="inlineStr">
        <is>
          <t>Lips (01245)</t>
        </is>
      </c>
      <c r="C1078" t="inlineStr">
        <is>
          <t>Kylie Matte Lip Kit (00006094)</t>
        </is>
      </c>
      <c r="D1078" s="1" t="n">
        <v>4064941006701</v>
      </c>
      <c r="E1078" t="inlineStr">
        <is>
          <t>KJ MU M LIQ K SET MLTLPK 3ml1.1g 600 IV</t>
        </is>
      </c>
      <c r="F1078" t="inlineStr">
        <is>
          <t>P_US_ALL_OTHERS</t>
        </is>
      </c>
      <c r="G1078" t="inlineStr">
        <is>
          <t>Month-2026.M09.W38</t>
        </is>
      </c>
      <c r="H1078" t="inlineStr">
        <is>
          <t>Consensus - Final</t>
        </is>
      </c>
      <c r="I1078" t="n">
        <v>273</v>
      </c>
      <c r="J1078" t="n">
        <v>288</v>
      </c>
      <c r="K1078" t="n">
        <v>579</v>
      </c>
      <c r="L1078" t="n">
        <v>389</v>
      </c>
      <c r="M1078" t="n">
        <v>390</v>
      </c>
      <c r="N1078" t="n">
        <v>399</v>
      </c>
      <c r="O1078" t="n">
        <v>279</v>
      </c>
      <c r="P1078" t="n">
        <v>420</v>
      </c>
      <c r="Q1078" t="n">
        <v>257</v>
      </c>
      <c r="R1078" t="n">
        <v>209</v>
      </c>
      <c r="S1078" t="n">
        <v>457</v>
      </c>
      <c r="T1078" t="n">
        <v>374</v>
      </c>
    </row>
    <row r="1079">
      <c r="A1079" t="inlineStr">
        <is>
          <t>Kylie Makeup</t>
        </is>
      </c>
      <c r="B1079" t="inlineStr">
        <is>
          <t>Lips (01245)</t>
        </is>
      </c>
      <c r="C1079" t="inlineStr">
        <is>
          <t>Kylie Matte Lip Kit (00006094)</t>
        </is>
      </c>
      <c r="D1079" s="1" t="n">
        <v>4064941006701</v>
      </c>
      <c r="E1079" t="inlineStr">
        <is>
          <t>KJ MU M LIQ K SET MLTLPK 3ml1.1g 600 IV</t>
        </is>
      </c>
      <c r="F1079" t="inlineStr">
        <is>
          <t>P_US_ALL_OTHERS</t>
        </is>
      </c>
      <c r="G1079" t="inlineStr">
        <is>
          <t>Month-2026.M09.W38</t>
        </is>
      </c>
      <c r="H1079" t="inlineStr">
        <is>
          <t>Supply Cuts</t>
        </is>
      </c>
    </row>
    <row r="1080">
      <c r="A1080" t="inlineStr">
        <is>
          <t>Kylie Makeup</t>
        </is>
      </c>
      <c r="B1080" t="inlineStr">
        <is>
          <t>Lips (01245)</t>
        </is>
      </c>
      <c r="C1080" t="inlineStr">
        <is>
          <t>Kylie Matte Lip Kit (00006094)</t>
        </is>
      </c>
      <c r="D1080" s="1" t="n">
        <v>4064941006701</v>
      </c>
      <c r="E1080" t="inlineStr">
        <is>
          <t>KJ MU M LIQ K SET MLTLPK 3ml1.1g 600 IV</t>
        </is>
      </c>
      <c r="F1080" t="inlineStr">
        <is>
          <t>P_US_FG</t>
        </is>
      </c>
      <c r="G1080" t="inlineStr">
        <is>
          <t>CurrentWorkingView</t>
        </is>
      </c>
      <c r="H1080" t="inlineStr">
        <is>
          <t>Consensus - Final LY M</t>
        </is>
      </c>
      <c r="L1080" t="n">
        <v>5</v>
      </c>
      <c r="Q1080" t="n">
        <v>26</v>
      </c>
    </row>
    <row r="1081">
      <c r="A1081" t="inlineStr">
        <is>
          <t>Kylie Makeup</t>
        </is>
      </c>
      <c r="B1081" t="inlineStr">
        <is>
          <t>Lips (01245)</t>
        </is>
      </c>
      <c r="C1081" t="inlineStr">
        <is>
          <t>Kylie Matte Lip Kit (00006094)</t>
        </is>
      </c>
      <c r="D1081" s="1" t="n">
        <v>4064941006701</v>
      </c>
      <c r="E1081" t="inlineStr">
        <is>
          <t>KJ MU M LIQ K SET MLTLPK 3ml1.1g 600 IV</t>
        </is>
      </c>
      <c r="F1081" t="inlineStr">
        <is>
          <t>P_US_FG</t>
        </is>
      </c>
      <c r="G1081" t="inlineStr">
        <is>
          <t>CurrentWorkingView</t>
        </is>
      </c>
      <c r="H1081" t="inlineStr">
        <is>
          <t>System FC - Final</t>
        </is>
      </c>
      <c r="K1081" t="n">
        <v>2</v>
      </c>
      <c r="L1081" t="n">
        <v>97</v>
      </c>
      <c r="M1081" t="n">
        <v>0</v>
      </c>
      <c r="N1081" t="n">
        <v>4</v>
      </c>
      <c r="O1081" t="n">
        <v>0</v>
      </c>
      <c r="P1081" t="n">
        <v>4</v>
      </c>
      <c r="Q1081" t="n">
        <v>13</v>
      </c>
      <c r="R1081" t="n">
        <v>0</v>
      </c>
      <c r="S1081" t="n">
        <v>0</v>
      </c>
      <c r="T1081" t="n">
        <v>0</v>
      </c>
    </row>
    <row r="1082">
      <c r="A1082" t="inlineStr">
        <is>
          <t>Kylie Makeup</t>
        </is>
      </c>
      <c r="B1082" t="inlineStr">
        <is>
          <t>Lips (01245)</t>
        </is>
      </c>
      <c r="C1082" t="inlineStr">
        <is>
          <t>Kylie Matte Lip Kit (00006094)</t>
        </is>
      </c>
      <c r="D1082" s="1" t="n">
        <v>4064941006701</v>
      </c>
      <c r="E1082" t="inlineStr">
        <is>
          <t>KJ MU M LIQ K SET MLTLPK 3ml1.1g 600 IV</t>
        </is>
      </c>
      <c r="F1082" t="inlineStr">
        <is>
          <t>P_US_FG</t>
        </is>
      </c>
      <c r="G1082" t="inlineStr">
        <is>
          <t>CurrentWorkingView</t>
        </is>
      </c>
      <c r="H1082" t="inlineStr">
        <is>
          <t>EPOS</t>
        </is>
      </c>
    </row>
    <row r="1083">
      <c r="A1083" t="inlineStr">
        <is>
          <t>Kylie Makeup</t>
        </is>
      </c>
      <c r="B1083" t="inlineStr">
        <is>
          <t>Lips (01245)</t>
        </is>
      </c>
      <c r="C1083" t="inlineStr">
        <is>
          <t>Kylie Matte Lip Kit (00006094)</t>
        </is>
      </c>
      <c r="D1083" s="1" t="n">
        <v>4064941006701</v>
      </c>
      <c r="E1083" t="inlineStr">
        <is>
          <t>KJ MU M LIQ K SET MLTLPK 3ml1.1g 600 IV</t>
        </is>
      </c>
      <c r="F1083" t="inlineStr">
        <is>
          <t>P_US_FG</t>
        </is>
      </c>
      <c r="G1083" t="inlineStr">
        <is>
          <t>CurrentWorkingView</t>
        </is>
      </c>
      <c r="H1083" t="inlineStr">
        <is>
          <t>Reasonability Adjustment</t>
        </is>
      </c>
    </row>
    <row r="1084">
      <c r="A1084" t="inlineStr">
        <is>
          <t>Kylie Makeup</t>
        </is>
      </c>
      <c r="B1084" t="inlineStr">
        <is>
          <t>Lips (01245)</t>
        </is>
      </c>
      <c r="C1084" t="inlineStr">
        <is>
          <t>Kylie Matte Lip Kit (00006094)</t>
        </is>
      </c>
      <c r="D1084" s="1" t="n">
        <v>4064941006701</v>
      </c>
      <c r="E1084" t="inlineStr">
        <is>
          <t>KJ MU M LIQ K SET MLTLPK 3ml1.1g 600 IV</t>
        </is>
      </c>
      <c r="F1084" t="inlineStr">
        <is>
          <t>P_US_FG</t>
        </is>
      </c>
      <c r="G1084" t="inlineStr">
        <is>
          <t>CurrentWorkingView</t>
        </is>
      </c>
      <c r="H1084" t="inlineStr">
        <is>
          <t>Total Demand Assumption</t>
        </is>
      </c>
    </row>
    <row r="1085">
      <c r="A1085" t="inlineStr">
        <is>
          <t>Kylie Makeup</t>
        </is>
      </c>
      <c r="B1085" t="inlineStr">
        <is>
          <t>Lips (01245)</t>
        </is>
      </c>
      <c r="C1085" t="inlineStr">
        <is>
          <t>Kylie Matte Lip Kit (00006094)</t>
        </is>
      </c>
      <c r="D1085" s="1" t="n">
        <v>4064941006701</v>
      </c>
      <c r="E1085" t="inlineStr">
        <is>
          <t>KJ MU M LIQ K SET MLTLPK 3ml1.1g 600 IV</t>
        </is>
      </c>
      <c r="F1085" t="inlineStr">
        <is>
          <t>P_US_FG</t>
        </is>
      </c>
      <c r="G1085" t="inlineStr">
        <is>
          <t>CurrentWorkingView</t>
        </is>
      </c>
      <c r="H1085" t="inlineStr">
        <is>
          <t>Consensus - Final</t>
        </is>
      </c>
      <c r="K1085" t="n">
        <v>0</v>
      </c>
    </row>
    <row r="1086">
      <c r="A1086" t="inlineStr">
        <is>
          <t>Kylie Makeup</t>
        </is>
      </c>
      <c r="B1086" t="inlineStr">
        <is>
          <t>Lips (01245)</t>
        </is>
      </c>
      <c r="C1086" t="inlineStr">
        <is>
          <t>Kylie Matte Lip Kit (00006094)</t>
        </is>
      </c>
      <c r="D1086" s="1" t="n">
        <v>4064941006701</v>
      </c>
      <c r="E1086" t="inlineStr">
        <is>
          <t>KJ MU M LIQ K SET MLTLPK 3ml1.1g 600 IV</t>
        </is>
      </c>
      <c r="F1086" t="inlineStr">
        <is>
          <t>P_US_FG</t>
        </is>
      </c>
      <c r="G1086" t="inlineStr">
        <is>
          <t>CurrentWorkingView</t>
        </is>
      </c>
      <c r="H1086" t="inlineStr">
        <is>
          <t>Supply Cuts</t>
        </is>
      </c>
    </row>
    <row r="1087">
      <c r="A1087" t="inlineStr">
        <is>
          <t>Kylie Makeup</t>
        </is>
      </c>
      <c r="B1087" t="inlineStr">
        <is>
          <t>Lips (01245)</t>
        </is>
      </c>
      <c r="C1087" t="inlineStr">
        <is>
          <t>Kylie Matte Lip Kit (00006094)</t>
        </is>
      </c>
      <c r="D1087" s="1" t="n">
        <v>4064941006701</v>
      </c>
      <c r="E1087" t="inlineStr">
        <is>
          <t>KJ MU M LIQ K SET MLTLPK 3ml1.1g 600 IV</t>
        </is>
      </c>
      <c r="F1087" t="inlineStr">
        <is>
          <t>P_US_FG</t>
        </is>
      </c>
      <c r="G1087" t="inlineStr">
        <is>
          <t>Month-2026.M09.W38</t>
        </is>
      </c>
      <c r="H1087" t="inlineStr">
        <is>
          <t>Consensus - Final LY M</t>
        </is>
      </c>
      <c r="L1087" t="n">
        <v>5</v>
      </c>
      <c r="Q1087" t="n">
        <v>26</v>
      </c>
    </row>
    <row r="1088">
      <c r="A1088" t="inlineStr">
        <is>
          <t>Kylie Makeup</t>
        </is>
      </c>
      <c r="B1088" t="inlineStr">
        <is>
          <t>Lips (01245)</t>
        </is>
      </c>
      <c r="C1088" t="inlineStr">
        <is>
          <t>Kylie Matte Lip Kit (00006094)</t>
        </is>
      </c>
      <c r="D1088" s="1" t="n">
        <v>4064941006701</v>
      </c>
      <c r="E1088" t="inlineStr">
        <is>
          <t>KJ MU M LIQ K SET MLTLPK 3ml1.1g 600 IV</t>
        </is>
      </c>
      <c r="F1088" t="inlineStr">
        <is>
          <t>P_US_FG</t>
        </is>
      </c>
      <c r="G1088" t="inlineStr">
        <is>
          <t>Month-2026.M09.W38</t>
        </is>
      </c>
      <c r="H1088" t="inlineStr">
        <is>
          <t>System FC - Final</t>
        </is>
      </c>
      <c r="K1088" t="n">
        <v>3</v>
      </c>
      <c r="L1088" t="n">
        <v>97</v>
      </c>
      <c r="M1088" t="n">
        <v>0</v>
      </c>
      <c r="N1088" t="n">
        <v>4</v>
      </c>
      <c r="O1088" t="n">
        <v>0</v>
      </c>
      <c r="P1088" t="n">
        <v>4</v>
      </c>
      <c r="Q1088" t="n">
        <v>13</v>
      </c>
      <c r="R1088" t="n">
        <v>0</v>
      </c>
      <c r="S1088" t="n">
        <v>0</v>
      </c>
      <c r="T1088" t="n">
        <v>9</v>
      </c>
    </row>
    <row r="1089">
      <c r="A1089" t="inlineStr">
        <is>
          <t>Kylie Makeup</t>
        </is>
      </c>
      <c r="B1089" t="inlineStr">
        <is>
          <t>Lips (01245)</t>
        </is>
      </c>
      <c r="C1089" t="inlineStr">
        <is>
          <t>Kylie Matte Lip Kit (00006094)</t>
        </is>
      </c>
      <c r="D1089" s="1" t="n">
        <v>4064941006701</v>
      </c>
      <c r="E1089" t="inlineStr">
        <is>
          <t>KJ MU M LIQ K SET MLTLPK 3ml1.1g 600 IV</t>
        </is>
      </c>
      <c r="F1089" t="inlineStr">
        <is>
          <t>P_US_FG</t>
        </is>
      </c>
      <c r="G1089" t="inlineStr">
        <is>
          <t>Month-2026.M09.W38</t>
        </is>
      </c>
      <c r="H1089" t="inlineStr">
        <is>
          <t>EPOS</t>
        </is>
      </c>
    </row>
    <row r="1090">
      <c r="A1090" t="inlineStr">
        <is>
          <t>Kylie Makeup</t>
        </is>
      </c>
      <c r="B1090" t="inlineStr">
        <is>
          <t>Lips (01245)</t>
        </is>
      </c>
      <c r="C1090" t="inlineStr">
        <is>
          <t>Kylie Matte Lip Kit (00006094)</t>
        </is>
      </c>
      <c r="D1090" s="1" t="n">
        <v>4064941006701</v>
      </c>
      <c r="E1090" t="inlineStr">
        <is>
          <t>KJ MU M LIQ K SET MLTLPK 3ml1.1g 600 IV</t>
        </is>
      </c>
      <c r="F1090" t="inlineStr">
        <is>
          <t>P_US_FG</t>
        </is>
      </c>
      <c r="G1090" t="inlineStr">
        <is>
          <t>Month-2026.M09.W38</t>
        </is>
      </c>
      <c r="H1090" t="inlineStr">
        <is>
          <t>Reasonability Adjustment</t>
        </is>
      </c>
    </row>
    <row r="1091">
      <c r="A1091" t="inlineStr">
        <is>
          <t>Kylie Makeup</t>
        </is>
      </c>
      <c r="B1091" t="inlineStr">
        <is>
          <t>Lips (01245)</t>
        </is>
      </c>
      <c r="C1091" t="inlineStr">
        <is>
          <t>Kylie Matte Lip Kit (00006094)</t>
        </is>
      </c>
      <c r="D1091" s="1" t="n">
        <v>4064941006701</v>
      </c>
      <c r="E1091" t="inlineStr">
        <is>
          <t>KJ MU M LIQ K SET MLTLPK 3ml1.1g 600 IV</t>
        </is>
      </c>
      <c r="F1091" t="inlineStr">
        <is>
          <t>P_US_FG</t>
        </is>
      </c>
      <c r="G1091" t="inlineStr">
        <is>
          <t>Month-2026.M09.W38</t>
        </is>
      </c>
      <c r="H1091" t="inlineStr">
        <is>
          <t>Total Demand Assumption</t>
        </is>
      </c>
    </row>
    <row r="1092">
      <c r="A1092" t="inlineStr">
        <is>
          <t>Kylie Makeup</t>
        </is>
      </c>
      <c r="B1092" t="inlineStr">
        <is>
          <t>Lips (01245)</t>
        </is>
      </c>
      <c r="C1092" t="inlineStr">
        <is>
          <t>Kylie Matte Lip Kit (00006094)</t>
        </is>
      </c>
      <c r="D1092" s="1" t="n">
        <v>4064941006701</v>
      </c>
      <c r="E1092" t="inlineStr">
        <is>
          <t>KJ MU M LIQ K SET MLTLPK 3ml1.1g 600 IV</t>
        </is>
      </c>
      <c r="F1092" t="inlineStr">
        <is>
          <t>P_US_FG</t>
        </is>
      </c>
      <c r="G1092" t="inlineStr">
        <is>
          <t>Month-2026.M09.W38</t>
        </is>
      </c>
      <c r="H1092" t="inlineStr">
        <is>
          <t>Consensus - Final</t>
        </is>
      </c>
      <c r="K1092" t="n">
        <v>0</v>
      </c>
    </row>
    <row r="1093">
      <c r="A1093" t="inlineStr">
        <is>
          <t>Kylie Makeup</t>
        </is>
      </c>
      <c r="B1093" t="inlineStr">
        <is>
          <t>Lips (01245)</t>
        </is>
      </c>
      <c r="C1093" t="inlineStr">
        <is>
          <t>Kylie Matte Lip Kit (00006094)</t>
        </is>
      </c>
      <c r="D1093" s="1" t="n">
        <v>4064941006701</v>
      </c>
      <c r="E1093" t="inlineStr">
        <is>
          <t>KJ MU M LIQ K SET MLTLPK 3ml1.1g 600 IV</t>
        </is>
      </c>
      <c r="F1093" t="inlineStr">
        <is>
          <t>P_US_FG</t>
        </is>
      </c>
      <c r="G1093" t="inlineStr">
        <is>
          <t>Month-2026.M09.W38</t>
        </is>
      </c>
      <c r="H1093" t="inlineStr">
        <is>
          <t>Supply Cuts</t>
        </is>
      </c>
    </row>
    <row r="1094">
      <c r="A1094" t="inlineStr">
        <is>
          <t>Kylie Makeup</t>
        </is>
      </c>
      <c r="B1094" t="inlineStr">
        <is>
          <t>Lips (01245)</t>
        </is>
      </c>
      <c r="C1094" t="inlineStr">
        <is>
          <t>Kylie Matte Lip Kit (00006094)</t>
        </is>
      </c>
      <c r="D1094" s="1" t="n">
        <v>4064941006701</v>
      </c>
      <c r="E1094" t="inlineStr">
        <is>
          <t>KJ MU M LIQ K SET MLTLPK 3ml1.1g 600 IV</t>
        </is>
      </c>
      <c r="F1094" t="inlineStr">
        <is>
          <t>P_US_ULTA</t>
        </is>
      </c>
      <c r="G1094" t="inlineStr">
        <is>
          <t>CurrentWorkingView</t>
        </is>
      </c>
      <c r="H1094" t="inlineStr">
        <is>
          <t>Consensus - Final LY M</t>
        </is>
      </c>
      <c r="I1094" t="n">
        <v>3643</v>
      </c>
      <c r="J1094" t="n">
        <v>1754</v>
      </c>
      <c r="K1094" t="n">
        <v>1359</v>
      </c>
      <c r="L1094" t="n">
        <v>1377</v>
      </c>
      <c r="M1094" t="n">
        <v>2119</v>
      </c>
      <c r="N1094" t="n">
        <v>1956</v>
      </c>
      <c r="O1094" t="n">
        <v>2788</v>
      </c>
      <c r="P1094" t="n">
        <v>2009</v>
      </c>
      <c r="Q1094" t="n">
        <v>2011</v>
      </c>
      <c r="R1094" t="n">
        <v>1015</v>
      </c>
      <c r="S1094" t="n">
        <v>1790</v>
      </c>
      <c r="T1094" t="n">
        <v>1477</v>
      </c>
    </row>
    <row r="1095">
      <c r="A1095" t="inlineStr">
        <is>
          <t>Kylie Makeup</t>
        </is>
      </c>
      <c r="B1095" t="inlineStr">
        <is>
          <t>Lips (01245)</t>
        </is>
      </c>
      <c r="C1095" t="inlineStr">
        <is>
          <t>Kylie Matte Lip Kit (00006094)</t>
        </is>
      </c>
      <c r="D1095" s="1" t="n">
        <v>4064941006701</v>
      </c>
      <c r="E1095" t="inlineStr">
        <is>
          <t>KJ MU M LIQ K SET MLTLPK 3ml1.1g 600 IV</t>
        </is>
      </c>
      <c r="F1095" t="inlineStr">
        <is>
          <t>P_US_ULTA</t>
        </is>
      </c>
      <c r="G1095" t="inlineStr">
        <is>
          <t>CurrentWorkingView</t>
        </is>
      </c>
      <c r="H1095" t="inlineStr">
        <is>
          <t>System FC - Final</t>
        </is>
      </c>
      <c r="I1095" t="n">
        <v>4320</v>
      </c>
      <c r="J1095" t="n">
        <v>4287</v>
      </c>
      <c r="K1095" t="n">
        <v>2004</v>
      </c>
      <c r="L1095" t="n">
        <v>1849</v>
      </c>
      <c r="M1095" t="n">
        <v>2520</v>
      </c>
      <c r="N1095" t="n">
        <v>2680</v>
      </c>
      <c r="O1095" t="n">
        <v>2848</v>
      </c>
      <c r="P1095" t="n">
        <v>3187</v>
      </c>
      <c r="Q1095" t="n">
        <v>3109</v>
      </c>
      <c r="R1095" t="n">
        <v>2493</v>
      </c>
      <c r="S1095" t="n">
        <v>3020</v>
      </c>
      <c r="T1095" t="n">
        <v>2614</v>
      </c>
    </row>
    <row r="1096">
      <c r="A1096" t="inlineStr">
        <is>
          <t>Kylie Makeup</t>
        </is>
      </c>
      <c r="B1096" t="inlineStr">
        <is>
          <t>Lips (01245)</t>
        </is>
      </c>
      <c r="C1096" t="inlineStr">
        <is>
          <t>Kylie Matte Lip Kit (00006094)</t>
        </is>
      </c>
      <c r="D1096" s="1" t="n">
        <v>4064941006701</v>
      </c>
      <c r="E1096" t="inlineStr">
        <is>
          <t>KJ MU M LIQ K SET MLTLPK 3ml1.1g 600 IV</t>
        </is>
      </c>
      <c r="F1096" t="inlineStr">
        <is>
          <t>P_US_ULTA</t>
        </is>
      </c>
      <c r="G1096" t="inlineStr">
        <is>
          <t>CurrentWorkingView</t>
        </is>
      </c>
      <c r="H1096" t="inlineStr">
        <is>
          <t>EPOS</t>
        </is>
      </c>
      <c r="I1096" t="n">
        <v>1281</v>
      </c>
    </row>
    <row r="1097">
      <c r="A1097" t="inlineStr">
        <is>
          <t>Kylie Makeup</t>
        </is>
      </c>
      <c r="B1097" t="inlineStr">
        <is>
          <t>Lips (01245)</t>
        </is>
      </c>
      <c r="C1097" t="inlineStr">
        <is>
          <t>Kylie Matte Lip Kit (00006094)</t>
        </is>
      </c>
      <c r="D1097" s="1" t="n">
        <v>4064941006701</v>
      </c>
      <c r="E1097" t="inlineStr">
        <is>
          <t>KJ MU M LIQ K SET MLTLPK 3ml1.1g 600 IV</t>
        </is>
      </c>
      <c r="F1097" t="inlineStr">
        <is>
          <t>P_US_ULTA</t>
        </is>
      </c>
      <c r="G1097" t="inlineStr">
        <is>
          <t>CurrentWorkingView</t>
        </is>
      </c>
      <c r="H1097" t="inlineStr">
        <is>
          <t>Reasonability Adjustment</t>
        </is>
      </c>
      <c r="R1097" t="n">
        <v>-347</v>
      </c>
      <c r="S1097" t="n">
        <v>-385</v>
      </c>
      <c r="T1097" t="n">
        <v>-616</v>
      </c>
    </row>
    <row r="1098">
      <c r="A1098" t="inlineStr">
        <is>
          <t>Kylie Makeup</t>
        </is>
      </c>
      <c r="B1098" t="inlineStr">
        <is>
          <t>Lips (01245)</t>
        </is>
      </c>
      <c r="C1098" t="inlineStr">
        <is>
          <t>Kylie Matte Lip Kit (00006094)</t>
        </is>
      </c>
      <c r="D1098" s="1" t="n">
        <v>4064941006701</v>
      </c>
      <c r="E1098" t="inlineStr">
        <is>
          <t>KJ MU M LIQ K SET MLTLPK 3ml1.1g 600 IV</t>
        </is>
      </c>
      <c r="F1098" t="inlineStr">
        <is>
          <t>P_US_ULTA</t>
        </is>
      </c>
      <c r="G1098" t="inlineStr">
        <is>
          <t>CurrentWorkingView</t>
        </is>
      </c>
      <c r="H1098" t="inlineStr">
        <is>
          <t>Total Demand Assumption</t>
        </is>
      </c>
    </row>
    <row r="1099">
      <c r="A1099" t="inlineStr">
        <is>
          <t>Kylie Makeup</t>
        </is>
      </c>
      <c r="B1099" t="inlineStr">
        <is>
          <t>Lips (01245)</t>
        </is>
      </c>
      <c r="C1099" t="inlineStr">
        <is>
          <t>Kylie Matte Lip Kit (00006094)</t>
        </is>
      </c>
      <c r="D1099" s="1" t="n">
        <v>4064941006701</v>
      </c>
      <c r="E1099" t="inlineStr">
        <is>
          <t>KJ MU M LIQ K SET MLTLPK 3ml1.1g 600 IV</t>
        </is>
      </c>
      <c r="F1099" t="inlineStr">
        <is>
          <t>P_US_ULTA</t>
        </is>
      </c>
      <c r="G1099" t="inlineStr">
        <is>
          <t>CurrentWorkingView</t>
        </is>
      </c>
      <c r="H1099" t="inlineStr">
        <is>
          <t>Consensus - Final</t>
        </is>
      </c>
      <c r="I1099" t="n">
        <v>4320</v>
      </c>
      <c r="J1099" t="n">
        <v>4287</v>
      </c>
      <c r="K1099" t="n">
        <v>1809</v>
      </c>
      <c r="L1099" t="n">
        <v>1849</v>
      </c>
      <c r="M1099" t="n">
        <v>2520</v>
      </c>
      <c r="N1099" t="n">
        <v>2680</v>
      </c>
      <c r="O1099" t="n">
        <v>2848</v>
      </c>
      <c r="P1099" t="n">
        <v>3187</v>
      </c>
      <c r="Q1099" t="n">
        <v>3109</v>
      </c>
      <c r="R1099" t="n">
        <v>2146</v>
      </c>
      <c r="S1099" t="n">
        <v>2635</v>
      </c>
      <c r="T1099" t="n">
        <v>1998</v>
      </c>
    </row>
    <row r="1100">
      <c r="A1100" t="inlineStr">
        <is>
          <t>Kylie Makeup</t>
        </is>
      </c>
      <c r="B1100" t="inlineStr">
        <is>
          <t>Lips (01245)</t>
        </is>
      </c>
      <c r="C1100" t="inlineStr">
        <is>
          <t>Kylie Matte Lip Kit (00006094)</t>
        </is>
      </c>
      <c r="D1100" s="1" t="n">
        <v>4064941006701</v>
      </c>
      <c r="E1100" t="inlineStr">
        <is>
          <t>KJ MU M LIQ K SET MLTLPK 3ml1.1g 600 IV</t>
        </is>
      </c>
      <c r="F1100" t="inlineStr">
        <is>
          <t>P_US_ULTA</t>
        </is>
      </c>
      <c r="G1100" t="inlineStr">
        <is>
          <t>CurrentWorkingView</t>
        </is>
      </c>
      <c r="H1100" t="inlineStr">
        <is>
          <t>Supply Cuts</t>
        </is>
      </c>
    </row>
    <row r="1101">
      <c r="A1101" t="inlineStr">
        <is>
          <t>Kylie Makeup</t>
        </is>
      </c>
      <c r="B1101" t="inlineStr">
        <is>
          <t>Lips (01245)</t>
        </is>
      </c>
      <c r="C1101" t="inlineStr">
        <is>
          <t>Kylie Matte Lip Kit (00006094)</t>
        </is>
      </c>
      <c r="D1101" s="1" t="n">
        <v>4064941006701</v>
      </c>
      <c r="E1101" t="inlineStr">
        <is>
          <t>KJ MU M LIQ K SET MLTLPK 3ml1.1g 600 IV</t>
        </is>
      </c>
      <c r="F1101" t="inlineStr">
        <is>
          <t>P_US_ULTA</t>
        </is>
      </c>
      <c r="G1101" t="inlineStr">
        <is>
          <t>Month-2026.M09.W38</t>
        </is>
      </c>
      <c r="H1101" t="inlineStr">
        <is>
          <t>Consensus - Final LY M</t>
        </is>
      </c>
      <c r="I1101" t="n">
        <v>3643</v>
      </c>
      <c r="J1101" t="n">
        <v>1754</v>
      </c>
      <c r="K1101" t="n">
        <v>1359</v>
      </c>
      <c r="L1101" t="n">
        <v>1377</v>
      </c>
      <c r="M1101" t="n">
        <v>2119</v>
      </c>
      <c r="N1101" t="n">
        <v>1956</v>
      </c>
      <c r="O1101" t="n">
        <v>2788</v>
      </c>
      <c r="P1101" t="n">
        <v>2009</v>
      </c>
      <c r="Q1101" t="n">
        <v>2011</v>
      </c>
      <c r="R1101" t="n">
        <v>1015</v>
      </c>
      <c r="S1101" t="n">
        <v>1790</v>
      </c>
      <c r="T1101" t="n">
        <v>1477</v>
      </c>
    </row>
    <row r="1102">
      <c r="A1102" t="inlineStr">
        <is>
          <t>Kylie Makeup</t>
        </is>
      </c>
      <c r="B1102" t="inlineStr">
        <is>
          <t>Lips (01245)</t>
        </is>
      </c>
      <c r="C1102" t="inlineStr">
        <is>
          <t>Kylie Matte Lip Kit (00006094)</t>
        </is>
      </c>
      <c r="D1102" s="1" t="n">
        <v>4064941006701</v>
      </c>
      <c r="E1102" t="inlineStr">
        <is>
          <t>KJ MU M LIQ K SET MLTLPK 3ml1.1g 600 IV</t>
        </is>
      </c>
      <c r="F1102" t="inlineStr">
        <is>
          <t>P_US_ULTA</t>
        </is>
      </c>
      <c r="G1102" t="inlineStr">
        <is>
          <t>Month-2026.M09.W38</t>
        </is>
      </c>
      <c r="H1102" t="inlineStr">
        <is>
          <t>System FC - Final</t>
        </is>
      </c>
      <c r="I1102" t="n">
        <v>4320</v>
      </c>
      <c r="J1102" t="n">
        <v>4287</v>
      </c>
      <c r="K1102" t="n">
        <v>2260</v>
      </c>
      <c r="L1102" t="n">
        <v>2054</v>
      </c>
      <c r="M1102" t="n">
        <v>1626</v>
      </c>
      <c r="N1102" t="n">
        <v>2077</v>
      </c>
      <c r="O1102" t="n">
        <v>2529</v>
      </c>
      <c r="P1102" t="n">
        <v>2644</v>
      </c>
      <c r="Q1102" t="n">
        <v>2095</v>
      </c>
      <c r="R1102" t="n">
        <v>1527</v>
      </c>
      <c r="S1102" t="n">
        <v>2290</v>
      </c>
      <c r="T1102" t="n">
        <v>1843</v>
      </c>
    </row>
    <row r="1103">
      <c r="A1103" t="inlineStr">
        <is>
          <t>Kylie Makeup</t>
        </is>
      </c>
      <c r="B1103" t="inlineStr">
        <is>
          <t>Lips (01245)</t>
        </is>
      </c>
      <c r="C1103" t="inlineStr">
        <is>
          <t>Kylie Matte Lip Kit (00006094)</t>
        </is>
      </c>
      <c r="D1103" s="1" t="n">
        <v>4064941006701</v>
      </c>
      <c r="E1103" t="inlineStr">
        <is>
          <t>KJ MU M LIQ K SET MLTLPK 3ml1.1g 600 IV</t>
        </is>
      </c>
      <c r="F1103" t="inlineStr">
        <is>
          <t>P_US_ULTA</t>
        </is>
      </c>
      <c r="G1103" t="inlineStr">
        <is>
          <t>Month-2026.M09.W38</t>
        </is>
      </c>
      <c r="H1103" t="inlineStr">
        <is>
          <t>EPOS</t>
        </is>
      </c>
      <c r="I1103" t="n">
        <v>1281</v>
      </c>
    </row>
    <row r="1104">
      <c r="A1104" t="inlineStr">
        <is>
          <t>Kylie Makeup</t>
        </is>
      </c>
      <c r="B1104" t="inlineStr">
        <is>
          <t>Lips (01245)</t>
        </is>
      </c>
      <c r="C1104" t="inlineStr">
        <is>
          <t>Kylie Matte Lip Kit (00006094)</t>
        </is>
      </c>
      <c r="D1104" s="1" t="n">
        <v>4064941006701</v>
      </c>
      <c r="E1104" t="inlineStr">
        <is>
          <t>KJ MU M LIQ K SET MLTLPK 3ml1.1g 600 IV</t>
        </is>
      </c>
      <c r="F1104" t="inlineStr">
        <is>
          <t>P_US_ULTA</t>
        </is>
      </c>
      <c r="G1104" t="inlineStr">
        <is>
          <t>Month-2026.M09.W38</t>
        </is>
      </c>
      <c r="H1104" t="inlineStr">
        <is>
          <t>Reasonability Adjustment</t>
        </is>
      </c>
      <c r="R1104" t="n">
        <v>-347</v>
      </c>
      <c r="S1104" t="n">
        <v>-385</v>
      </c>
      <c r="T1104" t="n">
        <v>-616</v>
      </c>
    </row>
    <row r="1105">
      <c r="A1105" t="inlineStr">
        <is>
          <t>Kylie Makeup</t>
        </is>
      </c>
      <c r="B1105" t="inlineStr">
        <is>
          <t>Lips (01245)</t>
        </is>
      </c>
      <c r="C1105" t="inlineStr">
        <is>
          <t>Kylie Matte Lip Kit (00006094)</t>
        </is>
      </c>
      <c r="D1105" s="1" t="n">
        <v>4064941006701</v>
      </c>
      <c r="E1105" t="inlineStr">
        <is>
          <t>KJ MU M LIQ K SET MLTLPK 3ml1.1g 600 IV</t>
        </is>
      </c>
      <c r="F1105" t="inlineStr">
        <is>
          <t>P_US_ULTA</t>
        </is>
      </c>
      <c r="G1105" t="inlineStr">
        <is>
          <t>Month-2026.M09.W38</t>
        </is>
      </c>
      <c r="H1105" t="inlineStr">
        <is>
          <t>Total Demand Assumption</t>
        </is>
      </c>
    </row>
    <row r="1106">
      <c r="A1106" t="inlineStr">
        <is>
          <t>Kylie Makeup</t>
        </is>
      </c>
      <c r="B1106" t="inlineStr">
        <is>
          <t>Lips (01245)</t>
        </is>
      </c>
      <c r="C1106" t="inlineStr">
        <is>
          <t>Kylie Matte Lip Kit (00006094)</t>
        </is>
      </c>
      <c r="D1106" s="1" t="n">
        <v>4064941006701</v>
      </c>
      <c r="E1106" t="inlineStr">
        <is>
          <t>KJ MU M LIQ K SET MLTLPK 3ml1.1g 600 IV</t>
        </is>
      </c>
      <c r="F1106" t="inlineStr">
        <is>
          <t>P_US_ULTA</t>
        </is>
      </c>
      <c r="G1106" t="inlineStr">
        <is>
          <t>Month-2026.M09.W38</t>
        </is>
      </c>
      <c r="H1106" t="inlineStr">
        <is>
          <t>Consensus - Final</t>
        </is>
      </c>
      <c r="I1106" t="n">
        <v>4320</v>
      </c>
      <c r="J1106" t="n">
        <v>4287</v>
      </c>
      <c r="K1106" t="n">
        <v>1809</v>
      </c>
      <c r="L1106" t="n">
        <v>2054</v>
      </c>
      <c r="M1106" t="n">
        <v>1626</v>
      </c>
      <c r="N1106" t="n">
        <v>2077</v>
      </c>
      <c r="O1106" t="n">
        <v>2529</v>
      </c>
      <c r="P1106" t="n">
        <v>2644</v>
      </c>
      <c r="Q1106" t="n">
        <v>2095</v>
      </c>
      <c r="R1106" t="n">
        <v>1180</v>
      </c>
      <c r="S1106" t="n">
        <v>1905</v>
      </c>
      <c r="T1106" t="n">
        <v>1227</v>
      </c>
    </row>
    <row r="1107">
      <c r="A1107" t="inlineStr">
        <is>
          <t>Kylie Makeup</t>
        </is>
      </c>
      <c r="B1107" t="inlineStr">
        <is>
          <t>Lips (01245)</t>
        </is>
      </c>
      <c r="C1107" t="inlineStr">
        <is>
          <t>Kylie Matte Lip Kit (00006094)</t>
        </is>
      </c>
      <c r="D1107" s="1" t="n">
        <v>4064941006701</v>
      </c>
      <c r="E1107" t="inlineStr">
        <is>
          <t>KJ MU M LIQ K SET MLTLPK 3ml1.1g 600 IV</t>
        </is>
      </c>
      <c r="F1107" t="inlineStr">
        <is>
          <t>P_US_ULTA</t>
        </is>
      </c>
      <c r="G1107" t="inlineStr">
        <is>
          <t>Month-2026.M09.W38</t>
        </is>
      </c>
      <c r="H1107" t="inlineStr">
        <is>
          <t>Supply Cuts</t>
        </is>
      </c>
    </row>
    <row r="1108">
      <c r="A1108" t="inlineStr">
        <is>
          <t>Kylie Makeup</t>
        </is>
      </c>
      <c r="B1108" t="inlineStr">
        <is>
          <t>Lips (01245)</t>
        </is>
      </c>
      <c r="C1108" t="inlineStr">
        <is>
          <t>Kylie Matte Lip Kit (00006094)</t>
        </is>
      </c>
      <c r="D1108" s="1" t="n">
        <v>4064941006800</v>
      </c>
      <c r="E1108" t="inlineStr">
        <is>
          <t>KJ MU M LIQ K SET NMDIN 302 SNWWYBA 23IV</t>
        </is>
      </c>
      <c r="F1108" t="inlineStr">
        <is>
          <t>P_US_ALL_OTHERS</t>
        </is>
      </c>
      <c r="G1108" t="inlineStr">
        <is>
          <t>CurrentWorkingView</t>
        </is>
      </c>
      <c r="H1108" t="inlineStr">
        <is>
          <t>Consensus - Final LY M</t>
        </is>
      </c>
      <c r="I1108" t="n">
        <v>197</v>
      </c>
      <c r="J1108" t="n">
        <v>192</v>
      </c>
      <c r="K1108" t="n">
        <v>198</v>
      </c>
      <c r="L1108" t="n">
        <v>186</v>
      </c>
      <c r="M1108" t="n">
        <v>171</v>
      </c>
      <c r="N1108" t="n">
        <v>230</v>
      </c>
      <c r="O1108" t="n">
        <v>214</v>
      </c>
      <c r="P1108" t="n">
        <v>290</v>
      </c>
      <c r="Q1108" t="n">
        <v>184</v>
      </c>
      <c r="R1108" t="n">
        <v>207</v>
      </c>
      <c r="S1108" t="n">
        <v>360</v>
      </c>
      <c r="T1108" t="n">
        <v>122</v>
      </c>
    </row>
    <row r="1109">
      <c r="A1109" t="inlineStr">
        <is>
          <t>Kylie Makeup</t>
        </is>
      </c>
      <c r="B1109" t="inlineStr">
        <is>
          <t>Lips (01245)</t>
        </is>
      </c>
      <c r="C1109" t="inlineStr">
        <is>
          <t>Kylie Matte Lip Kit (00006094)</t>
        </is>
      </c>
      <c r="D1109" s="1" t="n">
        <v>4064941006800</v>
      </c>
      <c r="E1109" t="inlineStr">
        <is>
          <t>KJ MU M LIQ K SET NMDIN 302 SNWWYBA 23IV</t>
        </is>
      </c>
      <c r="F1109" t="inlineStr">
        <is>
          <t>P_US_ALL_OTHERS</t>
        </is>
      </c>
      <c r="G1109" t="inlineStr">
        <is>
          <t>CurrentWorkingView</t>
        </is>
      </c>
      <c r="H1109" t="inlineStr">
        <is>
          <t>System FC - Final</t>
        </is>
      </c>
      <c r="I1109" t="n">
        <v>156</v>
      </c>
      <c r="J1109" t="n">
        <v>195</v>
      </c>
      <c r="K1109" t="n">
        <v>119</v>
      </c>
      <c r="L1109" t="n">
        <v>186</v>
      </c>
      <c r="M1109" t="n">
        <v>176</v>
      </c>
      <c r="N1109" t="n">
        <v>231</v>
      </c>
      <c r="O1109" t="n">
        <v>177</v>
      </c>
      <c r="P1109" t="n">
        <v>264</v>
      </c>
      <c r="Q1109" t="n">
        <v>252</v>
      </c>
      <c r="R1109" t="n">
        <v>141</v>
      </c>
      <c r="S1109" t="n">
        <v>337</v>
      </c>
      <c r="T1109" t="n">
        <v>150</v>
      </c>
    </row>
    <row r="1110">
      <c r="A1110" t="inlineStr">
        <is>
          <t>Kylie Makeup</t>
        </is>
      </c>
      <c r="B1110" t="inlineStr">
        <is>
          <t>Lips (01245)</t>
        </is>
      </c>
      <c r="C1110" t="inlineStr">
        <is>
          <t>Kylie Matte Lip Kit (00006094)</t>
        </is>
      </c>
      <c r="D1110" s="1" t="n">
        <v>4064941006800</v>
      </c>
      <c r="E1110" t="inlineStr">
        <is>
          <t>KJ MU M LIQ K SET NMDIN 302 SNWWYBA 23IV</t>
        </is>
      </c>
      <c r="F1110" t="inlineStr">
        <is>
          <t>P_US_ALL_OTHERS</t>
        </is>
      </c>
      <c r="G1110" t="inlineStr">
        <is>
          <t>CurrentWorkingView</t>
        </is>
      </c>
      <c r="H1110" t="inlineStr">
        <is>
          <t>EPOS</t>
        </is>
      </c>
      <c r="I1110" t="n">
        <v>129</v>
      </c>
    </row>
    <row r="1111">
      <c r="A1111" t="inlineStr">
        <is>
          <t>Kylie Makeup</t>
        </is>
      </c>
      <c r="B1111" t="inlineStr">
        <is>
          <t>Lips (01245)</t>
        </is>
      </c>
      <c r="C1111" t="inlineStr">
        <is>
          <t>Kylie Matte Lip Kit (00006094)</t>
        </is>
      </c>
      <c r="D1111" s="1" t="n">
        <v>4064941006800</v>
      </c>
      <c r="E1111" t="inlineStr">
        <is>
          <t>KJ MU M LIQ K SET NMDIN 302 SNWWYBA 23IV</t>
        </is>
      </c>
      <c r="F1111" t="inlineStr">
        <is>
          <t>P_US_ALL_OTHERS</t>
        </is>
      </c>
      <c r="G1111" t="inlineStr">
        <is>
          <t>CurrentWorkingView</t>
        </is>
      </c>
      <c r="H1111" t="inlineStr">
        <is>
          <t>Reasonability Adjustment</t>
        </is>
      </c>
      <c r="S1111" t="n">
        <v>-26</v>
      </c>
    </row>
    <row r="1112">
      <c r="A1112" t="inlineStr">
        <is>
          <t>Kylie Makeup</t>
        </is>
      </c>
      <c r="B1112" t="inlineStr">
        <is>
          <t>Lips (01245)</t>
        </is>
      </c>
      <c r="C1112" t="inlineStr">
        <is>
          <t>Kylie Matte Lip Kit (00006094)</t>
        </is>
      </c>
      <c r="D1112" s="1" t="n">
        <v>4064941006800</v>
      </c>
      <c r="E1112" t="inlineStr">
        <is>
          <t>KJ MU M LIQ K SET NMDIN 302 SNWWYBA 23IV</t>
        </is>
      </c>
      <c r="F1112" t="inlineStr">
        <is>
          <t>P_US_ALL_OTHERS</t>
        </is>
      </c>
      <c r="G1112" t="inlineStr">
        <is>
          <t>CurrentWorkingView</t>
        </is>
      </c>
      <c r="H1112" t="inlineStr">
        <is>
          <t>Total Demand Assumption</t>
        </is>
      </c>
    </row>
    <row r="1113">
      <c r="A1113" t="inlineStr">
        <is>
          <t>Kylie Makeup</t>
        </is>
      </c>
      <c r="B1113" t="inlineStr">
        <is>
          <t>Lips (01245)</t>
        </is>
      </c>
      <c r="C1113" t="inlineStr">
        <is>
          <t>Kylie Matte Lip Kit (00006094)</t>
        </is>
      </c>
      <c r="D1113" s="1" t="n">
        <v>4064941006800</v>
      </c>
      <c r="E1113" t="inlineStr">
        <is>
          <t>KJ MU M LIQ K SET NMDIN 302 SNWWYBA 23IV</t>
        </is>
      </c>
      <c r="F1113" t="inlineStr">
        <is>
          <t>P_US_ALL_OTHERS</t>
        </is>
      </c>
      <c r="G1113" t="inlineStr">
        <is>
          <t>CurrentWorkingView</t>
        </is>
      </c>
      <c r="H1113" t="inlineStr">
        <is>
          <t>Consensus - Final</t>
        </is>
      </c>
      <c r="I1113" t="n">
        <v>156</v>
      </c>
      <c r="J1113" t="n">
        <v>195</v>
      </c>
      <c r="K1113" t="n">
        <v>193.923611111111</v>
      </c>
      <c r="L1113" t="n">
        <v>186</v>
      </c>
      <c r="M1113" t="n">
        <v>176</v>
      </c>
      <c r="N1113" t="n">
        <v>231</v>
      </c>
      <c r="O1113" t="n">
        <v>177</v>
      </c>
      <c r="P1113" t="n">
        <v>264</v>
      </c>
      <c r="Q1113" t="n">
        <v>252</v>
      </c>
      <c r="R1113" t="n">
        <v>141</v>
      </c>
      <c r="S1113" t="n">
        <v>311</v>
      </c>
      <c r="T1113" t="n">
        <v>150</v>
      </c>
    </row>
    <row r="1114">
      <c r="A1114" t="inlineStr">
        <is>
          <t>Kylie Makeup</t>
        </is>
      </c>
      <c r="B1114" t="inlineStr">
        <is>
          <t>Lips (01245)</t>
        </is>
      </c>
      <c r="C1114" t="inlineStr">
        <is>
          <t>Kylie Matte Lip Kit (00006094)</t>
        </is>
      </c>
      <c r="D1114" s="1" t="n">
        <v>4064941006800</v>
      </c>
      <c r="E1114" t="inlineStr">
        <is>
          <t>KJ MU M LIQ K SET NMDIN 302 SNWWYBA 23IV</t>
        </is>
      </c>
      <c r="F1114" t="inlineStr">
        <is>
          <t>P_US_ALL_OTHERS</t>
        </is>
      </c>
      <c r="G1114" t="inlineStr">
        <is>
          <t>CurrentWorkingView</t>
        </is>
      </c>
      <c r="H1114" t="inlineStr">
        <is>
          <t>Supply Cuts</t>
        </is>
      </c>
    </row>
    <row r="1115">
      <c r="A1115" t="inlineStr">
        <is>
          <t>Kylie Makeup</t>
        </is>
      </c>
      <c r="B1115" t="inlineStr">
        <is>
          <t>Lips (01245)</t>
        </is>
      </c>
      <c r="C1115" t="inlineStr">
        <is>
          <t>Kylie Matte Lip Kit (00006094)</t>
        </is>
      </c>
      <c r="D1115" s="1" t="n">
        <v>4064941006800</v>
      </c>
      <c r="E1115" t="inlineStr">
        <is>
          <t>KJ MU M LIQ K SET NMDIN 302 SNWWYBA 23IV</t>
        </is>
      </c>
      <c r="F1115" t="inlineStr">
        <is>
          <t>P_US_ALL_OTHERS</t>
        </is>
      </c>
      <c r="G1115" t="inlineStr">
        <is>
          <t>Month-2026.M09.W38</t>
        </is>
      </c>
      <c r="H1115" t="inlineStr">
        <is>
          <t>Consensus - Final LY M</t>
        </is>
      </c>
      <c r="I1115" t="n">
        <v>197</v>
      </c>
      <c r="J1115" t="n">
        <v>192</v>
      </c>
      <c r="K1115" t="n">
        <v>198</v>
      </c>
      <c r="L1115" t="n">
        <v>186</v>
      </c>
      <c r="M1115" t="n">
        <v>171</v>
      </c>
      <c r="N1115" t="n">
        <v>230</v>
      </c>
      <c r="O1115" t="n">
        <v>214</v>
      </c>
      <c r="P1115" t="n">
        <v>290</v>
      </c>
      <c r="Q1115" t="n">
        <v>184</v>
      </c>
      <c r="R1115" t="n">
        <v>207</v>
      </c>
      <c r="S1115" t="n">
        <v>360</v>
      </c>
      <c r="T1115" t="n">
        <v>122</v>
      </c>
    </row>
    <row r="1116">
      <c r="A1116" t="inlineStr">
        <is>
          <t>Kylie Makeup</t>
        </is>
      </c>
      <c r="B1116" t="inlineStr">
        <is>
          <t>Lips (01245)</t>
        </is>
      </c>
      <c r="C1116" t="inlineStr">
        <is>
          <t>Kylie Matte Lip Kit (00006094)</t>
        </is>
      </c>
      <c r="D1116" s="1" t="n">
        <v>4064941006800</v>
      </c>
      <c r="E1116" t="inlineStr">
        <is>
          <t>KJ MU M LIQ K SET NMDIN 302 SNWWYBA 23IV</t>
        </is>
      </c>
      <c r="F1116" t="inlineStr">
        <is>
          <t>P_US_ALL_OTHERS</t>
        </is>
      </c>
      <c r="G1116" t="inlineStr">
        <is>
          <t>Month-2026.M09.W38</t>
        </is>
      </c>
      <c r="H1116" t="inlineStr">
        <is>
          <t>System FC - Final</t>
        </is>
      </c>
      <c r="I1116" t="n">
        <v>156</v>
      </c>
      <c r="J1116" t="n">
        <v>195</v>
      </c>
      <c r="K1116" t="n">
        <v>149</v>
      </c>
      <c r="L1116" t="n">
        <v>195</v>
      </c>
      <c r="M1116" t="n">
        <v>188</v>
      </c>
      <c r="N1116" t="n">
        <v>243</v>
      </c>
      <c r="O1116" t="n">
        <v>186</v>
      </c>
      <c r="P1116" t="n">
        <v>272</v>
      </c>
      <c r="Q1116" t="n">
        <v>253</v>
      </c>
      <c r="R1116" t="n">
        <v>142</v>
      </c>
      <c r="S1116" t="n">
        <v>341</v>
      </c>
      <c r="T1116" t="n">
        <v>201</v>
      </c>
    </row>
    <row r="1117">
      <c r="A1117" t="inlineStr">
        <is>
          <t>Kylie Makeup</t>
        </is>
      </c>
      <c r="B1117" t="inlineStr">
        <is>
          <t>Lips (01245)</t>
        </is>
      </c>
      <c r="C1117" t="inlineStr">
        <is>
          <t>Kylie Matte Lip Kit (00006094)</t>
        </is>
      </c>
      <c r="D1117" s="1" t="n">
        <v>4064941006800</v>
      </c>
      <c r="E1117" t="inlineStr">
        <is>
          <t>KJ MU M LIQ K SET NMDIN 302 SNWWYBA 23IV</t>
        </is>
      </c>
      <c r="F1117" t="inlineStr">
        <is>
          <t>P_US_ALL_OTHERS</t>
        </is>
      </c>
      <c r="G1117" t="inlineStr">
        <is>
          <t>Month-2026.M09.W38</t>
        </is>
      </c>
      <c r="H1117" t="inlineStr">
        <is>
          <t>EPOS</t>
        </is>
      </c>
      <c r="I1117" t="n">
        <v>129</v>
      </c>
    </row>
    <row r="1118">
      <c r="A1118" t="inlineStr">
        <is>
          <t>Kylie Makeup</t>
        </is>
      </c>
      <c r="B1118" t="inlineStr">
        <is>
          <t>Lips (01245)</t>
        </is>
      </c>
      <c r="C1118" t="inlineStr">
        <is>
          <t>Kylie Matte Lip Kit (00006094)</t>
        </is>
      </c>
      <c r="D1118" s="1" t="n">
        <v>4064941006800</v>
      </c>
      <c r="E1118" t="inlineStr">
        <is>
          <t>KJ MU M LIQ K SET NMDIN 302 SNWWYBA 23IV</t>
        </is>
      </c>
      <c r="F1118" t="inlineStr">
        <is>
          <t>P_US_ALL_OTHERS</t>
        </is>
      </c>
      <c r="G1118" t="inlineStr">
        <is>
          <t>Month-2026.M09.W38</t>
        </is>
      </c>
      <c r="H1118" t="inlineStr">
        <is>
          <t>Reasonability Adjustment</t>
        </is>
      </c>
      <c r="S1118" t="n">
        <v>-26</v>
      </c>
    </row>
    <row r="1119">
      <c r="A1119" t="inlineStr">
        <is>
          <t>Kylie Makeup</t>
        </is>
      </c>
      <c r="B1119" t="inlineStr">
        <is>
          <t>Lips (01245)</t>
        </is>
      </c>
      <c r="C1119" t="inlineStr">
        <is>
          <t>Kylie Matte Lip Kit (00006094)</t>
        </is>
      </c>
      <c r="D1119" s="1" t="n">
        <v>4064941006800</v>
      </c>
      <c r="E1119" t="inlineStr">
        <is>
          <t>KJ MU M LIQ K SET NMDIN 302 SNWWYBA 23IV</t>
        </is>
      </c>
      <c r="F1119" t="inlineStr">
        <is>
          <t>P_US_ALL_OTHERS</t>
        </is>
      </c>
      <c r="G1119" t="inlineStr">
        <is>
          <t>Month-2026.M09.W38</t>
        </is>
      </c>
      <c r="H1119" t="inlineStr">
        <is>
          <t>Total Demand Assumption</t>
        </is>
      </c>
    </row>
    <row r="1120">
      <c r="A1120" t="inlineStr">
        <is>
          <t>Kylie Makeup</t>
        </is>
      </c>
      <c r="B1120" t="inlineStr">
        <is>
          <t>Lips (01245)</t>
        </is>
      </c>
      <c r="C1120" t="inlineStr">
        <is>
          <t>Kylie Matte Lip Kit (00006094)</t>
        </is>
      </c>
      <c r="D1120" s="1" t="n">
        <v>4064941006800</v>
      </c>
      <c r="E1120" t="inlineStr">
        <is>
          <t>KJ MU M LIQ K SET NMDIN 302 SNWWYBA 23IV</t>
        </is>
      </c>
      <c r="F1120" t="inlineStr">
        <is>
          <t>P_US_ALL_OTHERS</t>
        </is>
      </c>
      <c r="G1120" t="inlineStr">
        <is>
          <t>Month-2026.M09.W38</t>
        </is>
      </c>
      <c r="H1120" t="inlineStr">
        <is>
          <t>Consensus - Final</t>
        </is>
      </c>
      <c r="I1120" t="n">
        <v>156</v>
      </c>
      <c r="J1120" t="n">
        <v>195</v>
      </c>
      <c r="K1120" t="n">
        <v>193.923611111111</v>
      </c>
      <c r="L1120" t="n">
        <v>195</v>
      </c>
      <c r="M1120" t="n">
        <v>188</v>
      </c>
      <c r="N1120" t="n">
        <v>243</v>
      </c>
      <c r="O1120" t="n">
        <v>186</v>
      </c>
      <c r="P1120" t="n">
        <v>272</v>
      </c>
      <c r="Q1120" t="n">
        <v>253</v>
      </c>
      <c r="R1120" t="n">
        <v>142</v>
      </c>
      <c r="S1120" t="n">
        <v>315</v>
      </c>
      <c r="T1120" t="n">
        <v>201</v>
      </c>
    </row>
    <row r="1121">
      <c r="A1121" t="inlineStr">
        <is>
          <t>Kylie Makeup</t>
        </is>
      </c>
      <c r="B1121" t="inlineStr">
        <is>
          <t>Lips (01245)</t>
        </is>
      </c>
      <c r="C1121" t="inlineStr">
        <is>
          <t>Kylie Matte Lip Kit (00006094)</t>
        </is>
      </c>
      <c r="D1121" s="1" t="n">
        <v>4064941006800</v>
      </c>
      <c r="E1121" t="inlineStr">
        <is>
          <t>KJ MU M LIQ K SET NMDIN 302 SNWWYBA 23IV</t>
        </is>
      </c>
      <c r="F1121" t="inlineStr">
        <is>
          <t>P_US_ALL_OTHERS</t>
        </is>
      </c>
      <c r="G1121" t="inlineStr">
        <is>
          <t>Month-2026.M09.W38</t>
        </is>
      </c>
      <c r="H1121" t="inlineStr">
        <is>
          <t>Supply Cuts</t>
        </is>
      </c>
    </row>
    <row r="1122">
      <c r="A1122" t="inlineStr">
        <is>
          <t>Kylie Makeup</t>
        </is>
      </c>
      <c r="B1122" t="inlineStr">
        <is>
          <t>Lips (01245)</t>
        </is>
      </c>
      <c r="C1122" t="inlineStr">
        <is>
          <t>Kylie Matte Lip Kit (00006094)</t>
        </is>
      </c>
      <c r="D1122" s="1" t="n">
        <v>4064941006800</v>
      </c>
      <c r="E1122" t="inlineStr">
        <is>
          <t>KJ MU M LIQ K SET NMDIN 302 SNWWYBA 23IV</t>
        </is>
      </c>
      <c r="F1122" t="inlineStr">
        <is>
          <t>P_US_FG</t>
        </is>
      </c>
      <c r="G1122" t="inlineStr">
        <is>
          <t>CurrentWorkingView</t>
        </is>
      </c>
      <c r="H1122" t="inlineStr">
        <is>
          <t>Consensus - Final LY M</t>
        </is>
      </c>
      <c r="L1122" t="n">
        <v>1</v>
      </c>
      <c r="O1122" t="n">
        <v>70</v>
      </c>
      <c r="Q1122" t="n">
        <v>45</v>
      </c>
    </row>
    <row r="1123">
      <c r="A1123" t="inlineStr">
        <is>
          <t>Kylie Makeup</t>
        </is>
      </c>
      <c r="B1123" t="inlineStr">
        <is>
          <t>Lips (01245)</t>
        </is>
      </c>
      <c r="C1123" t="inlineStr">
        <is>
          <t>Kylie Matte Lip Kit (00006094)</t>
        </is>
      </c>
      <c r="D1123" s="1" t="n">
        <v>4064941006800</v>
      </c>
      <c r="E1123" t="inlineStr">
        <is>
          <t>KJ MU M LIQ K SET NMDIN 302 SNWWYBA 23IV</t>
        </is>
      </c>
      <c r="F1123" t="inlineStr">
        <is>
          <t>P_US_FG</t>
        </is>
      </c>
      <c r="G1123" t="inlineStr">
        <is>
          <t>CurrentWorkingView</t>
        </is>
      </c>
      <c r="H1123" t="inlineStr">
        <is>
          <t>System FC - Final</t>
        </is>
      </c>
      <c r="K1123" t="n">
        <v>0</v>
      </c>
      <c r="L1123" t="n">
        <v>0</v>
      </c>
      <c r="M1123" t="n">
        <v>4</v>
      </c>
      <c r="N1123" t="n">
        <v>5</v>
      </c>
      <c r="O1123" t="n">
        <v>9</v>
      </c>
      <c r="P1123" t="n">
        <v>0</v>
      </c>
      <c r="Q1123" t="n">
        <v>18</v>
      </c>
      <c r="R1123" t="n">
        <v>8</v>
      </c>
      <c r="S1123" t="n">
        <v>0</v>
      </c>
      <c r="T1123" t="n">
        <v>0</v>
      </c>
    </row>
    <row r="1124">
      <c r="A1124" t="inlineStr">
        <is>
          <t>Kylie Makeup</t>
        </is>
      </c>
      <c r="B1124" t="inlineStr">
        <is>
          <t>Lips (01245)</t>
        </is>
      </c>
      <c r="C1124" t="inlineStr">
        <is>
          <t>Kylie Matte Lip Kit (00006094)</t>
        </is>
      </c>
      <c r="D1124" s="1" t="n">
        <v>4064941006800</v>
      </c>
      <c r="E1124" t="inlineStr">
        <is>
          <t>KJ MU M LIQ K SET NMDIN 302 SNWWYBA 23IV</t>
        </is>
      </c>
      <c r="F1124" t="inlineStr">
        <is>
          <t>P_US_FG</t>
        </is>
      </c>
      <c r="G1124" t="inlineStr">
        <is>
          <t>CurrentWorkingView</t>
        </is>
      </c>
      <c r="H1124" t="inlineStr">
        <is>
          <t>EPOS</t>
        </is>
      </c>
    </row>
    <row r="1125">
      <c r="A1125" t="inlineStr">
        <is>
          <t>Kylie Makeup</t>
        </is>
      </c>
      <c r="B1125" t="inlineStr">
        <is>
          <t>Lips (01245)</t>
        </is>
      </c>
      <c r="C1125" t="inlineStr">
        <is>
          <t>Kylie Matte Lip Kit (00006094)</t>
        </is>
      </c>
      <c r="D1125" s="1" t="n">
        <v>4064941006800</v>
      </c>
      <c r="E1125" t="inlineStr">
        <is>
          <t>KJ MU M LIQ K SET NMDIN 302 SNWWYBA 23IV</t>
        </is>
      </c>
      <c r="F1125" t="inlineStr">
        <is>
          <t>P_US_FG</t>
        </is>
      </c>
      <c r="G1125" t="inlineStr">
        <is>
          <t>CurrentWorkingView</t>
        </is>
      </c>
      <c r="H1125" t="inlineStr">
        <is>
          <t>Reasonability Adjustment</t>
        </is>
      </c>
    </row>
    <row r="1126">
      <c r="A1126" t="inlineStr">
        <is>
          <t>Kylie Makeup</t>
        </is>
      </c>
      <c r="B1126" t="inlineStr">
        <is>
          <t>Lips (01245)</t>
        </is>
      </c>
      <c r="C1126" t="inlineStr">
        <is>
          <t>Kylie Matte Lip Kit (00006094)</t>
        </is>
      </c>
      <c r="D1126" s="1" t="n">
        <v>4064941006800</v>
      </c>
      <c r="E1126" t="inlineStr">
        <is>
          <t>KJ MU M LIQ K SET NMDIN 302 SNWWYBA 23IV</t>
        </is>
      </c>
      <c r="F1126" t="inlineStr">
        <is>
          <t>P_US_FG</t>
        </is>
      </c>
      <c r="G1126" t="inlineStr">
        <is>
          <t>CurrentWorkingView</t>
        </is>
      </c>
      <c r="H1126" t="inlineStr">
        <is>
          <t>Total Demand Assumption</t>
        </is>
      </c>
    </row>
    <row r="1127">
      <c r="A1127" t="inlineStr">
        <is>
          <t>Kylie Makeup</t>
        </is>
      </c>
      <c r="B1127" t="inlineStr">
        <is>
          <t>Lips (01245)</t>
        </is>
      </c>
      <c r="C1127" t="inlineStr">
        <is>
          <t>Kylie Matte Lip Kit (00006094)</t>
        </is>
      </c>
      <c r="D1127" s="1" t="n">
        <v>4064941006800</v>
      </c>
      <c r="E1127" t="inlineStr">
        <is>
          <t>KJ MU M LIQ K SET NMDIN 302 SNWWYBA 23IV</t>
        </is>
      </c>
      <c r="F1127" t="inlineStr">
        <is>
          <t>P_US_FG</t>
        </is>
      </c>
      <c r="G1127" t="inlineStr">
        <is>
          <t>CurrentWorkingView</t>
        </is>
      </c>
      <c r="H1127" t="inlineStr">
        <is>
          <t>Consensus - Final</t>
        </is>
      </c>
      <c r="K1127" t="n">
        <v>0</v>
      </c>
    </row>
    <row r="1128">
      <c r="A1128" t="inlineStr">
        <is>
          <t>Kylie Makeup</t>
        </is>
      </c>
      <c r="B1128" t="inlineStr">
        <is>
          <t>Lips (01245)</t>
        </is>
      </c>
      <c r="C1128" t="inlineStr">
        <is>
          <t>Kylie Matte Lip Kit (00006094)</t>
        </is>
      </c>
      <c r="D1128" s="1" t="n">
        <v>4064941006800</v>
      </c>
      <c r="E1128" t="inlineStr">
        <is>
          <t>KJ MU M LIQ K SET NMDIN 302 SNWWYBA 23IV</t>
        </is>
      </c>
      <c r="F1128" t="inlineStr">
        <is>
          <t>P_US_FG</t>
        </is>
      </c>
      <c r="G1128" t="inlineStr">
        <is>
          <t>CurrentWorkingView</t>
        </is>
      </c>
      <c r="H1128" t="inlineStr">
        <is>
          <t>Supply Cuts</t>
        </is>
      </c>
    </row>
    <row r="1129">
      <c r="A1129" t="inlineStr">
        <is>
          <t>Kylie Makeup</t>
        </is>
      </c>
      <c r="B1129" t="inlineStr">
        <is>
          <t>Lips (01245)</t>
        </is>
      </c>
      <c r="C1129" t="inlineStr">
        <is>
          <t>Kylie Matte Lip Kit (00006094)</t>
        </is>
      </c>
      <c r="D1129" s="1" t="n">
        <v>4064941006800</v>
      </c>
      <c r="E1129" t="inlineStr">
        <is>
          <t>KJ MU M LIQ K SET NMDIN 302 SNWWYBA 23IV</t>
        </is>
      </c>
      <c r="F1129" t="inlineStr">
        <is>
          <t>P_US_FG</t>
        </is>
      </c>
      <c r="G1129" t="inlineStr">
        <is>
          <t>Month-2026.M09.W38</t>
        </is>
      </c>
      <c r="H1129" t="inlineStr">
        <is>
          <t>Consensus - Final LY M</t>
        </is>
      </c>
      <c r="L1129" t="n">
        <v>1</v>
      </c>
      <c r="O1129" t="n">
        <v>70</v>
      </c>
      <c r="Q1129" t="n">
        <v>45</v>
      </c>
    </row>
    <row r="1130">
      <c r="A1130" t="inlineStr">
        <is>
          <t>Kylie Makeup</t>
        </is>
      </c>
      <c r="B1130" t="inlineStr">
        <is>
          <t>Lips (01245)</t>
        </is>
      </c>
      <c r="C1130" t="inlineStr">
        <is>
          <t>Kylie Matte Lip Kit (00006094)</t>
        </is>
      </c>
      <c r="D1130" s="1" t="n">
        <v>4064941006800</v>
      </c>
      <c r="E1130" t="inlineStr">
        <is>
          <t>KJ MU M LIQ K SET NMDIN 302 SNWWYBA 23IV</t>
        </is>
      </c>
      <c r="F1130" t="inlineStr">
        <is>
          <t>P_US_FG</t>
        </is>
      </c>
      <c r="G1130" t="inlineStr">
        <is>
          <t>Month-2026.M09.W38</t>
        </is>
      </c>
      <c r="H1130" t="inlineStr">
        <is>
          <t>System FC - Final</t>
        </is>
      </c>
      <c r="K1130" t="n">
        <v>0</v>
      </c>
      <c r="L1130" t="n">
        <v>0</v>
      </c>
      <c r="M1130" t="n">
        <v>4</v>
      </c>
      <c r="N1130" t="n">
        <v>5</v>
      </c>
      <c r="O1130" t="n">
        <v>9</v>
      </c>
      <c r="P1130" t="n">
        <v>0</v>
      </c>
      <c r="Q1130" t="n">
        <v>18</v>
      </c>
      <c r="R1130" t="n">
        <v>8</v>
      </c>
      <c r="S1130" t="n">
        <v>0</v>
      </c>
      <c r="T1130" t="n">
        <v>4</v>
      </c>
    </row>
    <row r="1131">
      <c r="A1131" t="inlineStr">
        <is>
          <t>Kylie Makeup</t>
        </is>
      </c>
      <c r="B1131" t="inlineStr">
        <is>
          <t>Lips (01245)</t>
        </is>
      </c>
      <c r="C1131" t="inlineStr">
        <is>
          <t>Kylie Matte Lip Kit (00006094)</t>
        </is>
      </c>
      <c r="D1131" s="1" t="n">
        <v>4064941006800</v>
      </c>
      <c r="E1131" t="inlineStr">
        <is>
          <t>KJ MU M LIQ K SET NMDIN 302 SNWWYBA 23IV</t>
        </is>
      </c>
      <c r="F1131" t="inlineStr">
        <is>
          <t>P_US_FG</t>
        </is>
      </c>
      <c r="G1131" t="inlineStr">
        <is>
          <t>Month-2026.M09.W38</t>
        </is>
      </c>
      <c r="H1131" t="inlineStr">
        <is>
          <t>EPOS</t>
        </is>
      </c>
    </row>
    <row r="1132">
      <c r="A1132" t="inlineStr">
        <is>
          <t>Kylie Makeup</t>
        </is>
      </c>
      <c r="B1132" t="inlineStr">
        <is>
          <t>Lips (01245)</t>
        </is>
      </c>
      <c r="C1132" t="inlineStr">
        <is>
          <t>Kylie Matte Lip Kit (00006094)</t>
        </is>
      </c>
      <c r="D1132" s="1" t="n">
        <v>4064941006800</v>
      </c>
      <c r="E1132" t="inlineStr">
        <is>
          <t>KJ MU M LIQ K SET NMDIN 302 SNWWYBA 23IV</t>
        </is>
      </c>
      <c r="F1132" t="inlineStr">
        <is>
          <t>P_US_FG</t>
        </is>
      </c>
      <c r="G1132" t="inlineStr">
        <is>
          <t>Month-2026.M09.W38</t>
        </is>
      </c>
      <c r="H1132" t="inlineStr">
        <is>
          <t>Reasonability Adjustment</t>
        </is>
      </c>
    </row>
    <row r="1133">
      <c r="A1133" t="inlineStr">
        <is>
          <t>Kylie Makeup</t>
        </is>
      </c>
      <c r="B1133" t="inlineStr">
        <is>
          <t>Lips (01245)</t>
        </is>
      </c>
      <c r="C1133" t="inlineStr">
        <is>
          <t>Kylie Matte Lip Kit (00006094)</t>
        </is>
      </c>
      <c r="D1133" s="1" t="n">
        <v>4064941006800</v>
      </c>
      <c r="E1133" t="inlineStr">
        <is>
          <t>KJ MU M LIQ K SET NMDIN 302 SNWWYBA 23IV</t>
        </is>
      </c>
      <c r="F1133" t="inlineStr">
        <is>
          <t>P_US_FG</t>
        </is>
      </c>
      <c r="G1133" t="inlineStr">
        <is>
          <t>Month-2026.M09.W38</t>
        </is>
      </c>
      <c r="H1133" t="inlineStr">
        <is>
          <t>Total Demand Assumption</t>
        </is>
      </c>
    </row>
    <row r="1134">
      <c r="A1134" t="inlineStr">
        <is>
          <t>Kylie Makeup</t>
        </is>
      </c>
      <c r="B1134" t="inlineStr">
        <is>
          <t>Lips (01245)</t>
        </is>
      </c>
      <c r="C1134" t="inlineStr">
        <is>
          <t>Kylie Matte Lip Kit (00006094)</t>
        </is>
      </c>
      <c r="D1134" s="1" t="n">
        <v>4064941006800</v>
      </c>
      <c r="E1134" t="inlineStr">
        <is>
          <t>KJ MU M LIQ K SET NMDIN 302 SNWWYBA 23IV</t>
        </is>
      </c>
      <c r="F1134" t="inlineStr">
        <is>
          <t>P_US_FG</t>
        </is>
      </c>
      <c r="G1134" t="inlineStr">
        <is>
          <t>Month-2026.M09.W38</t>
        </is>
      </c>
      <c r="H1134" t="inlineStr">
        <is>
          <t>Consensus - Final</t>
        </is>
      </c>
      <c r="K1134" t="n">
        <v>0</v>
      </c>
    </row>
    <row r="1135">
      <c r="A1135" t="inlineStr">
        <is>
          <t>Kylie Makeup</t>
        </is>
      </c>
      <c r="B1135" t="inlineStr">
        <is>
          <t>Lips (01245)</t>
        </is>
      </c>
      <c r="C1135" t="inlineStr">
        <is>
          <t>Kylie Matte Lip Kit (00006094)</t>
        </is>
      </c>
      <c r="D1135" s="1" t="n">
        <v>4064941006800</v>
      </c>
      <c r="E1135" t="inlineStr">
        <is>
          <t>KJ MU M LIQ K SET NMDIN 302 SNWWYBA 23IV</t>
        </is>
      </c>
      <c r="F1135" t="inlineStr">
        <is>
          <t>P_US_FG</t>
        </is>
      </c>
      <c r="G1135" t="inlineStr">
        <is>
          <t>Month-2026.M09.W38</t>
        </is>
      </c>
      <c r="H1135" t="inlineStr">
        <is>
          <t>Supply Cuts</t>
        </is>
      </c>
    </row>
    <row r="1136">
      <c r="A1136" t="inlineStr">
        <is>
          <t>Kylie Makeup</t>
        </is>
      </c>
      <c r="B1136" t="inlineStr">
        <is>
          <t>Lips (01245)</t>
        </is>
      </c>
      <c r="C1136" t="inlineStr">
        <is>
          <t>Kylie Matte Lip Kit (00006094)</t>
        </is>
      </c>
      <c r="D1136" s="1" t="n">
        <v>4064941006800</v>
      </c>
      <c r="E1136" t="inlineStr">
        <is>
          <t>KJ MU M LIQ K SET NMDIN 302 SNWWYBA 23IV</t>
        </is>
      </c>
      <c r="F1136" t="inlineStr">
        <is>
          <t>P_US_ULTA</t>
        </is>
      </c>
      <c r="G1136" t="inlineStr">
        <is>
          <t>CurrentWorkingView</t>
        </is>
      </c>
      <c r="H1136" t="inlineStr">
        <is>
          <t>Consensus - Final LY M</t>
        </is>
      </c>
      <c r="I1136" t="n">
        <v>2372</v>
      </c>
      <c r="J1136" t="n">
        <v>846</v>
      </c>
      <c r="K1136" t="n">
        <v>676</v>
      </c>
      <c r="L1136" t="n">
        <v>830</v>
      </c>
      <c r="M1136" t="n">
        <v>1643</v>
      </c>
      <c r="N1136" t="n">
        <v>694</v>
      </c>
      <c r="O1136" t="n">
        <v>1929</v>
      </c>
      <c r="P1136" t="n">
        <v>1561</v>
      </c>
      <c r="Q1136" t="n">
        <v>1104</v>
      </c>
      <c r="R1136" t="n">
        <v>1102</v>
      </c>
      <c r="S1136" t="n">
        <v>1127</v>
      </c>
      <c r="T1136" t="n">
        <v>1042</v>
      </c>
    </row>
    <row r="1137">
      <c r="A1137" t="inlineStr">
        <is>
          <t>Kylie Makeup</t>
        </is>
      </c>
      <c r="B1137" t="inlineStr">
        <is>
          <t>Lips (01245)</t>
        </is>
      </c>
      <c r="C1137" t="inlineStr">
        <is>
          <t>Kylie Matte Lip Kit (00006094)</t>
        </is>
      </c>
      <c r="D1137" s="1" t="n">
        <v>4064941006800</v>
      </c>
      <c r="E1137" t="inlineStr">
        <is>
          <t>KJ MU M LIQ K SET NMDIN 302 SNWWYBA 23IV</t>
        </is>
      </c>
      <c r="F1137" t="inlineStr">
        <is>
          <t>P_US_ULTA</t>
        </is>
      </c>
      <c r="G1137" t="inlineStr">
        <is>
          <t>CurrentWorkingView</t>
        </is>
      </c>
      <c r="H1137" t="inlineStr">
        <is>
          <t>System FC - Final</t>
        </is>
      </c>
      <c r="I1137" t="n">
        <v>923</v>
      </c>
      <c r="J1137" t="n">
        <v>970</v>
      </c>
      <c r="K1137" t="n">
        <v>1047</v>
      </c>
      <c r="L1137" t="n">
        <v>879</v>
      </c>
      <c r="M1137" t="n">
        <v>1191</v>
      </c>
      <c r="N1137" t="n">
        <v>1264</v>
      </c>
      <c r="O1137" t="n">
        <v>1347</v>
      </c>
      <c r="P1137" t="n">
        <v>1506</v>
      </c>
      <c r="Q1137" t="n">
        <v>1472</v>
      </c>
      <c r="R1137" t="n">
        <v>1176</v>
      </c>
      <c r="S1137" t="n">
        <v>1428</v>
      </c>
      <c r="T1137" t="n">
        <v>1232</v>
      </c>
    </row>
    <row r="1138">
      <c r="A1138" t="inlineStr">
        <is>
          <t>Kylie Makeup</t>
        </is>
      </c>
      <c r="B1138" t="inlineStr">
        <is>
          <t>Lips (01245)</t>
        </is>
      </c>
      <c r="C1138" t="inlineStr">
        <is>
          <t>Kylie Matte Lip Kit (00006094)</t>
        </is>
      </c>
      <c r="D1138" s="1" t="n">
        <v>4064941006800</v>
      </c>
      <c r="E1138" t="inlineStr">
        <is>
          <t>KJ MU M LIQ K SET NMDIN 302 SNWWYBA 23IV</t>
        </is>
      </c>
      <c r="F1138" t="inlineStr">
        <is>
          <t>P_US_ULTA</t>
        </is>
      </c>
      <c r="G1138" t="inlineStr">
        <is>
          <t>CurrentWorkingView</t>
        </is>
      </c>
      <c r="H1138" t="inlineStr">
        <is>
          <t>EPOS</t>
        </is>
      </c>
      <c r="I1138" t="n">
        <v>930</v>
      </c>
    </row>
    <row r="1139">
      <c r="A1139" t="inlineStr">
        <is>
          <t>Kylie Makeup</t>
        </is>
      </c>
      <c r="B1139" t="inlineStr">
        <is>
          <t>Lips (01245)</t>
        </is>
      </c>
      <c r="C1139" t="inlineStr">
        <is>
          <t>Kylie Matte Lip Kit (00006094)</t>
        </is>
      </c>
      <c r="D1139" s="1" t="n">
        <v>4064941006800</v>
      </c>
      <c r="E1139" t="inlineStr">
        <is>
          <t>KJ MU M LIQ K SET NMDIN 302 SNWWYBA 23IV</t>
        </is>
      </c>
      <c r="F1139" t="inlineStr">
        <is>
          <t>P_US_ULTA</t>
        </is>
      </c>
      <c r="G1139" t="inlineStr">
        <is>
          <t>CurrentWorkingView</t>
        </is>
      </c>
      <c r="H1139" t="inlineStr">
        <is>
          <t>Reasonability Adjustment</t>
        </is>
      </c>
      <c r="S1139" t="n">
        <v>-99</v>
      </c>
    </row>
    <row r="1140">
      <c r="A1140" t="inlineStr">
        <is>
          <t>Kylie Makeup</t>
        </is>
      </c>
      <c r="B1140" t="inlineStr">
        <is>
          <t>Lips (01245)</t>
        </is>
      </c>
      <c r="C1140" t="inlineStr">
        <is>
          <t>Kylie Matte Lip Kit (00006094)</t>
        </is>
      </c>
      <c r="D1140" s="1" t="n">
        <v>4064941006800</v>
      </c>
      <c r="E1140" t="inlineStr">
        <is>
          <t>KJ MU M LIQ K SET NMDIN 302 SNWWYBA 23IV</t>
        </is>
      </c>
      <c r="F1140" t="inlineStr">
        <is>
          <t>P_US_ULTA</t>
        </is>
      </c>
      <c r="G1140" t="inlineStr">
        <is>
          <t>CurrentWorkingView</t>
        </is>
      </c>
      <c r="H1140" t="inlineStr">
        <is>
          <t>Total Demand Assumption</t>
        </is>
      </c>
    </row>
    <row r="1141">
      <c r="A1141" t="inlineStr">
        <is>
          <t>Kylie Makeup</t>
        </is>
      </c>
      <c r="B1141" t="inlineStr">
        <is>
          <t>Lips (01245)</t>
        </is>
      </c>
      <c r="C1141" t="inlineStr">
        <is>
          <t>Kylie Matte Lip Kit (00006094)</t>
        </is>
      </c>
      <c r="D1141" s="1" t="n">
        <v>4064941006800</v>
      </c>
      <c r="E1141" t="inlineStr">
        <is>
          <t>KJ MU M LIQ K SET NMDIN 302 SNWWYBA 23IV</t>
        </is>
      </c>
      <c r="F1141" t="inlineStr">
        <is>
          <t>P_US_ULTA</t>
        </is>
      </c>
      <c r="G1141" t="inlineStr">
        <is>
          <t>CurrentWorkingView</t>
        </is>
      </c>
      <c r="H1141" t="inlineStr">
        <is>
          <t>Consensus - Final</t>
        </is>
      </c>
      <c r="I1141" t="n">
        <v>923</v>
      </c>
      <c r="J1141" t="n">
        <v>970</v>
      </c>
      <c r="K1141" t="n">
        <v>1079.07638888888</v>
      </c>
      <c r="L1141" t="n">
        <v>879</v>
      </c>
      <c r="M1141" t="n">
        <v>1191</v>
      </c>
      <c r="N1141" t="n">
        <v>1264</v>
      </c>
      <c r="O1141" t="n">
        <v>1347</v>
      </c>
      <c r="P1141" t="n">
        <v>1506</v>
      </c>
      <c r="Q1141" t="n">
        <v>1472</v>
      </c>
      <c r="R1141" t="n">
        <v>1176</v>
      </c>
      <c r="S1141" t="n">
        <v>1329</v>
      </c>
      <c r="T1141" t="n">
        <v>1232</v>
      </c>
    </row>
    <row r="1142">
      <c r="A1142" t="inlineStr">
        <is>
          <t>Kylie Makeup</t>
        </is>
      </c>
      <c r="B1142" t="inlineStr">
        <is>
          <t>Lips (01245)</t>
        </is>
      </c>
      <c r="C1142" t="inlineStr">
        <is>
          <t>Kylie Matte Lip Kit (00006094)</t>
        </is>
      </c>
      <c r="D1142" s="1" t="n">
        <v>4064941006800</v>
      </c>
      <c r="E1142" t="inlineStr">
        <is>
          <t>KJ MU M LIQ K SET NMDIN 302 SNWWYBA 23IV</t>
        </is>
      </c>
      <c r="F1142" t="inlineStr">
        <is>
          <t>P_US_ULTA</t>
        </is>
      </c>
      <c r="G1142" t="inlineStr">
        <is>
          <t>CurrentWorkingView</t>
        </is>
      </c>
      <c r="H1142" t="inlineStr">
        <is>
          <t>Supply Cuts</t>
        </is>
      </c>
    </row>
    <row r="1143">
      <c r="A1143" t="inlineStr">
        <is>
          <t>Kylie Makeup</t>
        </is>
      </c>
      <c r="B1143" t="inlineStr">
        <is>
          <t>Lips (01245)</t>
        </is>
      </c>
      <c r="C1143" t="inlineStr">
        <is>
          <t>Kylie Matte Lip Kit (00006094)</t>
        </is>
      </c>
      <c r="D1143" s="1" t="n">
        <v>4064941006800</v>
      </c>
      <c r="E1143" t="inlineStr">
        <is>
          <t>KJ MU M LIQ K SET NMDIN 302 SNWWYBA 23IV</t>
        </is>
      </c>
      <c r="F1143" t="inlineStr">
        <is>
          <t>P_US_ULTA</t>
        </is>
      </c>
      <c r="G1143" t="inlineStr">
        <is>
          <t>Month-2026.M09.W38</t>
        </is>
      </c>
      <c r="H1143" t="inlineStr">
        <is>
          <t>Consensus - Final LY M</t>
        </is>
      </c>
      <c r="I1143" t="n">
        <v>2372</v>
      </c>
      <c r="J1143" t="n">
        <v>846</v>
      </c>
      <c r="K1143" t="n">
        <v>676</v>
      </c>
      <c r="L1143" t="n">
        <v>830</v>
      </c>
      <c r="M1143" t="n">
        <v>1643</v>
      </c>
      <c r="N1143" t="n">
        <v>694</v>
      </c>
      <c r="O1143" t="n">
        <v>1929</v>
      </c>
      <c r="P1143" t="n">
        <v>1561</v>
      </c>
      <c r="Q1143" t="n">
        <v>1104</v>
      </c>
      <c r="R1143" t="n">
        <v>1102</v>
      </c>
      <c r="S1143" t="n">
        <v>1127</v>
      </c>
      <c r="T1143" t="n">
        <v>1042</v>
      </c>
    </row>
    <row r="1144">
      <c r="A1144" t="inlineStr">
        <is>
          <t>Kylie Makeup</t>
        </is>
      </c>
      <c r="B1144" t="inlineStr">
        <is>
          <t>Lips (01245)</t>
        </is>
      </c>
      <c r="C1144" t="inlineStr">
        <is>
          <t>Kylie Matte Lip Kit (00006094)</t>
        </is>
      </c>
      <c r="D1144" s="1" t="n">
        <v>4064941006800</v>
      </c>
      <c r="E1144" t="inlineStr">
        <is>
          <t>KJ MU M LIQ K SET NMDIN 302 SNWWYBA 23IV</t>
        </is>
      </c>
      <c r="F1144" t="inlineStr">
        <is>
          <t>P_US_ULTA</t>
        </is>
      </c>
      <c r="G1144" t="inlineStr">
        <is>
          <t>Month-2026.M09.W38</t>
        </is>
      </c>
      <c r="H1144" t="inlineStr">
        <is>
          <t>System FC - Final</t>
        </is>
      </c>
      <c r="I1144" t="n">
        <v>923</v>
      </c>
      <c r="J1144" t="n">
        <v>970</v>
      </c>
      <c r="K1144" t="n">
        <v>1146</v>
      </c>
      <c r="L1144" t="n">
        <v>1144</v>
      </c>
      <c r="M1144" t="n">
        <v>904</v>
      </c>
      <c r="N1144" t="n">
        <v>1155</v>
      </c>
      <c r="O1144" t="n">
        <v>1408</v>
      </c>
      <c r="P1144" t="n">
        <v>1468</v>
      </c>
      <c r="Q1144" t="n">
        <v>1165</v>
      </c>
      <c r="R1144" t="n">
        <v>850</v>
      </c>
      <c r="S1144" t="n">
        <v>1271</v>
      </c>
      <c r="T1144" t="n">
        <v>1025</v>
      </c>
    </row>
    <row r="1145">
      <c r="A1145" t="inlineStr">
        <is>
          <t>Kylie Makeup</t>
        </is>
      </c>
      <c r="B1145" t="inlineStr">
        <is>
          <t>Lips (01245)</t>
        </is>
      </c>
      <c r="C1145" t="inlineStr">
        <is>
          <t>Kylie Matte Lip Kit (00006094)</t>
        </is>
      </c>
      <c r="D1145" s="1" t="n">
        <v>4064941006800</v>
      </c>
      <c r="E1145" t="inlineStr">
        <is>
          <t>KJ MU M LIQ K SET NMDIN 302 SNWWYBA 23IV</t>
        </is>
      </c>
      <c r="F1145" t="inlineStr">
        <is>
          <t>P_US_ULTA</t>
        </is>
      </c>
      <c r="G1145" t="inlineStr">
        <is>
          <t>Month-2026.M09.W38</t>
        </is>
      </c>
      <c r="H1145" t="inlineStr">
        <is>
          <t>EPOS</t>
        </is>
      </c>
      <c r="I1145" t="n">
        <v>930</v>
      </c>
    </row>
    <row r="1146">
      <c r="A1146" t="inlineStr">
        <is>
          <t>Kylie Makeup</t>
        </is>
      </c>
      <c r="B1146" t="inlineStr">
        <is>
          <t>Lips (01245)</t>
        </is>
      </c>
      <c r="C1146" t="inlineStr">
        <is>
          <t>Kylie Matte Lip Kit (00006094)</t>
        </is>
      </c>
      <c r="D1146" s="1" t="n">
        <v>4064941006800</v>
      </c>
      <c r="E1146" t="inlineStr">
        <is>
          <t>KJ MU M LIQ K SET NMDIN 302 SNWWYBA 23IV</t>
        </is>
      </c>
      <c r="F1146" t="inlineStr">
        <is>
          <t>P_US_ULTA</t>
        </is>
      </c>
      <c r="G1146" t="inlineStr">
        <is>
          <t>Month-2026.M09.W38</t>
        </is>
      </c>
      <c r="H1146" t="inlineStr">
        <is>
          <t>Reasonability Adjustment</t>
        </is>
      </c>
      <c r="S1146" t="n">
        <v>-99</v>
      </c>
    </row>
    <row r="1147">
      <c r="A1147" t="inlineStr">
        <is>
          <t>Kylie Makeup</t>
        </is>
      </c>
      <c r="B1147" t="inlineStr">
        <is>
          <t>Lips (01245)</t>
        </is>
      </c>
      <c r="C1147" t="inlineStr">
        <is>
          <t>Kylie Matte Lip Kit (00006094)</t>
        </is>
      </c>
      <c r="D1147" s="1" t="n">
        <v>4064941006800</v>
      </c>
      <c r="E1147" t="inlineStr">
        <is>
          <t>KJ MU M LIQ K SET NMDIN 302 SNWWYBA 23IV</t>
        </is>
      </c>
      <c r="F1147" t="inlineStr">
        <is>
          <t>P_US_ULTA</t>
        </is>
      </c>
      <c r="G1147" t="inlineStr">
        <is>
          <t>Month-2026.M09.W38</t>
        </is>
      </c>
      <c r="H1147" t="inlineStr">
        <is>
          <t>Total Demand Assumption</t>
        </is>
      </c>
    </row>
    <row r="1148">
      <c r="A1148" t="inlineStr">
        <is>
          <t>Kylie Makeup</t>
        </is>
      </c>
      <c r="B1148" t="inlineStr">
        <is>
          <t>Lips (01245)</t>
        </is>
      </c>
      <c r="C1148" t="inlineStr">
        <is>
          <t>Kylie Matte Lip Kit (00006094)</t>
        </is>
      </c>
      <c r="D1148" s="1" t="n">
        <v>4064941006800</v>
      </c>
      <c r="E1148" t="inlineStr">
        <is>
          <t>KJ MU M LIQ K SET NMDIN 302 SNWWYBA 23IV</t>
        </is>
      </c>
      <c r="F1148" t="inlineStr">
        <is>
          <t>P_US_ULTA</t>
        </is>
      </c>
      <c r="G1148" t="inlineStr">
        <is>
          <t>Month-2026.M09.W38</t>
        </is>
      </c>
      <c r="H1148" t="inlineStr">
        <is>
          <t>Consensus - Final</t>
        </is>
      </c>
      <c r="I1148" t="n">
        <v>923</v>
      </c>
      <c r="J1148" t="n">
        <v>970</v>
      </c>
      <c r="K1148" t="n">
        <v>1079.07638888888</v>
      </c>
      <c r="L1148" t="n">
        <v>1144</v>
      </c>
      <c r="M1148" t="n">
        <v>904</v>
      </c>
      <c r="N1148" t="n">
        <v>1155</v>
      </c>
      <c r="O1148" t="n">
        <v>1408</v>
      </c>
      <c r="P1148" t="n">
        <v>1468</v>
      </c>
      <c r="Q1148" t="n">
        <v>1165</v>
      </c>
      <c r="R1148" t="n">
        <v>850</v>
      </c>
      <c r="S1148" t="n">
        <v>1172</v>
      </c>
      <c r="T1148" t="n">
        <v>1025</v>
      </c>
    </row>
    <row r="1149">
      <c r="A1149" t="inlineStr">
        <is>
          <t>Kylie Makeup</t>
        </is>
      </c>
      <c r="B1149" t="inlineStr">
        <is>
          <t>Lips (01245)</t>
        </is>
      </c>
      <c r="C1149" t="inlineStr">
        <is>
          <t>Kylie Matte Lip Kit (00006094)</t>
        </is>
      </c>
      <c r="D1149" s="1" t="n">
        <v>4064941006800</v>
      </c>
      <c r="E1149" t="inlineStr">
        <is>
          <t>KJ MU M LIQ K SET NMDIN 302 SNWWYBA 23IV</t>
        </is>
      </c>
      <c r="F1149" t="inlineStr">
        <is>
          <t>P_US_ULTA</t>
        </is>
      </c>
      <c r="G1149" t="inlineStr">
        <is>
          <t>Month-2026.M09.W38</t>
        </is>
      </c>
      <c r="H1149" t="inlineStr">
        <is>
          <t>Supply Cuts</t>
        </is>
      </c>
    </row>
    <row r="1150">
      <c r="A1150" t="inlineStr">
        <is>
          <t>Kylie Makeup</t>
        </is>
      </c>
      <c r="B1150" t="inlineStr">
        <is>
          <t>Lips (01245)</t>
        </is>
      </c>
      <c r="C1150" t="inlineStr">
        <is>
          <t>Kylie Matte Lip Kit (00006094)</t>
        </is>
      </c>
      <c r="D1150" s="1" t="n">
        <v>4064941006824</v>
      </c>
      <c r="E1150" t="inlineStr">
        <is>
          <t>KJ MU M LIQ K SET NEWMDIN300 KOKO K 23IV</t>
        </is>
      </c>
      <c r="F1150" t="inlineStr">
        <is>
          <t>P_US_ALL_OTHERS</t>
        </is>
      </c>
      <c r="G1150" t="inlineStr">
        <is>
          <t>CurrentWorkingView</t>
        </is>
      </c>
      <c r="H1150" t="inlineStr">
        <is>
          <t>Consensus - Final LY M</t>
        </is>
      </c>
      <c r="I1150" t="n">
        <v>204</v>
      </c>
      <c r="J1150" t="n">
        <v>140</v>
      </c>
      <c r="K1150" t="n">
        <v>206</v>
      </c>
      <c r="L1150" t="n">
        <v>108</v>
      </c>
      <c r="M1150" t="n">
        <v>151</v>
      </c>
      <c r="N1150" t="n">
        <v>211</v>
      </c>
      <c r="O1150" t="n">
        <v>186</v>
      </c>
      <c r="P1150" t="n">
        <v>264</v>
      </c>
      <c r="Q1150" t="n">
        <v>208</v>
      </c>
      <c r="R1150" t="n">
        <v>204</v>
      </c>
      <c r="S1150" t="n">
        <v>286</v>
      </c>
      <c r="T1150" t="n">
        <v>149</v>
      </c>
    </row>
    <row r="1151">
      <c r="A1151" t="inlineStr">
        <is>
          <t>Kylie Makeup</t>
        </is>
      </c>
      <c r="B1151" t="inlineStr">
        <is>
          <t>Lips (01245)</t>
        </is>
      </c>
      <c r="C1151" t="inlineStr">
        <is>
          <t>Kylie Matte Lip Kit (00006094)</t>
        </is>
      </c>
      <c r="D1151" s="1" t="n">
        <v>4064941006824</v>
      </c>
      <c r="E1151" t="inlineStr">
        <is>
          <t>KJ MU M LIQ K SET NEWMDIN300 KOKO K 23IV</t>
        </is>
      </c>
      <c r="F1151" t="inlineStr">
        <is>
          <t>P_US_ALL_OTHERS</t>
        </is>
      </c>
      <c r="G1151" t="inlineStr">
        <is>
          <t>CurrentWorkingView</t>
        </is>
      </c>
      <c r="H1151" t="inlineStr">
        <is>
          <t>System FC - Final</t>
        </is>
      </c>
      <c r="I1151" t="n">
        <v>144</v>
      </c>
      <c r="J1151" t="n">
        <v>154</v>
      </c>
      <c r="K1151" t="n">
        <v>137</v>
      </c>
      <c r="L1151" t="n">
        <v>139</v>
      </c>
      <c r="M1151" t="n">
        <v>121</v>
      </c>
      <c r="N1151" t="n">
        <v>186</v>
      </c>
      <c r="O1151" t="n">
        <v>160</v>
      </c>
      <c r="P1151" t="n">
        <v>216</v>
      </c>
      <c r="Q1151" t="n">
        <v>186</v>
      </c>
      <c r="R1151" t="n">
        <v>153</v>
      </c>
      <c r="S1151" t="n">
        <v>199</v>
      </c>
      <c r="T1151" t="n">
        <v>133</v>
      </c>
    </row>
    <row r="1152">
      <c r="A1152" t="inlineStr">
        <is>
          <t>Kylie Makeup</t>
        </is>
      </c>
      <c r="B1152" t="inlineStr">
        <is>
          <t>Lips (01245)</t>
        </is>
      </c>
      <c r="C1152" t="inlineStr">
        <is>
          <t>Kylie Matte Lip Kit (00006094)</t>
        </is>
      </c>
      <c r="D1152" s="1" t="n">
        <v>4064941006824</v>
      </c>
      <c r="E1152" t="inlineStr">
        <is>
          <t>KJ MU M LIQ K SET NEWMDIN300 KOKO K 23IV</t>
        </is>
      </c>
      <c r="F1152" t="inlineStr">
        <is>
          <t>P_US_ALL_OTHERS</t>
        </is>
      </c>
      <c r="G1152" t="inlineStr">
        <is>
          <t>CurrentWorkingView</t>
        </is>
      </c>
      <c r="H1152" t="inlineStr">
        <is>
          <t>EPOS</t>
        </is>
      </c>
      <c r="I1152" t="n">
        <v>103</v>
      </c>
    </row>
    <row r="1153">
      <c r="A1153" t="inlineStr">
        <is>
          <t>Kylie Makeup</t>
        </is>
      </c>
      <c r="B1153" t="inlineStr">
        <is>
          <t>Lips (01245)</t>
        </is>
      </c>
      <c r="C1153" t="inlineStr">
        <is>
          <t>Kylie Matte Lip Kit (00006094)</t>
        </is>
      </c>
      <c r="D1153" s="1" t="n">
        <v>4064941006824</v>
      </c>
      <c r="E1153" t="inlineStr">
        <is>
          <t>KJ MU M LIQ K SET NEWMDIN300 KOKO K 23IV</t>
        </is>
      </c>
      <c r="F1153" t="inlineStr">
        <is>
          <t>P_US_ALL_OTHERS</t>
        </is>
      </c>
      <c r="G1153" t="inlineStr">
        <is>
          <t>CurrentWorkingView</t>
        </is>
      </c>
      <c r="H1153" t="inlineStr">
        <is>
          <t>Reasonability Adjustment</t>
        </is>
      </c>
    </row>
    <row r="1154">
      <c r="A1154" t="inlineStr">
        <is>
          <t>Kylie Makeup</t>
        </is>
      </c>
      <c r="B1154" t="inlineStr">
        <is>
          <t>Lips (01245)</t>
        </is>
      </c>
      <c r="C1154" t="inlineStr">
        <is>
          <t>Kylie Matte Lip Kit (00006094)</t>
        </is>
      </c>
      <c r="D1154" s="1" t="n">
        <v>4064941006824</v>
      </c>
      <c r="E1154" t="inlineStr">
        <is>
          <t>KJ MU M LIQ K SET NEWMDIN300 KOKO K 23IV</t>
        </is>
      </c>
      <c r="F1154" t="inlineStr">
        <is>
          <t>P_US_ALL_OTHERS</t>
        </is>
      </c>
      <c r="G1154" t="inlineStr">
        <is>
          <t>CurrentWorkingView</t>
        </is>
      </c>
      <c r="H1154" t="inlineStr">
        <is>
          <t>Total Demand Assumption</t>
        </is>
      </c>
    </row>
    <row r="1155">
      <c r="A1155" t="inlineStr">
        <is>
          <t>Kylie Makeup</t>
        </is>
      </c>
      <c r="B1155" t="inlineStr">
        <is>
          <t>Lips (01245)</t>
        </is>
      </c>
      <c r="C1155" t="inlineStr">
        <is>
          <t>Kylie Matte Lip Kit (00006094)</t>
        </is>
      </c>
      <c r="D1155" s="1" t="n">
        <v>4064941006824</v>
      </c>
      <c r="E1155" t="inlineStr">
        <is>
          <t>KJ MU M LIQ K SET NEWMDIN300 KOKO K 23IV</t>
        </is>
      </c>
      <c r="F1155" t="inlineStr">
        <is>
          <t>P_US_ALL_OTHERS</t>
        </is>
      </c>
      <c r="G1155" t="inlineStr">
        <is>
          <t>CurrentWorkingView</t>
        </is>
      </c>
      <c r="H1155" t="inlineStr">
        <is>
          <t>Consensus - Final</t>
        </is>
      </c>
      <c r="I1155" t="n">
        <v>144</v>
      </c>
      <c r="J1155" t="n">
        <v>154</v>
      </c>
      <c r="K1155" t="n">
        <v>264.5</v>
      </c>
      <c r="L1155" t="n">
        <v>139</v>
      </c>
      <c r="M1155" t="n">
        <v>121</v>
      </c>
      <c r="N1155" t="n">
        <v>186</v>
      </c>
      <c r="O1155" t="n">
        <v>160</v>
      </c>
      <c r="P1155" t="n">
        <v>216</v>
      </c>
      <c r="Q1155" t="n">
        <v>186</v>
      </c>
      <c r="R1155" t="n">
        <v>153</v>
      </c>
      <c r="S1155" t="n">
        <v>199</v>
      </c>
      <c r="T1155" t="n">
        <v>133</v>
      </c>
    </row>
    <row r="1156">
      <c r="A1156" t="inlineStr">
        <is>
          <t>Kylie Makeup</t>
        </is>
      </c>
      <c r="B1156" t="inlineStr">
        <is>
          <t>Lips (01245)</t>
        </is>
      </c>
      <c r="C1156" t="inlineStr">
        <is>
          <t>Kylie Matte Lip Kit (00006094)</t>
        </is>
      </c>
      <c r="D1156" s="1" t="n">
        <v>4064941006824</v>
      </c>
      <c r="E1156" t="inlineStr">
        <is>
          <t>KJ MU M LIQ K SET NEWMDIN300 KOKO K 23IV</t>
        </is>
      </c>
      <c r="F1156" t="inlineStr">
        <is>
          <t>P_US_ALL_OTHERS</t>
        </is>
      </c>
      <c r="G1156" t="inlineStr">
        <is>
          <t>CurrentWorkingView</t>
        </is>
      </c>
      <c r="H1156" t="inlineStr">
        <is>
          <t>Supply Cuts</t>
        </is>
      </c>
    </row>
    <row r="1157">
      <c r="A1157" t="inlineStr">
        <is>
          <t>Kylie Makeup</t>
        </is>
      </c>
      <c r="B1157" t="inlineStr">
        <is>
          <t>Lips (01245)</t>
        </is>
      </c>
      <c r="C1157" t="inlineStr">
        <is>
          <t>Kylie Matte Lip Kit (00006094)</t>
        </is>
      </c>
      <c r="D1157" s="1" t="n">
        <v>4064941006824</v>
      </c>
      <c r="E1157" t="inlineStr">
        <is>
          <t>KJ MU M LIQ K SET NEWMDIN300 KOKO K 23IV</t>
        </is>
      </c>
      <c r="F1157" t="inlineStr">
        <is>
          <t>P_US_ALL_OTHERS</t>
        </is>
      </c>
      <c r="G1157" t="inlineStr">
        <is>
          <t>Month-2026.M09.W38</t>
        </is>
      </c>
      <c r="H1157" t="inlineStr">
        <is>
          <t>Consensus - Final LY M</t>
        </is>
      </c>
      <c r="I1157" t="n">
        <v>204</v>
      </c>
      <c r="J1157" t="n">
        <v>140</v>
      </c>
      <c r="K1157" t="n">
        <v>206</v>
      </c>
      <c r="L1157" t="n">
        <v>108</v>
      </c>
      <c r="M1157" t="n">
        <v>151</v>
      </c>
      <c r="N1157" t="n">
        <v>211</v>
      </c>
      <c r="O1157" t="n">
        <v>186</v>
      </c>
      <c r="P1157" t="n">
        <v>264</v>
      </c>
      <c r="Q1157" t="n">
        <v>208</v>
      </c>
      <c r="R1157" t="n">
        <v>204</v>
      </c>
      <c r="S1157" t="n">
        <v>286</v>
      </c>
      <c r="T1157" t="n">
        <v>149</v>
      </c>
    </row>
    <row r="1158">
      <c r="A1158" t="inlineStr">
        <is>
          <t>Kylie Makeup</t>
        </is>
      </c>
      <c r="B1158" t="inlineStr">
        <is>
          <t>Lips (01245)</t>
        </is>
      </c>
      <c r="C1158" t="inlineStr">
        <is>
          <t>Kylie Matte Lip Kit (00006094)</t>
        </is>
      </c>
      <c r="D1158" s="1" t="n">
        <v>4064941006824</v>
      </c>
      <c r="E1158" t="inlineStr">
        <is>
          <t>KJ MU M LIQ K SET NEWMDIN300 KOKO K 23IV</t>
        </is>
      </c>
      <c r="F1158" t="inlineStr">
        <is>
          <t>P_US_ALL_OTHERS</t>
        </is>
      </c>
      <c r="G1158" t="inlineStr">
        <is>
          <t>Month-2026.M09.W38</t>
        </is>
      </c>
      <c r="H1158" t="inlineStr">
        <is>
          <t>System FC - Final</t>
        </is>
      </c>
      <c r="I1158" t="n">
        <v>144</v>
      </c>
      <c r="J1158" t="n">
        <v>154</v>
      </c>
      <c r="K1158" t="n">
        <v>162</v>
      </c>
      <c r="L1158" t="n">
        <v>118</v>
      </c>
      <c r="M1158" t="n">
        <v>154</v>
      </c>
      <c r="N1158" t="n">
        <v>160</v>
      </c>
      <c r="O1158" t="n">
        <v>137</v>
      </c>
      <c r="P1158" t="n">
        <v>200</v>
      </c>
      <c r="Q1158" t="n">
        <v>137</v>
      </c>
      <c r="R1158" t="n">
        <v>167</v>
      </c>
      <c r="S1158" t="n">
        <v>208</v>
      </c>
      <c r="T1158" t="n">
        <v>192</v>
      </c>
    </row>
    <row r="1159">
      <c r="A1159" t="inlineStr">
        <is>
          <t>Kylie Makeup</t>
        </is>
      </c>
      <c r="B1159" t="inlineStr">
        <is>
          <t>Lips (01245)</t>
        </is>
      </c>
      <c r="C1159" t="inlineStr">
        <is>
          <t>Kylie Matte Lip Kit (00006094)</t>
        </is>
      </c>
      <c r="D1159" s="1" t="n">
        <v>4064941006824</v>
      </c>
      <c r="E1159" t="inlineStr">
        <is>
          <t>KJ MU M LIQ K SET NEWMDIN300 KOKO K 23IV</t>
        </is>
      </c>
      <c r="F1159" t="inlineStr">
        <is>
          <t>P_US_ALL_OTHERS</t>
        </is>
      </c>
      <c r="G1159" t="inlineStr">
        <is>
          <t>Month-2026.M09.W38</t>
        </is>
      </c>
      <c r="H1159" t="inlineStr">
        <is>
          <t>EPOS</t>
        </is>
      </c>
      <c r="I1159" t="n">
        <v>103</v>
      </c>
    </row>
    <row r="1160">
      <c r="A1160" t="inlineStr">
        <is>
          <t>Kylie Makeup</t>
        </is>
      </c>
      <c r="B1160" t="inlineStr">
        <is>
          <t>Lips (01245)</t>
        </is>
      </c>
      <c r="C1160" t="inlineStr">
        <is>
          <t>Kylie Matte Lip Kit (00006094)</t>
        </is>
      </c>
      <c r="D1160" s="1" t="n">
        <v>4064941006824</v>
      </c>
      <c r="E1160" t="inlineStr">
        <is>
          <t>KJ MU M LIQ K SET NEWMDIN300 KOKO K 23IV</t>
        </is>
      </c>
      <c r="F1160" t="inlineStr">
        <is>
          <t>P_US_ALL_OTHERS</t>
        </is>
      </c>
      <c r="G1160" t="inlineStr">
        <is>
          <t>Month-2026.M09.W38</t>
        </is>
      </c>
      <c r="H1160" t="inlineStr">
        <is>
          <t>Reasonability Adjustment</t>
        </is>
      </c>
    </row>
    <row r="1161">
      <c r="A1161" t="inlineStr">
        <is>
          <t>Kylie Makeup</t>
        </is>
      </c>
      <c r="B1161" t="inlineStr">
        <is>
          <t>Lips (01245)</t>
        </is>
      </c>
      <c r="C1161" t="inlineStr">
        <is>
          <t>Kylie Matte Lip Kit (00006094)</t>
        </is>
      </c>
      <c r="D1161" s="1" t="n">
        <v>4064941006824</v>
      </c>
      <c r="E1161" t="inlineStr">
        <is>
          <t>KJ MU M LIQ K SET NEWMDIN300 KOKO K 23IV</t>
        </is>
      </c>
      <c r="F1161" t="inlineStr">
        <is>
          <t>P_US_ALL_OTHERS</t>
        </is>
      </c>
      <c r="G1161" t="inlineStr">
        <is>
          <t>Month-2026.M09.W38</t>
        </is>
      </c>
      <c r="H1161" t="inlineStr">
        <is>
          <t>Total Demand Assumption</t>
        </is>
      </c>
    </row>
    <row r="1162">
      <c r="A1162" t="inlineStr">
        <is>
          <t>Kylie Makeup</t>
        </is>
      </c>
      <c r="B1162" t="inlineStr">
        <is>
          <t>Lips (01245)</t>
        </is>
      </c>
      <c r="C1162" t="inlineStr">
        <is>
          <t>Kylie Matte Lip Kit (00006094)</t>
        </is>
      </c>
      <c r="D1162" s="1" t="n">
        <v>4064941006824</v>
      </c>
      <c r="E1162" t="inlineStr">
        <is>
          <t>KJ MU M LIQ K SET NEWMDIN300 KOKO K 23IV</t>
        </is>
      </c>
      <c r="F1162" t="inlineStr">
        <is>
          <t>P_US_ALL_OTHERS</t>
        </is>
      </c>
      <c r="G1162" t="inlineStr">
        <is>
          <t>Month-2026.M09.W38</t>
        </is>
      </c>
      <c r="H1162" t="inlineStr">
        <is>
          <t>Consensus - Final</t>
        </is>
      </c>
      <c r="I1162" t="n">
        <v>144</v>
      </c>
      <c r="J1162" t="n">
        <v>154</v>
      </c>
      <c r="K1162" t="n">
        <v>264.5</v>
      </c>
      <c r="L1162" t="n">
        <v>118</v>
      </c>
      <c r="M1162" t="n">
        <v>154</v>
      </c>
      <c r="N1162" t="n">
        <v>160</v>
      </c>
      <c r="O1162" t="n">
        <v>137</v>
      </c>
      <c r="P1162" t="n">
        <v>200</v>
      </c>
      <c r="Q1162" t="n">
        <v>137</v>
      </c>
      <c r="R1162" t="n">
        <v>167</v>
      </c>
      <c r="S1162" t="n">
        <v>208</v>
      </c>
      <c r="T1162" t="n">
        <v>192</v>
      </c>
    </row>
    <row r="1163">
      <c r="A1163" t="inlineStr">
        <is>
          <t>Kylie Makeup</t>
        </is>
      </c>
      <c r="B1163" t="inlineStr">
        <is>
          <t>Lips (01245)</t>
        </is>
      </c>
      <c r="C1163" t="inlineStr">
        <is>
          <t>Kylie Matte Lip Kit (00006094)</t>
        </is>
      </c>
      <c r="D1163" s="1" t="n">
        <v>4064941006824</v>
      </c>
      <c r="E1163" t="inlineStr">
        <is>
          <t>KJ MU M LIQ K SET NEWMDIN300 KOKO K 23IV</t>
        </is>
      </c>
      <c r="F1163" t="inlineStr">
        <is>
          <t>P_US_ALL_OTHERS</t>
        </is>
      </c>
      <c r="G1163" t="inlineStr">
        <is>
          <t>Month-2026.M09.W38</t>
        </is>
      </c>
      <c r="H1163" t="inlineStr">
        <is>
          <t>Supply Cuts</t>
        </is>
      </c>
    </row>
    <row r="1164">
      <c r="A1164" t="inlineStr">
        <is>
          <t>Kylie Makeup</t>
        </is>
      </c>
      <c r="B1164" t="inlineStr">
        <is>
          <t>Lips (01245)</t>
        </is>
      </c>
      <c r="C1164" t="inlineStr">
        <is>
          <t>Kylie Matte Lip Kit (00006094)</t>
        </is>
      </c>
      <c r="D1164" s="1" t="n">
        <v>4064941006824</v>
      </c>
      <c r="E1164" t="inlineStr">
        <is>
          <t>KJ MU M LIQ K SET NEWMDIN300 KOKO K 23IV</t>
        </is>
      </c>
      <c r="F1164" t="inlineStr">
        <is>
          <t>P_US_FG</t>
        </is>
      </c>
      <c r="G1164" t="inlineStr">
        <is>
          <t>CurrentWorkingView</t>
        </is>
      </c>
      <c r="H1164" t="inlineStr">
        <is>
          <t>Consensus - Final LY M</t>
        </is>
      </c>
      <c r="I1164" t="n">
        <v>30</v>
      </c>
      <c r="L1164" t="n">
        <v>1</v>
      </c>
      <c r="Q1164" t="n">
        <v>41</v>
      </c>
    </row>
    <row r="1165">
      <c r="A1165" t="inlineStr">
        <is>
          <t>Kylie Makeup</t>
        </is>
      </c>
      <c r="B1165" t="inlineStr">
        <is>
          <t>Lips (01245)</t>
        </is>
      </c>
      <c r="C1165" t="inlineStr">
        <is>
          <t>Kylie Matte Lip Kit (00006094)</t>
        </is>
      </c>
      <c r="D1165" s="1" t="n">
        <v>4064941006824</v>
      </c>
      <c r="E1165" t="inlineStr">
        <is>
          <t>KJ MU M LIQ K SET NEWMDIN300 KOKO K 23IV</t>
        </is>
      </c>
      <c r="F1165" t="inlineStr">
        <is>
          <t>P_US_FG</t>
        </is>
      </c>
      <c r="G1165" t="inlineStr">
        <is>
          <t>CurrentWorkingView</t>
        </is>
      </c>
      <c r="H1165" t="inlineStr">
        <is>
          <t>System FC - Final</t>
        </is>
      </c>
      <c r="K1165" t="n">
        <v>0</v>
      </c>
      <c r="L1165" t="n">
        <v>0</v>
      </c>
      <c r="M1165" t="n">
        <v>11</v>
      </c>
      <c r="N1165" t="n">
        <v>5</v>
      </c>
      <c r="O1165" t="n">
        <v>9</v>
      </c>
      <c r="P1165" t="n">
        <v>4</v>
      </c>
      <c r="Q1165" t="n">
        <v>22</v>
      </c>
      <c r="R1165" t="n">
        <v>5</v>
      </c>
      <c r="S1165" t="n">
        <v>0</v>
      </c>
      <c r="T1165" t="n">
        <v>0</v>
      </c>
    </row>
    <row r="1166">
      <c r="A1166" t="inlineStr">
        <is>
          <t>Kylie Makeup</t>
        </is>
      </c>
      <c r="B1166" t="inlineStr">
        <is>
          <t>Lips (01245)</t>
        </is>
      </c>
      <c r="C1166" t="inlineStr">
        <is>
          <t>Kylie Matte Lip Kit (00006094)</t>
        </is>
      </c>
      <c r="D1166" s="1" t="n">
        <v>4064941006824</v>
      </c>
      <c r="E1166" t="inlineStr">
        <is>
          <t>KJ MU M LIQ K SET NEWMDIN300 KOKO K 23IV</t>
        </is>
      </c>
      <c r="F1166" t="inlineStr">
        <is>
          <t>P_US_FG</t>
        </is>
      </c>
      <c r="G1166" t="inlineStr">
        <is>
          <t>CurrentWorkingView</t>
        </is>
      </c>
      <c r="H1166" t="inlineStr">
        <is>
          <t>EPOS</t>
        </is>
      </c>
    </row>
    <row r="1167">
      <c r="A1167" t="inlineStr">
        <is>
          <t>Kylie Makeup</t>
        </is>
      </c>
      <c r="B1167" t="inlineStr">
        <is>
          <t>Lips (01245)</t>
        </is>
      </c>
      <c r="C1167" t="inlineStr">
        <is>
          <t>Kylie Matte Lip Kit (00006094)</t>
        </is>
      </c>
      <c r="D1167" s="1" t="n">
        <v>4064941006824</v>
      </c>
      <c r="E1167" t="inlineStr">
        <is>
          <t>KJ MU M LIQ K SET NEWMDIN300 KOKO K 23IV</t>
        </is>
      </c>
      <c r="F1167" t="inlineStr">
        <is>
          <t>P_US_FG</t>
        </is>
      </c>
      <c r="G1167" t="inlineStr">
        <is>
          <t>CurrentWorkingView</t>
        </is>
      </c>
      <c r="H1167" t="inlineStr">
        <is>
          <t>Reasonability Adjustment</t>
        </is>
      </c>
    </row>
    <row r="1168">
      <c r="A1168" t="inlineStr">
        <is>
          <t>Kylie Makeup</t>
        </is>
      </c>
      <c r="B1168" t="inlineStr">
        <is>
          <t>Lips (01245)</t>
        </is>
      </c>
      <c r="C1168" t="inlineStr">
        <is>
          <t>Kylie Matte Lip Kit (00006094)</t>
        </is>
      </c>
      <c r="D1168" s="1" t="n">
        <v>4064941006824</v>
      </c>
      <c r="E1168" t="inlineStr">
        <is>
          <t>KJ MU M LIQ K SET NEWMDIN300 KOKO K 23IV</t>
        </is>
      </c>
      <c r="F1168" t="inlineStr">
        <is>
          <t>P_US_FG</t>
        </is>
      </c>
      <c r="G1168" t="inlineStr">
        <is>
          <t>CurrentWorkingView</t>
        </is>
      </c>
      <c r="H1168" t="inlineStr">
        <is>
          <t>Total Demand Assumption</t>
        </is>
      </c>
    </row>
    <row r="1169">
      <c r="A1169" t="inlineStr">
        <is>
          <t>Kylie Makeup</t>
        </is>
      </c>
      <c r="B1169" t="inlineStr">
        <is>
          <t>Lips (01245)</t>
        </is>
      </c>
      <c r="C1169" t="inlineStr">
        <is>
          <t>Kylie Matte Lip Kit (00006094)</t>
        </is>
      </c>
      <c r="D1169" s="1" t="n">
        <v>4064941006824</v>
      </c>
      <c r="E1169" t="inlineStr">
        <is>
          <t>KJ MU M LIQ K SET NEWMDIN300 KOKO K 23IV</t>
        </is>
      </c>
      <c r="F1169" t="inlineStr">
        <is>
          <t>P_US_FG</t>
        </is>
      </c>
      <c r="G1169" t="inlineStr">
        <is>
          <t>CurrentWorkingView</t>
        </is>
      </c>
      <c r="H1169" t="inlineStr">
        <is>
          <t>Consensus - Final</t>
        </is>
      </c>
      <c r="K1169" t="n">
        <v>0</v>
      </c>
    </row>
    <row r="1170">
      <c r="A1170" t="inlineStr">
        <is>
          <t>Kylie Makeup</t>
        </is>
      </c>
      <c r="B1170" t="inlineStr">
        <is>
          <t>Lips (01245)</t>
        </is>
      </c>
      <c r="C1170" t="inlineStr">
        <is>
          <t>Kylie Matte Lip Kit (00006094)</t>
        </is>
      </c>
      <c r="D1170" s="1" t="n">
        <v>4064941006824</v>
      </c>
      <c r="E1170" t="inlineStr">
        <is>
          <t>KJ MU M LIQ K SET NEWMDIN300 KOKO K 23IV</t>
        </is>
      </c>
      <c r="F1170" t="inlineStr">
        <is>
          <t>P_US_FG</t>
        </is>
      </c>
      <c r="G1170" t="inlineStr">
        <is>
          <t>CurrentWorkingView</t>
        </is>
      </c>
      <c r="H1170" t="inlineStr">
        <is>
          <t>Supply Cuts</t>
        </is>
      </c>
    </row>
    <row r="1171">
      <c r="A1171" t="inlineStr">
        <is>
          <t>Kylie Makeup</t>
        </is>
      </c>
      <c r="B1171" t="inlineStr">
        <is>
          <t>Lips (01245)</t>
        </is>
      </c>
      <c r="C1171" t="inlineStr">
        <is>
          <t>Kylie Matte Lip Kit (00006094)</t>
        </is>
      </c>
      <c r="D1171" s="1" t="n">
        <v>4064941006824</v>
      </c>
      <c r="E1171" t="inlineStr">
        <is>
          <t>KJ MU M LIQ K SET NEWMDIN300 KOKO K 23IV</t>
        </is>
      </c>
      <c r="F1171" t="inlineStr">
        <is>
          <t>P_US_FG</t>
        </is>
      </c>
      <c r="G1171" t="inlineStr">
        <is>
          <t>Month-2026.M09.W38</t>
        </is>
      </c>
      <c r="H1171" t="inlineStr">
        <is>
          <t>Consensus - Final LY M</t>
        </is>
      </c>
      <c r="I1171" t="n">
        <v>30</v>
      </c>
      <c r="L1171" t="n">
        <v>1</v>
      </c>
      <c r="Q1171" t="n">
        <v>41</v>
      </c>
    </row>
    <row r="1172">
      <c r="A1172" t="inlineStr">
        <is>
          <t>Kylie Makeup</t>
        </is>
      </c>
      <c r="B1172" t="inlineStr">
        <is>
          <t>Lips (01245)</t>
        </is>
      </c>
      <c r="C1172" t="inlineStr">
        <is>
          <t>Kylie Matte Lip Kit (00006094)</t>
        </is>
      </c>
      <c r="D1172" s="1" t="n">
        <v>4064941006824</v>
      </c>
      <c r="E1172" t="inlineStr">
        <is>
          <t>KJ MU M LIQ K SET NEWMDIN300 KOKO K 23IV</t>
        </is>
      </c>
      <c r="F1172" t="inlineStr">
        <is>
          <t>P_US_FG</t>
        </is>
      </c>
      <c r="G1172" t="inlineStr">
        <is>
          <t>Month-2026.M09.W38</t>
        </is>
      </c>
      <c r="H1172" t="inlineStr">
        <is>
          <t>System FC - Final</t>
        </is>
      </c>
      <c r="K1172" t="n">
        <v>0</v>
      </c>
      <c r="L1172" t="n">
        <v>0</v>
      </c>
      <c r="M1172" t="n">
        <v>12</v>
      </c>
      <c r="N1172" t="n">
        <v>5</v>
      </c>
      <c r="O1172" t="n">
        <v>9</v>
      </c>
      <c r="P1172" t="n">
        <v>4</v>
      </c>
      <c r="Q1172" t="n">
        <v>22</v>
      </c>
      <c r="R1172" t="n">
        <v>5</v>
      </c>
      <c r="S1172" t="n">
        <v>0</v>
      </c>
      <c r="T1172" t="n">
        <v>4</v>
      </c>
    </row>
    <row r="1173">
      <c r="A1173" t="inlineStr">
        <is>
          <t>Kylie Makeup</t>
        </is>
      </c>
      <c r="B1173" t="inlineStr">
        <is>
          <t>Lips (01245)</t>
        </is>
      </c>
      <c r="C1173" t="inlineStr">
        <is>
          <t>Kylie Matte Lip Kit (00006094)</t>
        </is>
      </c>
      <c r="D1173" s="1" t="n">
        <v>4064941006824</v>
      </c>
      <c r="E1173" t="inlineStr">
        <is>
          <t>KJ MU M LIQ K SET NEWMDIN300 KOKO K 23IV</t>
        </is>
      </c>
      <c r="F1173" t="inlineStr">
        <is>
          <t>P_US_FG</t>
        </is>
      </c>
      <c r="G1173" t="inlineStr">
        <is>
          <t>Month-2026.M09.W38</t>
        </is>
      </c>
      <c r="H1173" t="inlineStr">
        <is>
          <t>EPOS</t>
        </is>
      </c>
    </row>
    <row r="1174">
      <c r="A1174" t="inlineStr">
        <is>
          <t>Kylie Makeup</t>
        </is>
      </c>
      <c r="B1174" t="inlineStr">
        <is>
          <t>Lips (01245)</t>
        </is>
      </c>
      <c r="C1174" t="inlineStr">
        <is>
          <t>Kylie Matte Lip Kit (00006094)</t>
        </is>
      </c>
      <c r="D1174" s="1" t="n">
        <v>4064941006824</v>
      </c>
      <c r="E1174" t="inlineStr">
        <is>
          <t>KJ MU M LIQ K SET NEWMDIN300 KOKO K 23IV</t>
        </is>
      </c>
      <c r="F1174" t="inlineStr">
        <is>
          <t>P_US_FG</t>
        </is>
      </c>
      <c r="G1174" t="inlineStr">
        <is>
          <t>Month-2026.M09.W38</t>
        </is>
      </c>
      <c r="H1174" t="inlineStr">
        <is>
          <t>Reasonability Adjustment</t>
        </is>
      </c>
    </row>
    <row r="1175">
      <c r="A1175" t="inlineStr">
        <is>
          <t>Kylie Makeup</t>
        </is>
      </c>
      <c r="B1175" t="inlineStr">
        <is>
          <t>Lips (01245)</t>
        </is>
      </c>
      <c r="C1175" t="inlineStr">
        <is>
          <t>Kylie Matte Lip Kit (00006094)</t>
        </is>
      </c>
      <c r="D1175" s="1" t="n">
        <v>4064941006824</v>
      </c>
      <c r="E1175" t="inlineStr">
        <is>
          <t>KJ MU M LIQ K SET NEWMDIN300 KOKO K 23IV</t>
        </is>
      </c>
      <c r="F1175" t="inlineStr">
        <is>
          <t>P_US_FG</t>
        </is>
      </c>
      <c r="G1175" t="inlineStr">
        <is>
          <t>Month-2026.M09.W38</t>
        </is>
      </c>
      <c r="H1175" t="inlineStr">
        <is>
          <t>Total Demand Assumption</t>
        </is>
      </c>
    </row>
    <row r="1176">
      <c r="A1176" t="inlineStr">
        <is>
          <t>Kylie Makeup</t>
        </is>
      </c>
      <c r="B1176" t="inlineStr">
        <is>
          <t>Lips (01245)</t>
        </is>
      </c>
      <c r="C1176" t="inlineStr">
        <is>
          <t>Kylie Matte Lip Kit (00006094)</t>
        </is>
      </c>
      <c r="D1176" s="1" t="n">
        <v>4064941006824</v>
      </c>
      <c r="E1176" t="inlineStr">
        <is>
          <t>KJ MU M LIQ K SET NEWMDIN300 KOKO K 23IV</t>
        </is>
      </c>
      <c r="F1176" t="inlineStr">
        <is>
          <t>P_US_FG</t>
        </is>
      </c>
      <c r="G1176" t="inlineStr">
        <is>
          <t>Month-2026.M09.W38</t>
        </is>
      </c>
      <c r="H1176" t="inlineStr">
        <is>
          <t>Consensus - Final</t>
        </is>
      </c>
      <c r="K1176" t="n">
        <v>0</v>
      </c>
    </row>
    <row r="1177">
      <c r="A1177" t="inlineStr">
        <is>
          <t>Kylie Makeup</t>
        </is>
      </c>
      <c r="B1177" t="inlineStr">
        <is>
          <t>Lips (01245)</t>
        </is>
      </c>
      <c r="C1177" t="inlineStr">
        <is>
          <t>Kylie Matte Lip Kit (00006094)</t>
        </is>
      </c>
      <c r="D1177" s="1" t="n">
        <v>4064941006824</v>
      </c>
      <c r="E1177" t="inlineStr">
        <is>
          <t>KJ MU M LIQ K SET NEWMDIN300 KOKO K 23IV</t>
        </is>
      </c>
      <c r="F1177" t="inlineStr">
        <is>
          <t>P_US_FG</t>
        </is>
      </c>
      <c r="G1177" t="inlineStr">
        <is>
          <t>Month-2026.M09.W38</t>
        </is>
      </c>
      <c r="H1177" t="inlineStr">
        <is>
          <t>Supply Cuts</t>
        </is>
      </c>
    </row>
    <row r="1178">
      <c r="A1178" t="inlineStr">
        <is>
          <t>Kylie Makeup</t>
        </is>
      </c>
      <c r="B1178" t="inlineStr">
        <is>
          <t>Lips (01245)</t>
        </is>
      </c>
      <c r="C1178" t="inlineStr">
        <is>
          <t>Kylie Matte Lip Kit (00006094)</t>
        </is>
      </c>
      <c r="D1178" s="1" t="n">
        <v>4064941006824</v>
      </c>
      <c r="E1178" t="inlineStr">
        <is>
          <t>KJ MU M LIQ K SET NEWMDIN300 KOKO K 23IV</t>
        </is>
      </c>
      <c r="F1178" t="inlineStr">
        <is>
          <t>P_US_ULTA</t>
        </is>
      </c>
      <c r="G1178" t="inlineStr">
        <is>
          <t>CurrentWorkingView</t>
        </is>
      </c>
      <c r="H1178" t="inlineStr">
        <is>
          <t>Consensus - Final LY M</t>
        </is>
      </c>
      <c r="I1178" t="n">
        <v>520</v>
      </c>
      <c r="J1178" t="n">
        <v>560</v>
      </c>
      <c r="K1178" t="n">
        <v>560</v>
      </c>
      <c r="L1178" t="n">
        <v>1077</v>
      </c>
      <c r="M1178" t="n">
        <v>898</v>
      </c>
      <c r="N1178" t="n">
        <v>892</v>
      </c>
      <c r="O1178" t="n">
        <v>2061</v>
      </c>
      <c r="P1178" t="n">
        <v>1565</v>
      </c>
      <c r="Q1178" t="n">
        <v>1080</v>
      </c>
      <c r="R1178" t="n">
        <v>914</v>
      </c>
      <c r="S1178" t="n">
        <v>1069</v>
      </c>
      <c r="T1178" t="n">
        <v>801</v>
      </c>
    </row>
    <row r="1179">
      <c r="A1179" t="inlineStr">
        <is>
          <t>Kylie Makeup</t>
        </is>
      </c>
      <c r="B1179" t="inlineStr">
        <is>
          <t>Lips (01245)</t>
        </is>
      </c>
      <c r="C1179" t="inlineStr">
        <is>
          <t>Kylie Matte Lip Kit (00006094)</t>
        </is>
      </c>
      <c r="D1179" s="1" t="n">
        <v>4064941006824</v>
      </c>
      <c r="E1179" t="inlineStr">
        <is>
          <t>KJ MU M LIQ K SET NEWMDIN300 KOKO K 23IV</t>
        </is>
      </c>
      <c r="F1179" t="inlineStr">
        <is>
          <t>P_US_ULTA</t>
        </is>
      </c>
      <c r="G1179" t="inlineStr">
        <is>
          <t>CurrentWorkingView</t>
        </is>
      </c>
      <c r="H1179" t="inlineStr">
        <is>
          <t>System FC - Final</t>
        </is>
      </c>
      <c r="I1179" t="n">
        <v>695</v>
      </c>
      <c r="J1179" t="n">
        <v>683</v>
      </c>
      <c r="K1179" t="n">
        <v>674</v>
      </c>
      <c r="L1179" t="n">
        <v>802</v>
      </c>
      <c r="M1179" t="n">
        <v>891</v>
      </c>
      <c r="N1179" t="n">
        <v>809</v>
      </c>
      <c r="O1179" t="n">
        <v>2874</v>
      </c>
      <c r="P1179" t="n">
        <v>1708</v>
      </c>
      <c r="Q1179" t="n">
        <v>1293</v>
      </c>
      <c r="R1179" t="n">
        <v>1149</v>
      </c>
      <c r="S1179" t="n">
        <v>1005</v>
      </c>
      <c r="T1179" t="n">
        <v>917</v>
      </c>
    </row>
    <row r="1180">
      <c r="A1180" t="inlineStr">
        <is>
          <t>Kylie Makeup</t>
        </is>
      </c>
      <c r="B1180" t="inlineStr">
        <is>
          <t>Lips (01245)</t>
        </is>
      </c>
      <c r="C1180" t="inlineStr">
        <is>
          <t>Kylie Matte Lip Kit (00006094)</t>
        </is>
      </c>
      <c r="D1180" s="1" t="n">
        <v>4064941006824</v>
      </c>
      <c r="E1180" t="inlineStr">
        <is>
          <t>KJ MU M LIQ K SET NEWMDIN300 KOKO K 23IV</t>
        </is>
      </c>
      <c r="F1180" t="inlineStr">
        <is>
          <t>P_US_ULTA</t>
        </is>
      </c>
      <c r="G1180" t="inlineStr">
        <is>
          <t>CurrentWorkingView</t>
        </is>
      </c>
      <c r="H1180" t="inlineStr">
        <is>
          <t>EPOS</t>
        </is>
      </c>
      <c r="I1180" t="n">
        <v>718</v>
      </c>
    </row>
    <row r="1181">
      <c r="A1181" t="inlineStr">
        <is>
          <t>Kylie Makeup</t>
        </is>
      </c>
      <c r="B1181" t="inlineStr">
        <is>
          <t>Lips (01245)</t>
        </is>
      </c>
      <c r="C1181" t="inlineStr">
        <is>
          <t>Kylie Matte Lip Kit (00006094)</t>
        </is>
      </c>
      <c r="D1181" s="1" t="n">
        <v>4064941006824</v>
      </c>
      <c r="E1181" t="inlineStr">
        <is>
          <t>KJ MU M LIQ K SET NEWMDIN300 KOKO K 23IV</t>
        </is>
      </c>
      <c r="F1181" t="inlineStr">
        <is>
          <t>P_US_ULTA</t>
        </is>
      </c>
      <c r="G1181" t="inlineStr">
        <is>
          <t>CurrentWorkingView</t>
        </is>
      </c>
      <c r="H1181" t="inlineStr">
        <is>
          <t>Reasonability Adjustment</t>
        </is>
      </c>
    </row>
    <row r="1182">
      <c r="A1182" t="inlineStr">
        <is>
          <t>Kylie Makeup</t>
        </is>
      </c>
      <c r="B1182" t="inlineStr">
        <is>
          <t>Lips (01245)</t>
        </is>
      </c>
      <c r="C1182" t="inlineStr">
        <is>
          <t>Kylie Matte Lip Kit (00006094)</t>
        </is>
      </c>
      <c r="D1182" s="1" t="n">
        <v>4064941006824</v>
      </c>
      <c r="E1182" t="inlineStr">
        <is>
          <t>KJ MU M LIQ K SET NEWMDIN300 KOKO K 23IV</t>
        </is>
      </c>
      <c r="F1182" t="inlineStr">
        <is>
          <t>P_US_ULTA</t>
        </is>
      </c>
      <c r="G1182" t="inlineStr">
        <is>
          <t>CurrentWorkingView</t>
        </is>
      </c>
      <c r="H1182" t="inlineStr">
        <is>
          <t>Total Demand Assumption</t>
        </is>
      </c>
    </row>
    <row r="1183">
      <c r="A1183" t="inlineStr">
        <is>
          <t>Kylie Makeup</t>
        </is>
      </c>
      <c r="B1183" t="inlineStr">
        <is>
          <t>Lips (01245)</t>
        </is>
      </c>
      <c r="C1183" t="inlineStr">
        <is>
          <t>Kylie Matte Lip Kit (00006094)</t>
        </is>
      </c>
      <c r="D1183" s="1" t="n">
        <v>4064941006824</v>
      </c>
      <c r="E1183" t="inlineStr">
        <is>
          <t>KJ MU M LIQ K SET NEWMDIN300 KOKO K 23IV</t>
        </is>
      </c>
      <c r="F1183" t="inlineStr">
        <is>
          <t>P_US_ULTA</t>
        </is>
      </c>
      <c r="G1183" t="inlineStr">
        <is>
          <t>CurrentWorkingView</t>
        </is>
      </c>
      <c r="H1183" t="inlineStr">
        <is>
          <t>Consensus - Final</t>
        </is>
      </c>
      <c r="I1183" t="n">
        <v>695</v>
      </c>
      <c r="J1183" t="n">
        <v>683</v>
      </c>
      <c r="K1183" t="n">
        <v>661.5</v>
      </c>
      <c r="L1183" t="n">
        <v>802</v>
      </c>
      <c r="M1183" t="n">
        <v>891</v>
      </c>
      <c r="N1183" t="n">
        <v>809</v>
      </c>
      <c r="O1183" t="n">
        <v>2874</v>
      </c>
      <c r="P1183" t="n">
        <v>1708</v>
      </c>
      <c r="Q1183" t="n">
        <v>1293</v>
      </c>
      <c r="R1183" t="n">
        <v>1149</v>
      </c>
      <c r="S1183" t="n">
        <v>1005</v>
      </c>
      <c r="T1183" t="n">
        <v>917</v>
      </c>
    </row>
    <row r="1184">
      <c r="A1184" t="inlineStr">
        <is>
          <t>Kylie Makeup</t>
        </is>
      </c>
      <c r="B1184" t="inlineStr">
        <is>
          <t>Lips (01245)</t>
        </is>
      </c>
      <c r="C1184" t="inlineStr">
        <is>
          <t>Kylie Matte Lip Kit (00006094)</t>
        </is>
      </c>
      <c r="D1184" s="1" t="n">
        <v>4064941006824</v>
      </c>
      <c r="E1184" t="inlineStr">
        <is>
          <t>KJ MU M LIQ K SET NEWMDIN300 KOKO K 23IV</t>
        </is>
      </c>
      <c r="F1184" t="inlineStr">
        <is>
          <t>P_US_ULTA</t>
        </is>
      </c>
      <c r="G1184" t="inlineStr">
        <is>
          <t>CurrentWorkingView</t>
        </is>
      </c>
      <c r="H1184" t="inlineStr">
        <is>
          <t>Supply Cuts</t>
        </is>
      </c>
    </row>
    <row r="1185">
      <c r="A1185" t="inlineStr">
        <is>
          <t>Kylie Makeup</t>
        </is>
      </c>
      <c r="B1185" t="inlineStr">
        <is>
          <t>Lips (01245)</t>
        </is>
      </c>
      <c r="C1185" t="inlineStr">
        <is>
          <t>Kylie Matte Lip Kit (00006094)</t>
        </is>
      </c>
      <c r="D1185" s="1" t="n">
        <v>4064941006824</v>
      </c>
      <c r="E1185" t="inlineStr">
        <is>
          <t>KJ MU M LIQ K SET NEWMDIN300 KOKO K 23IV</t>
        </is>
      </c>
      <c r="F1185" t="inlineStr">
        <is>
          <t>P_US_ULTA</t>
        </is>
      </c>
      <c r="G1185" t="inlineStr">
        <is>
          <t>Month-2026.M09.W38</t>
        </is>
      </c>
      <c r="H1185" t="inlineStr">
        <is>
          <t>Consensus - Final LY M</t>
        </is>
      </c>
      <c r="I1185" t="n">
        <v>520</v>
      </c>
      <c r="J1185" t="n">
        <v>560</v>
      </c>
      <c r="K1185" t="n">
        <v>560</v>
      </c>
      <c r="L1185" t="n">
        <v>1077</v>
      </c>
      <c r="M1185" t="n">
        <v>898</v>
      </c>
      <c r="N1185" t="n">
        <v>892</v>
      </c>
      <c r="O1185" t="n">
        <v>2061</v>
      </c>
      <c r="P1185" t="n">
        <v>1565</v>
      </c>
      <c r="Q1185" t="n">
        <v>1080</v>
      </c>
      <c r="R1185" t="n">
        <v>914</v>
      </c>
      <c r="S1185" t="n">
        <v>1069</v>
      </c>
      <c r="T1185" t="n">
        <v>801</v>
      </c>
    </row>
    <row r="1186">
      <c r="A1186" t="inlineStr">
        <is>
          <t>Kylie Makeup</t>
        </is>
      </c>
      <c r="B1186" t="inlineStr">
        <is>
          <t>Lips (01245)</t>
        </is>
      </c>
      <c r="C1186" t="inlineStr">
        <is>
          <t>Kylie Matte Lip Kit (00006094)</t>
        </is>
      </c>
      <c r="D1186" s="1" t="n">
        <v>4064941006824</v>
      </c>
      <c r="E1186" t="inlineStr">
        <is>
          <t>KJ MU M LIQ K SET NEWMDIN300 KOKO K 23IV</t>
        </is>
      </c>
      <c r="F1186" t="inlineStr">
        <is>
          <t>P_US_ULTA</t>
        </is>
      </c>
      <c r="G1186" t="inlineStr">
        <is>
          <t>Month-2026.M09.W38</t>
        </is>
      </c>
      <c r="H1186" t="inlineStr">
        <is>
          <t>System FC - Final</t>
        </is>
      </c>
      <c r="I1186" t="n">
        <v>695</v>
      </c>
      <c r="J1186" t="n">
        <v>683</v>
      </c>
      <c r="K1186" t="n">
        <v>652</v>
      </c>
      <c r="L1186" t="n">
        <v>709</v>
      </c>
      <c r="M1186" t="n">
        <v>708</v>
      </c>
      <c r="N1186" t="n">
        <v>708</v>
      </c>
      <c r="O1186" t="n">
        <v>2923</v>
      </c>
      <c r="P1186" t="n">
        <v>1416</v>
      </c>
      <c r="Q1186" t="n">
        <v>1080</v>
      </c>
      <c r="R1186" t="n">
        <v>343</v>
      </c>
      <c r="S1186" t="n">
        <v>744</v>
      </c>
      <c r="T1186" t="n">
        <v>647</v>
      </c>
    </row>
    <row r="1187">
      <c r="A1187" t="inlineStr">
        <is>
          <t>Kylie Makeup</t>
        </is>
      </c>
      <c r="B1187" t="inlineStr">
        <is>
          <t>Lips (01245)</t>
        </is>
      </c>
      <c r="C1187" t="inlineStr">
        <is>
          <t>Kylie Matte Lip Kit (00006094)</t>
        </is>
      </c>
      <c r="D1187" s="1" t="n">
        <v>4064941006824</v>
      </c>
      <c r="E1187" t="inlineStr">
        <is>
          <t>KJ MU M LIQ K SET NEWMDIN300 KOKO K 23IV</t>
        </is>
      </c>
      <c r="F1187" t="inlineStr">
        <is>
          <t>P_US_ULTA</t>
        </is>
      </c>
      <c r="G1187" t="inlineStr">
        <is>
          <t>Month-2026.M09.W38</t>
        </is>
      </c>
      <c r="H1187" t="inlineStr">
        <is>
          <t>EPOS</t>
        </is>
      </c>
      <c r="I1187" t="n">
        <v>718</v>
      </c>
    </row>
    <row r="1188">
      <c r="A1188" t="inlineStr">
        <is>
          <t>Kylie Makeup</t>
        </is>
      </c>
      <c r="B1188" t="inlineStr">
        <is>
          <t>Lips (01245)</t>
        </is>
      </c>
      <c r="C1188" t="inlineStr">
        <is>
          <t>Kylie Matte Lip Kit (00006094)</t>
        </is>
      </c>
      <c r="D1188" s="1" t="n">
        <v>4064941006824</v>
      </c>
      <c r="E1188" t="inlineStr">
        <is>
          <t>KJ MU M LIQ K SET NEWMDIN300 KOKO K 23IV</t>
        </is>
      </c>
      <c r="F1188" t="inlineStr">
        <is>
          <t>P_US_ULTA</t>
        </is>
      </c>
      <c r="G1188" t="inlineStr">
        <is>
          <t>Month-2026.M09.W38</t>
        </is>
      </c>
      <c r="H1188" t="inlineStr">
        <is>
          <t>Reasonability Adjustment</t>
        </is>
      </c>
    </row>
    <row r="1189">
      <c r="A1189" t="inlineStr">
        <is>
          <t>Kylie Makeup</t>
        </is>
      </c>
      <c r="B1189" t="inlineStr">
        <is>
          <t>Lips (01245)</t>
        </is>
      </c>
      <c r="C1189" t="inlineStr">
        <is>
          <t>Kylie Matte Lip Kit (00006094)</t>
        </is>
      </c>
      <c r="D1189" s="1" t="n">
        <v>4064941006824</v>
      </c>
      <c r="E1189" t="inlineStr">
        <is>
          <t>KJ MU M LIQ K SET NEWMDIN300 KOKO K 23IV</t>
        </is>
      </c>
      <c r="F1189" t="inlineStr">
        <is>
          <t>P_US_ULTA</t>
        </is>
      </c>
      <c r="G1189" t="inlineStr">
        <is>
          <t>Month-2026.M09.W38</t>
        </is>
      </c>
      <c r="H1189" t="inlineStr">
        <is>
          <t>Total Demand Assumption</t>
        </is>
      </c>
    </row>
    <row r="1190">
      <c r="A1190" t="inlineStr">
        <is>
          <t>Kylie Makeup</t>
        </is>
      </c>
      <c r="B1190" t="inlineStr">
        <is>
          <t>Lips (01245)</t>
        </is>
      </c>
      <c r="C1190" t="inlineStr">
        <is>
          <t>Kylie Matte Lip Kit (00006094)</t>
        </is>
      </c>
      <c r="D1190" s="1" t="n">
        <v>4064941006824</v>
      </c>
      <c r="E1190" t="inlineStr">
        <is>
          <t>KJ MU M LIQ K SET NEWMDIN300 KOKO K 23IV</t>
        </is>
      </c>
      <c r="F1190" t="inlineStr">
        <is>
          <t>P_US_ULTA</t>
        </is>
      </c>
      <c r="G1190" t="inlineStr">
        <is>
          <t>Month-2026.M09.W38</t>
        </is>
      </c>
      <c r="H1190" t="inlineStr">
        <is>
          <t>Consensus - Final</t>
        </is>
      </c>
      <c r="I1190" t="n">
        <v>695</v>
      </c>
      <c r="J1190" t="n">
        <v>683</v>
      </c>
      <c r="K1190" t="n">
        <v>661.5</v>
      </c>
      <c r="L1190" t="n">
        <v>709</v>
      </c>
      <c r="M1190" t="n">
        <v>708</v>
      </c>
      <c r="N1190" t="n">
        <v>708</v>
      </c>
      <c r="O1190" t="n">
        <v>2923</v>
      </c>
      <c r="P1190" t="n">
        <v>1416</v>
      </c>
      <c r="Q1190" t="n">
        <v>1080</v>
      </c>
      <c r="R1190" t="n">
        <v>343</v>
      </c>
      <c r="S1190" t="n">
        <v>744</v>
      </c>
      <c r="T1190" t="n">
        <v>647</v>
      </c>
    </row>
    <row r="1191">
      <c r="A1191" t="inlineStr">
        <is>
          <t>Kylie Makeup</t>
        </is>
      </c>
      <c r="B1191" t="inlineStr">
        <is>
          <t>Lips (01245)</t>
        </is>
      </c>
      <c r="C1191" t="inlineStr">
        <is>
          <t>Kylie Matte Lip Kit (00006094)</t>
        </is>
      </c>
      <c r="D1191" s="1" t="n">
        <v>4064941006824</v>
      </c>
      <c r="E1191" t="inlineStr">
        <is>
          <t>KJ MU M LIQ K SET NEWMDIN300 KOKO K 23IV</t>
        </is>
      </c>
      <c r="F1191" t="inlineStr">
        <is>
          <t>P_US_ULTA</t>
        </is>
      </c>
      <c r="G1191" t="inlineStr">
        <is>
          <t>Month-2026.M09.W38</t>
        </is>
      </c>
      <c r="H1191" t="inlineStr">
        <is>
          <t>Supply Cuts</t>
        </is>
      </c>
    </row>
    <row r="1192">
      <c r="A1192" t="inlineStr">
        <is>
          <t>Kylie Makeup</t>
        </is>
      </c>
      <c r="B1192" t="inlineStr">
        <is>
          <t>Lips (01245)</t>
        </is>
      </c>
      <c r="C1192" t="inlineStr">
        <is>
          <t>Kylie Matte Lip Kit (00006094)</t>
        </is>
      </c>
      <c r="D1192" s="1" t="n">
        <v>4064941006923</v>
      </c>
      <c r="E1192" t="inlineStr">
        <is>
          <t>KJ MU M LIQ K SET NWMDIN100 POSIE K 23IV</t>
        </is>
      </c>
      <c r="F1192" t="inlineStr">
        <is>
          <t>P_US_ALL_OTHERS</t>
        </is>
      </c>
      <c r="G1192" t="inlineStr">
        <is>
          <t>CurrentWorkingView</t>
        </is>
      </c>
      <c r="H1192" t="inlineStr">
        <is>
          <t>Consensus - Final LY M</t>
        </is>
      </c>
      <c r="I1192" t="n">
        <v>541</v>
      </c>
      <c r="J1192" t="n">
        <v>348</v>
      </c>
      <c r="K1192" t="n">
        <v>492</v>
      </c>
      <c r="L1192" t="n">
        <v>278</v>
      </c>
      <c r="M1192" t="n">
        <v>308</v>
      </c>
      <c r="N1192" t="n">
        <v>396</v>
      </c>
      <c r="O1192" t="n">
        <v>243</v>
      </c>
      <c r="P1192" t="n">
        <v>503</v>
      </c>
      <c r="Q1192" t="n">
        <v>334</v>
      </c>
      <c r="R1192" t="n">
        <v>413</v>
      </c>
      <c r="S1192" t="n">
        <v>582</v>
      </c>
      <c r="T1192" t="n">
        <v>212</v>
      </c>
    </row>
    <row r="1193">
      <c r="A1193" t="inlineStr">
        <is>
          <t>Kylie Makeup</t>
        </is>
      </c>
      <c r="B1193" t="inlineStr">
        <is>
          <t>Lips (01245)</t>
        </is>
      </c>
      <c r="C1193" t="inlineStr">
        <is>
          <t>Kylie Matte Lip Kit (00006094)</t>
        </is>
      </c>
      <c r="D1193" s="1" t="n">
        <v>4064941006923</v>
      </c>
      <c r="E1193" t="inlineStr">
        <is>
          <t>KJ MU M LIQ K SET NWMDIN100 POSIE K 23IV</t>
        </is>
      </c>
      <c r="F1193" t="inlineStr">
        <is>
          <t>P_US_ALL_OTHERS</t>
        </is>
      </c>
      <c r="G1193" t="inlineStr">
        <is>
          <t>CurrentWorkingView</t>
        </is>
      </c>
      <c r="H1193" t="inlineStr">
        <is>
          <t>System FC - Final</t>
        </is>
      </c>
      <c r="I1193" t="n">
        <v>216</v>
      </c>
      <c r="J1193" t="n">
        <v>221</v>
      </c>
      <c r="K1193" t="n">
        <v>172</v>
      </c>
      <c r="L1193" t="n">
        <v>285</v>
      </c>
      <c r="M1193" t="n">
        <v>367</v>
      </c>
      <c r="N1193" t="n">
        <v>376</v>
      </c>
      <c r="O1193" t="n">
        <v>226</v>
      </c>
      <c r="P1193" t="n">
        <v>424</v>
      </c>
      <c r="Q1193" t="n">
        <v>243</v>
      </c>
      <c r="R1193" t="n">
        <v>270</v>
      </c>
      <c r="S1193" t="n">
        <v>550</v>
      </c>
      <c r="T1193" t="n">
        <v>228</v>
      </c>
    </row>
    <row r="1194">
      <c r="A1194" t="inlineStr">
        <is>
          <t>Kylie Makeup</t>
        </is>
      </c>
      <c r="B1194" t="inlineStr">
        <is>
          <t>Lips (01245)</t>
        </is>
      </c>
      <c r="C1194" t="inlineStr">
        <is>
          <t>Kylie Matte Lip Kit (00006094)</t>
        </is>
      </c>
      <c r="D1194" s="1" t="n">
        <v>4064941006923</v>
      </c>
      <c r="E1194" t="inlineStr">
        <is>
          <t>KJ MU M LIQ K SET NWMDIN100 POSIE K 23IV</t>
        </is>
      </c>
      <c r="F1194" t="inlineStr">
        <is>
          <t>P_US_ALL_OTHERS</t>
        </is>
      </c>
      <c r="G1194" t="inlineStr">
        <is>
          <t>CurrentWorkingView</t>
        </is>
      </c>
      <c r="H1194" t="inlineStr">
        <is>
          <t>EPOS</t>
        </is>
      </c>
      <c r="I1194" t="n">
        <v>160</v>
      </c>
    </row>
    <row r="1195">
      <c r="A1195" t="inlineStr">
        <is>
          <t>Kylie Makeup</t>
        </is>
      </c>
      <c r="B1195" t="inlineStr">
        <is>
          <t>Lips (01245)</t>
        </is>
      </c>
      <c r="C1195" t="inlineStr">
        <is>
          <t>Kylie Matte Lip Kit (00006094)</t>
        </is>
      </c>
      <c r="D1195" s="1" t="n">
        <v>4064941006923</v>
      </c>
      <c r="E1195" t="inlineStr">
        <is>
          <t>KJ MU M LIQ K SET NWMDIN100 POSIE K 23IV</t>
        </is>
      </c>
      <c r="F1195" t="inlineStr">
        <is>
          <t>P_US_ALL_OTHERS</t>
        </is>
      </c>
      <c r="G1195" t="inlineStr">
        <is>
          <t>CurrentWorkingView</t>
        </is>
      </c>
      <c r="H1195" t="inlineStr">
        <is>
          <t>Reasonability Adjustment</t>
        </is>
      </c>
      <c r="S1195" t="n">
        <v>-30</v>
      </c>
      <c r="T1195" t="n">
        <v>-72</v>
      </c>
    </row>
    <row r="1196">
      <c r="A1196" t="inlineStr">
        <is>
          <t>Kylie Makeup</t>
        </is>
      </c>
      <c r="B1196" t="inlineStr">
        <is>
          <t>Lips (01245)</t>
        </is>
      </c>
      <c r="C1196" t="inlineStr">
        <is>
          <t>Kylie Matte Lip Kit (00006094)</t>
        </is>
      </c>
      <c r="D1196" s="1" t="n">
        <v>4064941006923</v>
      </c>
      <c r="E1196" t="inlineStr">
        <is>
          <t>KJ MU M LIQ K SET NWMDIN100 POSIE K 23IV</t>
        </is>
      </c>
      <c r="F1196" t="inlineStr">
        <is>
          <t>P_US_ALL_OTHERS</t>
        </is>
      </c>
      <c r="G1196" t="inlineStr">
        <is>
          <t>CurrentWorkingView</t>
        </is>
      </c>
      <c r="H1196" t="inlineStr">
        <is>
          <t>Total Demand Assumption</t>
        </is>
      </c>
      <c r="I1196" t="n">
        <v>7075</v>
      </c>
    </row>
    <row r="1197">
      <c r="A1197" t="inlineStr">
        <is>
          <t>Kylie Makeup</t>
        </is>
      </c>
      <c r="B1197" t="inlineStr">
        <is>
          <t>Lips (01245)</t>
        </is>
      </c>
      <c r="C1197" t="inlineStr">
        <is>
          <t>Kylie Matte Lip Kit (00006094)</t>
        </is>
      </c>
      <c r="D1197" s="1" t="n">
        <v>4064941006923</v>
      </c>
      <c r="E1197" t="inlineStr">
        <is>
          <t>KJ MU M LIQ K SET NWMDIN100 POSIE K 23IV</t>
        </is>
      </c>
      <c r="F1197" t="inlineStr">
        <is>
          <t>P_US_ALL_OTHERS</t>
        </is>
      </c>
      <c r="G1197" t="inlineStr">
        <is>
          <t>CurrentWorkingView</t>
        </is>
      </c>
      <c r="H1197" t="inlineStr">
        <is>
          <t>Consensus - Final</t>
        </is>
      </c>
      <c r="I1197" t="n">
        <v>216</v>
      </c>
      <c r="J1197" t="n">
        <v>221</v>
      </c>
      <c r="K1197" t="n">
        <v>359.216630196936</v>
      </c>
      <c r="L1197" t="n">
        <v>285</v>
      </c>
      <c r="M1197" t="n">
        <v>367</v>
      </c>
      <c r="N1197" t="n">
        <v>376</v>
      </c>
      <c r="O1197" t="n">
        <v>226</v>
      </c>
      <c r="P1197" t="n">
        <v>424</v>
      </c>
      <c r="Q1197" t="n">
        <v>243</v>
      </c>
      <c r="R1197" t="n">
        <v>270</v>
      </c>
      <c r="S1197" t="n">
        <v>520</v>
      </c>
      <c r="T1197" t="n">
        <v>156</v>
      </c>
    </row>
    <row r="1198">
      <c r="A1198" t="inlineStr">
        <is>
          <t>Kylie Makeup</t>
        </is>
      </c>
      <c r="B1198" t="inlineStr">
        <is>
          <t>Lips (01245)</t>
        </is>
      </c>
      <c r="C1198" t="inlineStr">
        <is>
          <t>Kylie Matte Lip Kit (00006094)</t>
        </is>
      </c>
      <c r="D1198" s="1" t="n">
        <v>4064941006923</v>
      </c>
      <c r="E1198" t="inlineStr">
        <is>
          <t>KJ MU M LIQ K SET NWMDIN100 POSIE K 23IV</t>
        </is>
      </c>
      <c r="F1198" t="inlineStr">
        <is>
          <t>P_US_ALL_OTHERS</t>
        </is>
      </c>
      <c r="G1198" t="inlineStr">
        <is>
          <t>CurrentWorkingView</t>
        </is>
      </c>
      <c r="H1198" t="inlineStr">
        <is>
          <t>Supply Cuts</t>
        </is>
      </c>
    </row>
    <row r="1199">
      <c r="A1199" t="inlineStr">
        <is>
          <t>Kylie Makeup</t>
        </is>
      </c>
      <c r="B1199" t="inlineStr">
        <is>
          <t>Lips (01245)</t>
        </is>
      </c>
      <c r="C1199" t="inlineStr">
        <is>
          <t>Kylie Matte Lip Kit (00006094)</t>
        </is>
      </c>
      <c r="D1199" s="1" t="n">
        <v>4064941006923</v>
      </c>
      <c r="E1199" t="inlineStr">
        <is>
          <t>KJ MU M LIQ K SET NWMDIN100 POSIE K 23IV</t>
        </is>
      </c>
      <c r="F1199" t="inlineStr">
        <is>
          <t>P_US_ALL_OTHERS</t>
        </is>
      </c>
      <c r="G1199" t="inlineStr">
        <is>
          <t>Month-2026.M09.W38</t>
        </is>
      </c>
      <c r="H1199" t="inlineStr">
        <is>
          <t>Consensus - Final LY M</t>
        </is>
      </c>
      <c r="I1199" t="n">
        <v>541</v>
      </c>
      <c r="J1199" t="n">
        <v>348</v>
      </c>
      <c r="K1199" t="n">
        <v>492</v>
      </c>
      <c r="L1199" t="n">
        <v>278</v>
      </c>
      <c r="M1199" t="n">
        <v>308</v>
      </c>
      <c r="N1199" t="n">
        <v>396</v>
      </c>
      <c r="O1199" t="n">
        <v>243</v>
      </c>
      <c r="P1199" t="n">
        <v>503</v>
      </c>
      <c r="Q1199" t="n">
        <v>334</v>
      </c>
      <c r="R1199" t="n">
        <v>413</v>
      </c>
      <c r="S1199" t="n">
        <v>582</v>
      </c>
      <c r="T1199" t="n">
        <v>212</v>
      </c>
    </row>
    <row r="1200">
      <c r="A1200" t="inlineStr">
        <is>
          <t>Kylie Makeup</t>
        </is>
      </c>
      <c r="B1200" t="inlineStr">
        <is>
          <t>Lips (01245)</t>
        </is>
      </c>
      <c r="C1200" t="inlineStr">
        <is>
          <t>Kylie Matte Lip Kit (00006094)</t>
        </is>
      </c>
      <c r="D1200" s="1" t="n">
        <v>4064941006923</v>
      </c>
      <c r="E1200" t="inlineStr">
        <is>
          <t>KJ MU M LIQ K SET NWMDIN100 POSIE K 23IV</t>
        </is>
      </c>
      <c r="F1200" t="inlineStr">
        <is>
          <t>P_US_ALL_OTHERS</t>
        </is>
      </c>
      <c r="G1200" t="inlineStr">
        <is>
          <t>Month-2026.M09.W38</t>
        </is>
      </c>
      <c r="H1200" t="inlineStr">
        <is>
          <t>System FC - Final</t>
        </is>
      </c>
      <c r="I1200" t="n">
        <v>216</v>
      </c>
      <c r="J1200" t="n">
        <v>221</v>
      </c>
      <c r="K1200" t="n">
        <v>240</v>
      </c>
      <c r="L1200" t="n">
        <v>302</v>
      </c>
      <c r="M1200" t="n">
        <v>390</v>
      </c>
      <c r="N1200" t="n">
        <v>411</v>
      </c>
      <c r="O1200" t="n">
        <v>230</v>
      </c>
      <c r="P1200" t="n">
        <v>432</v>
      </c>
      <c r="Q1200" t="n">
        <v>239</v>
      </c>
      <c r="R1200" t="n">
        <v>257</v>
      </c>
      <c r="S1200" t="n">
        <v>598</v>
      </c>
      <c r="T1200" t="n">
        <v>391</v>
      </c>
    </row>
    <row r="1201">
      <c r="A1201" t="inlineStr">
        <is>
          <t>Kylie Makeup</t>
        </is>
      </c>
      <c r="B1201" t="inlineStr">
        <is>
          <t>Lips (01245)</t>
        </is>
      </c>
      <c r="C1201" t="inlineStr">
        <is>
          <t>Kylie Matte Lip Kit (00006094)</t>
        </is>
      </c>
      <c r="D1201" s="1" t="n">
        <v>4064941006923</v>
      </c>
      <c r="E1201" t="inlineStr">
        <is>
          <t>KJ MU M LIQ K SET NWMDIN100 POSIE K 23IV</t>
        </is>
      </c>
      <c r="F1201" t="inlineStr">
        <is>
          <t>P_US_ALL_OTHERS</t>
        </is>
      </c>
      <c r="G1201" t="inlineStr">
        <is>
          <t>Month-2026.M09.W38</t>
        </is>
      </c>
      <c r="H1201" t="inlineStr">
        <is>
          <t>EPOS</t>
        </is>
      </c>
      <c r="I1201" t="n">
        <v>160</v>
      </c>
    </row>
    <row r="1202">
      <c r="A1202" t="inlineStr">
        <is>
          <t>Kylie Makeup</t>
        </is>
      </c>
      <c r="B1202" t="inlineStr">
        <is>
          <t>Lips (01245)</t>
        </is>
      </c>
      <c r="C1202" t="inlineStr">
        <is>
          <t>Kylie Matte Lip Kit (00006094)</t>
        </is>
      </c>
      <c r="D1202" s="1" t="n">
        <v>4064941006923</v>
      </c>
      <c r="E1202" t="inlineStr">
        <is>
          <t>KJ MU M LIQ K SET NWMDIN100 POSIE K 23IV</t>
        </is>
      </c>
      <c r="F1202" t="inlineStr">
        <is>
          <t>P_US_ALL_OTHERS</t>
        </is>
      </c>
      <c r="G1202" t="inlineStr">
        <is>
          <t>Month-2026.M09.W38</t>
        </is>
      </c>
      <c r="H1202" t="inlineStr">
        <is>
          <t>Reasonability Adjustment</t>
        </is>
      </c>
      <c r="S1202" t="n">
        <v>-30</v>
      </c>
      <c r="T1202" t="n">
        <v>-72</v>
      </c>
    </row>
    <row r="1203">
      <c r="A1203" t="inlineStr">
        <is>
          <t>Kylie Makeup</t>
        </is>
      </c>
      <c r="B1203" t="inlineStr">
        <is>
          <t>Lips (01245)</t>
        </is>
      </c>
      <c r="C1203" t="inlineStr">
        <is>
          <t>Kylie Matte Lip Kit (00006094)</t>
        </is>
      </c>
      <c r="D1203" s="1" t="n">
        <v>4064941006923</v>
      </c>
      <c r="E1203" t="inlineStr">
        <is>
          <t>KJ MU M LIQ K SET NWMDIN100 POSIE K 23IV</t>
        </is>
      </c>
      <c r="F1203" t="inlineStr">
        <is>
          <t>P_US_ALL_OTHERS</t>
        </is>
      </c>
      <c r="G1203" t="inlineStr">
        <is>
          <t>Month-2026.M09.W38</t>
        </is>
      </c>
      <c r="H1203" t="inlineStr">
        <is>
          <t>Total Demand Assumption</t>
        </is>
      </c>
      <c r="I1203" t="n">
        <v>7075</v>
      </c>
    </row>
    <row r="1204">
      <c r="A1204" t="inlineStr">
        <is>
          <t>Kylie Makeup</t>
        </is>
      </c>
      <c r="B1204" t="inlineStr">
        <is>
          <t>Lips (01245)</t>
        </is>
      </c>
      <c r="C1204" t="inlineStr">
        <is>
          <t>Kylie Matte Lip Kit (00006094)</t>
        </is>
      </c>
      <c r="D1204" s="1" t="n">
        <v>4064941006923</v>
      </c>
      <c r="E1204" t="inlineStr">
        <is>
          <t>KJ MU M LIQ K SET NWMDIN100 POSIE K 23IV</t>
        </is>
      </c>
      <c r="F1204" t="inlineStr">
        <is>
          <t>P_US_ALL_OTHERS</t>
        </is>
      </c>
      <c r="G1204" t="inlineStr">
        <is>
          <t>Month-2026.M09.W38</t>
        </is>
      </c>
      <c r="H1204" t="inlineStr">
        <is>
          <t>Consensus - Final</t>
        </is>
      </c>
      <c r="I1204" t="n">
        <v>216</v>
      </c>
      <c r="J1204" t="n">
        <v>221</v>
      </c>
      <c r="K1204" t="n">
        <v>359.216630196936</v>
      </c>
      <c r="L1204" t="n">
        <v>302</v>
      </c>
      <c r="M1204" t="n">
        <v>390</v>
      </c>
      <c r="N1204" t="n">
        <v>411</v>
      </c>
      <c r="O1204" t="n">
        <v>230</v>
      </c>
      <c r="P1204" t="n">
        <v>432</v>
      </c>
      <c r="Q1204" t="n">
        <v>239</v>
      </c>
      <c r="R1204" t="n">
        <v>257</v>
      </c>
      <c r="S1204" t="n">
        <v>568</v>
      </c>
      <c r="T1204" t="n">
        <v>319</v>
      </c>
    </row>
    <row r="1205">
      <c r="A1205" t="inlineStr">
        <is>
          <t>Kylie Makeup</t>
        </is>
      </c>
      <c r="B1205" t="inlineStr">
        <is>
          <t>Lips (01245)</t>
        </is>
      </c>
      <c r="C1205" t="inlineStr">
        <is>
          <t>Kylie Matte Lip Kit (00006094)</t>
        </is>
      </c>
      <c r="D1205" s="1" t="n">
        <v>4064941006923</v>
      </c>
      <c r="E1205" t="inlineStr">
        <is>
          <t>KJ MU M LIQ K SET NWMDIN100 POSIE K 23IV</t>
        </is>
      </c>
      <c r="F1205" t="inlineStr">
        <is>
          <t>P_US_ALL_OTHERS</t>
        </is>
      </c>
      <c r="G1205" t="inlineStr">
        <is>
          <t>Month-2026.M09.W38</t>
        </is>
      </c>
      <c r="H1205" t="inlineStr">
        <is>
          <t>Supply Cuts</t>
        </is>
      </c>
    </row>
    <row r="1206">
      <c r="A1206" t="inlineStr">
        <is>
          <t>Kylie Makeup</t>
        </is>
      </c>
      <c r="B1206" t="inlineStr">
        <is>
          <t>Lips (01245)</t>
        </is>
      </c>
      <c r="C1206" t="inlineStr">
        <is>
          <t>Kylie Matte Lip Kit (00006094)</t>
        </is>
      </c>
      <c r="D1206" s="1" t="n">
        <v>4064941006923</v>
      </c>
      <c r="E1206" t="inlineStr">
        <is>
          <t>KJ MU M LIQ K SET NWMDIN100 POSIE K 23IV</t>
        </is>
      </c>
      <c r="F1206" t="inlineStr">
        <is>
          <t>P_US_FG</t>
        </is>
      </c>
      <c r="G1206" t="inlineStr">
        <is>
          <t>CurrentWorkingView</t>
        </is>
      </c>
      <c r="H1206" t="inlineStr">
        <is>
          <t>Consensus - Final LY M</t>
        </is>
      </c>
      <c r="L1206" t="n">
        <v>7</v>
      </c>
      <c r="O1206" t="n">
        <v>25</v>
      </c>
      <c r="Q1206" t="n">
        <v>67</v>
      </c>
    </row>
    <row r="1207">
      <c r="A1207" t="inlineStr">
        <is>
          <t>Kylie Makeup</t>
        </is>
      </c>
      <c r="B1207" t="inlineStr">
        <is>
          <t>Lips (01245)</t>
        </is>
      </c>
      <c r="C1207" t="inlineStr">
        <is>
          <t>Kylie Matte Lip Kit (00006094)</t>
        </is>
      </c>
      <c r="D1207" s="1" t="n">
        <v>4064941006923</v>
      </c>
      <c r="E1207" t="inlineStr">
        <is>
          <t>KJ MU M LIQ K SET NWMDIN100 POSIE K 23IV</t>
        </is>
      </c>
      <c r="F1207" t="inlineStr">
        <is>
          <t>P_US_FG</t>
        </is>
      </c>
      <c r="G1207" t="inlineStr">
        <is>
          <t>CurrentWorkingView</t>
        </is>
      </c>
      <c r="H1207" t="inlineStr">
        <is>
          <t>System FC - Final</t>
        </is>
      </c>
      <c r="K1207" t="n">
        <v>2</v>
      </c>
      <c r="L1207" t="n">
        <v>5</v>
      </c>
      <c r="M1207" t="n">
        <v>0</v>
      </c>
      <c r="N1207" t="n">
        <v>5</v>
      </c>
      <c r="O1207" t="n">
        <v>9</v>
      </c>
      <c r="P1207" t="n">
        <v>0</v>
      </c>
      <c r="Q1207" t="n">
        <v>102</v>
      </c>
      <c r="R1207" t="n">
        <v>0</v>
      </c>
      <c r="S1207" t="n">
        <v>0</v>
      </c>
      <c r="T1207" t="n">
        <v>0</v>
      </c>
    </row>
    <row r="1208">
      <c r="A1208" t="inlineStr">
        <is>
          <t>Kylie Makeup</t>
        </is>
      </c>
      <c r="B1208" t="inlineStr">
        <is>
          <t>Lips (01245)</t>
        </is>
      </c>
      <c r="C1208" t="inlineStr">
        <is>
          <t>Kylie Matte Lip Kit (00006094)</t>
        </is>
      </c>
      <c r="D1208" s="1" t="n">
        <v>4064941006923</v>
      </c>
      <c r="E1208" t="inlineStr">
        <is>
          <t>KJ MU M LIQ K SET NWMDIN100 POSIE K 23IV</t>
        </is>
      </c>
      <c r="F1208" t="inlineStr">
        <is>
          <t>P_US_FG</t>
        </is>
      </c>
      <c r="G1208" t="inlineStr">
        <is>
          <t>CurrentWorkingView</t>
        </is>
      </c>
      <c r="H1208" t="inlineStr">
        <is>
          <t>EPOS</t>
        </is>
      </c>
    </row>
    <row r="1209">
      <c r="A1209" t="inlineStr">
        <is>
          <t>Kylie Makeup</t>
        </is>
      </c>
      <c r="B1209" t="inlineStr">
        <is>
          <t>Lips (01245)</t>
        </is>
      </c>
      <c r="C1209" t="inlineStr">
        <is>
          <t>Kylie Matte Lip Kit (00006094)</t>
        </is>
      </c>
      <c r="D1209" s="1" t="n">
        <v>4064941006923</v>
      </c>
      <c r="E1209" t="inlineStr">
        <is>
          <t>KJ MU M LIQ K SET NWMDIN100 POSIE K 23IV</t>
        </is>
      </c>
      <c r="F1209" t="inlineStr">
        <is>
          <t>P_US_FG</t>
        </is>
      </c>
      <c r="G1209" t="inlineStr">
        <is>
          <t>CurrentWorkingView</t>
        </is>
      </c>
      <c r="H1209" t="inlineStr">
        <is>
          <t>Reasonability Adjustment</t>
        </is>
      </c>
    </row>
    <row r="1210">
      <c r="A1210" t="inlineStr">
        <is>
          <t>Kylie Makeup</t>
        </is>
      </c>
      <c r="B1210" t="inlineStr">
        <is>
          <t>Lips (01245)</t>
        </is>
      </c>
      <c r="C1210" t="inlineStr">
        <is>
          <t>Kylie Matte Lip Kit (00006094)</t>
        </is>
      </c>
      <c r="D1210" s="1" t="n">
        <v>4064941006923</v>
      </c>
      <c r="E1210" t="inlineStr">
        <is>
          <t>KJ MU M LIQ K SET NWMDIN100 POSIE K 23IV</t>
        </is>
      </c>
      <c r="F1210" t="inlineStr">
        <is>
          <t>P_US_FG</t>
        </is>
      </c>
      <c r="G1210" t="inlineStr">
        <is>
          <t>CurrentWorkingView</t>
        </is>
      </c>
      <c r="H1210" t="inlineStr">
        <is>
          <t>Total Demand Assumption</t>
        </is>
      </c>
    </row>
    <row r="1211">
      <c r="A1211" t="inlineStr">
        <is>
          <t>Kylie Makeup</t>
        </is>
      </c>
      <c r="B1211" t="inlineStr">
        <is>
          <t>Lips (01245)</t>
        </is>
      </c>
      <c r="C1211" t="inlineStr">
        <is>
          <t>Kylie Matte Lip Kit (00006094)</t>
        </is>
      </c>
      <c r="D1211" s="1" t="n">
        <v>4064941006923</v>
      </c>
      <c r="E1211" t="inlineStr">
        <is>
          <t>KJ MU M LIQ K SET NWMDIN100 POSIE K 23IV</t>
        </is>
      </c>
      <c r="F1211" t="inlineStr">
        <is>
          <t>P_US_FG</t>
        </is>
      </c>
      <c r="G1211" t="inlineStr">
        <is>
          <t>CurrentWorkingView</t>
        </is>
      </c>
      <c r="H1211" t="inlineStr">
        <is>
          <t>Consensus - Final</t>
        </is>
      </c>
      <c r="K1211" t="n">
        <v>0</v>
      </c>
    </row>
    <row r="1212">
      <c r="A1212" t="inlineStr">
        <is>
          <t>Kylie Makeup</t>
        </is>
      </c>
      <c r="B1212" t="inlineStr">
        <is>
          <t>Lips (01245)</t>
        </is>
      </c>
      <c r="C1212" t="inlineStr">
        <is>
          <t>Kylie Matte Lip Kit (00006094)</t>
        </is>
      </c>
      <c r="D1212" s="1" t="n">
        <v>4064941006923</v>
      </c>
      <c r="E1212" t="inlineStr">
        <is>
          <t>KJ MU M LIQ K SET NWMDIN100 POSIE K 23IV</t>
        </is>
      </c>
      <c r="F1212" t="inlineStr">
        <is>
          <t>P_US_FG</t>
        </is>
      </c>
      <c r="G1212" t="inlineStr">
        <is>
          <t>CurrentWorkingView</t>
        </is>
      </c>
      <c r="H1212" t="inlineStr">
        <is>
          <t>Supply Cuts</t>
        </is>
      </c>
    </row>
    <row r="1213">
      <c r="A1213" t="inlineStr">
        <is>
          <t>Kylie Makeup</t>
        </is>
      </c>
      <c r="B1213" t="inlineStr">
        <is>
          <t>Lips (01245)</t>
        </is>
      </c>
      <c r="C1213" t="inlineStr">
        <is>
          <t>Kylie Matte Lip Kit (00006094)</t>
        </is>
      </c>
      <c r="D1213" s="1" t="n">
        <v>4064941006923</v>
      </c>
      <c r="E1213" t="inlineStr">
        <is>
          <t>KJ MU M LIQ K SET NWMDIN100 POSIE K 23IV</t>
        </is>
      </c>
      <c r="F1213" t="inlineStr">
        <is>
          <t>P_US_FG</t>
        </is>
      </c>
      <c r="G1213" t="inlineStr">
        <is>
          <t>Month-2026.M09.W38</t>
        </is>
      </c>
      <c r="H1213" t="inlineStr">
        <is>
          <t>Consensus - Final LY M</t>
        </is>
      </c>
      <c r="L1213" t="n">
        <v>7</v>
      </c>
      <c r="O1213" t="n">
        <v>25</v>
      </c>
      <c r="Q1213" t="n">
        <v>67</v>
      </c>
    </row>
    <row r="1214">
      <c r="A1214" t="inlineStr">
        <is>
          <t>Kylie Makeup</t>
        </is>
      </c>
      <c r="B1214" t="inlineStr">
        <is>
          <t>Lips (01245)</t>
        </is>
      </c>
      <c r="C1214" t="inlineStr">
        <is>
          <t>Kylie Matte Lip Kit (00006094)</t>
        </is>
      </c>
      <c r="D1214" s="1" t="n">
        <v>4064941006923</v>
      </c>
      <c r="E1214" t="inlineStr">
        <is>
          <t>KJ MU M LIQ K SET NWMDIN100 POSIE K 23IV</t>
        </is>
      </c>
      <c r="F1214" t="inlineStr">
        <is>
          <t>P_US_FG</t>
        </is>
      </c>
      <c r="G1214" t="inlineStr">
        <is>
          <t>Month-2026.M09.W38</t>
        </is>
      </c>
      <c r="H1214" t="inlineStr">
        <is>
          <t>System FC - Final</t>
        </is>
      </c>
      <c r="K1214" t="n">
        <v>3</v>
      </c>
      <c r="L1214" t="n">
        <v>5</v>
      </c>
      <c r="M1214" t="n">
        <v>0</v>
      </c>
      <c r="N1214" t="n">
        <v>5</v>
      </c>
      <c r="O1214" t="n">
        <v>9</v>
      </c>
      <c r="P1214" t="n">
        <v>0</v>
      </c>
      <c r="Q1214" t="n">
        <v>102</v>
      </c>
      <c r="R1214" t="n">
        <v>0</v>
      </c>
      <c r="S1214" t="n">
        <v>0</v>
      </c>
      <c r="T1214" t="n">
        <v>4</v>
      </c>
    </row>
    <row r="1215">
      <c r="A1215" t="inlineStr">
        <is>
          <t>Kylie Makeup</t>
        </is>
      </c>
      <c r="B1215" t="inlineStr">
        <is>
          <t>Lips (01245)</t>
        </is>
      </c>
      <c r="C1215" t="inlineStr">
        <is>
          <t>Kylie Matte Lip Kit (00006094)</t>
        </is>
      </c>
      <c r="D1215" s="1" t="n">
        <v>4064941006923</v>
      </c>
      <c r="E1215" t="inlineStr">
        <is>
          <t>KJ MU M LIQ K SET NWMDIN100 POSIE K 23IV</t>
        </is>
      </c>
      <c r="F1215" t="inlineStr">
        <is>
          <t>P_US_FG</t>
        </is>
      </c>
      <c r="G1215" t="inlineStr">
        <is>
          <t>Month-2026.M09.W38</t>
        </is>
      </c>
      <c r="H1215" t="inlineStr">
        <is>
          <t>EPOS</t>
        </is>
      </c>
    </row>
    <row r="1216">
      <c r="A1216" t="inlineStr">
        <is>
          <t>Kylie Makeup</t>
        </is>
      </c>
      <c r="B1216" t="inlineStr">
        <is>
          <t>Lips (01245)</t>
        </is>
      </c>
      <c r="C1216" t="inlineStr">
        <is>
          <t>Kylie Matte Lip Kit (00006094)</t>
        </is>
      </c>
      <c r="D1216" s="1" t="n">
        <v>4064941006923</v>
      </c>
      <c r="E1216" t="inlineStr">
        <is>
          <t>KJ MU M LIQ K SET NWMDIN100 POSIE K 23IV</t>
        </is>
      </c>
      <c r="F1216" t="inlineStr">
        <is>
          <t>P_US_FG</t>
        </is>
      </c>
      <c r="G1216" t="inlineStr">
        <is>
          <t>Month-2026.M09.W38</t>
        </is>
      </c>
      <c r="H1216" t="inlineStr">
        <is>
          <t>Reasonability Adjustment</t>
        </is>
      </c>
    </row>
    <row r="1217">
      <c r="A1217" t="inlineStr">
        <is>
          <t>Kylie Makeup</t>
        </is>
      </c>
      <c r="B1217" t="inlineStr">
        <is>
          <t>Lips (01245)</t>
        </is>
      </c>
      <c r="C1217" t="inlineStr">
        <is>
          <t>Kylie Matte Lip Kit (00006094)</t>
        </is>
      </c>
      <c r="D1217" s="1" t="n">
        <v>4064941006923</v>
      </c>
      <c r="E1217" t="inlineStr">
        <is>
          <t>KJ MU M LIQ K SET NWMDIN100 POSIE K 23IV</t>
        </is>
      </c>
      <c r="F1217" t="inlineStr">
        <is>
          <t>P_US_FG</t>
        </is>
      </c>
      <c r="G1217" t="inlineStr">
        <is>
          <t>Month-2026.M09.W38</t>
        </is>
      </c>
      <c r="H1217" t="inlineStr">
        <is>
          <t>Total Demand Assumption</t>
        </is>
      </c>
    </row>
    <row r="1218">
      <c r="A1218" t="inlineStr">
        <is>
          <t>Kylie Makeup</t>
        </is>
      </c>
      <c r="B1218" t="inlineStr">
        <is>
          <t>Lips (01245)</t>
        </is>
      </c>
      <c r="C1218" t="inlineStr">
        <is>
          <t>Kylie Matte Lip Kit (00006094)</t>
        </is>
      </c>
      <c r="D1218" s="1" t="n">
        <v>4064941006923</v>
      </c>
      <c r="E1218" t="inlineStr">
        <is>
          <t>KJ MU M LIQ K SET NWMDIN100 POSIE K 23IV</t>
        </is>
      </c>
      <c r="F1218" t="inlineStr">
        <is>
          <t>P_US_FG</t>
        </is>
      </c>
      <c r="G1218" t="inlineStr">
        <is>
          <t>Month-2026.M09.W38</t>
        </is>
      </c>
      <c r="H1218" t="inlineStr">
        <is>
          <t>Consensus - Final</t>
        </is>
      </c>
      <c r="K1218" t="n">
        <v>0</v>
      </c>
    </row>
    <row r="1219">
      <c r="A1219" t="inlineStr">
        <is>
          <t>Kylie Makeup</t>
        </is>
      </c>
      <c r="B1219" t="inlineStr">
        <is>
          <t>Lips (01245)</t>
        </is>
      </c>
      <c r="C1219" t="inlineStr">
        <is>
          <t>Kylie Matte Lip Kit (00006094)</t>
        </is>
      </c>
      <c r="D1219" s="1" t="n">
        <v>4064941006923</v>
      </c>
      <c r="E1219" t="inlineStr">
        <is>
          <t>KJ MU M LIQ K SET NWMDIN100 POSIE K 23IV</t>
        </is>
      </c>
      <c r="F1219" t="inlineStr">
        <is>
          <t>P_US_FG</t>
        </is>
      </c>
      <c r="G1219" t="inlineStr">
        <is>
          <t>Month-2026.M09.W38</t>
        </is>
      </c>
      <c r="H1219" t="inlineStr">
        <is>
          <t>Supply Cuts</t>
        </is>
      </c>
    </row>
    <row r="1220">
      <c r="A1220" t="inlineStr">
        <is>
          <t>Kylie Makeup</t>
        </is>
      </c>
      <c r="B1220" t="inlineStr">
        <is>
          <t>Lips (01245)</t>
        </is>
      </c>
      <c r="C1220" t="inlineStr">
        <is>
          <t>Kylie Matte Lip Kit (00006094)</t>
        </is>
      </c>
      <c r="D1220" s="1" t="n">
        <v>4064941006923</v>
      </c>
      <c r="E1220" t="inlineStr">
        <is>
          <t>KJ MU M LIQ K SET NWMDIN100 POSIE K 23IV</t>
        </is>
      </c>
      <c r="F1220" t="inlineStr">
        <is>
          <t>P_US_ULTA</t>
        </is>
      </c>
      <c r="G1220" t="inlineStr">
        <is>
          <t>CurrentWorkingView</t>
        </is>
      </c>
      <c r="H1220" t="inlineStr">
        <is>
          <t>Consensus - Final LY M</t>
        </is>
      </c>
      <c r="I1220" t="n">
        <v>3094</v>
      </c>
      <c r="J1220" t="n">
        <v>2341</v>
      </c>
      <c r="K1220" t="n">
        <v>1808</v>
      </c>
      <c r="L1220" t="n">
        <v>3107</v>
      </c>
      <c r="M1220" t="n">
        <v>2022</v>
      </c>
      <c r="N1220" t="n">
        <v>2038</v>
      </c>
      <c r="O1220" t="n">
        <v>3833</v>
      </c>
      <c r="P1220" t="n">
        <v>3040</v>
      </c>
      <c r="Q1220" t="n">
        <v>2986</v>
      </c>
      <c r="R1220" t="n">
        <v>1829</v>
      </c>
      <c r="S1220" t="n">
        <v>3737</v>
      </c>
      <c r="T1220" t="n">
        <v>2348</v>
      </c>
    </row>
    <row r="1221">
      <c r="A1221" t="inlineStr">
        <is>
          <t>Kylie Makeup</t>
        </is>
      </c>
      <c r="B1221" t="inlineStr">
        <is>
          <t>Lips (01245)</t>
        </is>
      </c>
      <c r="C1221" t="inlineStr">
        <is>
          <t>Kylie Matte Lip Kit (00006094)</t>
        </is>
      </c>
      <c r="D1221" s="1" t="n">
        <v>4064941006923</v>
      </c>
      <c r="E1221" t="inlineStr">
        <is>
          <t>KJ MU M LIQ K SET NWMDIN100 POSIE K 23IV</t>
        </is>
      </c>
      <c r="F1221" t="inlineStr">
        <is>
          <t>P_US_ULTA</t>
        </is>
      </c>
      <c r="G1221" t="inlineStr">
        <is>
          <t>CurrentWorkingView</t>
        </is>
      </c>
      <c r="H1221" t="inlineStr">
        <is>
          <t>System FC - Final</t>
        </is>
      </c>
      <c r="I1221" t="n">
        <v>5639</v>
      </c>
      <c r="J1221" t="n">
        <v>4055</v>
      </c>
      <c r="K1221" t="n">
        <v>2430</v>
      </c>
      <c r="L1221" t="n">
        <v>2125</v>
      </c>
      <c r="M1221" t="n">
        <v>2782</v>
      </c>
      <c r="N1221" t="n">
        <v>3720</v>
      </c>
      <c r="O1221" t="n">
        <v>2852</v>
      </c>
      <c r="P1221" t="n">
        <v>3996</v>
      </c>
      <c r="Q1221" t="n">
        <v>3888</v>
      </c>
      <c r="R1221" t="n">
        <v>2455</v>
      </c>
      <c r="S1221" t="n">
        <v>4495</v>
      </c>
      <c r="T1221" t="n">
        <v>3086</v>
      </c>
    </row>
    <row r="1222">
      <c r="A1222" t="inlineStr">
        <is>
          <t>Kylie Makeup</t>
        </is>
      </c>
      <c r="B1222" t="inlineStr">
        <is>
          <t>Lips (01245)</t>
        </is>
      </c>
      <c r="C1222" t="inlineStr">
        <is>
          <t>Kylie Matte Lip Kit (00006094)</t>
        </is>
      </c>
      <c r="D1222" s="1" t="n">
        <v>4064941006923</v>
      </c>
      <c r="E1222" t="inlineStr">
        <is>
          <t>KJ MU M LIQ K SET NWMDIN100 POSIE K 23IV</t>
        </is>
      </c>
      <c r="F1222" t="inlineStr">
        <is>
          <t>P_US_ULTA</t>
        </is>
      </c>
      <c r="G1222" t="inlineStr">
        <is>
          <t>CurrentWorkingView</t>
        </is>
      </c>
      <c r="H1222" t="inlineStr">
        <is>
          <t>EPOS</t>
        </is>
      </c>
      <c r="I1222" t="n">
        <v>1586</v>
      </c>
    </row>
    <row r="1223">
      <c r="A1223" t="inlineStr">
        <is>
          <t>Kylie Makeup</t>
        </is>
      </c>
      <c r="B1223" t="inlineStr">
        <is>
          <t>Lips (01245)</t>
        </is>
      </c>
      <c r="C1223" t="inlineStr">
        <is>
          <t>Kylie Matte Lip Kit (00006094)</t>
        </is>
      </c>
      <c r="D1223" s="1" t="n">
        <v>4064941006923</v>
      </c>
      <c r="E1223" t="inlineStr">
        <is>
          <t>KJ MU M LIQ K SET NWMDIN100 POSIE K 23IV</t>
        </is>
      </c>
      <c r="F1223" t="inlineStr">
        <is>
          <t>P_US_ULTA</t>
        </is>
      </c>
      <c r="G1223" t="inlineStr">
        <is>
          <t>CurrentWorkingView</t>
        </is>
      </c>
      <c r="H1223" t="inlineStr">
        <is>
          <t>Reasonability Adjustment</t>
        </is>
      </c>
      <c r="S1223" t="n">
        <v>-195</v>
      </c>
      <c r="T1223" t="n">
        <v>-502</v>
      </c>
    </row>
    <row r="1224">
      <c r="A1224" t="inlineStr">
        <is>
          <t>Kylie Makeup</t>
        </is>
      </c>
      <c r="B1224" t="inlineStr">
        <is>
          <t>Lips (01245)</t>
        </is>
      </c>
      <c r="C1224" t="inlineStr">
        <is>
          <t>Kylie Matte Lip Kit (00006094)</t>
        </is>
      </c>
      <c r="D1224" s="1" t="n">
        <v>4064941006923</v>
      </c>
      <c r="E1224" t="inlineStr">
        <is>
          <t>KJ MU M LIQ K SET NWMDIN100 POSIE K 23IV</t>
        </is>
      </c>
      <c r="F1224" t="inlineStr">
        <is>
          <t>P_US_ULTA</t>
        </is>
      </c>
      <c r="G1224" t="inlineStr">
        <is>
          <t>CurrentWorkingView</t>
        </is>
      </c>
      <c r="H1224" t="inlineStr">
        <is>
          <t>Total Demand Assumption</t>
        </is>
      </c>
    </row>
    <row r="1225">
      <c r="A1225" t="inlineStr">
        <is>
          <t>Kylie Makeup</t>
        </is>
      </c>
      <c r="B1225" t="inlineStr">
        <is>
          <t>Lips (01245)</t>
        </is>
      </c>
      <c r="C1225" t="inlineStr">
        <is>
          <t>Kylie Matte Lip Kit (00006094)</t>
        </is>
      </c>
      <c r="D1225" s="1" t="n">
        <v>4064941006923</v>
      </c>
      <c r="E1225" t="inlineStr">
        <is>
          <t>KJ MU M LIQ K SET NWMDIN100 POSIE K 23IV</t>
        </is>
      </c>
      <c r="F1225" t="inlineStr">
        <is>
          <t>P_US_ULTA</t>
        </is>
      </c>
      <c r="G1225" t="inlineStr">
        <is>
          <t>CurrentWorkingView</t>
        </is>
      </c>
      <c r="H1225" t="inlineStr">
        <is>
          <t>Consensus - Final</t>
        </is>
      </c>
      <c r="I1225" t="n">
        <v>5639</v>
      </c>
      <c r="J1225" t="n">
        <v>4055</v>
      </c>
      <c r="K1225" t="n">
        <v>2404.78336980306</v>
      </c>
      <c r="L1225" t="n">
        <v>2125</v>
      </c>
      <c r="M1225" t="n">
        <v>2782</v>
      </c>
      <c r="N1225" t="n">
        <v>3720</v>
      </c>
      <c r="O1225" t="n">
        <v>2852</v>
      </c>
      <c r="P1225" t="n">
        <v>3996</v>
      </c>
      <c r="Q1225" t="n">
        <v>3888</v>
      </c>
      <c r="R1225" t="n">
        <v>2455</v>
      </c>
      <c r="S1225" t="n">
        <v>4300</v>
      </c>
      <c r="T1225" t="n">
        <v>2584</v>
      </c>
    </row>
    <row r="1226">
      <c r="A1226" t="inlineStr">
        <is>
          <t>Kylie Makeup</t>
        </is>
      </c>
      <c r="B1226" t="inlineStr">
        <is>
          <t>Lips (01245)</t>
        </is>
      </c>
      <c r="C1226" t="inlineStr">
        <is>
          <t>Kylie Matte Lip Kit (00006094)</t>
        </is>
      </c>
      <c r="D1226" s="1" t="n">
        <v>4064941006923</v>
      </c>
      <c r="E1226" t="inlineStr">
        <is>
          <t>KJ MU M LIQ K SET NWMDIN100 POSIE K 23IV</t>
        </is>
      </c>
      <c r="F1226" t="inlineStr">
        <is>
          <t>P_US_ULTA</t>
        </is>
      </c>
      <c r="G1226" t="inlineStr">
        <is>
          <t>CurrentWorkingView</t>
        </is>
      </c>
      <c r="H1226" t="inlineStr">
        <is>
          <t>Supply Cuts</t>
        </is>
      </c>
    </row>
    <row r="1227">
      <c r="A1227" t="inlineStr">
        <is>
          <t>Kylie Makeup</t>
        </is>
      </c>
      <c r="B1227" t="inlineStr">
        <is>
          <t>Lips (01245)</t>
        </is>
      </c>
      <c r="C1227" t="inlineStr">
        <is>
          <t>Kylie Matte Lip Kit (00006094)</t>
        </is>
      </c>
      <c r="D1227" s="1" t="n">
        <v>4064941006923</v>
      </c>
      <c r="E1227" t="inlineStr">
        <is>
          <t>KJ MU M LIQ K SET NWMDIN100 POSIE K 23IV</t>
        </is>
      </c>
      <c r="F1227" t="inlineStr">
        <is>
          <t>P_US_ULTA</t>
        </is>
      </c>
      <c r="G1227" t="inlineStr">
        <is>
          <t>Month-2026.M09.W38</t>
        </is>
      </c>
      <c r="H1227" t="inlineStr">
        <is>
          <t>Consensus - Final LY M</t>
        </is>
      </c>
      <c r="I1227" t="n">
        <v>3094</v>
      </c>
      <c r="J1227" t="n">
        <v>2341</v>
      </c>
      <c r="K1227" t="n">
        <v>1808</v>
      </c>
      <c r="L1227" t="n">
        <v>3107</v>
      </c>
      <c r="M1227" t="n">
        <v>2022</v>
      </c>
      <c r="N1227" t="n">
        <v>2038</v>
      </c>
      <c r="O1227" t="n">
        <v>3833</v>
      </c>
      <c r="P1227" t="n">
        <v>3040</v>
      </c>
      <c r="Q1227" t="n">
        <v>2986</v>
      </c>
      <c r="R1227" t="n">
        <v>1829</v>
      </c>
      <c r="S1227" t="n">
        <v>3737</v>
      </c>
      <c r="T1227" t="n">
        <v>2348</v>
      </c>
    </row>
    <row r="1228">
      <c r="A1228" t="inlineStr">
        <is>
          <t>Kylie Makeup</t>
        </is>
      </c>
      <c r="B1228" t="inlineStr">
        <is>
          <t>Lips (01245)</t>
        </is>
      </c>
      <c r="C1228" t="inlineStr">
        <is>
          <t>Kylie Matte Lip Kit (00006094)</t>
        </is>
      </c>
      <c r="D1228" s="1" t="n">
        <v>4064941006923</v>
      </c>
      <c r="E1228" t="inlineStr">
        <is>
          <t>KJ MU M LIQ K SET NWMDIN100 POSIE K 23IV</t>
        </is>
      </c>
      <c r="F1228" t="inlineStr">
        <is>
          <t>P_US_ULTA</t>
        </is>
      </c>
      <c r="G1228" t="inlineStr">
        <is>
          <t>Month-2026.M09.W38</t>
        </is>
      </c>
      <c r="H1228" t="inlineStr">
        <is>
          <t>System FC - Final</t>
        </is>
      </c>
      <c r="I1228" t="n">
        <v>5639</v>
      </c>
      <c r="J1228" t="n">
        <v>4055</v>
      </c>
      <c r="K1228" t="n">
        <v>2691</v>
      </c>
      <c r="L1228" t="n">
        <v>3348</v>
      </c>
      <c r="M1228" t="n">
        <v>1582</v>
      </c>
      <c r="N1228" t="n">
        <v>2471</v>
      </c>
      <c r="O1228" t="n">
        <v>3729</v>
      </c>
      <c r="P1228" t="n">
        <v>3956</v>
      </c>
      <c r="Q1228" t="n">
        <v>2777</v>
      </c>
      <c r="R1228" t="n">
        <v>1534</v>
      </c>
      <c r="S1228" t="n">
        <v>3946</v>
      </c>
      <c r="T1228" t="n">
        <v>2743</v>
      </c>
    </row>
    <row r="1229">
      <c r="A1229" t="inlineStr">
        <is>
          <t>Kylie Makeup</t>
        </is>
      </c>
      <c r="B1229" t="inlineStr">
        <is>
          <t>Lips (01245)</t>
        </is>
      </c>
      <c r="C1229" t="inlineStr">
        <is>
          <t>Kylie Matte Lip Kit (00006094)</t>
        </is>
      </c>
      <c r="D1229" s="1" t="n">
        <v>4064941006923</v>
      </c>
      <c r="E1229" t="inlineStr">
        <is>
          <t>KJ MU M LIQ K SET NWMDIN100 POSIE K 23IV</t>
        </is>
      </c>
      <c r="F1229" t="inlineStr">
        <is>
          <t>P_US_ULTA</t>
        </is>
      </c>
      <c r="G1229" t="inlineStr">
        <is>
          <t>Month-2026.M09.W38</t>
        </is>
      </c>
      <c r="H1229" t="inlineStr">
        <is>
          <t>EPOS</t>
        </is>
      </c>
      <c r="I1229" t="n">
        <v>1586</v>
      </c>
    </row>
    <row r="1230">
      <c r="A1230" t="inlineStr">
        <is>
          <t>Kylie Makeup</t>
        </is>
      </c>
      <c r="B1230" t="inlineStr">
        <is>
          <t>Lips (01245)</t>
        </is>
      </c>
      <c r="C1230" t="inlineStr">
        <is>
          <t>Kylie Matte Lip Kit (00006094)</t>
        </is>
      </c>
      <c r="D1230" s="1" t="n">
        <v>4064941006923</v>
      </c>
      <c r="E1230" t="inlineStr">
        <is>
          <t>KJ MU M LIQ K SET NWMDIN100 POSIE K 23IV</t>
        </is>
      </c>
      <c r="F1230" t="inlineStr">
        <is>
          <t>P_US_ULTA</t>
        </is>
      </c>
      <c r="G1230" t="inlineStr">
        <is>
          <t>Month-2026.M09.W38</t>
        </is>
      </c>
      <c r="H1230" t="inlineStr">
        <is>
          <t>Reasonability Adjustment</t>
        </is>
      </c>
      <c r="S1230" t="n">
        <v>-195</v>
      </c>
      <c r="T1230" t="n">
        <v>-502</v>
      </c>
    </row>
    <row r="1231">
      <c r="A1231" t="inlineStr">
        <is>
          <t>Kylie Makeup</t>
        </is>
      </c>
      <c r="B1231" t="inlineStr">
        <is>
          <t>Lips (01245)</t>
        </is>
      </c>
      <c r="C1231" t="inlineStr">
        <is>
          <t>Kylie Matte Lip Kit (00006094)</t>
        </is>
      </c>
      <c r="D1231" s="1" t="n">
        <v>4064941006923</v>
      </c>
      <c r="E1231" t="inlineStr">
        <is>
          <t>KJ MU M LIQ K SET NWMDIN100 POSIE K 23IV</t>
        </is>
      </c>
      <c r="F1231" t="inlineStr">
        <is>
          <t>P_US_ULTA</t>
        </is>
      </c>
      <c r="G1231" t="inlineStr">
        <is>
          <t>Month-2026.M09.W38</t>
        </is>
      </c>
      <c r="H1231" t="inlineStr">
        <is>
          <t>Total Demand Assumption</t>
        </is>
      </c>
    </row>
    <row r="1232">
      <c r="A1232" t="inlineStr">
        <is>
          <t>Kylie Makeup</t>
        </is>
      </c>
      <c r="B1232" t="inlineStr">
        <is>
          <t>Lips (01245)</t>
        </is>
      </c>
      <c r="C1232" t="inlineStr">
        <is>
          <t>Kylie Matte Lip Kit (00006094)</t>
        </is>
      </c>
      <c r="D1232" s="1" t="n">
        <v>4064941006923</v>
      </c>
      <c r="E1232" t="inlineStr">
        <is>
          <t>KJ MU M LIQ K SET NWMDIN100 POSIE K 23IV</t>
        </is>
      </c>
      <c r="F1232" t="inlineStr">
        <is>
          <t>P_US_ULTA</t>
        </is>
      </c>
      <c r="G1232" t="inlineStr">
        <is>
          <t>Month-2026.M09.W38</t>
        </is>
      </c>
      <c r="H1232" t="inlineStr">
        <is>
          <t>Consensus - Final</t>
        </is>
      </c>
      <c r="I1232" t="n">
        <v>5639</v>
      </c>
      <c r="J1232" t="n">
        <v>4055</v>
      </c>
      <c r="K1232" t="n">
        <v>2404.78336980306</v>
      </c>
      <c r="L1232" t="n">
        <v>3348</v>
      </c>
      <c r="M1232" t="n">
        <v>1582</v>
      </c>
      <c r="N1232" t="n">
        <v>2471</v>
      </c>
      <c r="O1232" t="n">
        <v>3729</v>
      </c>
      <c r="P1232" t="n">
        <v>3956</v>
      </c>
      <c r="Q1232" t="n">
        <v>2777</v>
      </c>
      <c r="R1232" t="n">
        <v>1534</v>
      </c>
      <c r="S1232" t="n">
        <v>3751</v>
      </c>
      <c r="T1232" t="n">
        <v>2241</v>
      </c>
    </row>
    <row r="1233">
      <c r="A1233" t="inlineStr">
        <is>
          <t>Kylie Makeup</t>
        </is>
      </c>
      <c r="B1233" t="inlineStr">
        <is>
          <t>Lips (01245)</t>
        </is>
      </c>
      <c r="C1233" t="inlineStr">
        <is>
          <t>Kylie Matte Lip Kit (00006094)</t>
        </is>
      </c>
      <c r="D1233" s="1" t="n">
        <v>4064941006923</v>
      </c>
      <c r="E1233" t="inlineStr">
        <is>
          <t>KJ MU M LIQ K SET NWMDIN100 POSIE K 23IV</t>
        </is>
      </c>
      <c r="F1233" t="inlineStr">
        <is>
          <t>P_US_ULTA</t>
        </is>
      </c>
      <c r="G1233" t="inlineStr">
        <is>
          <t>Month-2026.M09.W38</t>
        </is>
      </c>
      <c r="H1233" t="inlineStr">
        <is>
          <t>Supply Cuts</t>
        </is>
      </c>
    </row>
    <row r="1234">
      <c r="A1234" t="inlineStr">
        <is>
          <t>Kylie Makeup</t>
        </is>
      </c>
      <c r="B1234" t="inlineStr">
        <is>
          <t>Lips (01245)</t>
        </is>
      </c>
      <c r="C1234" t="inlineStr">
        <is>
          <t>Kylie Velvet Lip Kit (00006095)</t>
        </is>
      </c>
      <c r="D1234" s="1" t="n">
        <v>4064941006985</v>
      </c>
      <c r="E1234" t="inlineStr">
        <is>
          <t>KJ MU V LIQ K MLTLPK 3ML 1.1G CHARM IV</t>
        </is>
      </c>
      <c r="F1234" t="inlineStr">
        <is>
          <t>P_US_ALL_OTHERS</t>
        </is>
      </c>
      <c r="G1234" t="inlineStr">
        <is>
          <t>CurrentWorkingView</t>
        </is>
      </c>
      <c r="H1234" t="inlineStr">
        <is>
          <t>Consensus - Final LY M</t>
        </is>
      </c>
      <c r="I1234" t="n">
        <v>74</v>
      </c>
      <c r="J1234" t="n">
        <v>189</v>
      </c>
      <c r="K1234" t="n">
        <v>219</v>
      </c>
      <c r="L1234" t="n">
        <v>112</v>
      </c>
      <c r="M1234" t="n">
        <v>87</v>
      </c>
      <c r="N1234" t="n">
        <v>111</v>
      </c>
      <c r="O1234" t="n">
        <v>112</v>
      </c>
      <c r="P1234" t="n">
        <v>222</v>
      </c>
      <c r="Q1234" t="n">
        <v>107</v>
      </c>
      <c r="R1234" t="n">
        <v>123</v>
      </c>
      <c r="S1234" t="n">
        <v>91</v>
      </c>
      <c r="T1234" t="n">
        <v>67</v>
      </c>
    </row>
    <row r="1235">
      <c r="A1235" t="inlineStr">
        <is>
          <t>Kylie Makeup</t>
        </is>
      </c>
      <c r="B1235" t="inlineStr">
        <is>
          <t>Lips (01245)</t>
        </is>
      </c>
      <c r="C1235" t="inlineStr">
        <is>
          <t>Kylie Velvet Lip Kit (00006095)</t>
        </is>
      </c>
      <c r="D1235" s="1" t="n">
        <v>4064941006985</v>
      </c>
      <c r="E1235" t="inlineStr">
        <is>
          <t>KJ MU V LIQ K MLTLPK 3ML 1.1G CHARM IV</t>
        </is>
      </c>
      <c r="F1235" t="inlineStr">
        <is>
          <t>P_US_ALL_OTHERS</t>
        </is>
      </c>
      <c r="G1235" t="inlineStr">
        <is>
          <t>CurrentWorkingView</t>
        </is>
      </c>
      <c r="H1235" t="inlineStr">
        <is>
          <t>System FC - Final</t>
        </is>
      </c>
      <c r="I1235" t="n">
        <v>102</v>
      </c>
      <c r="J1235" t="n">
        <v>173</v>
      </c>
      <c r="K1235" t="n">
        <v>274</v>
      </c>
      <c r="L1235" t="n">
        <v>181</v>
      </c>
      <c r="M1235" t="n">
        <v>133</v>
      </c>
      <c r="N1235" t="n">
        <v>133</v>
      </c>
      <c r="O1235" t="n">
        <v>142</v>
      </c>
      <c r="P1235" t="n">
        <v>224</v>
      </c>
      <c r="Q1235" t="n">
        <v>190</v>
      </c>
      <c r="R1235" t="n">
        <v>133</v>
      </c>
      <c r="S1235" t="n">
        <v>159</v>
      </c>
      <c r="T1235" t="n">
        <v>129</v>
      </c>
    </row>
    <row r="1236">
      <c r="A1236" t="inlineStr">
        <is>
          <t>Kylie Makeup</t>
        </is>
      </c>
      <c r="B1236" t="inlineStr">
        <is>
          <t>Lips (01245)</t>
        </is>
      </c>
      <c r="C1236" t="inlineStr">
        <is>
          <t>Kylie Velvet Lip Kit (00006095)</t>
        </is>
      </c>
      <c r="D1236" s="1" t="n">
        <v>4064941006985</v>
      </c>
      <c r="E1236" t="inlineStr">
        <is>
          <t>KJ MU V LIQ K MLTLPK 3ML 1.1G CHARM IV</t>
        </is>
      </c>
      <c r="F1236" t="inlineStr">
        <is>
          <t>P_US_ALL_OTHERS</t>
        </is>
      </c>
      <c r="G1236" t="inlineStr">
        <is>
          <t>CurrentWorkingView</t>
        </is>
      </c>
      <c r="H1236" t="inlineStr">
        <is>
          <t>EPOS</t>
        </is>
      </c>
      <c r="I1236" t="n">
        <v>93</v>
      </c>
    </row>
    <row r="1237">
      <c r="A1237" t="inlineStr">
        <is>
          <t>Kylie Makeup</t>
        </is>
      </c>
      <c r="B1237" t="inlineStr">
        <is>
          <t>Lips (01245)</t>
        </is>
      </c>
      <c r="C1237" t="inlineStr">
        <is>
          <t>Kylie Velvet Lip Kit (00006095)</t>
        </is>
      </c>
      <c r="D1237" s="1" t="n">
        <v>4064941006985</v>
      </c>
      <c r="E1237" t="inlineStr">
        <is>
          <t>KJ MU V LIQ K MLTLPK 3ML 1.1G CHARM IV</t>
        </is>
      </c>
      <c r="F1237" t="inlineStr">
        <is>
          <t>P_US_ALL_OTHERS</t>
        </is>
      </c>
      <c r="G1237" t="inlineStr">
        <is>
          <t>CurrentWorkingView</t>
        </is>
      </c>
      <c r="H1237" t="inlineStr">
        <is>
          <t>Reasonability Adjustment</t>
        </is>
      </c>
      <c r="T1237" t="n">
        <v>-19</v>
      </c>
    </row>
    <row r="1238">
      <c r="A1238" t="inlineStr">
        <is>
          <t>Kylie Makeup</t>
        </is>
      </c>
      <c r="B1238" t="inlineStr">
        <is>
          <t>Lips (01245)</t>
        </is>
      </c>
      <c r="C1238" t="inlineStr">
        <is>
          <t>Kylie Velvet Lip Kit (00006095)</t>
        </is>
      </c>
      <c r="D1238" s="1" t="n">
        <v>4064941006985</v>
      </c>
      <c r="E1238" t="inlineStr">
        <is>
          <t>KJ MU V LIQ K MLTLPK 3ML 1.1G CHARM IV</t>
        </is>
      </c>
      <c r="F1238" t="inlineStr">
        <is>
          <t>P_US_ALL_OTHERS</t>
        </is>
      </c>
      <c r="G1238" t="inlineStr">
        <is>
          <t>CurrentWorkingView</t>
        </is>
      </c>
      <c r="H1238" t="inlineStr">
        <is>
          <t>Total Demand Assumption</t>
        </is>
      </c>
    </row>
    <row r="1239">
      <c r="A1239" t="inlineStr">
        <is>
          <t>Kylie Makeup</t>
        </is>
      </c>
      <c r="B1239" t="inlineStr">
        <is>
          <t>Lips (01245)</t>
        </is>
      </c>
      <c r="C1239" t="inlineStr">
        <is>
          <t>Kylie Velvet Lip Kit (00006095)</t>
        </is>
      </c>
      <c r="D1239" s="1" t="n">
        <v>4064941006985</v>
      </c>
      <c r="E1239" t="inlineStr">
        <is>
          <t>KJ MU V LIQ K MLTLPK 3ML 1.1G CHARM IV</t>
        </is>
      </c>
      <c r="F1239" t="inlineStr">
        <is>
          <t>P_US_ALL_OTHERS</t>
        </is>
      </c>
      <c r="G1239" t="inlineStr">
        <is>
          <t>CurrentWorkingView</t>
        </is>
      </c>
      <c r="H1239" t="inlineStr">
        <is>
          <t>Consensus - Final</t>
        </is>
      </c>
      <c r="I1239" t="n">
        <v>102</v>
      </c>
      <c r="J1239" t="n">
        <v>173</v>
      </c>
      <c r="K1239" t="n">
        <v>201</v>
      </c>
      <c r="L1239" t="n">
        <v>181</v>
      </c>
      <c r="M1239" t="n">
        <v>133</v>
      </c>
      <c r="N1239" t="n">
        <v>133</v>
      </c>
      <c r="O1239" t="n">
        <v>142</v>
      </c>
      <c r="P1239" t="n">
        <v>224</v>
      </c>
      <c r="Q1239" t="n">
        <v>190</v>
      </c>
      <c r="R1239" t="n">
        <v>133</v>
      </c>
      <c r="S1239" t="n">
        <v>159</v>
      </c>
      <c r="T1239" t="n">
        <v>110</v>
      </c>
    </row>
    <row r="1240">
      <c r="A1240" t="inlineStr">
        <is>
          <t>Kylie Makeup</t>
        </is>
      </c>
      <c r="B1240" t="inlineStr">
        <is>
          <t>Lips (01245)</t>
        </is>
      </c>
      <c r="C1240" t="inlineStr">
        <is>
          <t>Kylie Velvet Lip Kit (00006095)</t>
        </is>
      </c>
      <c r="D1240" s="1" t="n">
        <v>4064941006985</v>
      </c>
      <c r="E1240" t="inlineStr">
        <is>
          <t>KJ MU V LIQ K MLTLPK 3ML 1.1G CHARM IV</t>
        </is>
      </c>
      <c r="F1240" t="inlineStr">
        <is>
          <t>P_US_ALL_OTHERS</t>
        </is>
      </c>
      <c r="G1240" t="inlineStr">
        <is>
          <t>CurrentWorkingView</t>
        </is>
      </c>
      <c r="H1240" t="inlineStr">
        <is>
          <t>Supply Cuts</t>
        </is>
      </c>
    </row>
    <row r="1241">
      <c r="A1241" t="inlineStr">
        <is>
          <t>Kylie Makeup</t>
        </is>
      </c>
      <c r="B1241" t="inlineStr">
        <is>
          <t>Lips (01245)</t>
        </is>
      </c>
      <c r="C1241" t="inlineStr">
        <is>
          <t>Kylie Velvet Lip Kit (00006095)</t>
        </is>
      </c>
      <c r="D1241" s="1" t="n">
        <v>4064941006985</v>
      </c>
      <c r="E1241" t="inlineStr">
        <is>
          <t>KJ MU V LIQ K MLTLPK 3ML 1.1G CHARM IV</t>
        </is>
      </c>
      <c r="F1241" t="inlineStr">
        <is>
          <t>P_US_ALL_OTHERS</t>
        </is>
      </c>
      <c r="G1241" t="inlineStr">
        <is>
          <t>Month-2026.M09.W38</t>
        </is>
      </c>
      <c r="H1241" t="inlineStr">
        <is>
          <t>Consensus - Final LY M</t>
        </is>
      </c>
      <c r="I1241" t="n">
        <v>74</v>
      </c>
      <c r="J1241" t="n">
        <v>189</v>
      </c>
      <c r="K1241" t="n">
        <v>219</v>
      </c>
      <c r="L1241" t="n">
        <v>112</v>
      </c>
      <c r="M1241" t="n">
        <v>87</v>
      </c>
      <c r="N1241" t="n">
        <v>111</v>
      </c>
      <c r="O1241" t="n">
        <v>112</v>
      </c>
      <c r="P1241" t="n">
        <v>222</v>
      </c>
      <c r="Q1241" t="n">
        <v>107</v>
      </c>
      <c r="R1241" t="n">
        <v>123</v>
      </c>
      <c r="S1241" t="n">
        <v>91</v>
      </c>
      <c r="T1241" t="n">
        <v>67</v>
      </c>
    </row>
    <row r="1242">
      <c r="A1242" t="inlineStr">
        <is>
          <t>Kylie Makeup</t>
        </is>
      </c>
      <c r="B1242" t="inlineStr">
        <is>
          <t>Lips (01245)</t>
        </is>
      </c>
      <c r="C1242" t="inlineStr">
        <is>
          <t>Kylie Velvet Lip Kit (00006095)</t>
        </is>
      </c>
      <c r="D1242" s="1" t="n">
        <v>4064941006985</v>
      </c>
      <c r="E1242" t="inlineStr">
        <is>
          <t>KJ MU V LIQ K MLTLPK 3ML 1.1G CHARM IV</t>
        </is>
      </c>
      <c r="F1242" t="inlineStr">
        <is>
          <t>P_US_ALL_OTHERS</t>
        </is>
      </c>
      <c r="G1242" t="inlineStr">
        <is>
          <t>Month-2026.M09.W38</t>
        </is>
      </c>
      <c r="H1242" t="inlineStr">
        <is>
          <t>System FC - Final</t>
        </is>
      </c>
      <c r="I1242" t="n">
        <v>102</v>
      </c>
      <c r="J1242" t="n">
        <v>173</v>
      </c>
      <c r="K1242" t="n">
        <v>269</v>
      </c>
      <c r="L1242" t="n">
        <v>115</v>
      </c>
      <c r="M1242" t="n">
        <v>128</v>
      </c>
      <c r="N1242" t="n">
        <v>133</v>
      </c>
      <c r="O1242" t="n">
        <v>111</v>
      </c>
      <c r="P1242" t="n">
        <v>180</v>
      </c>
      <c r="Q1242" t="n">
        <v>97</v>
      </c>
      <c r="R1242" t="n">
        <v>111</v>
      </c>
      <c r="S1242" t="n">
        <v>142</v>
      </c>
      <c r="T1242" t="n">
        <v>111</v>
      </c>
    </row>
    <row r="1243">
      <c r="A1243" t="inlineStr">
        <is>
          <t>Kylie Makeup</t>
        </is>
      </c>
      <c r="B1243" t="inlineStr">
        <is>
          <t>Lips (01245)</t>
        </is>
      </c>
      <c r="C1243" t="inlineStr">
        <is>
          <t>Kylie Velvet Lip Kit (00006095)</t>
        </is>
      </c>
      <c r="D1243" s="1" t="n">
        <v>4064941006985</v>
      </c>
      <c r="E1243" t="inlineStr">
        <is>
          <t>KJ MU V LIQ K MLTLPK 3ML 1.1G CHARM IV</t>
        </is>
      </c>
      <c r="F1243" t="inlineStr">
        <is>
          <t>P_US_ALL_OTHERS</t>
        </is>
      </c>
      <c r="G1243" t="inlineStr">
        <is>
          <t>Month-2026.M09.W38</t>
        </is>
      </c>
      <c r="H1243" t="inlineStr">
        <is>
          <t>EPOS</t>
        </is>
      </c>
      <c r="I1243" t="n">
        <v>93</v>
      </c>
    </row>
    <row r="1244">
      <c r="A1244" t="inlineStr">
        <is>
          <t>Kylie Makeup</t>
        </is>
      </c>
      <c r="B1244" t="inlineStr">
        <is>
          <t>Lips (01245)</t>
        </is>
      </c>
      <c r="C1244" t="inlineStr">
        <is>
          <t>Kylie Velvet Lip Kit (00006095)</t>
        </is>
      </c>
      <c r="D1244" s="1" t="n">
        <v>4064941006985</v>
      </c>
      <c r="E1244" t="inlineStr">
        <is>
          <t>KJ MU V LIQ K MLTLPK 3ML 1.1G CHARM IV</t>
        </is>
      </c>
      <c r="F1244" t="inlineStr">
        <is>
          <t>P_US_ALL_OTHERS</t>
        </is>
      </c>
      <c r="G1244" t="inlineStr">
        <is>
          <t>Month-2026.M09.W38</t>
        </is>
      </c>
      <c r="H1244" t="inlineStr">
        <is>
          <t>Reasonability Adjustment</t>
        </is>
      </c>
      <c r="T1244" t="n">
        <v>-19</v>
      </c>
    </row>
    <row r="1245">
      <c r="A1245" t="inlineStr">
        <is>
          <t>Kylie Makeup</t>
        </is>
      </c>
      <c r="B1245" t="inlineStr">
        <is>
          <t>Lips (01245)</t>
        </is>
      </c>
      <c r="C1245" t="inlineStr">
        <is>
          <t>Kylie Velvet Lip Kit (00006095)</t>
        </is>
      </c>
      <c r="D1245" s="1" t="n">
        <v>4064941006985</v>
      </c>
      <c r="E1245" t="inlineStr">
        <is>
          <t>KJ MU V LIQ K MLTLPK 3ML 1.1G CHARM IV</t>
        </is>
      </c>
      <c r="F1245" t="inlineStr">
        <is>
          <t>P_US_ALL_OTHERS</t>
        </is>
      </c>
      <c r="G1245" t="inlineStr">
        <is>
          <t>Month-2026.M09.W38</t>
        </is>
      </c>
      <c r="H1245" t="inlineStr">
        <is>
          <t>Total Demand Assumption</t>
        </is>
      </c>
    </row>
    <row r="1246">
      <c r="A1246" t="inlineStr">
        <is>
          <t>Kylie Makeup</t>
        </is>
      </c>
      <c r="B1246" t="inlineStr">
        <is>
          <t>Lips (01245)</t>
        </is>
      </c>
      <c r="C1246" t="inlineStr">
        <is>
          <t>Kylie Velvet Lip Kit (00006095)</t>
        </is>
      </c>
      <c r="D1246" s="1" t="n">
        <v>4064941006985</v>
      </c>
      <c r="E1246" t="inlineStr">
        <is>
          <t>KJ MU V LIQ K MLTLPK 3ML 1.1G CHARM IV</t>
        </is>
      </c>
      <c r="F1246" t="inlineStr">
        <is>
          <t>P_US_ALL_OTHERS</t>
        </is>
      </c>
      <c r="G1246" t="inlineStr">
        <is>
          <t>Month-2026.M09.W38</t>
        </is>
      </c>
      <c r="H1246" t="inlineStr">
        <is>
          <t>Consensus - Final</t>
        </is>
      </c>
      <c r="I1246" t="n">
        <v>102</v>
      </c>
      <c r="J1246" t="n">
        <v>173</v>
      </c>
      <c r="K1246" t="n">
        <v>162</v>
      </c>
      <c r="L1246" t="n">
        <v>115</v>
      </c>
      <c r="M1246" t="n">
        <v>128</v>
      </c>
      <c r="N1246" t="n">
        <v>133</v>
      </c>
      <c r="O1246" t="n">
        <v>111</v>
      </c>
      <c r="P1246" t="n">
        <v>180</v>
      </c>
      <c r="Q1246" t="n">
        <v>97</v>
      </c>
      <c r="R1246" t="n">
        <v>111</v>
      </c>
      <c r="S1246" t="n">
        <v>142</v>
      </c>
      <c r="T1246" t="n">
        <v>92</v>
      </c>
    </row>
    <row r="1247">
      <c r="A1247" t="inlineStr">
        <is>
          <t>Kylie Makeup</t>
        </is>
      </c>
      <c r="B1247" t="inlineStr">
        <is>
          <t>Lips (01245)</t>
        </is>
      </c>
      <c r="C1247" t="inlineStr">
        <is>
          <t>Kylie Velvet Lip Kit (00006095)</t>
        </is>
      </c>
      <c r="D1247" s="1" t="n">
        <v>4064941006985</v>
      </c>
      <c r="E1247" t="inlineStr">
        <is>
          <t>KJ MU V LIQ K MLTLPK 3ML 1.1G CHARM IV</t>
        </is>
      </c>
      <c r="F1247" t="inlineStr">
        <is>
          <t>P_US_ALL_OTHERS</t>
        </is>
      </c>
      <c r="G1247" t="inlineStr">
        <is>
          <t>Month-2026.M09.W38</t>
        </is>
      </c>
      <c r="H1247" t="inlineStr">
        <is>
          <t>Supply Cuts</t>
        </is>
      </c>
    </row>
    <row r="1248">
      <c r="A1248" t="inlineStr">
        <is>
          <t>Kylie Makeup</t>
        </is>
      </c>
      <c r="B1248" t="inlineStr">
        <is>
          <t>Lips (01245)</t>
        </is>
      </c>
      <c r="C1248" t="inlineStr">
        <is>
          <t>Kylie Velvet Lip Kit (00006095)</t>
        </is>
      </c>
      <c r="D1248" s="1" t="n">
        <v>4064941006985</v>
      </c>
      <c r="E1248" t="inlineStr">
        <is>
          <t>KJ MU V LIQ K MLTLPK 3ML 1.1G CHARM IV</t>
        </is>
      </c>
      <c r="F1248" t="inlineStr">
        <is>
          <t>P_US_FG</t>
        </is>
      </c>
      <c r="G1248" t="inlineStr">
        <is>
          <t>CurrentWorkingView</t>
        </is>
      </c>
      <c r="H1248" t="inlineStr">
        <is>
          <t>Consensus - Final LY M</t>
        </is>
      </c>
      <c r="L1248" t="n">
        <v>1</v>
      </c>
      <c r="Q1248" t="n">
        <v>36</v>
      </c>
    </row>
    <row r="1249">
      <c r="A1249" t="inlineStr">
        <is>
          <t>Kylie Makeup</t>
        </is>
      </c>
      <c r="B1249" t="inlineStr">
        <is>
          <t>Lips (01245)</t>
        </is>
      </c>
      <c r="C1249" t="inlineStr">
        <is>
          <t>Kylie Velvet Lip Kit (00006095)</t>
        </is>
      </c>
      <c r="D1249" s="1" t="n">
        <v>4064941006985</v>
      </c>
      <c r="E1249" t="inlineStr">
        <is>
          <t>KJ MU V LIQ K MLTLPK 3ML 1.1G CHARM IV</t>
        </is>
      </c>
      <c r="F1249" t="inlineStr">
        <is>
          <t>P_US_FG</t>
        </is>
      </c>
      <c r="G1249" t="inlineStr">
        <is>
          <t>CurrentWorkingView</t>
        </is>
      </c>
      <c r="H1249" t="inlineStr">
        <is>
          <t>System FC - Final</t>
        </is>
      </c>
      <c r="K1249" t="n">
        <v>2</v>
      </c>
      <c r="L1249" t="n">
        <v>0</v>
      </c>
      <c r="M1249" t="n">
        <v>0</v>
      </c>
      <c r="N1249" t="n">
        <v>4</v>
      </c>
      <c r="O1249" t="n">
        <v>0</v>
      </c>
      <c r="P1249" t="n">
        <v>0</v>
      </c>
      <c r="Q1249" t="n">
        <v>5</v>
      </c>
      <c r="R1249" t="n">
        <v>0</v>
      </c>
      <c r="S1249" t="n">
        <v>0</v>
      </c>
      <c r="T1249" t="n">
        <v>0</v>
      </c>
    </row>
    <row r="1250">
      <c r="A1250" t="inlineStr">
        <is>
          <t>Kylie Makeup</t>
        </is>
      </c>
      <c r="B1250" t="inlineStr">
        <is>
          <t>Lips (01245)</t>
        </is>
      </c>
      <c r="C1250" t="inlineStr">
        <is>
          <t>Kylie Velvet Lip Kit (00006095)</t>
        </is>
      </c>
      <c r="D1250" s="1" t="n">
        <v>4064941006985</v>
      </c>
      <c r="E1250" t="inlineStr">
        <is>
          <t>KJ MU V LIQ K MLTLPK 3ML 1.1G CHARM IV</t>
        </is>
      </c>
      <c r="F1250" t="inlineStr">
        <is>
          <t>P_US_FG</t>
        </is>
      </c>
      <c r="G1250" t="inlineStr">
        <is>
          <t>CurrentWorkingView</t>
        </is>
      </c>
      <c r="H1250" t="inlineStr">
        <is>
          <t>EPOS</t>
        </is>
      </c>
    </row>
    <row r="1251">
      <c r="A1251" t="inlineStr">
        <is>
          <t>Kylie Makeup</t>
        </is>
      </c>
      <c r="B1251" t="inlineStr">
        <is>
          <t>Lips (01245)</t>
        </is>
      </c>
      <c r="C1251" t="inlineStr">
        <is>
          <t>Kylie Velvet Lip Kit (00006095)</t>
        </is>
      </c>
      <c r="D1251" s="1" t="n">
        <v>4064941006985</v>
      </c>
      <c r="E1251" t="inlineStr">
        <is>
          <t>KJ MU V LIQ K MLTLPK 3ML 1.1G CHARM IV</t>
        </is>
      </c>
      <c r="F1251" t="inlineStr">
        <is>
          <t>P_US_FG</t>
        </is>
      </c>
      <c r="G1251" t="inlineStr">
        <is>
          <t>CurrentWorkingView</t>
        </is>
      </c>
      <c r="H1251" t="inlineStr">
        <is>
          <t>Reasonability Adjustment</t>
        </is>
      </c>
    </row>
    <row r="1252">
      <c r="A1252" t="inlineStr">
        <is>
          <t>Kylie Makeup</t>
        </is>
      </c>
      <c r="B1252" t="inlineStr">
        <is>
          <t>Lips (01245)</t>
        </is>
      </c>
      <c r="C1252" t="inlineStr">
        <is>
          <t>Kylie Velvet Lip Kit (00006095)</t>
        </is>
      </c>
      <c r="D1252" s="1" t="n">
        <v>4064941006985</v>
      </c>
      <c r="E1252" t="inlineStr">
        <is>
          <t>KJ MU V LIQ K MLTLPK 3ML 1.1G CHARM IV</t>
        </is>
      </c>
      <c r="F1252" t="inlineStr">
        <is>
          <t>P_US_FG</t>
        </is>
      </c>
      <c r="G1252" t="inlineStr">
        <is>
          <t>CurrentWorkingView</t>
        </is>
      </c>
      <c r="H1252" t="inlineStr">
        <is>
          <t>Total Demand Assumption</t>
        </is>
      </c>
    </row>
    <row r="1253">
      <c r="A1253" t="inlineStr">
        <is>
          <t>Kylie Makeup</t>
        </is>
      </c>
      <c r="B1253" t="inlineStr">
        <is>
          <t>Lips (01245)</t>
        </is>
      </c>
      <c r="C1253" t="inlineStr">
        <is>
          <t>Kylie Velvet Lip Kit (00006095)</t>
        </is>
      </c>
      <c r="D1253" s="1" t="n">
        <v>4064941006985</v>
      </c>
      <c r="E1253" t="inlineStr">
        <is>
          <t>KJ MU V LIQ K MLTLPK 3ML 1.1G CHARM IV</t>
        </is>
      </c>
      <c r="F1253" t="inlineStr">
        <is>
          <t>P_US_FG</t>
        </is>
      </c>
      <c r="G1253" t="inlineStr">
        <is>
          <t>CurrentWorkingView</t>
        </is>
      </c>
      <c r="H1253" t="inlineStr">
        <is>
          <t>Consensus - Final</t>
        </is>
      </c>
      <c r="K1253" t="n">
        <v>0</v>
      </c>
    </row>
    <row r="1254">
      <c r="A1254" t="inlineStr">
        <is>
          <t>Kylie Makeup</t>
        </is>
      </c>
      <c r="B1254" t="inlineStr">
        <is>
          <t>Lips (01245)</t>
        </is>
      </c>
      <c r="C1254" t="inlineStr">
        <is>
          <t>Kylie Velvet Lip Kit (00006095)</t>
        </is>
      </c>
      <c r="D1254" s="1" t="n">
        <v>4064941006985</v>
      </c>
      <c r="E1254" t="inlineStr">
        <is>
          <t>KJ MU V LIQ K MLTLPK 3ML 1.1G CHARM IV</t>
        </is>
      </c>
      <c r="F1254" t="inlineStr">
        <is>
          <t>P_US_FG</t>
        </is>
      </c>
      <c r="G1254" t="inlineStr">
        <is>
          <t>CurrentWorkingView</t>
        </is>
      </c>
      <c r="H1254" t="inlineStr">
        <is>
          <t>Supply Cuts</t>
        </is>
      </c>
    </row>
    <row r="1255">
      <c r="A1255" t="inlineStr">
        <is>
          <t>Kylie Makeup</t>
        </is>
      </c>
      <c r="B1255" t="inlineStr">
        <is>
          <t>Lips (01245)</t>
        </is>
      </c>
      <c r="C1255" t="inlineStr">
        <is>
          <t>Kylie Velvet Lip Kit (00006095)</t>
        </is>
      </c>
      <c r="D1255" s="1" t="n">
        <v>4064941006985</v>
      </c>
      <c r="E1255" t="inlineStr">
        <is>
          <t>KJ MU V LIQ K MLTLPK 3ML 1.1G CHARM IV</t>
        </is>
      </c>
      <c r="F1255" t="inlineStr">
        <is>
          <t>P_US_FG</t>
        </is>
      </c>
      <c r="G1255" t="inlineStr">
        <is>
          <t>Month-2026.M09.W38</t>
        </is>
      </c>
      <c r="H1255" t="inlineStr">
        <is>
          <t>Consensus - Final LY M</t>
        </is>
      </c>
      <c r="L1255" t="n">
        <v>1</v>
      </c>
      <c r="Q1255" t="n">
        <v>36</v>
      </c>
    </row>
    <row r="1256">
      <c r="A1256" t="inlineStr">
        <is>
          <t>Kylie Makeup</t>
        </is>
      </c>
      <c r="B1256" t="inlineStr">
        <is>
          <t>Lips (01245)</t>
        </is>
      </c>
      <c r="C1256" t="inlineStr">
        <is>
          <t>Kylie Velvet Lip Kit (00006095)</t>
        </is>
      </c>
      <c r="D1256" s="1" t="n">
        <v>4064941006985</v>
      </c>
      <c r="E1256" t="inlineStr">
        <is>
          <t>KJ MU V LIQ K MLTLPK 3ML 1.1G CHARM IV</t>
        </is>
      </c>
      <c r="F1256" t="inlineStr">
        <is>
          <t>P_US_FG</t>
        </is>
      </c>
      <c r="G1256" t="inlineStr">
        <is>
          <t>Month-2026.M09.W38</t>
        </is>
      </c>
      <c r="H1256" t="inlineStr">
        <is>
          <t>System FC - Final</t>
        </is>
      </c>
      <c r="K1256" t="n">
        <v>3</v>
      </c>
      <c r="L1256" t="n">
        <v>0</v>
      </c>
      <c r="M1256" t="n">
        <v>0</v>
      </c>
      <c r="N1256" t="n">
        <v>4</v>
      </c>
      <c r="O1256" t="n">
        <v>0</v>
      </c>
      <c r="P1256" t="n">
        <v>0</v>
      </c>
      <c r="Q1256" t="n">
        <v>5</v>
      </c>
      <c r="R1256" t="n">
        <v>0</v>
      </c>
      <c r="S1256" t="n">
        <v>0</v>
      </c>
      <c r="T1256" t="n">
        <v>1</v>
      </c>
    </row>
    <row r="1257">
      <c r="A1257" t="inlineStr">
        <is>
          <t>Kylie Makeup</t>
        </is>
      </c>
      <c r="B1257" t="inlineStr">
        <is>
          <t>Lips (01245)</t>
        </is>
      </c>
      <c r="C1257" t="inlineStr">
        <is>
          <t>Kylie Velvet Lip Kit (00006095)</t>
        </is>
      </c>
      <c r="D1257" s="1" t="n">
        <v>4064941006985</v>
      </c>
      <c r="E1257" t="inlineStr">
        <is>
          <t>KJ MU V LIQ K MLTLPK 3ML 1.1G CHARM IV</t>
        </is>
      </c>
      <c r="F1257" t="inlineStr">
        <is>
          <t>P_US_FG</t>
        </is>
      </c>
      <c r="G1257" t="inlineStr">
        <is>
          <t>Month-2026.M09.W38</t>
        </is>
      </c>
      <c r="H1257" t="inlineStr">
        <is>
          <t>EPOS</t>
        </is>
      </c>
    </row>
    <row r="1258">
      <c r="A1258" t="inlineStr">
        <is>
          <t>Kylie Makeup</t>
        </is>
      </c>
      <c r="B1258" t="inlineStr">
        <is>
          <t>Lips (01245)</t>
        </is>
      </c>
      <c r="C1258" t="inlineStr">
        <is>
          <t>Kylie Velvet Lip Kit (00006095)</t>
        </is>
      </c>
      <c r="D1258" s="1" t="n">
        <v>4064941006985</v>
      </c>
      <c r="E1258" t="inlineStr">
        <is>
          <t>KJ MU V LIQ K MLTLPK 3ML 1.1G CHARM IV</t>
        </is>
      </c>
      <c r="F1258" t="inlineStr">
        <is>
          <t>P_US_FG</t>
        </is>
      </c>
      <c r="G1258" t="inlineStr">
        <is>
          <t>Month-2026.M09.W38</t>
        </is>
      </c>
      <c r="H1258" t="inlineStr">
        <is>
          <t>Reasonability Adjustment</t>
        </is>
      </c>
    </row>
    <row r="1259">
      <c r="A1259" t="inlineStr">
        <is>
          <t>Kylie Makeup</t>
        </is>
      </c>
      <c r="B1259" t="inlineStr">
        <is>
          <t>Lips (01245)</t>
        </is>
      </c>
      <c r="C1259" t="inlineStr">
        <is>
          <t>Kylie Velvet Lip Kit (00006095)</t>
        </is>
      </c>
      <c r="D1259" s="1" t="n">
        <v>4064941006985</v>
      </c>
      <c r="E1259" t="inlineStr">
        <is>
          <t>KJ MU V LIQ K MLTLPK 3ML 1.1G CHARM IV</t>
        </is>
      </c>
      <c r="F1259" t="inlineStr">
        <is>
          <t>P_US_FG</t>
        </is>
      </c>
      <c r="G1259" t="inlineStr">
        <is>
          <t>Month-2026.M09.W38</t>
        </is>
      </c>
      <c r="H1259" t="inlineStr">
        <is>
          <t>Total Demand Assumption</t>
        </is>
      </c>
    </row>
    <row r="1260">
      <c r="A1260" t="inlineStr">
        <is>
          <t>Kylie Makeup</t>
        </is>
      </c>
      <c r="B1260" t="inlineStr">
        <is>
          <t>Lips (01245)</t>
        </is>
      </c>
      <c r="C1260" t="inlineStr">
        <is>
          <t>Kylie Velvet Lip Kit (00006095)</t>
        </is>
      </c>
      <c r="D1260" s="1" t="n">
        <v>4064941006985</v>
      </c>
      <c r="E1260" t="inlineStr">
        <is>
          <t>KJ MU V LIQ K MLTLPK 3ML 1.1G CHARM IV</t>
        </is>
      </c>
      <c r="F1260" t="inlineStr">
        <is>
          <t>P_US_FG</t>
        </is>
      </c>
      <c r="G1260" t="inlineStr">
        <is>
          <t>Month-2026.M09.W38</t>
        </is>
      </c>
      <c r="H1260" t="inlineStr">
        <is>
          <t>Consensus - Final</t>
        </is>
      </c>
      <c r="K1260" t="n">
        <v>0</v>
      </c>
    </row>
    <row r="1261">
      <c r="A1261" t="inlineStr">
        <is>
          <t>Kylie Makeup</t>
        </is>
      </c>
      <c r="B1261" t="inlineStr">
        <is>
          <t>Lips (01245)</t>
        </is>
      </c>
      <c r="C1261" t="inlineStr">
        <is>
          <t>Kylie Velvet Lip Kit (00006095)</t>
        </is>
      </c>
      <c r="D1261" s="1" t="n">
        <v>4064941006985</v>
      </c>
      <c r="E1261" t="inlineStr">
        <is>
          <t>KJ MU V LIQ K MLTLPK 3ML 1.1G CHARM IV</t>
        </is>
      </c>
      <c r="F1261" t="inlineStr">
        <is>
          <t>P_US_FG</t>
        </is>
      </c>
      <c r="G1261" t="inlineStr">
        <is>
          <t>Month-2026.M09.W38</t>
        </is>
      </c>
      <c r="H1261" t="inlineStr">
        <is>
          <t>Supply Cuts</t>
        </is>
      </c>
    </row>
    <row r="1262">
      <c r="A1262" t="inlineStr">
        <is>
          <t>Kylie Makeup</t>
        </is>
      </c>
      <c r="B1262" t="inlineStr">
        <is>
          <t>Lips (01245)</t>
        </is>
      </c>
      <c r="C1262" t="inlineStr">
        <is>
          <t>Kylie Velvet Lip Kit (00006095)</t>
        </is>
      </c>
      <c r="D1262" s="1" t="n">
        <v>4064941006985</v>
      </c>
      <c r="E1262" t="inlineStr">
        <is>
          <t>KJ MU V LIQ K MLTLPK 3ML 1.1G CHARM IV</t>
        </is>
      </c>
      <c r="F1262" t="inlineStr">
        <is>
          <t>P_US_ULTA</t>
        </is>
      </c>
      <c r="G1262" t="inlineStr">
        <is>
          <t>CurrentWorkingView</t>
        </is>
      </c>
      <c r="H1262" t="inlineStr">
        <is>
          <t>Consensus - Final LY M</t>
        </is>
      </c>
      <c r="I1262" t="n">
        <v>2648</v>
      </c>
      <c r="J1262" t="n">
        <v>731</v>
      </c>
      <c r="K1262" t="n">
        <v>912</v>
      </c>
      <c r="L1262" t="n">
        <v>943</v>
      </c>
      <c r="M1262" t="n">
        <v>1360</v>
      </c>
      <c r="N1262" t="n">
        <v>958</v>
      </c>
      <c r="O1262" t="n">
        <v>634</v>
      </c>
      <c r="P1262" t="n">
        <v>1308</v>
      </c>
      <c r="Q1262" t="n">
        <v>1302</v>
      </c>
      <c r="R1262" t="n">
        <v>474</v>
      </c>
      <c r="S1262" t="n">
        <v>1056</v>
      </c>
      <c r="T1262" t="n">
        <v>567</v>
      </c>
    </row>
    <row r="1263">
      <c r="A1263" t="inlineStr">
        <is>
          <t>Kylie Makeup</t>
        </is>
      </c>
      <c r="B1263" t="inlineStr">
        <is>
          <t>Lips (01245)</t>
        </is>
      </c>
      <c r="C1263" t="inlineStr">
        <is>
          <t>Kylie Velvet Lip Kit (00006095)</t>
        </is>
      </c>
      <c r="D1263" s="1" t="n">
        <v>4064941006985</v>
      </c>
      <c r="E1263" t="inlineStr">
        <is>
          <t>KJ MU V LIQ K MLTLPK 3ML 1.1G CHARM IV</t>
        </is>
      </c>
      <c r="F1263" t="inlineStr">
        <is>
          <t>P_US_ULTA</t>
        </is>
      </c>
      <c r="G1263" t="inlineStr">
        <is>
          <t>CurrentWorkingView</t>
        </is>
      </c>
      <c r="H1263" t="inlineStr">
        <is>
          <t>System FC - Final</t>
        </is>
      </c>
      <c r="I1263" t="n">
        <v>524</v>
      </c>
      <c r="J1263" t="n">
        <v>685</v>
      </c>
      <c r="K1263" t="n">
        <v>820</v>
      </c>
      <c r="L1263" t="n">
        <v>1095</v>
      </c>
      <c r="M1263" t="n">
        <v>784</v>
      </c>
      <c r="N1263" t="n">
        <v>957</v>
      </c>
      <c r="O1263" t="n">
        <v>859</v>
      </c>
      <c r="P1263" t="n">
        <v>704</v>
      </c>
      <c r="Q1263" t="n">
        <v>1435</v>
      </c>
      <c r="R1263" t="n">
        <v>548</v>
      </c>
      <c r="S1263" t="n">
        <v>731</v>
      </c>
      <c r="T1263" t="n">
        <v>699</v>
      </c>
    </row>
    <row r="1264">
      <c r="A1264" t="inlineStr">
        <is>
          <t>Kylie Makeup</t>
        </is>
      </c>
      <c r="B1264" t="inlineStr">
        <is>
          <t>Lips (01245)</t>
        </is>
      </c>
      <c r="C1264" t="inlineStr">
        <is>
          <t>Kylie Velvet Lip Kit (00006095)</t>
        </is>
      </c>
      <c r="D1264" s="1" t="n">
        <v>4064941006985</v>
      </c>
      <c r="E1264" t="inlineStr">
        <is>
          <t>KJ MU V LIQ K MLTLPK 3ML 1.1G CHARM IV</t>
        </is>
      </c>
      <c r="F1264" t="inlineStr">
        <is>
          <t>P_US_ULTA</t>
        </is>
      </c>
      <c r="G1264" t="inlineStr">
        <is>
          <t>CurrentWorkingView</t>
        </is>
      </c>
      <c r="H1264" t="inlineStr">
        <is>
          <t>EPOS</t>
        </is>
      </c>
      <c r="I1264" t="n">
        <v>741</v>
      </c>
    </row>
    <row r="1265">
      <c r="A1265" t="inlineStr">
        <is>
          <t>Kylie Makeup</t>
        </is>
      </c>
      <c r="B1265" t="inlineStr">
        <is>
          <t>Lips (01245)</t>
        </is>
      </c>
      <c r="C1265" t="inlineStr">
        <is>
          <t>Kylie Velvet Lip Kit (00006095)</t>
        </is>
      </c>
      <c r="D1265" s="1" t="n">
        <v>4064941006985</v>
      </c>
      <c r="E1265" t="inlineStr">
        <is>
          <t>KJ MU V LIQ K MLTLPK 3ML 1.1G CHARM IV</t>
        </is>
      </c>
      <c r="F1265" t="inlineStr">
        <is>
          <t>P_US_ULTA</t>
        </is>
      </c>
      <c r="G1265" t="inlineStr">
        <is>
          <t>CurrentWorkingView</t>
        </is>
      </c>
      <c r="H1265" t="inlineStr">
        <is>
          <t>Reasonability Adjustment</t>
        </is>
      </c>
      <c r="T1265" t="n">
        <v>-161</v>
      </c>
    </row>
    <row r="1266">
      <c r="A1266" t="inlineStr">
        <is>
          <t>Kylie Makeup</t>
        </is>
      </c>
      <c r="B1266" t="inlineStr">
        <is>
          <t>Lips (01245)</t>
        </is>
      </c>
      <c r="C1266" t="inlineStr">
        <is>
          <t>Kylie Velvet Lip Kit (00006095)</t>
        </is>
      </c>
      <c r="D1266" s="1" t="n">
        <v>4064941006985</v>
      </c>
      <c r="E1266" t="inlineStr">
        <is>
          <t>KJ MU V LIQ K MLTLPK 3ML 1.1G CHARM IV</t>
        </is>
      </c>
      <c r="F1266" t="inlineStr">
        <is>
          <t>P_US_ULTA</t>
        </is>
      </c>
      <c r="G1266" t="inlineStr">
        <is>
          <t>CurrentWorkingView</t>
        </is>
      </c>
      <c r="H1266" t="inlineStr">
        <is>
          <t>Total Demand Assumption</t>
        </is>
      </c>
      <c r="I1266" t="n">
        <v>-302</v>
      </c>
      <c r="J1266" t="n">
        <v>-197</v>
      </c>
      <c r="K1266" t="n">
        <v>-203</v>
      </c>
      <c r="L1266" t="n">
        <v>-136</v>
      </c>
      <c r="M1266" t="n">
        <v>-248</v>
      </c>
      <c r="N1266" t="n">
        <v>-174</v>
      </c>
      <c r="O1266" t="n">
        <v>-127</v>
      </c>
      <c r="P1266" t="n">
        <v>-169</v>
      </c>
      <c r="Q1266" t="n">
        <v>-233</v>
      </c>
      <c r="R1266" t="n">
        <v>-225</v>
      </c>
      <c r="S1266" t="n">
        <v>-574</v>
      </c>
      <c r="T1266" t="n">
        <v>-248</v>
      </c>
    </row>
    <row r="1267">
      <c r="A1267" t="inlineStr">
        <is>
          <t>Kylie Makeup</t>
        </is>
      </c>
      <c r="B1267" t="inlineStr">
        <is>
          <t>Lips (01245)</t>
        </is>
      </c>
      <c r="C1267" t="inlineStr">
        <is>
          <t>Kylie Velvet Lip Kit (00006095)</t>
        </is>
      </c>
      <c r="D1267" s="1" t="n">
        <v>4064941006985</v>
      </c>
      <c r="E1267" t="inlineStr">
        <is>
          <t>KJ MU V LIQ K MLTLPK 3ML 1.1G CHARM IV</t>
        </is>
      </c>
      <c r="F1267" t="inlineStr">
        <is>
          <t>P_US_ULTA</t>
        </is>
      </c>
      <c r="G1267" t="inlineStr">
        <is>
          <t>CurrentWorkingView</t>
        </is>
      </c>
      <c r="H1267" t="inlineStr">
        <is>
          <t>Consensus - Final</t>
        </is>
      </c>
      <c r="I1267" t="n">
        <v>524</v>
      </c>
      <c r="J1267" t="n">
        <v>685</v>
      </c>
      <c r="K1267" t="n">
        <v>879</v>
      </c>
      <c r="L1267" t="n">
        <v>959</v>
      </c>
      <c r="M1267" t="n">
        <v>577</v>
      </c>
      <c r="N1267" t="n">
        <v>783</v>
      </c>
      <c r="O1267" t="n">
        <v>732</v>
      </c>
      <c r="P1267" t="n">
        <v>535</v>
      </c>
      <c r="Q1267" t="n">
        <v>1202</v>
      </c>
      <c r="R1267" t="n">
        <v>323</v>
      </c>
      <c r="S1267" t="n">
        <v>278</v>
      </c>
      <c r="T1267" t="n">
        <v>290</v>
      </c>
    </row>
    <row r="1268">
      <c r="A1268" t="inlineStr">
        <is>
          <t>Kylie Makeup</t>
        </is>
      </c>
      <c r="B1268" t="inlineStr">
        <is>
          <t>Lips (01245)</t>
        </is>
      </c>
      <c r="C1268" t="inlineStr">
        <is>
          <t>Kylie Velvet Lip Kit (00006095)</t>
        </is>
      </c>
      <c r="D1268" s="1" t="n">
        <v>4064941006985</v>
      </c>
      <c r="E1268" t="inlineStr">
        <is>
          <t>KJ MU V LIQ K MLTLPK 3ML 1.1G CHARM IV</t>
        </is>
      </c>
      <c r="F1268" t="inlineStr">
        <is>
          <t>P_US_ULTA</t>
        </is>
      </c>
      <c r="G1268" t="inlineStr">
        <is>
          <t>CurrentWorkingView</t>
        </is>
      </c>
      <c r="H1268" t="inlineStr">
        <is>
          <t>Supply Cuts</t>
        </is>
      </c>
    </row>
    <row r="1269">
      <c r="A1269" t="inlineStr">
        <is>
          <t>Kylie Makeup</t>
        </is>
      </c>
      <c r="B1269" t="inlineStr">
        <is>
          <t>Lips (01245)</t>
        </is>
      </c>
      <c r="C1269" t="inlineStr">
        <is>
          <t>Kylie Velvet Lip Kit (00006095)</t>
        </is>
      </c>
      <c r="D1269" s="1" t="n">
        <v>4064941006985</v>
      </c>
      <c r="E1269" t="inlineStr">
        <is>
          <t>KJ MU V LIQ K MLTLPK 3ML 1.1G CHARM IV</t>
        </is>
      </c>
      <c r="F1269" t="inlineStr">
        <is>
          <t>P_US_ULTA</t>
        </is>
      </c>
      <c r="G1269" t="inlineStr">
        <is>
          <t>Month-2026.M09.W38</t>
        </is>
      </c>
      <c r="H1269" t="inlineStr">
        <is>
          <t>Consensus - Final LY M</t>
        </is>
      </c>
      <c r="I1269" t="n">
        <v>2648</v>
      </c>
      <c r="J1269" t="n">
        <v>731</v>
      </c>
      <c r="K1269" t="n">
        <v>912</v>
      </c>
      <c r="L1269" t="n">
        <v>943</v>
      </c>
      <c r="M1269" t="n">
        <v>1360</v>
      </c>
      <c r="N1269" t="n">
        <v>958</v>
      </c>
      <c r="O1269" t="n">
        <v>634</v>
      </c>
      <c r="P1269" t="n">
        <v>1308</v>
      </c>
      <c r="Q1269" t="n">
        <v>1302</v>
      </c>
      <c r="R1269" t="n">
        <v>474</v>
      </c>
      <c r="S1269" t="n">
        <v>1056</v>
      </c>
      <c r="T1269" t="n">
        <v>567</v>
      </c>
    </row>
    <row r="1270">
      <c r="A1270" t="inlineStr">
        <is>
          <t>Kylie Makeup</t>
        </is>
      </c>
      <c r="B1270" t="inlineStr">
        <is>
          <t>Lips (01245)</t>
        </is>
      </c>
      <c r="C1270" t="inlineStr">
        <is>
          <t>Kylie Velvet Lip Kit (00006095)</t>
        </is>
      </c>
      <c r="D1270" s="1" t="n">
        <v>4064941006985</v>
      </c>
      <c r="E1270" t="inlineStr">
        <is>
          <t>KJ MU V LIQ K MLTLPK 3ML 1.1G CHARM IV</t>
        </is>
      </c>
      <c r="F1270" t="inlineStr">
        <is>
          <t>P_US_ULTA</t>
        </is>
      </c>
      <c r="G1270" t="inlineStr">
        <is>
          <t>Month-2026.M09.W38</t>
        </is>
      </c>
      <c r="H1270" t="inlineStr">
        <is>
          <t>System FC - Final</t>
        </is>
      </c>
      <c r="I1270" t="n">
        <v>524</v>
      </c>
      <c r="J1270" t="n">
        <v>685</v>
      </c>
      <c r="K1270" t="n">
        <v>923</v>
      </c>
      <c r="L1270" t="n">
        <v>1131</v>
      </c>
      <c r="M1270" t="n">
        <v>746</v>
      </c>
      <c r="N1270" t="n">
        <v>882</v>
      </c>
      <c r="O1270" t="n">
        <v>748</v>
      </c>
      <c r="P1270" t="n">
        <v>1188</v>
      </c>
      <c r="Q1270" t="n">
        <v>841</v>
      </c>
      <c r="R1270" t="n">
        <v>480</v>
      </c>
      <c r="S1270" t="n">
        <v>757</v>
      </c>
      <c r="T1270" t="n">
        <v>951</v>
      </c>
    </row>
    <row r="1271">
      <c r="A1271" t="inlineStr">
        <is>
          <t>Kylie Makeup</t>
        </is>
      </c>
      <c r="B1271" t="inlineStr">
        <is>
          <t>Lips (01245)</t>
        </is>
      </c>
      <c r="C1271" t="inlineStr">
        <is>
          <t>Kylie Velvet Lip Kit (00006095)</t>
        </is>
      </c>
      <c r="D1271" s="1" t="n">
        <v>4064941006985</v>
      </c>
      <c r="E1271" t="inlineStr">
        <is>
          <t>KJ MU V LIQ K MLTLPK 3ML 1.1G CHARM IV</t>
        </is>
      </c>
      <c r="F1271" t="inlineStr">
        <is>
          <t>P_US_ULTA</t>
        </is>
      </c>
      <c r="G1271" t="inlineStr">
        <is>
          <t>Month-2026.M09.W38</t>
        </is>
      </c>
      <c r="H1271" t="inlineStr">
        <is>
          <t>EPOS</t>
        </is>
      </c>
      <c r="I1271" t="n">
        <v>741</v>
      </c>
    </row>
    <row r="1272">
      <c r="A1272" t="inlineStr">
        <is>
          <t>Kylie Makeup</t>
        </is>
      </c>
      <c r="B1272" t="inlineStr">
        <is>
          <t>Lips (01245)</t>
        </is>
      </c>
      <c r="C1272" t="inlineStr">
        <is>
          <t>Kylie Velvet Lip Kit (00006095)</t>
        </is>
      </c>
      <c r="D1272" s="1" t="n">
        <v>4064941006985</v>
      </c>
      <c r="E1272" t="inlineStr">
        <is>
          <t>KJ MU V LIQ K MLTLPK 3ML 1.1G CHARM IV</t>
        </is>
      </c>
      <c r="F1272" t="inlineStr">
        <is>
          <t>P_US_ULTA</t>
        </is>
      </c>
      <c r="G1272" t="inlineStr">
        <is>
          <t>Month-2026.M09.W38</t>
        </is>
      </c>
      <c r="H1272" t="inlineStr">
        <is>
          <t>Reasonability Adjustment</t>
        </is>
      </c>
      <c r="T1272" t="n">
        <v>-161</v>
      </c>
    </row>
    <row r="1273">
      <c r="A1273" t="inlineStr">
        <is>
          <t>Kylie Makeup</t>
        </is>
      </c>
      <c r="B1273" t="inlineStr">
        <is>
          <t>Lips (01245)</t>
        </is>
      </c>
      <c r="C1273" t="inlineStr">
        <is>
          <t>Kylie Velvet Lip Kit (00006095)</t>
        </is>
      </c>
      <c r="D1273" s="1" t="n">
        <v>4064941006985</v>
      </c>
      <c r="E1273" t="inlineStr">
        <is>
          <t>KJ MU V LIQ K MLTLPK 3ML 1.1G CHARM IV</t>
        </is>
      </c>
      <c r="F1273" t="inlineStr">
        <is>
          <t>P_US_ULTA</t>
        </is>
      </c>
      <c r="G1273" t="inlineStr">
        <is>
          <t>Month-2026.M09.W38</t>
        </is>
      </c>
      <c r="H1273" t="inlineStr">
        <is>
          <t>Total Demand Assumption</t>
        </is>
      </c>
      <c r="I1273" t="n">
        <v>-302</v>
      </c>
      <c r="J1273" t="n">
        <v>-197</v>
      </c>
      <c r="K1273" t="n">
        <v>-203</v>
      </c>
      <c r="L1273" t="n">
        <v>-136</v>
      </c>
      <c r="M1273" t="n">
        <v>-248</v>
      </c>
      <c r="N1273" t="n">
        <v>-174</v>
      </c>
      <c r="O1273" t="n">
        <v>-127</v>
      </c>
      <c r="P1273" t="n">
        <v>-169</v>
      </c>
      <c r="Q1273" t="n">
        <v>-233</v>
      </c>
      <c r="R1273" t="n">
        <v>-225</v>
      </c>
      <c r="S1273" t="n">
        <v>-574</v>
      </c>
      <c r="T1273" t="n">
        <v>-248</v>
      </c>
    </row>
    <row r="1274">
      <c r="A1274" t="inlineStr">
        <is>
          <t>Kylie Makeup</t>
        </is>
      </c>
      <c r="B1274" t="inlineStr">
        <is>
          <t>Lips (01245)</t>
        </is>
      </c>
      <c r="C1274" t="inlineStr">
        <is>
          <t>Kylie Velvet Lip Kit (00006095)</t>
        </is>
      </c>
      <c r="D1274" s="1" t="n">
        <v>4064941006985</v>
      </c>
      <c r="E1274" t="inlineStr">
        <is>
          <t>KJ MU V LIQ K MLTLPK 3ML 1.1G CHARM IV</t>
        </is>
      </c>
      <c r="F1274" t="inlineStr">
        <is>
          <t>P_US_ULTA</t>
        </is>
      </c>
      <c r="G1274" t="inlineStr">
        <is>
          <t>Month-2026.M09.W38</t>
        </is>
      </c>
      <c r="H1274" t="inlineStr">
        <is>
          <t>Consensus - Final</t>
        </is>
      </c>
      <c r="I1274" t="n">
        <v>524</v>
      </c>
      <c r="J1274" t="n">
        <v>685</v>
      </c>
      <c r="K1274" t="n">
        <v>879</v>
      </c>
      <c r="L1274" t="n">
        <v>995</v>
      </c>
      <c r="M1274" t="n">
        <v>530</v>
      </c>
      <c r="N1274" t="n">
        <v>708</v>
      </c>
      <c r="O1274" t="n">
        <v>621</v>
      </c>
      <c r="P1274" t="n">
        <v>1019</v>
      </c>
      <c r="Q1274" t="n">
        <v>608</v>
      </c>
      <c r="R1274" t="n">
        <v>255</v>
      </c>
      <c r="S1274" t="n">
        <v>302</v>
      </c>
      <c r="T1274" t="n">
        <v>542</v>
      </c>
    </row>
    <row r="1275">
      <c r="A1275" t="inlineStr">
        <is>
          <t>Kylie Makeup</t>
        </is>
      </c>
      <c r="B1275" t="inlineStr">
        <is>
          <t>Lips (01245)</t>
        </is>
      </c>
      <c r="C1275" t="inlineStr">
        <is>
          <t>Kylie Velvet Lip Kit (00006095)</t>
        </is>
      </c>
      <c r="D1275" s="1" t="n">
        <v>4064941006985</v>
      </c>
      <c r="E1275" t="inlineStr">
        <is>
          <t>KJ MU V LIQ K MLTLPK 3ML 1.1G CHARM IV</t>
        </is>
      </c>
      <c r="F1275" t="inlineStr">
        <is>
          <t>P_US_ULTA</t>
        </is>
      </c>
      <c r="G1275" t="inlineStr">
        <is>
          <t>Month-2026.M09.W38</t>
        </is>
      </c>
      <c r="H1275" t="inlineStr">
        <is>
          <t>Supply Cuts</t>
        </is>
      </c>
    </row>
    <row r="1276">
      <c r="A1276" t="inlineStr">
        <is>
          <t>Kylie Makeup</t>
        </is>
      </c>
      <c r="B1276" t="inlineStr">
        <is>
          <t>Lips (01245)</t>
        </is>
      </c>
      <c r="C1276" t="inlineStr">
        <is>
          <t>Kylie Velvet Lip Kit (00006095)</t>
        </is>
      </c>
      <c r="D1276" s="1" t="n">
        <v>4064941006992</v>
      </c>
      <c r="E1276" t="inlineStr">
        <is>
          <t>KJ MU V LIQ K MLTLPK 3ML 1.1G BARE IV</t>
        </is>
      </c>
      <c r="F1276" t="inlineStr">
        <is>
          <t>P_US_ALL_OTHERS</t>
        </is>
      </c>
      <c r="G1276" t="inlineStr">
        <is>
          <t>CurrentWorkingView</t>
        </is>
      </c>
      <c r="H1276" t="inlineStr">
        <is>
          <t>Consensus - Final LY M</t>
        </is>
      </c>
      <c r="I1276" t="n">
        <v>107</v>
      </c>
      <c r="J1276" t="n">
        <v>175</v>
      </c>
      <c r="K1276" t="n">
        <v>179</v>
      </c>
      <c r="L1276" t="n">
        <v>73</v>
      </c>
      <c r="M1276" t="n">
        <v>79</v>
      </c>
      <c r="N1276" t="n">
        <v>117</v>
      </c>
      <c r="O1276" t="n">
        <v>60</v>
      </c>
      <c r="P1276" t="n">
        <v>205</v>
      </c>
      <c r="Q1276" t="n">
        <v>115</v>
      </c>
      <c r="R1276" t="n">
        <v>83</v>
      </c>
      <c r="S1276" t="n">
        <v>75</v>
      </c>
      <c r="T1276" t="n">
        <v>53</v>
      </c>
    </row>
    <row r="1277">
      <c r="A1277" t="inlineStr">
        <is>
          <t>Kylie Makeup</t>
        </is>
      </c>
      <c r="B1277" t="inlineStr">
        <is>
          <t>Lips (01245)</t>
        </is>
      </c>
      <c r="C1277" t="inlineStr">
        <is>
          <t>Kylie Velvet Lip Kit (00006095)</t>
        </is>
      </c>
      <c r="D1277" s="1" t="n">
        <v>4064941006992</v>
      </c>
      <c r="E1277" t="inlineStr">
        <is>
          <t>KJ MU V LIQ K MLTLPK 3ML 1.1G BARE IV</t>
        </is>
      </c>
      <c r="F1277" t="inlineStr">
        <is>
          <t>P_US_ALL_OTHERS</t>
        </is>
      </c>
      <c r="G1277" t="inlineStr">
        <is>
          <t>CurrentWorkingView</t>
        </is>
      </c>
      <c r="H1277" t="inlineStr">
        <is>
          <t>System FC - Final</t>
        </is>
      </c>
      <c r="I1277" t="n">
        <v>83</v>
      </c>
      <c r="J1277" t="n">
        <v>115</v>
      </c>
      <c r="K1277" t="n">
        <v>285</v>
      </c>
      <c r="L1277" t="n">
        <v>115</v>
      </c>
      <c r="M1277" t="n">
        <v>112</v>
      </c>
      <c r="N1277" t="n">
        <v>115</v>
      </c>
      <c r="O1277" t="n">
        <v>124</v>
      </c>
      <c r="P1277" t="n">
        <v>172</v>
      </c>
      <c r="Q1277" t="n">
        <v>120</v>
      </c>
      <c r="R1277" t="n">
        <v>111</v>
      </c>
      <c r="S1277" t="n">
        <v>116</v>
      </c>
      <c r="T1277" t="n">
        <v>86</v>
      </c>
    </row>
    <row r="1278">
      <c r="A1278" t="inlineStr">
        <is>
          <t>Kylie Makeup</t>
        </is>
      </c>
      <c r="B1278" t="inlineStr">
        <is>
          <t>Lips (01245)</t>
        </is>
      </c>
      <c r="C1278" t="inlineStr">
        <is>
          <t>Kylie Velvet Lip Kit (00006095)</t>
        </is>
      </c>
      <c r="D1278" s="1" t="n">
        <v>4064941006992</v>
      </c>
      <c r="E1278" t="inlineStr">
        <is>
          <t>KJ MU V LIQ K MLTLPK 3ML 1.1G BARE IV</t>
        </is>
      </c>
      <c r="F1278" t="inlineStr">
        <is>
          <t>P_US_ALL_OTHERS</t>
        </is>
      </c>
      <c r="G1278" t="inlineStr">
        <is>
          <t>CurrentWorkingView</t>
        </is>
      </c>
      <c r="H1278" t="inlineStr">
        <is>
          <t>EPOS</t>
        </is>
      </c>
      <c r="I1278" t="n">
        <v>80</v>
      </c>
    </row>
    <row r="1279">
      <c r="A1279" t="inlineStr">
        <is>
          <t>Kylie Makeup</t>
        </is>
      </c>
      <c r="B1279" t="inlineStr">
        <is>
          <t>Lips (01245)</t>
        </is>
      </c>
      <c r="C1279" t="inlineStr">
        <is>
          <t>Kylie Velvet Lip Kit (00006095)</t>
        </is>
      </c>
      <c r="D1279" s="1" t="n">
        <v>4064941006992</v>
      </c>
      <c r="E1279" t="inlineStr">
        <is>
          <t>KJ MU V LIQ K MLTLPK 3ML 1.1G BARE IV</t>
        </is>
      </c>
      <c r="F1279" t="inlineStr">
        <is>
          <t>P_US_ALL_OTHERS</t>
        </is>
      </c>
      <c r="G1279" t="inlineStr">
        <is>
          <t>CurrentWorkingView</t>
        </is>
      </c>
      <c r="H1279" t="inlineStr">
        <is>
          <t>Reasonability Adjustment</t>
        </is>
      </c>
      <c r="T1279" t="n">
        <v>-12</v>
      </c>
    </row>
    <row r="1280">
      <c r="A1280" t="inlineStr">
        <is>
          <t>Kylie Makeup</t>
        </is>
      </c>
      <c r="B1280" t="inlineStr">
        <is>
          <t>Lips (01245)</t>
        </is>
      </c>
      <c r="C1280" t="inlineStr">
        <is>
          <t>Kylie Velvet Lip Kit (00006095)</t>
        </is>
      </c>
      <c r="D1280" s="1" t="n">
        <v>4064941006992</v>
      </c>
      <c r="E1280" t="inlineStr">
        <is>
          <t>KJ MU V LIQ K MLTLPK 3ML 1.1G BARE IV</t>
        </is>
      </c>
      <c r="F1280" t="inlineStr">
        <is>
          <t>P_US_ALL_OTHERS</t>
        </is>
      </c>
      <c r="G1280" t="inlineStr">
        <is>
          <t>CurrentWorkingView</t>
        </is>
      </c>
      <c r="H1280" t="inlineStr">
        <is>
          <t>Total Demand Assumption</t>
        </is>
      </c>
    </row>
    <row r="1281">
      <c r="A1281" t="inlineStr">
        <is>
          <t>Kylie Makeup</t>
        </is>
      </c>
      <c r="B1281" t="inlineStr">
        <is>
          <t>Lips (01245)</t>
        </is>
      </c>
      <c r="C1281" t="inlineStr">
        <is>
          <t>Kylie Velvet Lip Kit (00006095)</t>
        </is>
      </c>
      <c r="D1281" s="1" t="n">
        <v>4064941006992</v>
      </c>
      <c r="E1281" t="inlineStr">
        <is>
          <t>KJ MU V LIQ K MLTLPK 3ML 1.1G BARE IV</t>
        </is>
      </c>
      <c r="F1281" t="inlineStr">
        <is>
          <t>P_US_ALL_OTHERS</t>
        </is>
      </c>
      <c r="G1281" t="inlineStr">
        <is>
          <t>CurrentWorkingView</t>
        </is>
      </c>
      <c r="H1281" t="inlineStr">
        <is>
          <t>Consensus - Final</t>
        </is>
      </c>
      <c r="I1281" t="n">
        <v>83</v>
      </c>
      <c r="J1281" t="n">
        <v>115</v>
      </c>
      <c r="K1281" t="n">
        <v>216</v>
      </c>
      <c r="L1281" t="n">
        <v>115</v>
      </c>
      <c r="M1281" t="n">
        <v>112</v>
      </c>
      <c r="N1281" t="n">
        <v>115</v>
      </c>
      <c r="O1281" t="n">
        <v>124</v>
      </c>
      <c r="P1281" t="n">
        <v>172</v>
      </c>
      <c r="Q1281" t="n">
        <v>120</v>
      </c>
      <c r="R1281" t="n">
        <v>111</v>
      </c>
      <c r="S1281" t="n">
        <v>116</v>
      </c>
      <c r="T1281" t="n">
        <v>74</v>
      </c>
    </row>
    <row r="1282">
      <c r="A1282" t="inlineStr">
        <is>
          <t>Kylie Makeup</t>
        </is>
      </c>
      <c r="B1282" t="inlineStr">
        <is>
          <t>Lips (01245)</t>
        </is>
      </c>
      <c r="C1282" t="inlineStr">
        <is>
          <t>Kylie Velvet Lip Kit (00006095)</t>
        </is>
      </c>
      <c r="D1282" s="1" t="n">
        <v>4064941006992</v>
      </c>
      <c r="E1282" t="inlineStr">
        <is>
          <t>KJ MU V LIQ K MLTLPK 3ML 1.1G BARE IV</t>
        </is>
      </c>
      <c r="F1282" t="inlineStr">
        <is>
          <t>P_US_ALL_OTHERS</t>
        </is>
      </c>
      <c r="G1282" t="inlineStr">
        <is>
          <t>CurrentWorkingView</t>
        </is>
      </c>
      <c r="H1282" t="inlineStr">
        <is>
          <t>Supply Cuts</t>
        </is>
      </c>
    </row>
    <row r="1283">
      <c r="A1283" t="inlineStr">
        <is>
          <t>Kylie Makeup</t>
        </is>
      </c>
      <c r="B1283" t="inlineStr">
        <is>
          <t>Lips (01245)</t>
        </is>
      </c>
      <c r="C1283" t="inlineStr">
        <is>
          <t>Kylie Velvet Lip Kit (00006095)</t>
        </is>
      </c>
      <c r="D1283" s="1" t="n">
        <v>4064941006992</v>
      </c>
      <c r="E1283" t="inlineStr">
        <is>
          <t>KJ MU V LIQ K MLTLPK 3ML 1.1G BARE IV</t>
        </is>
      </c>
      <c r="F1283" t="inlineStr">
        <is>
          <t>P_US_ALL_OTHERS</t>
        </is>
      </c>
      <c r="G1283" t="inlineStr">
        <is>
          <t>Month-2026.M09.W38</t>
        </is>
      </c>
      <c r="H1283" t="inlineStr">
        <is>
          <t>Consensus - Final LY M</t>
        </is>
      </c>
      <c r="I1283" t="n">
        <v>107</v>
      </c>
      <c r="J1283" t="n">
        <v>175</v>
      </c>
      <c r="K1283" t="n">
        <v>179</v>
      </c>
      <c r="L1283" t="n">
        <v>73</v>
      </c>
      <c r="M1283" t="n">
        <v>79</v>
      </c>
      <c r="N1283" t="n">
        <v>117</v>
      </c>
      <c r="O1283" t="n">
        <v>60</v>
      </c>
      <c r="P1283" t="n">
        <v>205</v>
      </c>
      <c r="Q1283" t="n">
        <v>115</v>
      </c>
      <c r="R1283" t="n">
        <v>83</v>
      </c>
      <c r="S1283" t="n">
        <v>75</v>
      </c>
      <c r="T1283" t="n">
        <v>53</v>
      </c>
    </row>
    <row r="1284">
      <c r="A1284" t="inlineStr">
        <is>
          <t>Kylie Makeup</t>
        </is>
      </c>
      <c r="B1284" t="inlineStr">
        <is>
          <t>Lips (01245)</t>
        </is>
      </c>
      <c r="C1284" t="inlineStr">
        <is>
          <t>Kylie Velvet Lip Kit (00006095)</t>
        </is>
      </c>
      <c r="D1284" s="1" t="n">
        <v>4064941006992</v>
      </c>
      <c r="E1284" t="inlineStr">
        <is>
          <t>KJ MU V LIQ K MLTLPK 3ML 1.1G BARE IV</t>
        </is>
      </c>
      <c r="F1284" t="inlineStr">
        <is>
          <t>P_US_ALL_OTHERS</t>
        </is>
      </c>
      <c r="G1284" t="inlineStr">
        <is>
          <t>Month-2026.M09.W38</t>
        </is>
      </c>
      <c r="H1284" t="inlineStr">
        <is>
          <t>System FC - Final</t>
        </is>
      </c>
      <c r="I1284" t="n">
        <v>83</v>
      </c>
      <c r="J1284" t="n">
        <v>115</v>
      </c>
      <c r="K1284" t="n">
        <v>280</v>
      </c>
      <c r="L1284" t="n">
        <v>94</v>
      </c>
      <c r="M1284" t="n">
        <v>120</v>
      </c>
      <c r="N1284" t="n">
        <v>116</v>
      </c>
      <c r="O1284" t="n">
        <v>111</v>
      </c>
      <c r="P1284" t="n">
        <v>156</v>
      </c>
      <c r="Q1284" t="n">
        <v>66</v>
      </c>
      <c r="R1284" t="n">
        <v>98</v>
      </c>
      <c r="S1284" t="n">
        <v>142</v>
      </c>
      <c r="T1284" t="n">
        <v>90</v>
      </c>
    </row>
    <row r="1285">
      <c r="A1285" t="inlineStr">
        <is>
          <t>Kylie Makeup</t>
        </is>
      </c>
      <c r="B1285" t="inlineStr">
        <is>
          <t>Lips (01245)</t>
        </is>
      </c>
      <c r="C1285" t="inlineStr">
        <is>
          <t>Kylie Velvet Lip Kit (00006095)</t>
        </is>
      </c>
      <c r="D1285" s="1" t="n">
        <v>4064941006992</v>
      </c>
      <c r="E1285" t="inlineStr">
        <is>
          <t>KJ MU V LIQ K MLTLPK 3ML 1.1G BARE IV</t>
        </is>
      </c>
      <c r="F1285" t="inlineStr">
        <is>
          <t>P_US_ALL_OTHERS</t>
        </is>
      </c>
      <c r="G1285" t="inlineStr">
        <is>
          <t>Month-2026.M09.W38</t>
        </is>
      </c>
      <c r="H1285" t="inlineStr">
        <is>
          <t>EPOS</t>
        </is>
      </c>
      <c r="I1285" t="n">
        <v>80</v>
      </c>
    </row>
    <row r="1286">
      <c r="A1286" t="inlineStr">
        <is>
          <t>Kylie Makeup</t>
        </is>
      </c>
      <c r="B1286" t="inlineStr">
        <is>
          <t>Lips (01245)</t>
        </is>
      </c>
      <c r="C1286" t="inlineStr">
        <is>
          <t>Kylie Velvet Lip Kit (00006095)</t>
        </is>
      </c>
      <c r="D1286" s="1" t="n">
        <v>4064941006992</v>
      </c>
      <c r="E1286" t="inlineStr">
        <is>
          <t>KJ MU V LIQ K MLTLPK 3ML 1.1G BARE IV</t>
        </is>
      </c>
      <c r="F1286" t="inlineStr">
        <is>
          <t>P_US_ALL_OTHERS</t>
        </is>
      </c>
      <c r="G1286" t="inlineStr">
        <is>
          <t>Month-2026.M09.W38</t>
        </is>
      </c>
      <c r="H1286" t="inlineStr">
        <is>
          <t>Reasonability Adjustment</t>
        </is>
      </c>
      <c r="T1286" t="n">
        <v>-12</v>
      </c>
    </row>
    <row r="1287">
      <c r="A1287" t="inlineStr">
        <is>
          <t>Kylie Makeup</t>
        </is>
      </c>
      <c r="B1287" t="inlineStr">
        <is>
          <t>Lips (01245)</t>
        </is>
      </c>
      <c r="C1287" t="inlineStr">
        <is>
          <t>Kylie Velvet Lip Kit (00006095)</t>
        </is>
      </c>
      <c r="D1287" s="1" t="n">
        <v>4064941006992</v>
      </c>
      <c r="E1287" t="inlineStr">
        <is>
          <t>KJ MU V LIQ K MLTLPK 3ML 1.1G BARE IV</t>
        </is>
      </c>
      <c r="F1287" t="inlineStr">
        <is>
          <t>P_US_ALL_OTHERS</t>
        </is>
      </c>
      <c r="G1287" t="inlineStr">
        <is>
          <t>Month-2026.M09.W38</t>
        </is>
      </c>
      <c r="H1287" t="inlineStr">
        <is>
          <t>Total Demand Assumption</t>
        </is>
      </c>
    </row>
    <row r="1288">
      <c r="A1288" t="inlineStr">
        <is>
          <t>Kylie Makeup</t>
        </is>
      </c>
      <c r="B1288" t="inlineStr">
        <is>
          <t>Lips (01245)</t>
        </is>
      </c>
      <c r="C1288" t="inlineStr">
        <is>
          <t>Kylie Velvet Lip Kit (00006095)</t>
        </is>
      </c>
      <c r="D1288" s="1" t="n">
        <v>4064941006992</v>
      </c>
      <c r="E1288" t="inlineStr">
        <is>
          <t>KJ MU V LIQ K MLTLPK 3ML 1.1G BARE IV</t>
        </is>
      </c>
      <c r="F1288" t="inlineStr">
        <is>
          <t>P_US_ALL_OTHERS</t>
        </is>
      </c>
      <c r="G1288" t="inlineStr">
        <is>
          <t>Month-2026.M09.W38</t>
        </is>
      </c>
      <c r="H1288" t="inlineStr">
        <is>
          <t>Consensus - Final</t>
        </is>
      </c>
      <c r="I1288" t="n">
        <v>83</v>
      </c>
      <c r="J1288" t="n">
        <v>115</v>
      </c>
      <c r="K1288" t="n">
        <v>179</v>
      </c>
      <c r="L1288" t="n">
        <v>94</v>
      </c>
      <c r="M1288" t="n">
        <v>120</v>
      </c>
      <c r="N1288" t="n">
        <v>116</v>
      </c>
      <c r="O1288" t="n">
        <v>111</v>
      </c>
      <c r="P1288" t="n">
        <v>156</v>
      </c>
      <c r="Q1288" t="n">
        <v>66</v>
      </c>
      <c r="R1288" t="n">
        <v>98</v>
      </c>
      <c r="S1288" t="n">
        <v>142</v>
      </c>
      <c r="T1288" t="n">
        <v>78</v>
      </c>
    </row>
    <row r="1289">
      <c r="A1289" t="inlineStr">
        <is>
          <t>Kylie Makeup</t>
        </is>
      </c>
      <c r="B1289" t="inlineStr">
        <is>
          <t>Lips (01245)</t>
        </is>
      </c>
      <c r="C1289" t="inlineStr">
        <is>
          <t>Kylie Velvet Lip Kit (00006095)</t>
        </is>
      </c>
      <c r="D1289" s="1" t="n">
        <v>4064941006992</v>
      </c>
      <c r="E1289" t="inlineStr">
        <is>
          <t>KJ MU V LIQ K MLTLPK 3ML 1.1G BARE IV</t>
        </is>
      </c>
      <c r="F1289" t="inlineStr">
        <is>
          <t>P_US_ALL_OTHERS</t>
        </is>
      </c>
      <c r="G1289" t="inlineStr">
        <is>
          <t>Month-2026.M09.W38</t>
        </is>
      </c>
      <c r="H1289" t="inlineStr">
        <is>
          <t>Supply Cuts</t>
        </is>
      </c>
    </row>
    <row r="1290">
      <c r="A1290" t="inlineStr">
        <is>
          <t>Kylie Makeup</t>
        </is>
      </c>
      <c r="B1290" t="inlineStr">
        <is>
          <t>Lips (01245)</t>
        </is>
      </c>
      <c r="C1290" t="inlineStr">
        <is>
          <t>Kylie Velvet Lip Kit (00006095)</t>
        </is>
      </c>
      <c r="D1290" s="1" t="n">
        <v>4064941006992</v>
      </c>
      <c r="E1290" t="inlineStr">
        <is>
          <t>KJ MU V LIQ K MLTLPK 3ML 1.1G BARE IV</t>
        </is>
      </c>
      <c r="F1290" t="inlineStr">
        <is>
          <t>P_US_FG</t>
        </is>
      </c>
      <c r="G1290" t="inlineStr">
        <is>
          <t>CurrentWorkingView</t>
        </is>
      </c>
      <c r="H1290" t="inlineStr">
        <is>
          <t>Consensus - Final LY M</t>
        </is>
      </c>
      <c r="L1290" t="n">
        <v>1</v>
      </c>
      <c r="Q1290" t="n">
        <v>36</v>
      </c>
    </row>
    <row r="1291">
      <c r="A1291" t="inlineStr">
        <is>
          <t>Kylie Makeup</t>
        </is>
      </c>
      <c r="B1291" t="inlineStr">
        <is>
          <t>Lips (01245)</t>
        </is>
      </c>
      <c r="C1291" t="inlineStr">
        <is>
          <t>Kylie Velvet Lip Kit (00006095)</t>
        </is>
      </c>
      <c r="D1291" s="1" t="n">
        <v>4064941006992</v>
      </c>
      <c r="E1291" t="inlineStr">
        <is>
          <t>KJ MU V LIQ K MLTLPK 3ML 1.1G BARE IV</t>
        </is>
      </c>
      <c r="F1291" t="inlineStr">
        <is>
          <t>P_US_FG</t>
        </is>
      </c>
      <c r="G1291" t="inlineStr">
        <is>
          <t>CurrentWorkingView</t>
        </is>
      </c>
      <c r="H1291" t="inlineStr">
        <is>
          <t>System FC - Final</t>
        </is>
      </c>
      <c r="K1291" t="n">
        <v>2</v>
      </c>
      <c r="L1291" t="n">
        <v>0</v>
      </c>
      <c r="M1291" t="n">
        <v>0</v>
      </c>
      <c r="N1291" t="n">
        <v>4</v>
      </c>
      <c r="O1291" t="n">
        <v>4</v>
      </c>
      <c r="P1291" t="n">
        <v>0</v>
      </c>
      <c r="Q1291" t="n">
        <v>9</v>
      </c>
      <c r="R1291" t="n">
        <v>5</v>
      </c>
      <c r="S1291" t="n">
        <v>0</v>
      </c>
      <c r="T1291" t="n">
        <v>0</v>
      </c>
    </row>
    <row r="1292">
      <c r="A1292" t="inlineStr">
        <is>
          <t>Kylie Makeup</t>
        </is>
      </c>
      <c r="B1292" t="inlineStr">
        <is>
          <t>Lips (01245)</t>
        </is>
      </c>
      <c r="C1292" t="inlineStr">
        <is>
          <t>Kylie Velvet Lip Kit (00006095)</t>
        </is>
      </c>
      <c r="D1292" s="1" t="n">
        <v>4064941006992</v>
      </c>
      <c r="E1292" t="inlineStr">
        <is>
          <t>KJ MU V LIQ K MLTLPK 3ML 1.1G BARE IV</t>
        </is>
      </c>
      <c r="F1292" t="inlineStr">
        <is>
          <t>P_US_FG</t>
        </is>
      </c>
      <c r="G1292" t="inlineStr">
        <is>
          <t>CurrentWorkingView</t>
        </is>
      </c>
      <c r="H1292" t="inlineStr">
        <is>
          <t>EPOS</t>
        </is>
      </c>
    </row>
    <row r="1293">
      <c r="A1293" t="inlineStr">
        <is>
          <t>Kylie Makeup</t>
        </is>
      </c>
      <c r="B1293" t="inlineStr">
        <is>
          <t>Lips (01245)</t>
        </is>
      </c>
      <c r="C1293" t="inlineStr">
        <is>
          <t>Kylie Velvet Lip Kit (00006095)</t>
        </is>
      </c>
      <c r="D1293" s="1" t="n">
        <v>4064941006992</v>
      </c>
      <c r="E1293" t="inlineStr">
        <is>
          <t>KJ MU V LIQ K MLTLPK 3ML 1.1G BARE IV</t>
        </is>
      </c>
      <c r="F1293" t="inlineStr">
        <is>
          <t>P_US_FG</t>
        </is>
      </c>
      <c r="G1293" t="inlineStr">
        <is>
          <t>CurrentWorkingView</t>
        </is>
      </c>
      <c r="H1293" t="inlineStr">
        <is>
          <t>Reasonability Adjustment</t>
        </is>
      </c>
    </row>
    <row r="1294">
      <c r="A1294" t="inlineStr">
        <is>
          <t>Kylie Makeup</t>
        </is>
      </c>
      <c r="B1294" t="inlineStr">
        <is>
          <t>Lips (01245)</t>
        </is>
      </c>
      <c r="C1294" t="inlineStr">
        <is>
          <t>Kylie Velvet Lip Kit (00006095)</t>
        </is>
      </c>
      <c r="D1294" s="1" t="n">
        <v>4064941006992</v>
      </c>
      <c r="E1294" t="inlineStr">
        <is>
          <t>KJ MU V LIQ K MLTLPK 3ML 1.1G BARE IV</t>
        </is>
      </c>
      <c r="F1294" t="inlineStr">
        <is>
          <t>P_US_FG</t>
        </is>
      </c>
      <c r="G1294" t="inlineStr">
        <is>
          <t>CurrentWorkingView</t>
        </is>
      </c>
      <c r="H1294" t="inlineStr">
        <is>
          <t>Total Demand Assumption</t>
        </is>
      </c>
    </row>
    <row r="1295">
      <c r="A1295" t="inlineStr">
        <is>
          <t>Kylie Makeup</t>
        </is>
      </c>
      <c r="B1295" t="inlineStr">
        <is>
          <t>Lips (01245)</t>
        </is>
      </c>
      <c r="C1295" t="inlineStr">
        <is>
          <t>Kylie Velvet Lip Kit (00006095)</t>
        </is>
      </c>
      <c r="D1295" s="1" t="n">
        <v>4064941006992</v>
      </c>
      <c r="E1295" t="inlineStr">
        <is>
          <t>KJ MU V LIQ K MLTLPK 3ML 1.1G BARE IV</t>
        </is>
      </c>
      <c r="F1295" t="inlineStr">
        <is>
          <t>P_US_FG</t>
        </is>
      </c>
      <c r="G1295" t="inlineStr">
        <is>
          <t>CurrentWorkingView</t>
        </is>
      </c>
      <c r="H1295" t="inlineStr">
        <is>
          <t>Consensus - Final</t>
        </is>
      </c>
      <c r="K1295" t="n">
        <v>0</v>
      </c>
    </row>
    <row r="1296">
      <c r="A1296" t="inlineStr">
        <is>
          <t>Kylie Makeup</t>
        </is>
      </c>
      <c r="B1296" t="inlineStr">
        <is>
          <t>Lips (01245)</t>
        </is>
      </c>
      <c r="C1296" t="inlineStr">
        <is>
          <t>Kylie Velvet Lip Kit (00006095)</t>
        </is>
      </c>
      <c r="D1296" s="1" t="n">
        <v>4064941006992</v>
      </c>
      <c r="E1296" t="inlineStr">
        <is>
          <t>KJ MU V LIQ K MLTLPK 3ML 1.1G BARE IV</t>
        </is>
      </c>
      <c r="F1296" t="inlineStr">
        <is>
          <t>P_US_FG</t>
        </is>
      </c>
      <c r="G1296" t="inlineStr">
        <is>
          <t>CurrentWorkingView</t>
        </is>
      </c>
      <c r="H1296" t="inlineStr">
        <is>
          <t>Supply Cuts</t>
        </is>
      </c>
    </row>
    <row r="1297">
      <c r="A1297" t="inlineStr">
        <is>
          <t>Kylie Makeup</t>
        </is>
      </c>
      <c r="B1297" t="inlineStr">
        <is>
          <t>Lips (01245)</t>
        </is>
      </c>
      <c r="C1297" t="inlineStr">
        <is>
          <t>Kylie Velvet Lip Kit (00006095)</t>
        </is>
      </c>
      <c r="D1297" s="1" t="n">
        <v>4064941006992</v>
      </c>
      <c r="E1297" t="inlineStr">
        <is>
          <t>KJ MU V LIQ K MLTLPK 3ML 1.1G BARE IV</t>
        </is>
      </c>
      <c r="F1297" t="inlineStr">
        <is>
          <t>P_US_FG</t>
        </is>
      </c>
      <c r="G1297" t="inlineStr">
        <is>
          <t>Month-2026.M09.W38</t>
        </is>
      </c>
      <c r="H1297" t="inlineStr">
        <is>
          <t>Consensus - Final LY M</t>
        </is>
      </c>
      <c r="L1297" t="n">
        <v>1</v>
      </c>
      <c r="Q1297" t="n">
        <v>36</v>
      </c>
    </row>
    <row r="1298">
      <c r="A1298" t="inlineStr">
        <is>
          <t>Kylie Makeup</t>
        </is>
      </c>
      <c r="B1298" t="inlineStr">
        <is>
          <t>Lips (01245)</t>
        </is>
      </c>
      <c r="C1298" t="inlineStr">
        <is>
          <t>Kylie Velvet Lip Kit (00006095)</t>
        </is>
      </c>
      <c r="D1298" s="1" t="n">
        <v>4064941006992</v>
      </c>
      <c r="E1298" t="inlineStr">
        <is>
          <t>KJ MU V LIQ K MLTLPK 3ML 1.1G BARE IV</t>
        </is>
      </c>
      <c r="F1298" t="inlineStr">
        <is>
          <t>P_US_FG</t>
        </is>
      </c>
      <c r="G1298" t="inlineStr">
        <is>
          <t>Month-2026.M09.W38</t>
        </is>
      </c>
      <c r="H1298" t="inlineStr">
        <is>
          <t>System FC - Final</t>
        </is>
      </c>
      <c r="K1298" t="n">
        <v>3</v>
      </c>
      <c r="L1298" t="n">
        <v>0</v>
      </c>
      <c r="M1298" t="n">
        <v>0</v>
      </c>
      <c r="N1298" t="n">
        <v>4</v>
      </c>
      <c r="O1298" t="n">
        <v>4</v>
      </c>
      <c r="P1298" t="n">
        <v>0</v>
      </c>
      <c r="Q1298" t="n">
        <v>9</v>
      </c>
      <c r="R1298" t="n">
        <v>5</v>
      </c>
      <c r="S1298" t="n">
        <v>0</v>
      </c>
      <c r="T1298" t="n">
        <v>4</v>
      </c>
    </row>
    <row r="1299">
      <c r="A1299" t="inlineStr">
        <is>
          <t>Kylie Makeup</t>
        </is>
      </c>
      <c r="B1299" t="inlineStr">
        <is>
          <t>Lips (01245)</t>
        </is>
      </c>
      <c r="C1299" t="inlineStr">
        <is>
          <t>Kylie Velvet Lip Kit (00006095)</t>
        </is>
      </c>
      <c r="D1299" s="1" t="n">
        <v>4064941006992</v>
      </c>
      <c r="E1299" t="inlineStr">
        <is>
          <t>KJ MU V LIQ K MLTLPK 3ML 1.1G BARE IV</t>
        </is>
      </c>
      <c r="F1299" t="inlineStr">
        <is>
          <t>P_US_FG</t>
        </is>
      </c>
      <c r="G1299" t="inlineStr">
        <is>
          <t>Month-2026.M09.W38</t>
        </is>
      </c>
      <c r="H1299" t="inlineStr">
        <is>
          <t>EPOS</t>
        </is>
      </c>
    </row>
    <row r="1300">
      <c r="A1300" t="inlineStr">
        <is>
          <t>Kylie Makeup</t>
        </is>
      </c>
      <c r="B1300" t="inlineStr">
        <is>
          <t>Lips (01245)</t>
        </is>
      </c>
      <c r="C1300" t="inlineStr">
        <is>
          <t>Kylie Velvet Lip Kit (00006095)</t>
        </is>
      </c>
      <c r="D1300" s="1" t="n">
        <v>4064941006992</v>
      </c>
      <c r="E1300" t="inlineStr">
        <is>
          <t>KJ MU V LIQ K MLTLPK 3ML 1.1G BARE IV</t>
        </is>
      </c>
      <c r="F1300" t="inlineStr">
        <is>
          <t>P_US_FG</t>
        </is>
      </c>
      <c r="G1300" t="inlineStr">
        <is>
          <t>Month-2026.M09.W38</t>
        </is>
      </c>
      <c r="H1300" t="inlineStr">
        <is>
          <t>Reasonability Adjustment</t>
        </is>
      </c>
    </row>
    <row r="1301">
      <c r="A1301" t="inlineStr">
        <is>
          <t>Kylie Makeup</t>
        </is>
      </c>
      <c r="B1301" t="inlineStr">
        <is>
          <t>Lips (01245)</t>
        </is>
      </c>
      <c r="C1301" t="inlineStr">
        <is>
          <t>Kylie Velvet Lip Kit (00006095)</t>
        </is>
      </c>
      <c r="D1301" s="1" t="n">
        <v>4064941006992</v>
      </c>
      <c r="E1301" t="inlineStr">
        <is>
          <t>KJ MU V LIQ K MLTLPK 3ML 1.1G BARE IV</t>
        </is>
      </c>
      <c r="F1301" t="inlineStr">
        <is>
          <t>P_US_FG</t>
        </is>
      </c>
      <c r="G1301" t="inlineStr">
        <is>
          <t>Month-2026.M09.W38</t>
        </is>
      </c>
      <c r="H1301" t="inlineStr">
        <is>
          <t>Total Demand Assumption</t>
        </is>
      </c>
    </row>
    <row r="1302">
      <c r="A1302" t="inlineStr">
        <is>
          <t>Kylie Makeup</t>
        </is>
      </c>
      <c r="B1302" t="inlineStr">
        <is>
          <t>Lips (01245)</t>
        </is>
      </c>
      <c r="C1302" t="inlineStr">
        <is>
          <t>Kylie Velvet Lip Kit (00006095)</t>
        </is>
      </c>
      <c r="D1302" s="1" t="n">
        <v>4064941006992</v>
      </c>
      <c r="E1302" t="inlineStr">
        <is>
          <t>KJ MU V LIQ K MLTLPK 3ML 1.1G BARE IV</t>
        </is>
      </c>
      <c r="F1302" t="inlineStr">
        <is>
          <t>P_US_FG</t>
        </is>
      </c>
      <c r="G1302" t="inlineStr">
        <is>
          <t>Month-2026.M09.W38</t>
        </is>
      </c>
      <c r="H1302" t="inlineStr">
        <is>
          <t>Consensus - Final</t>
        </is>
      </c>
      <c r="K1302" t="n">
        <v>0</v>
      </c>
    </row>
    <row r="1303">
      <c r="A1303" t="inlineStr">
        <is>
          <t>Kylie Makeup</t>
        </is>
      </c>
      <c r="B1303" t="inlineStr">
        <is>
          <t>Lips (01245)</t>
        </is>
      </c>
      <c r="C1303" t="inlineStr">
        <is>
          <t>Kylie Velvet Lip Kit (00006095)</t>
        </is>
      </c>
      <c r="D1303" s="1" t="n">
        <v>4064941006992</v>
      </c>
      <c r="E1303" t="inlineStr">
        <is>
          <t>KJ MU V LIQ K MLTLPK 3ML 1.1G BARE IV</t>
        </is>
      </c>
      <c r="F1303" t="inlineStr">
        <is>
          <t>P_US_FG</t>
        </is>
      </c>
      <c r="G1303" t="inlineStr">
        <is>
          <t>Month-2026.M09.W38</t>
        </is>
      </c>
      <c r="H1303" t="inlineStr">
        <is>
          <t>Supply Cuts</t>
        </is>
      </c>
    </row>
    <row r="1304">
      <c r="A1304" t="inlineStr">
        <is>
          <t>Kylie Makeup</t>
        </is>
      </c>
      <c r="B1304" t="inlineStr">
        <is>
          <t>Lips (01245)</t>
        </is>
      </c>
      <c r="C1304" t="inlineStr">
        <is>
          <t>Kylie Velvet Lip Kit (00006095)</t>
        </is>
      </c>
      <c r="D1304" s="1" t="n">
        <v>4064941006992</v>
      </c>
      <c r="E1304" t="inlineStr">
        <is>
          <t>KJ MU V LIQ K MLTLPK 3ML 1.1G BARE IV</t>
        </is>
      </c>
      <c r="F1304" t="inlineStr">
        <is>
          <t>P_US_ULTA</t>
        </is>
      </c>
      <c r="G1304" t="inlineStr">
        <is>
          <t>CurrentWorkingView</t>
        </is>
      </c>
      <c r="H1304" t="inlineStr">
        <is>
          <t>Consensus - Final LY M</t>
        </is>
      </c>
      <c r="I1304" t="n">
        <v>1374</v>
      </c>
      <c r="J1304" t="n">
        <v>718</v>
      </c>
      <c r="K1304" t="n">
        <v>2560</v>
      </c>
      <c r="L1304" t="n">
        <v>870</v>
      </c>
      <c r="M1304" t="n">
        <v>1274</v>
      </c>
      <c r="N1304" t="n">
        <v>1144</v>
      </c>
      <c r="O1304" t="n">
        <v>508</v>
      </c>
      <c r="P1304" t="n">
        <v>776</v>
      </c>
      <c r="Q1304" t="n">
        <v>1119</v>
      </c>
      <c r="R1304" t="n">
        <v>818</v>
      </c>
      <c r="S1304" t="n">
        <v>953</v>
      </c>
      <c r="T1304" t="n">
        <v>557</v>
      </c>
    </row>
    <row r="1305">
      <c r="A1305" t="inlineStr">
        <is>
          <t>Kylie Makeup</t>
        </is>
      </c>
      <c r="B1305" t="inlineStr">
        <is>
          <t>Lips (01245)</t>
        </is>
      </c>
      <c r="C1305" t="inlineStr">
        <is>
          <t>Kylie Velvet Lip Kit (00006095)</t>
        </is>
      </c>
      <c r="D1305" s="1" t="n">
        <v>4064941006992</v>
      </c>
      <c r="E1305" t="inlineStr">
        <is>
          <t>KJ MU V LIQ K MLTLPK 3ML 1.1G BARE IV</t>
        </is>
      </c>
      <c r="F1305" t="inlineStr">
        <is>
          <t>P_US_ULTA</t>
        </is>
      </c>
      <c r="G1305" t="inlineStr">
        <is>
          <t>CurrentWorkingView</t>
        </is>
      </c>
      <c r="H1305" t="inlineStr">
        <is>
          <t>System FC - Final</t>
        </is>
      </c>
      <c r="I1305" t="n">
        <v>539</v>
      </c>
      <c r="J1305" t="n">
        <v>566</v>
      </c>
      <c r="K1305" t="n">
        <v>854</v>
      </c>
      <c r="L1305" t="n">
        <v>832</v>
      </c>
      <c r="M1305" t="n">
        <v>788</v>
      </c>
      <c r="N1305" t="n">
        <v>1373</v>
      </c>
      <c r="O1305" t="n">
        <v>868</v>
      </c>
      <c r="P1305" t="n">
        <v>884</v>
      </c>
      <c r="Q1305" t="n">
        <v>1891</v>
      </c>
      <c r="R1305" t="n">
        <v>673</v>
      </c>
      <c r="S1305" t="n">
        <v>938</v>
      </c>
      <c r="T1305" t="n">
        <v>591</v>
      </c>
    </row>
    <row r="1306">
      <c r="A1306" t="inlineStr">
        <is>
          <t>Kylie Makeup</t>
        </is>
      </c>
      <c r="B1306" t="inlineStr">
        <is>
          <t>Lips (01245)</t>
        </is>
      </c>
      <c r="C1306" t="inlineStr">
        <is>
          <t>Kylie Velvet Lip Kit (00006095)</t>
        </is>
      </c>
      <c r="D1306" s="1" t="n">
        <v>4064941006992</v>
      </c>
      <c r="E1306" t="inlineStr">
        <is>
          <t>KJ MU V LIQ K MLTLPK 3ML 1.1G BARE IV</t>
        </is>
      </c>
      <c r="F1306" t="inlineStr">
        <is>
          <t>P_US_ULTA</t>
        </is>
      </c>
      <c r="G1306" t="inlineStr">
        <is>
          <t>CurrentWorkingView</t>
        </is>
      </c>
      <c r="H1306" t="inlineStr">
        <is>
          <t>EPOS</t>
        </is>
      </c>
      <c r="I1306" t="n">
        <v>615</v>
      </c>
    </row>
    <row r="1307">
      <c r="A1307" t="inlineStr">
        <is>
          <t>Kylie Makeup</t>
        </is>
      </c>
      <c r="B1307" t="inlineStr">
        <is>
          <t>Lips (01245)</t>
        </is>
      </c>
      <c r="C1307" t="inlineStr">
        <is>
          <t>Kylie Velvet Lip Kit (00006095)</t>
        </is>
      </c>
      <c r="D1307" s="1" t="n">
        <v>4064941006992</v>
      </c>
      <c r="E1307" t="inlineStr">
        <is>
          <t>KJ MU V LIQ K MLTLPK 3ML 1.1G BARE IV</t>
        </is>
      </c>
      <c r="F1307" t="inlineStr">
        <is>
          <t>P_US_ULTA</t>
        </is>
      </c>
      <c r="G1307" t="inlineStr">
        <is>
          <t>CurrentWorkingView</t>
        </is>
      </c>
      <c r="H1307" t="inlineStr">
        <is>
          <t>Reasonability Adjustment</t>
        </is>
      </c>
      <c r="T1307" t="n">
        <v>-117</v>
      </c>
    </row>
    <row r="1308">
      <c r="A1308" t="inlineStr">
        <is>
          <t>Kylie Makeup</t>
        </is>
      </c>
      <c r="B1308" t="inlineStr">
        <is>
          <t>Lips (01245)</t>
        </is>
      </c>
      <c r="C1308" t="inlineStr">
        <is>
          <t>Kylie Velvet Lip Kit (00006095)</t>
        </is>
      </c>
      <c r="D1308" s="1" t="n">
        <v>4064941006992</v>
      </c>
      <c r="E1308" t="inlineStr">
        <is>
          <t>KJ MU V LIQ K MLTLPK 3ML 1.1G BARE IV</t>
        </is>
      </c>
      <c r="F1308" t="inlineStr">
        <is>
          <t>P_US_ULTA</t>
        </is>
      </c>
      <c r="G1308" t="inlineStr">
        <is>
          <t>CurrentWorkingView</t>
        </is>
      </c>
      <c r="H1308" t="inlineStr">
        <is>
          <t>Total Demand Assumption</t>
        </is>
      </c>
      <c r="I1308" t="n">
        <v>-328</v>
      </c>
      <c r="J1308" t="n">
        <v>-238</v>
      </c>
      <c r="K1308" t="n">
        <v>-269</v>
      </c>
      <c r="L1308" t="n">
        <v>-298</v>
      </c>
      <c r="M1308" t="n">
        <v>-253</v>
      </c>
      <c r="N1308" t="n">
        <v>-204</v>
      </c>
      <c r="O1308" t="n">
        <v>-194</v>
      </c>
      <c r="P1308" t="n">
        <v>-227</v>
      </c>
      <c r="Q1308" t="n">
        <v>-208</v>
      </c>
      <c r="R1308" t="n">
        <v>-202</v>
      </c>
      <c r="S1308" t="n">
        <v>-513</v>
      </c>
      <c r="T1308" t="n">
        <v>-222</v>
      </c>
    </row>
    <row r="1309">
      <c r="A1309" t="inlineStr">
        <is>
          <t>Kylie Makeup</t>
        </is>
      </c>
      <c r="B1309" t="inlineStr">
        <is>
          <t>Lips (01245)</t>
        </is>
      </c>
      <c r="C1309" t="inlineStr">
        <is>
          <t>Kylie Velvet Lip Kit (00006095)</t>
        </is>
      </c>
      <c r="D1309" s="1" t="n">
        <v>4064941006992</v>
      </c>
      <c r="E1309" t="inlineStr">
        <is>
          <t>KJ MU V LIQ K MLTLPK 3ML 1.1G BARE IV</t>
        </is>
      </c>
      <c r="F1309" t="inlineStr">
        <is>
          <t>P_US_ULTA</t>
        </is>
      </c>
      <c r="G1309" t="inlineStr">
        <is>
          <t>CurrentWorkingView</t>
        </is>
      </c>
      <c r="H1309" t="inlineStr">
        <is>
          <t>Consensus - Final</t>
        </is>
      </c>
      <c r="I1309" t="n">
        <v>539</v>
      </c>
      <c r="J1309" t="n">
        <v>566</v>
      </c>
      <c r="K1309" t="n">
        <v>882</v>
      </c>
      <c r="L1309" t="n">
        <v>571</v>
      </c>
      <c r="M1309" t="n">
        <v>577</v>
      </c>
      <c r="N1309" t="n">
        <v>1169</v>
      </c>
      <c r="O1309" t="n">
        <v>674</v>
      </c>
      <c r="P1309" t="n">
        <v>657</v>
      </c>
      <c r="Q1309" t="n">
        <v>1683</v>
      </c>
      <c r="R1309" t="n">
        <v>471</v>
      </c>
      <c r="S1309" t="n">
        <v>506</v>
      </c>
      <c r="T1309" t="n">
        <v>252</v>
      </c>
    </row>
    <row r="1310">
      <c r="A1310" t="inlineStr">
        <is>
          <t>Kylie Makeup</t>
        </is>
      </c>
      <c r="B1310" t="inlineStr">
        <is>
          <t>Lips (01245)</t>
        </is>
      </c>
      <c r="C1310" t="inlineStr">
        <is>
          <t>Kylie Velvet Lip Kit (00006095)</t>
        </is>
      </c>
      <c r="D1310" s="1" t="n">
        <v>4064941006992</v>
      </c>
      <c r="E1310" t="inlineStr">
        <is>
          <t>KJ MU V LIQ K MLTLPK 3ML 1.1G BARE IV</t>
        </is>
      </c>
      <c r="F1310" t="inlineStr">
        <is>
          <t>P_US_ULTA</t>
        </is>
      </c>
      <c r="G1310" t="inlineStr">
        <is>
          <t>CurrentWorkingView</t>
        </is>
      </c>
      <c r="H1310" t="inlineStr">
        <is>
          <t>Supply Cuts</t>
        </is>
      </c>
    </row>
    <row r="1311">
      <c r="A1311" t="inlineStr">
        <is>
          <t>Kylie Makeup</t>
        </is>
      </c>
      <c r="B1311" t="inlineStr">
        <is>
          <t>Lips (01245)</t>
        </is>
      </c>
      <c r="C1311" t="inlineStr">
        <is>
          <t>Kylie Velvet Lip Kit (00006095)</t>
        </is>
      </c>
      <c r="D1311" s="1" t="n">
        <v>4064941006992</v>
      </c>
      <c r="E1311" t="inlineStr">
        <is>
          <t>KJ MU V LIQ K MLTLPK 3ML 1.1G BARE IV</t>
        </is>
      </c>
      <c r="F1311" t="inlineStr">
        <is>
          <t>P_US_ULTA</t>
        </is>
      </c>
      <c r="G1311" t="inlineStr">
        <is>
          <t>Month-2026.M09.W38</t>
        </is>
      </c>
      <c r="H1311" t="inlineStr">
        <is>
          <t>Consensus - Final LY M</t>
        </is>
      </c>
      <c r="I1311" t="n">
        <v>1374</v>
      </c>
      <c r="J1311" t="n">
        <v>718</v>
      </c>
      <c r="K1311" t="n">
        <v>2560</v>
      </c>
      <c r="L1311" t="n">
        <v>870</v>
      </c>
      <c r="M1311" t="n">
        <v>1274</v>
      </c>
      <c r="N1311" t="n">
        <v>1144</v>
      </c>
      <c r="O1311" t="n">
        <v>508</v>
      </c>
      <c r="P1311" t="n">
        <v>776</v>
      </c>
      <c r="Q1311" t="n">
        <v>1119</v>
      </c>
      <c r="R1311" t="n">
        <v>818</v>
      </c>
      <c r="S1311" t="n">
        <v>953</v>
      </c>
      <c r="T1311" t="n">
        <v>557</v>
      </c>
    </row>
    <row r="1312">
      <c r="A1312" t="inlineStr">
        <is>
          <t>Kylie Makeup</t>
        </is>
      </c>
      <c r="B1312" t="inlineStr">
        <is>
          <t>Lips (01245)</t>
        </is>
      </c>
      <c r="C1312" t="inlineStr">
        <is>
          <t>Kylie Velvet Lip Kit (00006095)</t>
        </is>
      </c>
      <c r="D1312" s="1" t="n">
        <v>4064941006992</v>
      </c>
      <c r="E1312" t="inlineStr">
        <is>
          <t>KJ MU V LIQ K MLTLPK 3ML 1.1G BARE IV</t>
        </is>
      </c>
      <c r="F1312" t="inlineStr">
        <is>
          <t>P_US_ULTA</t>
        </is>
      </c>
      <c r="G1312" t="inlineStr">
        <is>
          <t>Month-2026.M09.W38</t>
        </is>
      </c>
      <c r="H1312" t="inlineStr">
        <is>
          <t>System FC - Final</t>
        </is>
      </c>
      <c r="I1312" t="n">
        <v>539</v>
      </c>
      <c r="J1312" t="n">
        <v>566</v>
      </c>
      <c r="K1312" t="n">
        <v>1013</v>
      </c>
      <c r="L1312" t="n">
        <v>1107</v>
      </c>
      <c r="M1312" t="n">
        <v>746</v>
      </c>
      <c r="N1312" t="n">
        <v>1023</v>
      </c>
      <c r="O1312" t="n">
        <v>788</v>
      </c>
      <c r="P1312" t="n">
        <v>972</v>
      </c>
      <c r="Q1312" t="n">
        <v>1085</v>
      </c>
      <c r="R1312" t="n">
        <v>677</v>
      </c>
      <c r="S1312" t="n">
        <v>757</v>
      </c>
      <c r="T1312" t="n">
        <v>871</v>
      </c>
    </row>
    <row r="1313">
      <c r="A1313" t="inlineStr">
        <is>
          <t>Kylie Makeup</t>
        </is>
      </c>
      <c r="B1313" t="inlineStr">
        <is>
          <t>Lips (01245)</t>
        </is>
      </c>
      <c r="C1313" t="inlineStr">
        <is>
          <t>Kylie Velvet Lip Kit (00006095)</t>
        </is>
      </c>
      <c r="D1313" s="1" t="n">
        <v>4064941006992</v>
      </c>
      <c r="E1313" t="inlineStr">
        <is>
          <t>KJ MU V LIQ K MLTLPK 3ML 1.1G BARE IV</t>
        </is>
      </c>
      <c r="F1313" t="inlineStr">
        <is>
          <t>P_US_ULTA</t>
        </is>
      </c>
      <c r="G1313" t="inlineStr">
        <is>
          <t>Month-2026.M09.W38</t>
        </is>
      </c>
      <c r="H1313" t="inlineStr">
        <is>
          <t>EPOS</t>
        </is>
      </c>
      <c r="I1313" t="n">
        <v>615</v>
      </c>
    </row>
    <row r="1314">
      <c r="A1314" t="inlineStr">
        <is>
          <t>Kylie Makeup</t>
        </is>
      </c>
      <c r="B1314" t="inlineStr">
        <is>
          <t>Lips (01245)</t>
        </is>
      </c>
      <c r="C1314" t="inlineStr">
        <is>
          <t>Kylie Velvet Lip Kit (00006095)</t>
        </is>
      </c>
      <c r="D1314" s="1" t="n">
        <v>4064941006992</v>
      </c>
      <c r="E1314" t="inlineStr">
        <is>
          <t>KJ MU V LIQ K MLTLPK 3ML 1.1G BARE IV</t>
        </is>
      </c>
      <c r="F1314" t="inlineStr">
        <is>
          <t>P_US_ULTA</t>
        </is>
      </c>
      <c r="G1314" t="inlineStr">
        <is>
          <t>Month-2026.M09.W38</t>
        </is>
      </c>
      <c r="H1314" t="inlineStr">
        <is>
          <t>Reasonability Adjustment</t>
        </is>
      </c>
      <c r="T1314" t="n">
        <v>-117</v>
      </c>
    </row>
    <row r="1315">
      <c r="A1315" t="inlineStr">
        <is>
          <t>Kylie Makeup</t>
        </is>
      </c>
      <c r="B1315" t="inlineStr">
        <is>
          <t>Lips (01245)</t>
        </is>
      </c>
      <c r="C1315" t="inlineStr">
        <is>
          <t>Kylie Velvet Lip Kit (00006095)</t>
        </is>
      </c>
      <c r="D1315" s="1" t="n">
        <v>4064941006992</v>
      </c>
      <c r="E1315" t="inlineStr">
        <is>
          <t>KJ MU V LIQ K MLTLPK 3ML 1.1G BARE IV</t>
        </is>
      </c>
      <c r="F1315" t="inlineStr">
        <is>
          <t>P_US_ULTA</t>
        </is>
      </c>
      <c r="G1315" t="inlineStr">
        <is>
          <t>Month-2026.M09.W38</t>
        </is>
      </c>
      <c r="H1315" t="inlineStr">
        <is>
          <t>Total Demand Assumption</t>
        </is>
      </c>
      <c r="I1315" t="n">
        <v>-328</v>
      </c>
      <c r="J1315" t="n">
        <v>-238</v>
      </c>
      <c r="K1315" t="n">
        <v>-269</v>
      </c>
      <c r="L1315" t="n">
        <v>-298</v>
      </c>
      <c r="M1315" t="n">
        <v>-253</v>
      </c>
      <c r="N1315" t="n">
        <v>-204</v>
      </c>
      <c r="O1315" t="n">
        <v>-194</v>
      </c>
      <c r="P1315" t="n">
        <v>-227</v>
      </c>
      <c r="Q1315" t="n">
        <v>-208</v>
      </c>
      <c r="R1315" t="n">
        <v>-202</v>
      </c>
      <c r="S1315" t="n">
        <v>-513</v>
      </c>
      <c r="T1315" t="n">
        <v>-222</v>
      </c>
    </row>
    <row r="1316">
      <c r="A1316" t="inlineStr">
        <is>
          <t>Kylie Makeup</t>
        </is>
      </c>
      <c r="B1316" t="inlineStr">
        <is>
          <t>Lips (01245)</t>
        </is>
      </c>
      <c r="C1316" t="inlineStr">
        <is>
          <t>Kylie Velvet Lip Kit (00006095)</t>
        </is>
      </c>
      <c r="D1316" s="1" t="n">
        <v>4064941006992</v>
      </c>
      <c r="E1316" t="inlineStr">
        <is>
          <t>KJ MU V LIQ K MLTLPK 3ML 1.1G BARE IV</t>
        </is>
      </c>
      <c r="F1316" t="inlineStr">
        <is>
          <t>P_US_ULTA</t>
        </is>
      </c>
      <c r="G1316" t="inlineStr">
        <is>
          <t>Month-2026.M09.W38</t>
        </is>
      </c>
      <c r="H1316" t="inlineStr">
        <is>
          <t>Consensus - Final</t>
        </is>
      </c>
      <c r="I1316" t="n">
        <v>539</v>
      </c>
      <c r="J1316" t="n">
        <v>566</v>
      </c>
      <c r="K1316" t="n">
        <v>882</v>
      </c>
      <c r="L1316" t="n">
        <v>839</v>
      </c>
      <c r="M1316" t="n">
        <v>527</v>
      </c>
      <c r="N1316" t="n">
        <v>819</v>
      </c>
      <c r="O1316" t="n">
        <v>594</v>
      </c>
      <c r="P1316" t="n">
        <v>745</v>
      </c>
      <c r="Q1316" t="n">
        <v>877</v>
      </c>
      <c r="R1316" t="n">
        <v>475</v>
      </c>
      <c r="S1316" t="n">
        <v>342</v>
      </c>
      <c r="T1316" t="n">
        <v>532</v>
      </c>
    </row>
    <row r="1317">
      <c r="A1317" t="inlineStr">
        <is>
          <t>Kylie Makeup</t>
        </is>
      </c>
      <c r="B1317" t="inlineStr">
        <is>
          <t>Lips (01245)</t>
        </is>
      </c>
      <c r="C1317" t="inlineStr">
        <is>
          <t>Kylie Velvet Lip Kit (00006095)</t>
        </is>
      </c>
      <c r="D1317" s="1" t="n">
        <v>4064941006992</v>
      </c>
      <c r="E1317" t="inlineStr">
        <is>
          <t>KJ MU V LIQ K MLTLPK 3ML 1.1G BARE IV</t>
        </is>
      </c>
      <c r="F1317" t="inlineStr">
        <is>
          <t>P_US_ULTA</t>
        </is>
      </c>
      <c r="G1317" t="inlineStr">
        <is>
          <t>Month-2026.M09.W38</t>
        </is>
      </c>
      <c r="H1317" t="inlineStr">
        <is>
          <t>Supply Cuts</t>
        </is>
      </c>
    </row>
    <row r="1318">
      <c r="A1318" t="inlineStr">
        <is>
          <t>Kylie Makeup</t>
        </is>
      </c>
      <c r="B1318" t="inlineStr">
        <is>
          <t>Lips (01245)</t>
        </is>
      </c>
      <c r="C1318" t="inlineStr">
        <is>
          <t>Kylie Matte Lip Kit (00006094)</t>
        </is>
      </c>
      <c r="D1318" s="1" t="n">
        <v>4064941008552</v>
      </c>
      <c r="E1318" t="inlineStr">
        <is>
          <t>KJ MU M LIQ K SET NWMDIN403 BITE ME 23IV</t>
        </is>
      </c>
      <c r="F1318" t="inlineStr">
        <is>
          <t>P_US_ALL_OTHERS</t>
        </is>
      </c>
      <c r="G1318" t="inlineStr">
        <is>
          <t>CurrentWorkingView</t>
        </is>
      </c>
      <c r="H1318" t="inlineStr">
        <is>
          <t>Consensus - Final LY M</t>
        </is>
      </c>
      <c r="I1318" t="n">
        <v>225</v>
      </c>
      <c r="J1318" t="n">
        <v>145</v>
      </c>
      <c r="K1318" t="n">
        <v>302</v>
      </c>
      <c r="L1318" t="n">
        <v>145</v>
      </c>
      <c r="M1318" t="n">
        <v>216</v>
      </c>
      <c r="N1318" t="n">
        <v>223</v>
      </c>
      <c r="O1318" t="n">
        <v>372</v>
      </c>
      <c r="P1318" t="n">
        <v>447</v>
      </c>
      <c r="Q1318" t="n">
        <v>225</v>
      </c>
      <c r="R1318" t="n">
        <v>324</v>
      </c>
      <c r="S1318" t="n">
        <v>316</v>
      </c>
      <c r="T1318" t="n">
        <v>110</v>
      </c>
    </row>
    <row r="1319">
      <c r="A1319" t="inlineStr">
        <is>
          <t>Kylie Makeup</t>
        </is>
      </c>
      <c r="B1319" t="inlineStr">
        <is>
          <t>Lips (01245)</t>
        </is>
      </c>
      <c r="C1319" t="inlineStr">
        <is>
          <t>Kylie Matte Lip Kit (00006094)</t>
        </is>
      </c>
      <c r="D1319" s="1" t="n">
        <v>4064941008552</v>
      </c>
      <c r="E1319" t="inlineStr">
        <is>
          <t>KJ MU M LIQ K SET NWMDIN403 BITE ME 23IV</t>
        </is>
      </c>
      <c r="F1319" t="inlineStr">
        <is>
          <t>P_US_ALL_OTHERS</t>
        </is>
      </c>
      <c r="G1319" t="inlineStr">
        <is>
          <t>CurrentWorkingView</t>
        </is>
      </c>
      <c r="H1319" t="inlineStr">
        <is>
          <t>System FC - Final</t>
        </is>
      </c>
      <c r="I1319" t="n">
        <v>168</v>
      </c>
      <c r="J1319" t="n">
        <v>191</v>
      </c>
      <c r="K1319" t="n">
        <v>138</v>
      </c>
      <c r="L1319" t="n">
        <v>214</v>
      </c>
      <c r="M1319" t="n">
        <v>290</v>
      </c>
      <c r="N1319" t="n">
        <v>310</v>
      </c>
      <c r="O1319" t="n">
        <v>331</v>
      </c>
      <c r="P1319" t="n">
        <v>368</v>
      </c>
      <c r="Q1319" t="n">
        <v>358</v>
      </c>
      <c r="R1319" t="n">
        <v>288</v>
      </c>
      <c r="S1319" t="n">
        <v>349</v>
      </c>
      <c r="T1319" t="n">
        <v>304</v>
      </c>
    </row>
    <row r="1320">
      <c r="A1320" t="inlineStr">
        <is>
          <t>Kylie Makeup</t>
        </is>
      </c>
      <c r="B1320" t="inlineStr">
        <is>
          <t>Lips (01245)</t>
        </is>
      </c>
      <c r="C1320" t="inlineStr">
        <is>
          <t>Kylie Matte Lip Kit (00006094)</t>
        </is>
      </c>
      <c r="D1320" s="1" t="n">
        <v>4064941008552</v>
      </c>
      <c r="E1320" t="inlineStr">
        <is>
          <t>KJ MU M LIQ K SET NWMDIN403 BITE ME 23IV</t>
        </is>
      </c>
      <c r="F1320" t="inlineStr">
        <is>
          <t>P_US_ALL_OTHERS</t>
        </is>
      </c>
      <c r="G1320" t="inlineStr">
        <is>
          <t>CurrentWorkingView</t>
        </is>
      </c>
      <c r="H1320" t="inlineStr">
        <is>
          <t>EPOS</t>
        </is>
      </c>
      <c r="I1320" t="n">
        <v>155</v>
      </c>
    </row>
    <row r="1321">
      <c r="A1321" t="inlineStr">
        <is>
          <t>Kylie Makeup</t>
        </is>
      </c>
      <c r="B1321" t="inlineStr">
        <is>
          <t>Lips (01245)</t>
        </is>
      </c>
      <c r="C1321" t="inlineStr">
        <is>
          <t>Kylie Matte Lip Kit (00006094)</t>
        </is>
      </c>
      <c r="D1321" s="1" t="n">
        <v>4064941008552</v>
      </c>
      <c r="E1321" t="inlineStr">
        <is>
          <t>KJ MU M LIQ K SET NWMDIN403 BITE ME 23IV</t>
        </is>
      </c>
      <c r="F1321" t="inlineStr">
        <is>
          <t>P_US_ALL_OTHERS</t>
        </is>
      </c>
      <c r="G1321" t="inlineStr">
        <is>
          <t>CurrentWorkingView</t>
        </is>
      </c>
      <c r="H1321" t="inlineStr">
        <is>
          <t>Reasonability Adjustment</t>
        </is>
      </c>
      <c r="R1321" t="n">
        <v>-88</v>
      </c>
      <c r="S1321" t="n">
        <v>-148</v>
      </c>
    </row>
    <row r="1322">
      <c r="A1322" t="inlineStr">
        <is>
          <t>Kylie Makeup</t>
        </is>
      </c>
      <c r="B1322" t="inlineStr">
        <is>
          <t>Lips (01245)</t>
        </is>
      </c>
      <c r="C1322" t="inlineStr">
        <is>
          <t>Kylie Matte Lip Kit (00006094)</t>
        </is>
      </c>
      <c r="D1322" s="1" t="n">
        <v>4064941008552</v>
      </c>
      <c r="E1322" t="inlineStr">
        <is>
          <t>KJ MU M LIQ K SET NWMDIN403 BITE ME 23IV</t>
        </is>
      </c>
      <c r="F1322" t="inlineStr">
        <is>
          <t>P_US_ALL_OTHERS</t>
        </is>
      </c>
      <c r="G1322" t="inlineStr">
        <is>
          <t>CurrentWorkingView</t>
        </is>
      </c>
      <c r="H1322" t="inlineStr">
        <is>
          <t>Total Demand Assumption</t>
        </is>
      </c>
    </row>
    <row r="1323">
      <c r="A1323" t="inlineStr">
        <is>
          <t>Kylie Makeup</t>
        </is>
      </c>
      <c r="B1323" t="inlineStr">
        <is>
          <t>Lips (01245)</t>
        </is>
      </c>
      <c r="C1323" t="inlineStr">
        <is>
          <t>Kylie Matte Lip Kit (00006094)</t>
        </is>
      </c>
      <c r="D1323" s="1" t="n">
        <v>4064941008552</v>
      </c>
      <c r="E1323" t="inlineStr">
        <is>
          <t>KJ MU M LIQ K SET NWMDIN403 BITE ME 23IV</t>
        </is>
      </c>
      <c r="F1323" t="inlineStr">
        <is>
          <t>P_US_ALL_OTHERS</t>
        </is>
      </c>
      <c r="G1323" t="inlineStr">
        <is>
          <t>CurrentWorkingView</t>
        </is>
      </c>
      <c r="H1323" t="inlineStr">
        <is>
          <t>Consensus - Final</t>
        </is>
      </c>
      <c r="I1323" t="n">
        <v>168</v>
      </c>
      <c r="J1323" t="n">
        <v>191</v>
      </c>
      <c r="K1323" t="n">
        <v>234.015151515151</v>
      </c>
      <c r="L1323" t="n">
        <v>214</v>
      </c>
      <c r="M1323" t="n">
        <v>290</v>
      </c>
      <c r="N1323" t="n">
        <v>310</v>
      </c>
      <c r="O1323" t="n">
        <v>331</v>
      </c>
      <c r="P1323" t="n">
        <v>368</v>
      </c>
      <c r="Q1323" t="n">
        <v>358</v>
      </c>
      <c r="R1323" t="n">
        <v>200</v>
      </c>
      <c r="S1323" t="n">
        <v>201</v>
      </c>
      <c r="T1323" t="n">
        <v>304</v>
      </c>
    </row>
    <row r="1324">
      <c r="A1324" t="inlineStr">
        <is>
          <t>Kylie Makeup</t>
        </is>
      </c>
      <c r="B1324" t="inlineStr">
        <is>
          <t>Lips (01245)</t>
        </is>
      </c>
      <c r="C1324" t="inlineStr">
        <is>
          <t>Kylie Matte Lip Kit (00006094)</t>
        </is>
      </c>
      <c r="D1324" s="1" t="n">
        <v>4064941008552</v>
      </c>
      <c r="E1324" t="inlineStr">
        <is>
          <t>KJ MU M LIQ K SET NWMDIN403 BITE ME 23IV</t>
        </is>
      </c>
      <c r="F1324" t="inlineStr">
        <is>
          <t>P_US_ALL_OTHERS</t>
        </is>
      </c>
      <c r="G1324" t="inlineStr">
        <is>
          <t>CurrentWorkingView</t>
        </is>
      </c>
      <c r="H1324" t="inlineStr">
        <is>
          <t>Supply Cuts</t>
        </is>
      </c>
    </row>
    <row r="1325">
      <c r="A1325" t="inlineStr">
        <is>
          <t>Kylie Makeup</t>
        </is>
      </c>
      <c r="B1325" t="inlineStr">
        <is>
          <t>Lips (01245)</t>
        </is>
      </c>
      <c r="C1325" t="inlineStr">
        <is>
          <t>Kylie Matte Lip Kit (00006094)</t>
        </is>
      </c>
      <c r="D1325" s="1" t="n">
        <v>4064941008552</v>
      </c>
      <c r="E1325" t="inlineStr">
        <is>
          <t>KJ MU M LIQ K SET NWMDIN403 BITE ME 23IV</t>
        </is>
      </c>
      <c r="F1325" t="inlineStr">
        <is>
          <t>P_US_ALL_OTHERS</t>
        </is>
      </c>
      <c r="G1325" t="inlineStr">
        <is>
          <t>Month-2026.M09.W38</t>
        </is>
      </c>
      <c r="H1325" t="inlineStr">
        <is>
          <t>Consensus - Final LY M</t>
        </is>
      </c>
      <c r="I1325" t="n">
        <v>225</v>
      </c>
      <c r="J1325" t="n">
        <v>145</v>
      </c>
      <c r="K1325" t="n">
        <v>302</v>
      </c>
      <c r="L1325" t="n">
        <v>145</v>
      </c>
      <c r="M1325" t="n">
        <v>216</v>
      </c>
      <c r="N1325" t="n">
        <v>223</v>
      </c>
      <c r="O1325" t="n">
        <v>372</v>
      </c>
      <c r="P1325" t="n">
        <v>447</v>
      </c>
      <c r="Q1325" t="n">
        <v>225</v>
      </c>
      <c r="R1325" t="n">
        <v>324</v>
      </c>
      <c r="S1325" t="n">
        <v>316</v>
      </c>
      <c r="T1325" t="n">
        <v>110</v>
      </c>
    </row>
    <row r="1326">
      <c r="A1326" t="inlineStr">
        <is>
          <t>Kylie Makeup</t>
        </is>
      </c>
      <c r="B1326" t="inlineStr">
        <is>
          <t>Lips (01245)</t>
        </is>
      </c>
      <c r="C1326" t="inlineStr">
        <is>
          <t>Kylie Matte Lip Kit (00006094)</t>
        </is>
      </c>
      <c r="D1326" s="1" t="n">
        <v>4064941008552</v>
      </c>
      <c r="E1326" t="inlineStr">
        <is>
          <t>KJ MU M LIQ K SET NWMDIN403 BITE ME 23IV</t>
        </is>
      </c>
      <c r="F1326" t="inlineStr">
        <is>
          <t>P_US_ALL_OTHERS</t>
        </is>
      </c>
      <c r="G1326" t="inlineStr">
        <is>
          <t>Month-2026.M09.W38</t>
        </is>
      </c>
      <c r="H1326" t="inlineStr">
        <is>
          <t>System FC - Final</t>
        </is>
      </c>
      <c r="I1326" t="n">
        <v>168</v>
      </c>
      <c r="J1326" t="n">
        <v>191</v>
      </c>
      <c r="K1326" t="n">
        <v>192</v>
      </c>
      <c r="L1326" t="n">
        <v>284</v>
      </c>
      <c r="M1326" t="n">
        <v>222</v>
      </c>
      <c r="N1326" t="n">
        <v>287</v>
      </c>
      <c r="O1326" t="n">
        <v>350</v>
      </c>
      <c r="P1326" t="n">
        <v>364</v>
      </c>
      <c r="Q1326" t="n">
        <v>288</v>
      </c>
      <c r="R1326" t="n">
        <v>210</v>
      </c>
      <c r="S1326" t="n">
        <v>314</v>
      </c>
      <c r="T1326" t="n">
        <v>253</v>
      </c>
    </row>
    <row r="1327">
      <c r="A1327" t="inlineStr">
        <is>
          <t>Kylie Makeup</t>
        </is>
      </c>
      <c r="B1327" t="inlineStr">
        <is>
          <t>Lips (01245)</t>
        </is>
      </c>
      <c r="C1327" t="inlineStr">
        <is>
          <t>Kylie Matte Lip Kit (00006094)</t>
        </is>
      </c>
      <c r="D1327" s="1" t="n">
        <v>4064941008552</v>
      </c>
      <c r="E1327" t="inlineStr">
        <is>
          <t>KJ MU M LIQ K SET NWMDIN403 BITE ME 23IV</t>
        </is>
      </c>
      <c r="F1327" t="inlineStr">
        <is>
          <t>P_US_ALL_OTHERS</t>
        </is>
      </c>
      <c r="G1327" t="inlineStr">
        <is>
          <t>Month-2026.M09.W38</t>
        </is>
      </c>
      <c r="H1327" t="inlineStr">
        <is>
          <t>EPOS</t>
        </is>
      </c>
      <c r="I1327" t="n">
        <v>155</v>
      </c>
    </row>
    <row r="1328">
      <c r="A1328" t="inlineStr">
        <is>
          <t>Kylie Makeup</t>
        </is>
      </c>
      <c r="B1328" t="inlineStr">
        <is>
          <t>Lips (01245)</t>
        </is>
      </c>
      <c r="C1328" t="inlineStr">
        <is>
          <t>Kylie Matte Lip Kit (00006094)</t>
        </is>
      </c>
      <c r="D1328" s="1" t="n">
        <v>4064941008552</v>
      </c>
      <c r="E1328" t="inlineStr">
        <is>
          <t>KJ MU M LIQ K SET NWMDIN403 BITE ME 23IV</t>
        </is>
      </c>
      <c r="F1328" t="inlineStr">
        <is>
          <t>P_US_ALL_OTHERS</t>
        </is>
      </c>
      <c r="G1328" t="inlineStr">
        <is>
          <t>Month-2026.M09.W38</t>
        </is>
      </c>
      <c r="H1328" t="inlineStr">
        <is>
          <t>Reasonability Adjustment</t>
        </is>
      </c>
      <c r="R1328" t="n">
        <v>-88</v>
      </c>
      <c r="S1328" t="n">
        <v>-148</v>
      </c>
    </row>
    <row r="1329">
      <c r="A1329" t="inlineStr">
        <is>
          <t>Kylie Makeup</t>
        </is>
      </c>
      <c r="B1329" t="inlineStr">
        <is>
          <t>Lips (01245)</t>
        </is>
      </c>
      <c r="C1329" t="inlineStr">
        <is>
          <t>Kylie Matte Lip Kit (00006094)</t>
        </is>
      </c>
      <c r="D1329" s="1" t="n">
        <v>4064941008552</v>
      </c>
      <c r="E1329" t="inlineStr">
        <is>
          <t>KJ MU M LIQ K SET NWMDIN403 BITE ME 23IV</t>
        </is>
      </c>
      <c r="F1329" t="inlineStr">
        <is>
          <t>P_US_ALL_OTHERS</t>
        </is>
      </c>
      <c r="G1329" t="inlineStr">
        <is>
          <t>Month-2026.M09.W38</t>
        </is>
      </c>
      <c r="H1329" t="inlineStr">
        <is>
          <t>Total Demand Assumption</t>
        </is>
      </c>
    </row>
    <row r="1330">
      <c r="A1330" t="inlineStr">
        <is>
          <t>Kylie Makeup</t>
        </is>
      </c>
      <c r="B1330" t="inlineStr">
        <is>
          <t>Lips (01245)</t>
        </is>
      </c>
      <c r="C1330" t="inlineStr">
        <is>
          <t>Kylie Matte Lip Kit (00006094)</t>
        </is>
      </c>
      <c r="D1330" s="1" t="n">
        <v>4064941008552</v>
      </c>
      <c r="E1330" t="inlineStr">
        <is>
          <t>KJ MU M LIQ K SET NWMDIN403 BITE ME 23IV</t>
        </is>
      </c>
      <c r="F1330" t="inlineStr">
        <is>
          <t>P_US_ALL_OTHERS</t>
        </is>
      </c>
      <c r="G1330" t="inlineStr">
        <is>
          <t>Month-2026.M09.W38</t>
        </is>
      </c>
      <c r="H1330" t="inlineStr">
        <is>
          <t>Consensus - Final</t>
        </is>
      </c>
      <c r="I1330" t="n">
        <v>168</v>
      </c>
      <c r="J1330" t="n">
        <v>191</v>
      </c>
      <c r="K1330" t="n">
        <v>234.015151515151</v>
      </c>
      <c r="L1330" t="n">
        <v>284</v>
      </c>
      <c r="M1330" t="n">
        <v>222</v>
      </c>
      <c r="N1330" t="n">
        <v>287</v>
      </c>
      <c r="O1330" t="n">
        <v>350</v>
      </c>
      <c r="P1330" t="n">
        <v>364</v>
      </c>
      <c r="Q1330" t="n">
        <v>288</v>
      </c>
      <c r="R1330" t="n">
        <v>122</v>
      </c>
      <c r="S1330" t="n">
        <v>166</v>
      </c>
      <c r="T1330" t="n">
        <v>253</v>
      </c>
    </row>
    <row r="1331">
      <c r="A1331" t="inlineStr">
        <is>
          <t>Kylie Makeup</t>
        </is>
      </c>
      <c r="B1331" t="inlineStr">
        <is>
          <t>Lips (01245)</t>
        </is>
      </c>
      <c r="C1331" t="inlineStr">
        <is>
          <t>Kylie Matte Lip Kit (00006094)</t>
        </is>
      </c>
      <c r="D1331" s="1" t="n">
        <v>4064941008552</v>
      </c>
      <c r="E1331" t="inlineStr">
        <is>
          <t>KJ MU M LIQ K SET NWMDIN403 BITE ME 23IV</t>
        </is>
      </c>
      <c r="F1331" t="inlineStr">
        <is>
          <t>P_US_ALL_OTHERS</t>
        </is>
      </c>
      <c r="G1331" t="inlineStr">
        <is>
          <t>Month-2026.M09.W38</t>
        </is>
      </c>
      <c r="H1331" t="inlineStr">
        <is>
          <t>Supply Cuts</t>
        </is>
      </c>
    </row>
    <row r="1332">
      <c r="A1332" t="inlineStr">
        <is>
          <t>Kylie Makeup</t>
        </is>
      </c>
      <c r="B1332" t="inlineStr">
        <is>
          <t>Lips (01245)</t>
        </is>
      </c>
      <c r="C1332" t="inlineStr">
        <is>
          <t>Kylie Matte Lip Kit (00006094)</t>
        </is>
      </c>
      <c r="D1332" s="1" t="n">
        <v>4064941008552</v>
      </c>
      <c r="E1332" t="inlineStr">
        <is>
          <t>KJ MU M LIQ K SET NWMDIN403 BITE ME 23IV</t>
        </is>
      </c>
      <c r="F1332" t="inlineStr">
        <is>
          <t>P_US_FG</t>
        </is>
      </c>
      <c r="G1332" t="inlineStr">
        <is>
          <t>CurrentWorkingView</t>
        </is>
      </c>
      <c r="H1332" t="inlineStr">
        <is>
          <t>Consensus - Final LY M</t>
        </is>
      </c>
      <c r="L1332" t="n">
        <v>1</v>
      </c>
      <c r="Q1332" t="n">
        <v>26</v>
      </c>
    </row>
    <row r="1333">
      <c r="A1333" t="inlineStr">
        <is>
          <t>Kylie Makeup</t>
        </is>
      </c>
      <c r="B1333" t="inlineStr">
        <is>
          <t>Lips (01245)</t>
        </is>
      </c>
      <c r="C1333" t="inlineStr">
        <is>
          <t>Kylie Matte Lip Kit (00006094)</t>
        </is>
      </c>
      <c r="D1333" s="1" t="n">
        <v>4064941008552</v>
      </c>
      <c r="E1333" t="inlineStr">
        <is>
          <t>KJ MU M LIQ K SET NWMDIN403 BITE ME 23IV</t>
        </is>
      </c>
      <c r="F1333" t="inlineStr">
        <is>
          <t>P_US_FG</t>
        </is>
      </c>
      <c r="G1333" t="inlineStr">
        <is>
          <t>CurrentWorkingView</t>
        </is>
      </c>
      <c r="H1333" t="inlineStr">
        <is>
          <t>System FC - Final</t>
        </is>
      </c>
      <c r="K1333" t="n">
        <v>0</v>
      </c>
      <c r="L1333" t="n">
        <v>0</v>
      </c>
      <c r="M1333" t="n">
        <v>4</v>
      </c>
      <c r="N1333" t="n">
        <v>3</v>
      </c>
      <c r="O1333" t="n">
        <v>0</v>
      </c>
      <c r="P1333" t="n">
        <v>0</v>
      </c>
      <c r="Q1333" t="n">
        <v>9</v>
      </c>
      <c r="R1333" t="n">
        <v>4</v>
      </c>
      <c r="S1333" t="n">
        <v>0</v>
      </c>
      <c r="T1333" t="n">
        <v>0</v>
      </c>
    </row>
    <row r="1334">
      <c r="A1334" t="inlineStr">
        <is>
          <t>Kylie Makeup</t>
        </is>
      </c>
      <c r="B1334" t="inlineStr">
        <is>
          <t>Lips (01245)</t>
        </is>
      </c>
      <c r="C1334" t="inlineStr">
        <is>
          <t>Kylie Matte Lip Kit (00006094)</t>
        </is>
      </c>
      <c r="D1334" s="1" t="n">
        <v>4064941008552</v>
      </c>
      <c r="E1334" t="inlineStr">
        <is>
          <t>KJ MU M LIQ K SET NWMDIN403 BITE ME 23IV</t>
        </is>
      </c>
      <c r="F1334" t="inlineStr">
        <is>
          <t>P_US_FG</t>
        </is>
      </c>
      <c r="G1334" t="inlineStr">
        <is>
          <t>CurrentWorkingView</t>
        </is>
      </c>
      <c r="H1334" t="inlineStr">
        <is>
          <t>EPOS</t>
        </is>
      </c>
    </row>
    <row r="1335">
      <c r="A1335" t="inlineStr">
        <is>
          <t>Kylie Makeup</t>
        </is>
      </c>
      <c r="B1335" t="inlineStr">
        <is>
          <t>Lips (01245)</t>
        </is>
      </c>
      <c r="C1335" t="inlineStr">
        <is>
          <t>Kylie Matte Lip Kit (00006094)</t>
        </is>
      </c>
      <c r="D1335" s="1" t="n">
        <v>4064941008552</v>
      </c>
      <c r="E1335" t="inlineStr">
        <is>
          <t>KJ MU M LIQ K SET NWMDIN403 BITE ME 23IV</t>
        </is>
      </c>
      <c r="F1335" t="inlineStr">
        <is>
          <t>P_US_FG</t>
        </is>
      </c>
      <c r="G1335" t="inlineStr">
        <is>
          <t>CurrentWorkingView</t>
        </is>
      </c>
      <c r="H1335" t="inlineStr">
        <is>
          <t>Reasonability Adjustment</t>
        </is>
      </c>
    </row>
    <row r="1336">
      <c r="A1336" t="inlineStr">
        <is>
          <t>Kylie Makeup</t>
        </is>
      </c>
      <c r="B1336" t="inlineStr">
        <is>
          <t>Lips (01245)</t>
        </is>
      </c>
      <c r="C1336" t="inlineStr">
        <is>
          <t>Kylie Matte Lip Kit (00006094)</t>
        </is>
      </c>
      <c r="D1336" s="1" t="n">
        <v>4064941008552</v>
      </c>
      <c r="E1336" t="inlineStr">
        <is>
          <t>KJ MU M LIQ K SET NWMDIN403 BITE ME 23IV</t>
        </is>
      </c>
      <c r="F1336" t="inlineStr">
        <is>
          <t>P_US_FG</t>
        </is>
      </c>
      <c r="G1336" t="inlineStr">
        <is>
          <t>CurrentWorkingView</t>
        </is>
      </c>
      <c r="H1336" t="inlineStr">
        <is>
          <t>Total Demand Assumption</t>
        </is>
      </c>
    </row>
    <row r="1337">
      <c r="A1337" t="inlineStr">
        <is>
          <t>Kylie Makeup</t>
        </is>
      </c>
      <c r="B1337" t="inlineStr">
        <is>
          <t>Lips (01245)</t>
        </is>
      </c>
      <c r="C1337" t="inlineStr">
        <is>
          <t>Kylie Matte Lip Kit (00006094)</t>
        </is>
      </c>
      <c r="D1337" s="1" t="n">
        <v>4064941008552</v>
      </c>
      <c r="E1337" t="inlineStr">
        <is>
          <t>KJ MU M LIQ K SET NWMDIN403 BITE ME 23IV</t>
        </is>
      </c>
      <c r="F1337" t="inlineStr">
        <is>
          <t>P_US_FG</t>
        </is>
      </c>
      <c r="G1337" t="inlineStr">
        <is>
          <t>CurrentWorkingView</t>
        </is>
      </c>
      <c r="H1337" t="inlineStr">
        <is>
          <t>Consensus - Final</t>
        </is>
      </c>
      <c r="K1337" t="n">
        <v>0</v>
      </c>
    </row>
    <row r="1338">
      <c r="A1338" t="inlineStr">
        <is>
          <t>Kylie Makeup</t>
        </is>
      </c>
      <c r="B1338" t="inlineStr">
        <is>
          <t>Lips (01245)</t>
        </is>
      </c>
      <c r="C1338" t="inlineStr">
        <is>
          <t>Kylie Matte Lip Kit (00006094)</t>
        </is>
      </c>
      <c r="D1338" s="1" t="n">
        <v>4064941008552</v>
      </c>
      <c r="E1338" t="inlineStr">
        <is>
          <t>KJ MU M LIQ K SET NWMDIN403 BITE ME 23IV</t>
        </is>
      </c>
      <c r="F1338" t="inlineStr">
        <is>
          <t>P_US_FG</t>
        </is>
      </c>
      <c r="G1338" t="inlineStr">
        <is>
          <t>CurrentWorkingView</t>
        </is>
      </c>
      <c r="H1338" t="inlineStr">
        <is>
          <t>Supply Cuts</t>
        </is>
      </c>
    </row>
    <row r="1339">
      <c r="A1339" t="inlineStr">
        <is>
          <t>Kylie Makeup</t>
        </is>
      </c>
      <c r="B1339" t="inlineStr">
        <is>
          <t>Lips (01245)</t>
        </is>
      </c>
      <c r="C1339" t="inlineStr">
        <is>
          <t>Kylie Matte Lip Kit (00006094)</t>
        </is>
      </c>
      <c r="D1339" s="1" t="n">
        <v>4064941008552</v>
      </c>
      <c r="E1339" t="inlineStr">
        <is>
          <t>KJ MU M LIQ K SET NWMDIN403 BITE ME 23IV</t>
        </is>
      </c>
      <c r="F1339" t="inlineStr">
        <is>
          <t>P_US_FG</t>
        </is>
      </c>
      <c r="G1339" t="inlineStr">
        <is>
          <t>Month-2026.M09.W38</t>
        </is>
      </c>
      <c r="H1339" t="inlineStr">
        <is>
          <t>Consensus - Final LY M</t>
        </is>
      </c>
      <c r="L1339" t="n">
        <v>1</v>
      </c>
      <c r="Q1339" t="n">
        <v>26</v>
      </c>
    </row>
    <row r="1340">
      <c r="A1340" t="inlineStr">
        <is>
          <t>Kylie Makeup</t>
        </is>
      </c>
      <c r="B1340" t="inlineStr">
        <is>
          <t>Lips (01245)</t>
        </is>
      </c>
      <c r="C1340" t="inlineStr">
        <is>
          <t>Kylie Matte Lip Kit (00006094)</t>
        </is>
      </c>
      <c r="D1340" s="1" t="n">
        <v>4064941008552</v>
      </c>
      <c r="E1340" t="inlineStr">
        <is>
          <t>KJ MU M LIQ K SET NWMDIN403 BITE ME 23IV</t>
        </is>
      </c>
      <c r="F1340" t="inlineStr">
        <is>
          <t>P_US_FG</t>
        </is>
      </c>
      <c r="G1340" t="inlineStr">
        <is>
          <t>Month-2026.M09.W38</t>
        </is>
      </c>
      <c r="H1340" t="inlineStr">
        <is>
          <t>System FC - Final</t>
        </is>
      </c>
      <c r="K1340" t="n">
        <v>0</v>
      </c>
      <c r="L1340" t="n">
        <v>0</v>
      </c>
      <c r="M1340" t="n">
        <v>4</v>
      </c>
      <c r="N1340" t="n">
        <v>3</v>
      </c>
      <c r="O1340" t="n">
        <v>0</v>
      </c>
      <c r="P1340" t="n">
        <v>0</v>
      </c>
      <c r="Q1340" t="n">
        <v>9</v>
      </c>
      <c r="R1340" t="n">
        <v>4</v>
      </c>
      <c r="S1340" t="n">
        <v>0</v>
      </c>
      <c r="T1340" t="n">
        <v>0</v>
      </c>
    </row>
    <row r="1341">
      <c r="A1341" t="inlineStr">
        <is>
          <t>Kylie Makeup</t>
        </is>
      </c>
      <c r="B1341" t="inlineStr">
        <is>
          <t>Lips (01245)</t>
        </is>
      </c>
      <c r="C1341" t="inlineStr">
        <is>
          <t>Kylie Matte Lip Kit (00006094)</t>
        </is>
      </c>
      <c r="D1341" s="1" t="n">
        <v>4064941008552</v>
      </c>
      <c r="E1341" t="inlineStr">
        <is>
          <t>KJ MU M LIQ K SET NWMDIN403 BITE ME 23IV</t>
        </is>
      </c>
      <c r="F1341" t="inlineStr">
        <is>
          <t>P_US_FG</t>
        </is>
      </c>
      <c r="G1341" t="inlineStr">
        <is>
          <t>Month-2026.M09.W38</t>
        </is>
      </c>
      <c r="H1341" t="inlineStr">
        <is>
          <t>EPOS</t>
        </is>
      </c>
    </row>
    <row r="1342">
      <c r="A1342" t="inlineStr">
        <is>
          <t>Kylie Makeup</t>
        </is>
      </c>
      <c r="B1342" t="inlineStr">
        <is>
          <t>Lips (01245)</t>
        </is>
      </c>
      <c r="C1342" t="inlineStr">
        <is>
          <t>Kylie Matte Lip Kit (00006094)</t>
        </is>
      </c>
      <c r="D1342" s="1" t="n">
        <v>4064941008552</v>
      </c>
      <c r="E1342" t="inlineStr">
        <is>
          <t>KJ MU M LIQ K SET NWMDIN403 BITE ME 23IV</t>
        </is>
      </c>
      <c r="F1342" t="inlineStr">
        <is>
          <t>P_US_FG</t>
        </is>
      </c>
      <c r="G1342" t="inlineStr">
        <is>
          <t>Month-2026.M09.W38</t>
        </is>
      </c>
      <c r="H1342" t="inlineStr">
        <is>
          <t>Reasonability Adjustment</t>
        </is>
      </c>
    </row>
    <row r="1343">
      <c r="A1343" t="inlineStr">
        <is>
          <t>Kylie Makeup</t>
        </is>
      </c>
      <c r="B1343" t="inlineStr">
        <is>
          <t>Lips (01245)</t>
        </is>
      </c>
      <c r="C1343" t="inlineStr">
        <is>
          <t>Kylie Matte Lip Kit (00006094)</t>
        </is>
      </c>
      <c r="D1343" s="1" t="n">
        <v>4064941008552</v>
      </c>
      <c r="E1343" t="inlineStr">
        <is>
          <t>KJ MU M LIQ K SET NWMDIN403 BITE ME 23IV</t>
        </is>
      </c>
      <c r="F1343" t="inlineStr">
        <is>
          <t>P_US_FG</t>
        </is>
      </c>
      <c r="G1343" t="inlineStr">
        <is>
          <t>Month-2026.M09.W38</t>
        </is>
      </c>
      <c r="H1343" t="inlineStr">
        <is>
          <t>Total Demand Assumption</t>
        </is>
      </c>
    </row>
    <row r="1344">
      <c r="A1344" t="inlineStr">
        <is>
          <t>Kylie Makeup</t>
        </is>
      </c>
      <c r="B1344" t="inlineStr">
        <is>
          <t>Lips (01245)</t>
        </is>
      </c>
      <c r="C1344" t="inlineStr">
        <is>
          <t>Kylie Matte Lip Kit (00006094)</t>
        </is>
      </c>
      <c r="D1344" s="1" t="n">
        <v>4064941008552</v>
      </c>
      <c r="E1344" t="inlineStr">
        <is>
          <t>KJ MU M LIQ K SET NWMDIN403 BITE ME 23IV</t>
        </is>
      </c>
      <c r="F1344" t="inlineStr">
        <is>
          <t>P_US_FG</t>
        </is>
      </c>
      <c r="G1344" t="inlineStr">
        <is>
          <t>Month-2026.M09.W38</t>
        </is>
      </c>
      <c r="H1344" t="inlineStr">
        <is>
          <t>Consensus - Final</t>
        </is>
      </c>
      <c r="K1344" t="n">
        <v>0</v>
      </c>
    </row>
    <row r="1345">
      <c r="A1345" t="inlineStr">
        <is>
          <t>Kylie Makeup</t>
        </is>
      </c>
      <c r="B1345" t="inlineStr">
        <is>
          <t>Lips (01245)</t>
        </is>
      </c>
      <c r="C1345" t="inlineStr">
        <is>
          <t>Kylie Matte Lip Kit (00006094)</t>
        </is>
      </c>
      <c r="D1345" s="1" t="n">
        <v>4064941008552</v>
      </c>
      <c r="E1345" t="inlineStr">
        <is>
          <t>KJ MU M LIQ K SET NWMDIN403 BITE ME 23IV</t>
        </is>
      </c>
      <c r="F1345" t="inlineStr">
        <is>
          <t>P_US_FG</t>
        </is>
      </c>
      <c r="G1345" t="inlineStr">
        <is>
          <t>Month-2026.M09.W38</t>
        </is>
      </c>
      <c r="H1345" t="inlineStr">
        <is>
          <t>Supply Cuts</t>
        </is>
      </c>
    </row>
    <row r="1346">
      <c r="A1346" t="inlineStr">
        <is>
          <t>Kylie Makeup</t>
        </is>
      </c>
      <c r="B1346" t="inlineStr">
        <is>
          <t>Lips (01245)</t>
        </is>
      </c>
      <c r="C1346" t="inlineStr">
        <is>
          <t>Kylie Matte Lip Kit (00006094)</t>
        </is>
      </c>
      <c r="D1346" s="1" t="n">
        <v>4064941008552</v>
      </c>
      <c r="E1346" t="inlineStr">
        <is>
          <t>KJ MU M LIQ K SET NWMDIN403 BITE ME 23IV</t>
        </is>
      </c>
      <c r="F1346" t="inlineStr">
        <is>
          <t>P_US_ULTA</t>
        </is>
      </c>
      <c r="G1346" t="inlineStr">
        <is>
          <t>CurrentWorkingView</t>
        </is>
      </c>
      <c r="H1346" t="inlineStr">
        <is>
          <t>Consensus - Final LY M</t>
        </is>
      </c>
      <c r="I1346" t="n">
        <v>961</v>
      </c>
      <c r="J1346" t="n">
        <v>1125</v>
      </c>
      <c r="K1346" t="n">
        <v>1183</v>
      </c>
      <c r="L1346" t="n">
        <v>1039</v>
      </c>
      <c r="M1346" t="n">
        <v>2020</v>
      </c>
      <c r="N1346" t="n">
        <v>609</v>
      </c>
      <c r="O1346" t="n">
        <v>2513</v>
      </c>
      <c r="P1346" t="n">
        <v>3465</v>
      </c>
      <c r="Q1346" t="n">
        <v>214</v>
      </c>
      <c r="R1346" t="n">
        <v>341</v>
      </c>
      <c r="S1346" t="n">
        <v>586</v>
      </c>
      <c r="T1346" t="n">
        <v>647</v>
      </c>
    </row>
    <row r="1347">
      <c r="A1347" t="inlineStr">
        <is>
          <t>Kylie Makeup</t>
        </is>
      </c>
      <c r="B1347" t="inlineStr">
        <is>
          <t>Lips (01245)</t>
        </is>
      </c>
      <c r="C1347" t="inlineStr">
        <is>
          <t>Kylie Matte Lip Kit (00006094)</t>
        </is>
      </c>
      <c r="D1347" s="1" t="n">
        <v>4064941008552</v>
      </c>
      <c r="E1347" t="inlineStr">
        <is>
          <t>KJ MU M LIQ K SET NWMDIN403 BITE ME 23IV</t>
        </is>
      </c>
      <c r="F1347" t="inlineStr">
        <is>
          <t>P_US_ULTA</t>
        </is>
      </c>
      <c r="G1347" t="inlineStr">
        <is>
          <t>CurrentWorkingView</t>
        </is>
      </c>
      <c r="H1347" t="inlineStr">
        <is>
          <t>System FC - Final</t>
        </is>
      </c>
      <c r="I1347" t="n">
        <v>731</v>
      </c>
      <c r="J1347" t="n">
        <v>1494</v>
      </c>
      <c r="K1347" t="n">
        <v>1046</v>
      </c>
      <c r="L1347" t="n">
        <v>854</v>
      </c>
      <c r="M1347" t="n">
        <v>1164</v>
      </c>
      <c r="N1347" t="n">
        <v>1238</v>
      </c>
      <c r="O1347" t="n">
        <v>1314</v>
      </c>
      <c r="P1347" t="n">
        <v>1469</v>
      </c>
      <c r="Q1347" t="n">
        <v>1437</v>
      </c>
      <c r="R1347" t="n">
        <v>1150</v>
      </c>
      <c r="S1347" t="n">
        <v>1397</v>
      </c>
      <c r="T1347" t="n">
        <v>1207</v>
      </c>
    </row>
    <row r="1348">
      <c r="A1348" t="inlineStr">
        <is>
          <t>Kylie Makeup</t>
        </is>
      </c>
      <c r="B1348" t="inlineStr">
        <is>
          <t>Lips (01245)</t>
        </is>
      </c>
      <c r="C1348" t="inlineStr">
        <is>
          <t>Kylie Matte Lip Kit (00006094)</t>
        </is>
      </c>
      <c r="D1348" s="1" t="n">
        <v>4064941008552</v>
      </c>
      <c r="E1348" t="inlineStr">
        <is>
          <t>KJ MU M LIQ K SET NWMDIN403 BITE ME 23IV</t>
        </is>
      </c>
      <c r="F1348" t="inlineStr">
        <is>
          <t>P_US_ULTA</t>
        </is>
      </c>
      <c r="G1348" t="inlineStr">
        <is>
          <t>CurrentWorkingView</t>
        </is>
      </c>
      <c r="H1348" t="inlineStr">
        <is>
          <t>EPOS</t>
        </is>
      </c>
      <c r="I1348" t="n">
        <v>535</v>
      </c>
    </row>
    <row r="1349">
      <c r="A1349" t="inlineStr">
        <is>
          <t>Kylie Makeup</t>
        </is>
      </c>
      <c r="B1349" t="inlineStr">
        <is>
          <t>Lips (01245)</t>
        </is>
      </c>
      <c r="C1349" t="inlineStr">
        <is>
          <t>Kylie Matte Lip Kit (00006094)</t>
        </is>
      </c>
      <c r="D1349" s="1" t="n">
        <v>4064941008552</v>
      </c>
      <c r="E1349" t="inlineStr">
        <is>
          <t>KJ MU M LIQ K SET NWMDIN403 BITE ME 23IV</t>
        </is>
      </c>
      <c r="F1349" t="inlineStr">
        <is>
          <t>P_US_ULTA</t>
        </is>
      </c>
      <c r="G1349" t="inlineStr">
        <is>
          <t>CurrentWorkingView</t>
        </is>
      </c>
      <c r="H1349" t="inlineStr">
        <is>
          <t>Reasonability Adjustment</t>
        </is>
      </c>
      <c r="R1349" t="n">
        <v>-390</v>
      </c>
      <c r="S1349" t="n">
        <v>-659</v>
      </c>
      <c r="T1349" t="n">
        <v>-936</v>
      </c>
    </row>
    <row r="1350">
      <c r="A1350" t="inlineStr">
        <is>
          <t>Kylie Makeup</t>
        </is>
      </c>
      <c r="B1350" t="inlineStr">
        <is>
          <t>Lips (01245)</t>
        </is>
      </c>
      <c r="C1350" t="inlineStr">
        <is>
          <t>Kylie Matte Lip Kit (00006094)</t>
        </is>
      </c>
      <c r="D1350" s="1" t="n">
        <v>4064941008552</v>
      </c>
      <c r="E1350" t="inlineStr">
        <is>
          <t>KJ MU M LIQ K SET NWMDIN403 BITE ME 23IV</t>
        </is>
      </c>
      <c r="F1350" t="inlineStr">
        <is>
          <t>P_US_ULTA</t>
        </is>
      </c>
      <c r="G1350" t="inlineStr">
        <is>
          <t>CurrentWorkingView</t>
        </is>
      </c>
      <c r="H1350" t="inlineStr">
        <is>
          <t>Total Demand Assumption</t>
        </is>
      </c>
    </row>
    <row r="1351">
      <c r="A1351" t="inlineStr">
        <is>
          <t>Kylie Makeup</t>
        </is>
      </c>
      <c r="B1351" t="inlineStr">
        <is>
          <t>Lips (01245)</t>
        </is>
      </c>
      <c r="C1351" t="inlineStr">
        <is>
          <t>Kylie Matte Lip Kit (00006094)</t>
        </is>
      </c>
      <c r="D1351" s="1" t="n">
        <v>4064941008552</v>
      </c>
      <c r="E1351" t="inlineStr">
        <is>
          <t>KJ MU M LIQ K SET NWMDIN403 BITE ME 23IV</t>
        </is>
      </c>
      <c r="F1351" t="inlineStr">
        <is>
          <t>P_US_ULTA</t>
        </is>
      </c>
      <c r="G1351" t="inlineStr">
        <is>
          <t>CurrentWorkingView</t>
        </is>
      </c>
      <c r="H1351" t="inlineStr">
        <is>
          <t>Consensus - Final</t>
        </is>
      </c>
      <c r="I1351" t="n">
        <v>731</v>
      </c>
      <c r="J1351" t="n">
        <v>1494</v>
      </c>
      <c r="K1351" t="n">
        <v>1075.98484848484</v>
      </c>
      <c r="L1351" t="n">
        <v>854</v>
      </c>
      <c r="M1351" t="n">
        <v>1164</v>
      </c>
      <c r="N1351" t="n">
        <v>1238</v>
      </c>
      <c r="O1351" t="n">
        <v>1314</v>
      </c>
      <c r="P1351" t="n">
        <v>1469</v>
      </c>
      <c r="Q1351" t="n">
        <v>1437</v>
      </c>
      <c r="R1351" t="n">
        <v>760</v>
      </c>
      <c r="S1351" t="n">
        <v>738</v>
      </c>
      <c r="T1351" t="n">
        <v>271</v>
      </c>
    </row>
    <row r="1352">
      <c r="A1352" t="inlineStr">
        <is>
          <t>Kylie Makeup</t>
        </is>
      </c>
      <c r="B1352" t="inlineStr">
        <is>
          <t>Lips (01245)</t>
        </is>
      </c>
      <c r="C1352" t="inlineStr">
        <is>
          <t>Kylie Matte Lip Kit (00006094)</t>
        </is>
      </c>
      <c r="D1352" s="1" t="n">
        <v>4064941008552</v>
      </c>
      <c r="E1352" t="inlineStr">
        <is>
          <t>KJ MU M LIQ K SET NWMDIN403 BITE ME 23IV</t>
        </is>
      </c>
      <c r="F1352" t="inlineStr">
        <is>
          <t>P_US_ULTA</t>
        </is>
      </c>
      <c r="G1352" t="inlineStr">
        <is>
          <t>CurrentWorkingView</t>
        </is>
      </c>
      <c r="H1352" t="inlineStr">
        <is>
          <t>Supply Cuts</t>
        </is>
      </c>
    </row>
    <row r="1353">
      <c r="A1353" t="inlineStr">
        <is>
          <t>Kylie Makeup</t>
        </is>
      </c>
      <c r="B1353" t="inlineStr">
        <is>
          <t>Lips (01245)</t>
        </is>
      </c>
      <c r="C1353" t="inlineStr">
        <is>
          <t>Kylie Matte Lip Kit (00006094)</t>
        </is>
      </c>
      <c r="D1353" s="1" t="n">
        <v>4064941008552</v>
      </c>
      <c r="E1353" t="inlineStr">
        <is>
          <t>KJ MU M LIQ K SET NWMDIN403 BITE ME 23IV</t>
        </is>
      </c>
      <c r="F1353" t="inlineStr">
        <is>
          <t>P_US_ULTA</t>
        </is>
      </c>
      <c r="G1353" t="inlineStr">
        <is>
          <t>Month-2026.M09.W38</t>
        </is>
      </c>
      <c r="H1353" t="inlineStr">
        <is>
          <t>Consensus - Final LY M</t>
        </is>
      </c>
      <c r="I1353" t="n">
        <v>961</v>
      </c>
      <c r="J1353" t="n">
        <v>1125</v>
      </c>
      <c r="K1353" t="n">
        <v>1183</v>
      </c>
      <c r="L1353" t="n">
        <v>1039</v>
      </c>
      <c r="M1353" t="n">
        <v>2020</v>
      </c>
      <c r="N1353" t="n">
        <v>609</v>
      </c>
      <c r="O1353" t="n">
        <v>2513</v>
      </c>
      <c r="P1353" t="n">
        <v>3465</v>
      </c>
      <c r="Q1353" t="n">
        <v>214</v>
      </c>
      <c r="R1353" t="n">
        <v>341</v>
      </c>
      <c r="S1353" t="n">
        <v>586</v>
      </c>
      <c r="T1353" t="n">
        <v>647</v>
      </c>
    </row>
    <row r="1354">
      <c r="A1354" t="inlineStr">
        <is>
          <t>Kylie Makeup</t>
        </is>
      </c>
      <c r="B1354" t="inlineStr">
        <is>
          <t>Lips (01245)</t>
        </is>
      </c>
      <c r="C1354" t="inlineStr">
        <is>
          <t>Kylie Matte Lip Kit (00006094)</t>
        </is>
      </c>
      <c r="D1354" s="1" t="n">
        <v>4064941008552</v>
      </c>
      <c r="E1354" t="inlineStr">
        <is>
          <t>KJ MU M LIQ K SET NWMDIN403 BITE ME 23IV</t>
        </is>
      </c>
      <c r="F1354" t="inlineStr">
        <is>
          <t>P_US_ULTA</t>
        </is>
      </c>
      <c r="G1354" t="inlineStr">
        <is>
          <t>Month-2026.M09.W38</t>
        </is>
      </c>
      <c r="H1354" t="inlineStr">
        <is>
          <t>System FC - Final</t>
        </is>
      </c>
      <c r="I1354" t="n">
        <v>731</v>
      </c>
      <c r="J1354" t="n">
        <v>1494</v>
      </c>
      <c r="K1354" t="n">
        <v>1147</v>
      </c>
      <c r="L1354" t="n">
        <v>1253</v>
      </c>
      <c r="M1354" t="n">
        <v>990</v>
      </c>
      <c r="N1354" t="n">
        <v>1267</v>
      </c>
      <c r="O1354" t="n">
        <v>1541</v>
      </c>
      <c r="P1354" t="n">
        <v>1612</v>
      </c>
      <c r="Q1354" t="n">
        <v>1276</v>
      </c>
      <c r="R1354" t="n">
        <v>933</v>
      </c>
      <c r="S1354" t="n">
        <v>1395</v>
      </c>
      <c r="T1354" t="n">
        <v>1124</v>
      </c>
    </row>
    <row r="1355">
      <c r="A1355" t="inlineStr">
        <is>
          <t>Kylie Makeup</t>
        </is>
      </c>
      <c r="B1355" t="inlineStr">
        <is>
          <t>Lips (01245)</t>
        </is>
      </c>
      <c r="C1355" t="inlineStr">
        <is>
          <t>Kylie Matte Lip Kit (00006094)</t>
        </is>
      </c>
      <c r="D1355" s="1" t="n">
        <v>4064941008552</v>
      </c>
      <c r="E1355" t="inlineStr">
        <is>
          <t>KJ MU M LIQ K SET NWMDIN403 BITE ME 23IV</t>
        </is>
      </c>
      <c r="F1355" t="inlineStr">
        <is>
          <t>P_US_ULTA</t>
        </is>
      </c>
      <c r="G1355" t="inlineStr">
        <is>
          <t>Month-2026.M09.W38</t>
        </is>
      </c>
      <c r="H1355" t="inlineStr">
        <is>
          <t>EPOS</t>
        </is>
      </c>
      <c r="I1355" t="n">
        <v>535</v>
      </c>
    </row>
    <row r="1356">
      <c r="A1356" t="inlineStr">
        <is>
          <t>Kylie Makeup</t>
        </is>
      </c>
      <c r="B1356" t="inlineStr">
        <is>
          <t>Lips (01245)</t>
        </is>
      </c>
      <c r="C1356" t="inlineStr">
        <is>
          <t>Kylie Matte Lip Kit (00006094)</t>
        </is>
      </c>
      <c r="D1356" s="1" t="n">
        <v>4064941008552</v>
      </c>
      <c r="E1356" t="inlineStr">
        <is>
          <t>KJ MU M LIQ K SET NWMDIN403 BITE ME 23IV</t>
        </is>
      </c>
      <c r="F1356" t="inlineStr">
        <is>
          <t>P_US_ULTA</t>
        </is>
      </c>
      <c r="G1356" t="inlineStr">
        <is>
          <t>Month-2026.M09.W38</t>
        </is>
      </c>
      <c r="H1356" t="inlineStr">
        <is>
          <t>Reasonability Adjustment</t>
        </is>
      </c>
      <c r="R1356" t="n">
        <v>-390</v>
      </c>
      <c r="S1356" t="n">
        <v>-659</v>
      </c>
      <c r="T1356" t="n">
        <v>-936</v>
      </c>
    </row>
    <row r="1357">
      <c r="A1357" t="inlineStr">
        <is>
          <t>Kylie Makeup</t>
        </is>
      </c>
      <c r="B1357" t="inlineStr">
        <is>
          <t>Lips (01245)</t>
        </is>
      </c>
      <c r="C1357" t="inlineStr">
        <is>
          <t>Kylie Matte Lip Kit (00006094)</t>
        </is>
      </c>
      <c r="D1357" s="1" t="n">
        <v>4064941008552</v>
      </c>
      <c r="E1357" t="inlineStr">
        <is>
          <t>KJ MU M LIQ K SET NWMDIN403 BITE ME 23IV</t>
        </is>
      </c>
      <c r="F1357" t="inlineStr">
        <is>
          <t>P_US_ULTA</t>
        </is>
      </c>
      <c r="G1357" t="inlineStr">
        <is>
          <t>Month-2026.M09.W38</t>
        </is>
      </c>
      <c r="H1357" t="inlineStr">
        <is>
          <t>Total Demand Assumption</t>
        </is>
      </c>
    </row>
    <row r="1358">
      <c r="A1358" t="inlineStr">
        <is>
          <t>Kylie Makeup</t>
        </is>
      </c>
      <c r="B1358" t="inlineStr">
        <is>
          <t>Lips (01245)</t>
        </is>
      </c>
      <c r="C1358" t="inlineStr">
        <is>
          <t>Kylie Matte Lip Kit (00006094)</t>
        </is>
      </c>
      <c r="D1358" s="1" t="n">
        <v>4064941008552</v>
      </c>
      <c r="E1358" t="inlineStr">
        <is>
          <t>KJ MU M LIQ K SET NWMDIN403 BITE ME 23IV</t>
        </is>
      </c>
      <c r="F1358" t="inlineStr">
        <is>
          <t>P_US_ULTA</t>
        </is>
      </c>
      <c r="G1358" t="inlineStr">
        <is>
          <t>Month-2026.M09.W38</t>
        </is>
      </c>
      <c r="H1358" t="inlineStr">
        <is>
          <t>Consensus - Final</t>
        </is>
      </c>
      <c r="I1358" t="n">
        <v>731</v>
      </c>
      <c r="J1358" t="n">
        <v>1494</v>
      </c>
      <c r="K1358" t="n">
        <v>1075.98484848484</v>
      </c>
      <c r="L1358" t="n">
        <v>1253</v>
      </c>
      <c r="M1358" t="n">
        <v>990</v>
      </c>
      <c r="N1358" t="n">
        <v>1267</v>
      </c>
      <c r="O1358" t="n">
        <v>1541</v>
      </c>
      <c r="P1358" t="n">
        <v>1612</v>
      </c>
      <c r="Q1358" t="n">
        <v>1276</v>
      </c>
      <c r="R1358" t="n">
        <v>543</v>
      </c>
      <c r="S1358" t="n">
        <v>736</v>
      </c>
      <c r="T1358" t="n">
        <v>188</v>
      </c>
    </row>
    <row r="1359">
      <c r="A1359" t="inlineStr">
        <is>
          <t>Kylie Makeup</t>
        </is>
      </c>
      <c r="B1359" t="inlineStr">
        <is>
          <t>Lips (01245)</t>
        </is>
      </c>
      <c r="C1359" t="inlineStr">
        <is>
          <t>Kylie Matte Lip Kit (00006094)</t>
        </is>
      </c>
      <c r="D1359" s="1" t="n">
        <v>4064941008552</v>
      </c>
      <c r="E1359" t="inlineStr">
        <is>
          <t>KJ MU M LIQ K SET NWMDIN403 BITE ME 23IV</t>
        </is>
      </c>
      <c r="F1359" t="inlineStr">
        <is>
          <t>P_US_ULTA</t>
        </is>
      </c>
      <c r="G1359" t="inlineStr">
        <is>
          <t>Month-2026.M09.W38</t>
        </is>
      </c>
      <c r="H1359" t="inlineStr">
        <is>
          <t>Supply Cuts</t>
        </is>
      </c>
    </row>
    <row r="1360">
      <c r="A1360" t="inlineStr">
        <is>
          <t>Kylie Makeup</t>
        </is>
      </c>
      <c r="B1360" t="inlineStr">
        <is>
          <t>Lips (01245)</t>
        </is>
      </c>
      <c r="C1360" t="inlineStr">
        <is>
          <t>Kylie Velvet Lip Kit (00006095)</t>
        </is>
      </c>
      <c r="D1360" s="1" t="n">
        <v>4064941008613</v>
      </c>
      <c r="E1360" t="inlineStr">
        <is>
          <t>KJ MU V LIQ K MLTLPK 3ML 1.1G HARM IV</t>
        </is>
      </c>
      <c r="F1360" t="inlineStr">
        <is>
          <t>P_US_ALL_OTHERS</t>
        </is>
      </c>
      <c r="G1360" t="inlineStr">
        <is>
          <t>CurrentWorkingView</t>
        </is>
      </c>
      <c r="H1360" t="inlineStr">
        <is>
          <t>Consensus - Final LY M</t>
        </is>
      </c>
      <c r="I1360" t="n">
        <v>115</v>
      </c>
      <c r="J1360" t="n">
        <v>195</v>
      </c>
      <c r="K1360" t="n">
        <v>274</v>
      </c>
      <c r="L1360" t="n">
        <v>106</v>
      </c>
      <c r="M1360" t="n">
        <v>97</v>
      </c>
      <c r="N1360" t="n">
        <v>174</v>
      </c>
      <c r="O1360" t="n">
        <v>128</v>
      </c>
      <c r="P1360" t="n">
        <v>18</v>
      </c>
      <c r="Q1360" t="n">
        <v>12</v>
      </c>
      <c r="S1360" t="n">
        <v>484</v>
      </c>
      <c r="T1360" t="n">
        <v>105</v>
      </c>
    </row>
    <row r="1361">
      <c r="A1361" t="inlineStr">
        <is>
          <t>Kylie Makeup</t>
        </is>
      </c>
      <c r="B1361" t="inlineStr">
        <is>
          <t>Lips (01245)</t>
        </is>
      </c>
      <c r="C1361" t="inlineStr">
        <is>
          <t>Kylie Velvet Lip Kit (00006095)</t>
        </is>
      </c>
      <c r="D1361" s="1" t="n">
        <v>4064941008613</v>
      </c>
      <c r="E1361" t="inlineStr">
        <is>
          <t>KJ MU V LIQ K MLTLPK 3ML 1.1G HARM IV</t>
        </is>
      </c>
      <c r="F1361" t="inlineStr">
        <is>
          <t>P_US_ALL_OTHERS</t>
        </is>
      </c>
      <c r="G1361" t="inlineStr">
        <is>
          <t>CurrentWorkingView</t>
        </is>
      </c>
      <c r="H1361" t="inlineStr">
        <is>
          <t>System FC - Final</t>
        </is>
      </c>
      <c r="I1361" t="n">
        <v>368</v>
      </c>
      <c r="J1361" t="n">
        <v>189</v>
      </c>
      <c r="K1361" t="n">
        <v>427</v>
      </c>
      <c r="L1361" t="n">
        <v>141</v>
      </c>
      <c r="M1361" t="n">
        <v>161</v>
      </c>
      <c r="N1361" t="n">
        <v>201</v>
      </c>
      <c r="O1361" t="n">
        <v>97</v>
      </c>
      <c r="P1361" t="n">
        <v>120</v>
      </c>
      <c r="Q1361" t="n">
        <v>146</v>
      </c>
      <c r="R1361" t="n">
        <v>93</v>
      </c>
      <c r="S1361" t="n">
        <v>430</v>
      </c>
      <c r="T1361" t="n">
        <v>158</v>
      </c>
    </row>
    <row r="1362">
      <c r="A1362" t="inlineStr">
        <is>
          <t>Kylie Makeup</t>
        </is>
      </c>
      <c r="B1362" t="inlineStr">
        <is>
          <t>Lips (01245)</t>
        </is>
      </c>
      <c r="C1362" t="inlineStr">
        <is>
          <t>Kylie Velvet Lip Kit (00006095)</t>
        </is>
      </c>
      <c r="D1362" s="1" t="n">
        <v>4064941008613</v>
      </c>
      <c r="E1362" t="inlineStr">
        <is>
          <t>KJ MU V LIQ K MLTLPK 3ML 1.1G HARM IV</t>
        </is>
      </c>
      <c r="F1362" t="inlineStr">
        <is>
          <t>P_US_ALL_OTHERS</t>
        </is>
      </c>
      <c r="G1362" t="inlineStr">
        <is>
          <t>CurrentWorkingView</t>
        </is>
      </c>
      <c r="H1362" t="inlineStr">
        <is>
          <t>EPOS</t>
        </is>
      </c>
      <c r="I1362" t="n">
        <v>93</v>
      </c>
    </row>
    <row r="1363">
      <c r="A1363" t="inlineStr">
        <is>
          <t>Kylie Makeup</t>
        </is>
      </c>
      <c r="B1363" t="inlineStr">
        <is>
          <t>Lips (01245)</t>
        </is>
      </c>
      <c r="C1363" t="inlineStr">
        <is>
          <t>Kylie Velvet Lip Kit (00006095)</t>
        </is>
      </c>
      <c r="D1363" s="1" t="n">
        <v>4064941008613</v>
      </c>
      <c r="E1363" t="inlineStr">
        <is>
          <t>KJ MU V LIQ K MLTLPK 3ML 1.1G HARM IV</t>
        </is>
      </c>
      <c r="F1363" t="inlineStr">
        <is>
          <t>P_US_ALL_OTHERS</t>
        </is>
      </c>
      <c r="G1363" t="inlineStr">
        <is>
          <t>CurrentWorkingView</t>
        </is>
      </c>
      <c r="H1363" t="inlineStr">
        <is>
          <t>Reasonability Adjustment</t>
        </is>
      </c>
      <c r="P1363" t="n">
        <v>-67</v>
      </c>
      <c r="T1363" t="n">
        <v>-51</v>
      </c>
    </row>
    <row r="1364">
      <c r="A1364" t="inlineStr">
        <is>
          <t>Kylie Makeup</t>
        </is>
      </c>
      <c r="B1364" t="inlineStr">
        <is>
          <t>Lips (01245)</t>
        </is>
      </c>
      <c r="C1364" t="inlineStr">
        <is>
          <t>Kylie Velvet Lip Kit (00006095)</t>
        </is>
      </c>
      <c r="D1364" s="1" t="n">
        <v>4064941008613</v>
      </c>
      <c r="E1364" t="inlineStr">
        <is>
          <t>KJ MU V LIQ K MLTLPK 3ML 1.1G HARM IV</t>
        </is>
      </c>
      <c r="F1364" t="inlineStr">
        <is>
          <t>P_US_ALL_OTHERS</t>
        </is>
      </c>
      <c r="G1364" t="inlineStr">
        <is>
          <t>CurrentWorkingView</t>
        </is>
      </c>
      <c r="H1364" t="inlineStr">
        <is>
          <t>Total Demand Assumption</t>
        </is>
      </c>
    </row>
    <row r="1365">
      <c r="A1365" t="inlineStr">
        <is>
          <t>Kylie Makeup</t>
        </is>
      </c>
      <c r="B1365" t="inlineStr">
        <is>
          <t>Lips (01245)</t>
        </is>
      </c>
      <c r="C1365" t="inlineStr">
        <is>
          <t>Kylie Velvet Lip Kit (00006095)</t>
        </is>
      </c>
      <c r="D1365" s="1" t="n">
        <v>4064941008613</v>
      </c>
      <c r="E1365" t="inlineStr">
        <is>
          <t>KJ MU V LIQ K MLTLPK 3ML 1.1G HARM IV</t>
        </is>
      </c>
      <c r="F1365" t="inlineStr">
        <is>
          <t>P_US_ALL_OTHERS</t>
        </is>
      </c>
      <c r="G1365" t="inlineStr">
        <is>
          <t>CurrentWorkingView</t>
        </is>
      </c>
      <c r="H1365" t="inlineStr">
        <is>
          <t>Consensus - Final</t>
        </is>
      </c>
      <c r="I1365" t="n">
        <v>368</v>
      </c>
      <c r="J1365" t="n">
        <v>189</v>
      </c>
      <c r="K1365" t="n">
        <v>309</v>
      </c>
      <c r="L1365" t="n">
        <v>141</v>
      </c>
      <c r="M1365" t="n">
        <v>161</v>
      </c>
      <c r="N1365" t="n">
        <v>201</v>
      </c>
      <c r="O1365" t="n">
        <v>97</v>
      </c>
      <c r="P1365" t="n">
        <v>53</v>
      </c>
      <c r="Q1365" t="n">
        <v>146</v>
      </c>
      <c r="R1365" t="n">
        <v>93</v>
      </c>
      <c r="S1365" t="n">
        <v>430</v>
      </c>
      <c r="T1365" t="n">
        <v>107</v>
      </c>
    </row>
    <row r="1366">
      <c r="A1366" t="inlineStr">
        <is>
          <t>Kylie Makeup</t>
        </is>
      </c>
      <c r="B1366" t="inlineStr">
        <is>
          <t>Lips (01245)</t>
        </is>
      </c>
      <c r="C1366" t="inlineStr">
        <is>
          <t>Kylie Velvet Lip Kit (00006095)</t>
        </is>
      </c>
      <c r="D1366" s="1" t="n">
        <v>4064941008613</v>
      </c>
      <c r="E1366" t="inlineStr">
        <is>
          <t>KJ MU V LIQ K MLTLPK 3ML 1.1G HARM IV</t>
        </is>
      </c>
      <c r="F1366" t="inlineStr">
        <is>
          <t>P_US_ALL_OTHERS</t>
        </is>
      </c>
      <c r="G1366" t="inlineStr">
        <is>
          <t>CurrentWorkingView</t>
        </is>
      </c>
      <c r="H1366" t="inlineStr">
        <is>
          <t>Supply Cuts</t>
        </is>
      </c>
    </row>
    <row r="1367">
      <c r="A1367" t="inlineStr">
        <is>
          <t>Kylie Makeup</t>
        </is>
      </c>
      <c r="B1367" t="inlineStr">
        <is>
          <t>Lips (01245)</t>
        </is>
      </c>
      <c r="C1367" t="inlineStr">
        <is>
          <t>Kylie Velvet Lip Kit (00006095)</t>
        </is>
      </c>
      <c r="D1367" s="1" t="n">
        <v>4064941008613</v>
      </c>
      <c r="E1367" t="inlineStr">
        <is>
          <t>KJ MU V LIQ K MLTLPK 3ML 1.1G HARM IV</t>
        </is>
      </c>
      <c r="F1367" t="inlineStr">
        <is>
          <t>P_US_ALL_OTHERS</t>
        </is>
      </c>
      <c r="G1367" t="inlineStr">
        <is>
          <t>Month-2026.M09.W38</t>
        </is>
      </c>
      <c r="H1367" t="inlineStr">
        <is>
          <t>Consensus - Final LY M</t>
        </is>
      </c>
      <c r="I1367" t="n">
        <v>115</v>
      </c>
      <c r="J1367" t="n">
        <v>195</v>
      </c>
      <c r="K1367" t="n">
        <v>274</v>
      </c>
      <c r="L1367" t="n">
        <v>106</v>
      </c>
      <c r="M1367" t="n">
        <v>97</v>
      </c>
      <c r="N1367" t="n">
        <v>174</v>
      </c>
      <c r="O1367" t="n">
        <v>128</v>
      </c>
      <c r="P1367" t="n">
        <v>18</v>
      </c>
      <c r="Q1367" t="n">
        <v>12</v>
      </c>
      <c r="S1367" t="n">
        <v>484</v>
      </c>
      <c r="T1367" t="n">
        <v>105</v>
      </c>
    </row>
    <row r="1368">
      <c r="A1368" t="inlineStr">
        <is>
          <t>Kylie Makeup</t>
        </is>
      </c>
      <c r="B1368" t="inlineStr">
        <is>
          <t>Lips (01245)</t>
        </is>
      </c>
      <c r="C1368" t="inlineStr">
        <is>
          <t>Kylie Velvet Lip Kit (00006095)</t>
        </is>
      </c>
      <c r="D1368" s="1" t="n">
        <v>4064941008613</v>
      </c>
      <c r="E1368" t="inlineStr">
        <is>
          <t>KJ MU V LIQ K MLTLPK 3ML 1.1G HARM IV</t>
        </is>
      </c>
      <c r="F1368" t="inlineStr">
        <is>
          <t>P_US_ALL_OTHERS</t>
        </is>
      </c>
      <c r="G1368" t="inlineStr">
        <is>
          <t>Month-2026.M09.W38</t>
        </is>
      </c>
      <c r="H1368" t="inlineStr">
        <is>
          <t>System FC - Final</t>
        </is>
      </c>
      <c r="I1368" t="n">
        <v>368</v>
      </c>
      <c r="J1368" t="n">
        <v>189</v>
      </c>
      <c r="K1368" t="n">
        <v>415</v>
      </c>
      <c r="L1368" t="n">
        <v>300</v>
      </c>
      <c r="M1368" t="n">
        <v>176</v>
      </c>
      <c r="N1368" t="n">
        <v>163</v>
      </c>
      <c r="O1368" t="n">
        <v>119</v>
      </c>
      <c r="P1368" t="n">
        <v>148</v>
      </c>
      <c r="Q1368" t="n">
        <v>168</v>
      </c>
      <c r="R1368" t="n">
        <v>150</v>
      </c>
      <c r="S1368" t="n">
        <v>319</v>
      </c>
      <c r="T1368" t="n">
        <v>167</v>
      </c>
    </row>
    <row r="1369">
      <c r="A1369" t="inlineStr">
        <is>
          <t>Kylie Makeup</t>
        </is>
      </c>
      <c r="B1369" t="inlineStr">
        <is>
          <t>Lips (01245)</t>
        </is>
      </c>
      <c r="C1369" t="inlineStr">
        <is>
          <t>Kylie Velvet Lip Kit (00006095)</t>
        </is>
      </c>
      <c r="D1369" s="1" t="n">
        <v>4064941008613</v>
      </c>
      <c r="E1369" t="inlineStr">
        <is>
          <t>KJ MU V LIQ K MLTLPK 3ML 1.1G HARM IV</t>
        </is>
      </c>
      <c r="F1369" t="inlineStr">
        <is>
          <t>P_US_ALL_OTHERS</t>
        </is>
      </c>
      <c r="G1369" t="inlineStr">
        <is>
          <t>Month-2026.M09.W38</t>
        </is>
      </c>
      <c r="H1369" t="inlineStr">
        <is>
          <t>EPOS</t>
        </is>
      </c>
      <c r="I1369" t="n">
        <v>93</v>
      </c>
    </row>
    <row r="1370">
      <c r="A1370" t="inlineStr">
        <is>
          <t>Kylie Makeup</t>
        </is>
      </c>
      <c r="B1370" t="inlineStr">
        <is>
          <t>Lips (01245)</t>
        </is>
      </c>
      <c r="C1370" t="inlineStr">
        <is>
          <t>Kylie Velvet Lip Kit (00006095)</t>
        </is>
      </c>
      <c r="D1370" s="1" t="n">
        <v>4064941008613</v>
      </c>
      <c r="E1370" t="inlineStr">
        <is>
          <t>KJ MU V LIQ K MLTLPK 3ML 1.1G HARM IV</t>
        </is>
      </c>
      <c r="F1370" t="inlineStr">
        <is>
          <t>P_US_ALL_OTHERS</t>
        </is>
      </c>
      <c r="G1370" t="inlineStr">
        <is>
          <t>Month-2026.M09.W38</t>
        </is>
      </c>
      <c r="H1370" t="inlineStr">
        <is>
          <t>Reasonability Adjustment</t>
        </is>
      </c>
      <c r="P1370" t="n">
        <v>-67</v>
      </c>
      <c r="T1370" t="n">
        <v>-51</v>
      </c>
    </row>
    <row r="1371">
      <c r="A1371" t="inlineStr">
        <is>
          <t>Kylie Makeup</t>
        </is>
      </c>
      <c r="B1371" t="inlineStr">
        <is>
          <t>Lips (01245)</t>
        </is>
      </c>
      <c r="C1371" t="inlineStr">
        <is>
          <t>Kylie Velvet Lip Kit (00006095)</t>
        </is>
      </c>
      <c r="D1371" s="1" t="n">
        <v>4064941008613</v>
      </c>
      <c r="E1371" t="inlineStr">
        <is>
          <t>KJ MU V LIQ K MLTLPK 3ML 1.1G HARM IV</t>
        </is>
      </c>
      <c r="F1371" t="inlineStr">
        <is>
          <t>P_US_ALL_OTHERS</t>
        </is>
      </c>
      <c r="G1371" t="inlineStr">
        <is>
          <t>Month-2026.M09.W38</t>
        </is>
      </c>
      <c r="H1371" t="inlineStr">
        <is>
          <t>Total Demand Assumption</t>
        </is>
      </c>
    </row>
    <row r="1372">
      <c r="A1372" t="inlineStr">
        <is>
          <t>Kylie Makeup</t>
        </is>
      </c>
      <c r="B1372" t="inlineStr">
        <is>
          <t>Lips (01245)</t>
        </is>
      </c>
      <c r="C1372" t="inlineStr">
        <is>
          <t>Kylie Velvet Lip Kit (00006095)</t>
        </is>
      </c>
      <c r="D1372" s="1" t="n">
        <v>4064941008613</v>
      </c>
      <c r="E1372" t="inlineStr">
        <is>
          <t>KJ MU V LIQ K MLTLPK 3ML 1.1G HARM IV</t>
        </is>
      </c>
      <c r="F1372" t="inlineStr">
        <is>
          <t>P_US_ALL_OTHERS</t>
        </is>
      </c>
      <c r="G1372" t="inlineStr">
        <is>
          <t>Month-2026.M09.W38</t>
        </is>
      </c>
      <c r="H1372" t="inlineStr">
        <is>
          <t>Consensus - Final</t>
        </is>
      </c>
      <c r="I1372" t="n">
        <v>368</v>
      </c>
      <c r="J1372" t="n">
        <v>189</v>
      </c>
      <c r="K1372" t="n">
        <v>242</v>
      </c>
      <c r="L1372" t="n">
        <v>300</v>
      </c>
      <c r="M1372" t="n">
        <v>176</v>
      </c>
      <c r="N1372" t="n">
        <v>163</v>
      </c>
      <c r="O1372" t="n">
        <v>119</v>
      </c>
      <c r="P1372" t="n">
        <v>81</v>
      </c>
      <c r="Q1372" t="n">
        <v>168</v>
      </c>
      <c r="R1372" t="n">
        <v>150</v>
      </c>
      <c r="S1372" t="n">
        <v>319</v>
      </c>
      <c r="T1372" t="n">
        <v>116</v>
      </c>
    </row>
    <row r="1373">
      <c r="A1373" t="inlineStr">
        <is>
          <t>Kylie Makeup</t>
        </is>
      </c>
      <c r="B1373" t="inlineStr">
        <is>
          <t>Lips (01245)</t>
        </is>
      </c>
      <c r="C1373" t="inlineStr">
        <is>
          <t>Kylie Velvet Lip Kit (00006095)</t>
        </is>
      </c>
      <c r="D1373" s="1" t="n">
        <v>4064941008613</v>
      </c>
      <c r="E1373" t="inlineStr">
        <is>
          <t>KJ MU V LIQ K MLTLPK 3ML 1.1G HARM IV</t>
        </is>
      </c>
      <c r="F1373" t="inlineStr">
        <is>
          <t>P_US_ALL_OTHERS</t>
        </is>
      </c>
      <c r="G1373" t="inlineStr">
        <is>
          <t>Month-2026.M09.W38</t>
        </is>
      </c>
      <c r="H1373" t="inlineStr">
        <is>
          <t>Supply Cuts</t>
        </is>
      </c>
    </row>
    <row r="1374">
      <c r="A1374" t="inlineStr">
        <is>
          <t>Kylie Makeup</t>
        </is>
      </c>
      <c r="B1374" t="inlineStr">
        <is>
          <t>Lips (01245)</t>
        </is>
      </c>
      <c r="C1374" t="inlineStr">
        <is>
          <t>Kylie Velvet Lip Kit (00006095)</t>
        </is>
      </c>
      <c r="D1374" s="1" t="n">
        <v>4064941008613</v>
      </c>
      <c r="E1374" t="inlineStr">
        <is>
          <t>KJ MU V LIQ K MLTLPK 3ML 1.1G HARM IV</t>
        </is>
      </c>
      <c r="F1374" t="inlineStr">
        <is>
          <t>P_US_FG</t>
        </is>
      </c>
      <c r="G1374" t="inlineStr">
        <is>
          <t>CurrentWorkingView</t>
        </is>
      </c>
      <c r="H1374" t="inlineStr">
        <is>
          <t>Consensus - Final LY M</t>
        </is>
      </c>
      <c r="L1374" t="n">
        <v>1</v>
      </c>
      <c r="R1374" t="n">
        <v>10</v>
      </c>
    </row>
    <row r="1375">
      <c r="A1375" t="inlineStr">
        <is>
          <t>Kylie Makeup</t>
        </is>
      </c>
      <c r="B1375" t="inlineStr">
        <is>
          <t>Lips (01245)</t>
        </is>
      </c>
      <c r="C1375" t="inlineStr">
        <is>
          <t>Kylie Velvet Lip Kit (00006095)</t>
        </is>
      </c>
      <c r="D1375" s="1" t="n">
        <v>4064941008613</v>
      </c>
      <c r="E1375" t="inlineStr">
        <is>
          <t>KJ MU V LIQ K MLTLPK 3ML 1.1G HARM IV</t>
        </is>
      </c>
      <c r="F1375" t="inlineStr">
        <is>
          <t>P_US_FG</t>
        </is>
      </c>
      <c r="G1375" t="inlineStr">
        <is>
          <t>CurrentWorkingView</t>
        </is>
      </c>
      <c r="H1375" t="inlineStr">
        <is>
          <t>System FC - Final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Kylie Makeup</t>
        </is>
      </c>
      <c r="B1376" t="inlineStr">
        <is>
          <t>Lips (01245)</t>
        </is>
      </c>
      <c r="C1376" t="inlineStr">
        <is>
          <t>Kylie Velvet Lip Kit (00006095)</t>
        </is>
      </c>
      <c r="D1376" s="1" t="n">
        <v>4064941008613</v>
      </c>
      <c r="E1376" t="inlineStr">
        <is>
          <t>KJ MU V LIQ K MLTLPK 3ML 1.1G HARM IV</t>
        </is>
      </c>
      <c r="F1376" t="inlineStr">
        <is>
          <t>P_US_FG</t>
        </is>
      </c>
      <c r="G1376" t="inlineStr">
        <is>
          <t>CurrentWorkingView</t>
        </is>
      </c>
      <c r="H1376" t="inlineStr">
        <is>
          <t>EPOS</t>
        </is>
      </c>
    </row>
    <row r="1377">
      <c r="A1377" t="inlineStr">
        <is>
          <t>Kylie Makeup</t>
        </is>
      </c>
      <c r="B1377" t="inlineStr">
        <is>
          <t>Lips (01245)</t>
        </is>
      </c>
      <c r="C1377" t="inlineStr">
        <is>
          <t>Kylie Velvet Lip Kit (00006095)</t>
        </is>
      </c>
      <c r="D1377" s="1" t="n">
        <v>4064941008613</v>
      </c>
      <c r="E1377" t="inlineStr">
        <is>
          <t>KJ MU V LIQ K MLTLPK 3ML 1.1G HARM IV</t>
        </is>
      </c>
      <c r="F1377" t="inlineStr">
        <is>
          <t>P_US_FG</t>
        </is>
      </c>
      <c r="G1377" t="inlineStr">
        <is>
          <t>CurrentWorkingView</t>
        </is>
      </c>
      <c r="H1377" t="inlineStr">
        <is>
          <t>Reasonability Adjustment</t>
        </is>
      </c>
    </row>
    <row r="1378">
      <c r="A1378" t="inlineStr">
        <is>
          <t>Kylie Makeup</t>
        </is>
      </c>
      <c r="B1378" t="inlineStr">
        <is>
          <t>Lips (01245)</t>
        </is>
      </c>
      <c r="C1378" t="inlineStr">
        <is>
          <t>Kylie Velvet Lip Kit (00006095)</t>
        </is>
      </c>
      <c r="D1378" s="1" t="n">
        <v>4064941008613</v>
      </c>
      <c r="E1378" t="inlineStr">
        <is>
          <t>KJ MU V LIQ K MLTLPK 3ML 1.1G HARM IV</t>
        </is>
      </c>
      <c r="F1378" t="inlineStr">
        <is>
          <t>P_US_FG</t>
        </is>
      </c>
      <c r="G1378" t="inlineStr">
        <is>
          <t>CurrentWorkingView</t>
        </is>
      </c>
      <c r="H1378" t="inlineStr">
        <is>
          <t>Total Demand Assumption</t>
        </is>
      </c>
    </row>
    <row r="1379">
      <c r="A1379" t="inlineStr">
        <is>
          <t>Kylie Makeup</t>
        </is>
      </c>
      <c r="B1379" t="inlineStr">
        <is>
          <t>Lips (01245)</t>
        </is>
      </c>
      <c r="C1379" t="inlineStr">
        <is>
          <t>Kylie Velvet Lip Kit (00006095)</t>
        </is>
      </c>
      <c r="D1379" s="1" t="n">
        <v>4064941008613</v>
      </c>
      <c r="E1379" t="inlineStr">
        <is>
          <t>KJ MU V LIQ K MLTLPK 3ML 1.1G HARM IV</t>
        </is>
      </c>
      <c r="F1379" t="inlineStr">
        <is>
          <t>P_US_FG</t>
        </is>
      </c>
      <c r="G1379" t="inlineStr">
        <is>
          <t>CurrentWorkingView</t>
        </is>
      </c>
      <c r="H1379" t="inlineStr">
        <is>
          <t>Consensus - Final</t>
        </is>
      </c>
      <c r="K1379" t="n">
        <v>0</v>
      </c>
    </row>
    <row r="1380">
      <c r="A1380" t="inlineStr">
        <is>
          <t>Kylie Makeup</t>
        </is>
      </c>
      <c r="B1380" t="inlineStr">
        <is>
          <t>Lips (01245)</t>
        </is>
      </c>
      <c r="C1380" t="inlineStr">
        <is>
          <t>Kylie Velvet Lip Kit (00006095)</t>
        </is>
      </c>
      <c r="D1380" s="1" t="n">
        <v>4064941008613</v>
      </c>
      <c r="E1380" t="inlineStr">
        <is>
          <t>KJ MU V LIQ K MLTLPK 3ML 1.1G HARM IV</t>
        </is>
      </c>
      <c r="F1380" t="inlineStr">
        <is>
          <t>P_US_FG</t>
        </is>
      </c>
      <c r="G1380" t="inlineStr">
        <is>
          <t>CurrentWorkingView</t>
        </is>
      </c>
      <c r="H1380" t="inlineStr">
        <is>
          <t>Supply Cuts</t>
        </is>
      </c>
    </row>
    <row r="1381">
      <c r="A1381" t="inlineStr">
        <is>
          <t>Kylie Makeup</t>
        </is>
      </c>
      <c r="B1381" t="inlineStr">
        <is>
          <t>Lips (01245)</t>
        </is>
      </c>
      <c r="C1381" t="inlineStr">
        <is>
          <t>Kylie Velvet Lip Kit (00006095)</t>
        </is>
      </c>
      <c r="D1381" s="1" t="n">
        <v>4064941008613</v>
      </c>
      <c r="E1381" t="inlineStr">
        <is>
          <t>KJ MU V LIQ K MLTLPK 3ML 1.1G HARM IV</t>
        </is>
      </c>
      <c r="F1381" t="inlineStr">
        <is>
          <t>P_US_FG</t>
        </is>
      </c>
      <c r="G1381" t="inlineStr">
        <is>
          <t>Month-2026.M09.W38</t>
        </is>
      </c>
      <c r="H1381" t="inlineStr">
        <is>
          <t>Consensus - Final LY M</t>
        </is>
      </c>
      <c r="L1381" t="n">
        <v>1</v>
      </c>
      <c r="R1381" t="n">
        <v>10</v>
      </c>
    </row>
    <row r="1382">
      <c r="A1382" t="inlineStr">
        <is>
          <t>Kylie Makeup</t>
        </is>
      </c>
      <c r="B1382" t="inlineStr">
        <is>
          <t>Lips (01245)</t>
        </is>
      </c>
      <c r="C1382" t="inlineStr">
        <is>
          <t>Kylie Velvet Lip Kit (00006095)</t>
        </is>
      </c>
      <c r="D1382" s="1" t="n">
        <v>4064941008613</v>
      </c>
      <c r="E1382" t="inlineStr">
        <is>
          <t>KJ MU V LIQ K MLTLPK 3ML 1.1G HARM IV</t>
        </is>
      </c>
      <c r="F1382" t="inlineStr">
        <is>
          <t>P_US_FG</t>
        </is>
      </c>
      <c r="G1382" t="inlineStr">
        <is>
          <t>Month-2026.M09.W38</t>
        </is>
      </c>
      <c r="H1382" t="inlineStr">
        <is>
          <t>System FC - Final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Kylie Makeup</t>
        </is>
      </c>
      <c r="B1383" t="inlineStr">
        <is>
          <t>Lips (01245)</t>
        </is>
      </c>
      <c r="C1383" t="inlineStr">
        <is>
          <t>Kylie Velvet Lip Kit (00006095)</t>
        </is>
      </c>
      <c r="D1383" s="1" t="n">
        <v>4064941008613</v>
      </c>
      <c r="E1383" t="inlineStr">
        <is>
          <t>KJ MU V LIQ K MLTLPK 3ML 1.1G HARM IV</t>
        </is>
      </c>
      <c r="F1383" t="inlineStr">
        <is>
          <t>P_US_FG</t>
        </is>
      </c>
      <c r="G1383" t="inlineStr">
        <is>
          <t>Month-2026.M09.W38</t>
        </is>
      </c>
      <c r="H1383" t="inlineStr">
        <is>
          <t>EPOS</t>
        </is>
      </c>
    </row>
    <row r="1384">
      <c r="A1384" t="inlineStr">
        <is>
          <t>Kylie Makeup</t>
        </is>
      </c>
      <c r="B1384" t="inlineStr">
        <is>
          <t>Lips (01245)</t>
        </is>
      </c>
      <c r="C1384" t="inlineStr">
        <is>
          <t>Kylie Velvet Lip Kit (00006095)</t>
        </is>
      </c>
      <c r="D1384" s="1" t="n">
        <v>4064941008613</v>
      </c>
      <c r="E1384" t="inlineStr">
        <is>
          <t>KJ MU V LIQ K MLTLPK 3ML 1.1G HARM IV</t>
        </is>
      </c>
      <c r="F1384" t="inlineStr">
        <is>
          <t>P_US_FG</t>
        </is>
      </c>
      <c r="G1384" t="inlineStr">
        <is>
          <t>Month-2026.M09.W38</t>
        </is>
      </c>
      <c r="H1384" t="inlineStr">
        <is>
          <t>Reasonability Adjustment</t>
        </is>
      </c>
    </row>
    <row r="1385">
      <c r="A1385" t="inlineStr">
        <is>
          <t>Kylie Makeup</t>
        </is>
      </c>
      <c r="B1385" t="inlineStr">
        <is>
          <t>Lips (01245)</t>
        </is>
      </c>
      <c r="C1385" t="inlineStr">
        <is>
          <t>Kylie Velvet Lip Kit (00006095)</t>
        </is>
      </c>
      <c r="D1385" s="1" t="n">
        <v>4064941008613</v>
      </c>
      <c r="E1385" t="inlineStr">
        <is>
          <t>KJ MU V LIQ K MLTLPK 3ML 1.1G HARM IV</t>
        </is>
      </c>
      <c r="F1385" t="inlineStr">
        <is>
          <t>P_US_FG</t>
        </is>
      </c>
      <c r="G1385" t="inlineStr">
        <is>
          <t>Month-2026.M09.W38</t>
        </is>
      </c>
      <c r="H1385" t="inlineStr">
        <is>
          <t>Total Demand Assumption</t>
        </is>
      </c>
    </row>
    <row r="1386">
      <c r="A1386" t="inlineStr">
        <is>
          <t>Kylie Makeup</t>
        </is>
      </c>
      <c r="B1386" t="inlineStr">
        <is>
          <t>Lips (01245)</t>
        </is>
      </c>
      <c r="C1386" t="inlineStr">
        <is>
          <t>Kylie Velvet Lip Kit (00006095)</t>
        </is>
      </c>
      <c r="D1386" s="1" t="n">
        <v>4064941008613</v>
      </c>
      <c r="E1386" t="inlineStr">
        <is>
          <t>KJ MU V LIQ K MLTLPK 3ML 1.1G HARM IV</t>
        </is>
      </c>
      <c r="F1386" t="inlineStr">
        <is>
          <t>P_US_FG</t>
        </is>
      </c>
      <c r="G1386" t="inlineStr">
        <is>
          <t>Month-2026.M09.W38</t>
        </is>
      </c>
      <c r="H1386" t="inlineStr">
        <is>
          <t>Consensus - Final</t>
        </is>
      </c>
      <c r="K1386" t="n">
        <v>0</v>
      </c>
    </row>
    <row r="1387">
      <c r="A1387" t="inlineStr">
        <is>
          <t>Kylie Makeup</t>
        </is>
      </c>
      <c r="B1387" t="inlineStr">
        <is>
          <t>Lips (01245)</t>
        </is>
      </c>
      <c r="C1387" t="inlineStr">
        <is>
          <t>Kylie Velvet Lip Kit (00006095)</t>
        </is>
      </c>
      <c r="D1387" s="1" t="n">
        <v>4064941008613</v>
      </c>
      <c r="E1387" t="inlineStr">
        <is>
          <t>KJ MU V LIQ K MLTLPK 3ML 1.1G HARM IV</t>
        </is>
      </c>
      <c r="F1387" t="inlineStr">
        <is>
          <t>P_US_FG</t>
        </is>
      </c>
      <c r="G1387" t="inlineStr">
        <is>
          <t>Month-2026.M09.W38</t>
        </is>
      </c>
      <c r="H1387" t="inlineStr">
        <is>
          <t>Supply Cuts</t>
        </is>
      </c>
    </row>
    <row r="1388">
      <c r="A1388" t="inlineStr">
        <is>
          <t>Kylie Makeup</t>
        </is>
      </c>
      <c r="B1388" t="inlineStr">
        <is>
          <t>Lips (01245)</t>
        </is>
      </c>
      <c r="C1388" t="inlineStr">
        <is>
          <t>Kylie Velvet Lip Kit (00006095)</t>
        </is>
      </c>
      <c r="D1388" s="1" t="n">
        <v>4064941008613</v>
      </c>
      <c r="E1388" t="inlineStr">
        <is>
          <t>KJ MU V LIQ K MLTLPK 3ML 1.1G HARM IV</t>
        </is>
      </c>
      <c r="F1388" t="inlineStr">
        <is>
          <t>P_US_ULTA</t>
        </is>
      </c>
      <c r="G1388" t="inlineStr">
        <is>
          <t>CurrentWorkingView</t>
        </is>
      </c>
      <c r="H1388" t="inlineStr">
        <is>
          <t>Consensus - Final LY M</t>
        </is>
      </c>
      <c r="I1388" t="n">
        <v>3745</v>
      </c>
      <c r="J1388" t="n">
        <v>903</v>
      </c>
      <c r="K1388" t="n">
        <v>954</v>
      </c>
      <c r="L1388" t="n">
        <v>3001</v>
      </c>
      <c r="M1388" t="n">
        <v>1688</v>
      </c>
      <c r="N1388" t="n">
        <v>990</v>
      </c>
      <c r="O1388" t="n">
        <v>1517</v>
      </c>
      <c r="P1388" t="n">
        <v>1210</v>
      </c>
      <c r="Q1388" t="n">
        <v>708</v>
      </c>
      <c r="S1388" t="n">
        <v>1706</v>
      </c>
      <c r="T1388" t="n">
        <v>526</v>
      </c>
    </row>
    <row r="1389">
      <c r="A1389" t="inlineStr">
        <is>
          <t>Kylie Makeup</t>
        </is>
      </c>
      <c r="B1389" t="inlineStr">
        <is>
          <t>Lips (01245)</t>
        </is>
      </c>
      <c r="C1389" t="inlineStr">
        <is>
          <t>Kylie Velvet Lip Kit (00006095)</t>
        </is>
      </c>
      <c r="D1389" s="1" t="n">
        <v>4064941008613</v>
      </c>
      <c r="E1389" t="inlineStr">
        <is>
          <t>KJ MU V LIQ K MLTLPK 3ML 1.1G HARM IV</t>
        </is>
      </c>
      <c r="F1389" t="inlineStr">
        <is>
          <t>P_US_ULTA</t>
        </is>
      </c>
      <c r="G1389" t="inlineStr">
        <is>
          <t>CurrentWorkingView</t>
        </is>
      </c>
      <c r="H1389" t="inlineStr">
        <is>
          <t>System FC - Final</t>
        </is>
      </c>
      <c r="I1389" t="n">
        <v>659</v>
      </c>
      <c r="J1389" t="n">
        <v>667</v>
      </c>
      <c r="K1389" t="n">
        <v>1087</v>
      </c>
      <c r="L1389" t="n">
        <v>1727</v>
      </c>
      <c r="M1389" t="n">
        <v>1166</v>
      </c>
      <c r="N1389" t="n">
        <v>1608</v>
      </c>
      <c r="O1389" t="n">
        <v>1032</v>
      </c>
      <c r="P1389" t="n">
        <v>1076</v>
      </c>
      <c r="Q1389" t="n">
        <v>1063</v>
      </c>
      <c r="R1389" t="n">
        <v>1050</v>
      </c>
      <c r="S1389" t="n">
        <v>1475</v>
      </c>
      <c r="T1389" t="n">
        <v>1136</v>
      </c>
    </row>
    <row r="1390">
      <c r="A1390" t="inlineStr">
        <is>
          <t>Kylie Makeup</t>
        </is>
      </c>
      <c r="B1390" t="inlineStr">
        <is>
          <t>Lips (01245)</t>
        </is>
      </c>
      <c r="C1390" t="inlineStr">
        <is>
          <t>Kylie Velvet Lip Kit (00006095)</t>
        </is>
      </c>
      <c r="D1390" s="1" t="n">
        <v>4064941008613</v>
      </c>
      <c r="E1390" t="inlineStr">
        <is>
          <t>KJ MU V LIQ K MLTLPK 3ML 1.1G HARM IV</t>
        </is>
      </c>
      <c r="F1390" t="inlineStr">
        <is>
          <t>P_US_ULTA</t>
        </is>
      </c>
      <c r="G1390" t="inlineStr">
        <is>
          <t>CurrentWorkingView</t>
        </is>
      </c>
      <c r="H1390" t="inlineStr">
        <is>
          <t>EPOS</t>
        </is>
      </c>
      <c r="I1390" t="n">
        <v>803</v>
      </c>
    </row>
    <row r="1391">
      <c r="A1391" t="inlineStr">
        <is>
          <t>Kylie Makeup</t>
        </is>
      </c>
      <c r="B1391" t="inlineStr">
        <is>
          <t>Lips (01245)</t>
        </is>
      </c>
      <c r="C1391" t="inlineStr">
        <is>
          <t>Kylie Velvet Lip Kit (00006095)</t>
        </is>
      </c>
      <c r="D1391" s="1" t="n">
        <v>4064941008613</v>
      </c>
      <c r="E1391" t="inlineStr">
        <is>
          <t>KJ MU V LIQ K MLTLPK 3ML 1.1G HARM IV</t>
        </is>
      </c>
      <c r="F1391" t="inlineStr">
        <is>
          <t>P_US_ULTA</t>
        </is>
      </c>
      <c r="G1391" t="inlineStr">
        <is>
          <t>CurrentWorkingView</t>
        </is>
      </c>
      <c r="H1391" t="inlineStr">
        <is>
          <t>Reasonability Adjustment</t>
        </is>
      </c>
      <c r="J1391" t="n">
        <v>237</v>
      </c>
      <c r="P1391" t="n">
        <v>-933</v>
      </c>
      <c r="T1391" t="n">
        <v>-330</v>
      </c>
    </row>
    <row r="1392">
      <c r="A1392" t="inlineStr">
        <is>
          <t>Kylie Makeup</t>
        </is>
      </c>
      <c r="B1392" t="inlineStr">
        <is>
          <t>Lips (01245)</t>
        </is>
      </c>
      <c r="C1392" t="inlineStr">
        <is>
          <t>Kylie Velvet Lip Kit (00006095)</t>
        </is>
      </c>
      <c r="D1392" s="1" t="n">
        <v>4064941008613</v>
      </c>
      <c r="E1392" t="inlineStr">
        <is>
          <t>KJ MU V LIQ K MLTLPK 3ML 1.1G HARM IV</t>
        </is>
      </c>
      <c r="F1392" t="inlineStr">
        <is>
          <t>P_US_ULTA</t>
        </is>
      </c>
      <c r="G1392" t="inlineStr">
        <is>
          <t>CurrentWorkingView</t>
        </is>
      </c>
      <c r="H1392" t="inlineStr">
        <is>
          <t>Total Demand Assumption</t>
        </is>
      </c>
      <c r="I1392" t="n">
        <v>-303</v>
      </c>
      <c r="J1392" t="n">
        <v>-188</v>
      </c>
      <c r="K1392" t="n">
        <v>-207</v>
      </c>
      <c r="L1392" t="n">
        <v>-288</v>
      </c>
      <c r="M1392" t="n">
        <v>-206</v>
      </c>
      <c r="N1392" t="n">
        <v>-141</v>
      </c>
      <c r="O1392" t="n">
        <v>-287</v>
      </c>
      <c r="P1392" t="n">
        <v>-167</v>
      </c>
      <c r="Q1392" t="n">
        <v>-233</v>
      </c>
      <c r="R1392" t="n">
        <v>-225</v>
      </c>
      <c r="S1392" t="n">
        <v>-573</v>
      </c>
      <c r="T1392" t="n">
        <v>-247</v>
      </c>
    </row>
    <row r="1393">
      <c r="A1393" t="inlineStr">
        <is>
          <t>Kylie Makeup</t>
        </is>
      </c>
      <c r="B1393" t="inlineStr">
        <is>
          <t>Lips (01245)</t>
        </is>
      </c>
      <c r="C1393" t="inlineStr">
        <is>
          <t>Kylie Velvet Lip Kit (00006095)</t>
        </is>
      </c>
      <c r="D1393" s="1" t="n">
        <v>4064941008613</v>
      </c>
      <c r="E1393" t="inlineStr">
        <is>
          <t>KJ MU V LIQ K MLTLPK 3ML 1.1G HARM IV</t>
        </is>
      </c>
      <c r="F1393" t="inlineStr">
        <is>
          <t>P_US_ULTA</t>
        </is>
      </c>
      <c r="G1393" t="inlineStr">
        <is>
          <t>CurrentWorkingView</t>
        </is>
      </c>
      <c r="H1393" t="inlineStr">
        <is>
          <t>Consensus - Final</t>
        </is>
      </c>
      <c r="I1393" t="n">
        <v>659</v>
      </c>
      <c r="J1393" t="n">
        <v>667</v>
      </c>
      <c r="K1393" t="n">
        <v>1211</v>
      </c>
      <c r="L1393" t="n">
        <v>1450</v>
      </c>
      <c r="M1393" t="n">
        <v>994</v>
      </c>
      <c r="N1393" t="n">
        <v>1467</v>
      </c>
      <c r="O1393" t="n">
        <v>745</v>
      </c>
      <c r="Q1393" t="n">
        <v>830</v>
      </c>
      <c r="R1393" t="n">
        <v>825</v>
      </c>
      <c r="S1393" t="n">
        <v>950</v>
      </c>
      <c r="T1393" t="n">
        <v>559</v>
      </c>
    </row>
    <row r="1394">
      <c r="A1394" t="inlineStr">
        <is>
          <t>Kylie Makeup</t>
        </is>
      </c>
      <c r="B1394" t="inlineStr">
        <is>
          <t>Lips (01245)</t>
        </is>
      </c>
      <c r="C1394" t="inlineStr">
        <is>
          <t>Kylie Velvet Lip Kit (00006095)</t>
        </is>
      </c>
      <c r="D1394" s="1" t="n">
        <v>4064941008613</v>
      </c>
      <c r="E1394" t="inlineStr">
        <is>
          <t>KJ MU V LIQ K MLTLPK 3ML 1.1G HARM IV</t>
        </is>
      </c>
      <c r="F1394" t="inlineStr">
        <is>
          <t>P_US_ULTA</t>
        </is>
      </c>
      <c r="G1394" t="inlineStr">
        <is>
          <t>CurrentWorkingView</t>
        </is>
      </c>
      <c r="H1394" t="inlineStr">
        <is>
          <t>Supply Cuts</t>
        </is>
      </c>
    </row>
    <row r="1395">
      <c r="A1395" t="inlineStr">
        <is>
          <t>Kylie Makeup</t>
        </is>
      </c>
      <c r="B1395" t="inlineStr">
        <is>
          <t>Lips (01245)</t>
        </is>
      </c>
      <c r="C1395" t="inlineStr">
        <is>
          <t>Kylie Velvet Lip Kit (00006095)</t>
        </is>
      </c>
      <c r="D1395" s="1" t="n">
        <v>4064941008613</v>
      </c>
      <c r="E1395" t="inlineStr">
        <is>
          <t>KJ MU V LIQ K MLTLPK 3ML 1.1G HARM IV</t>
        </is>
      </c>
      <c r="F1395" t="inlineStr">
        <is>
          <t>P_US_ULTA</t>
        </is>
      </c>
      <c r="G1395" t="inlineStr">
        <is>
          <t>Month-2026.M09.W38</t>
        </is>
      </c>
      <c r="H1395" t="inlineStr">
        <is>
          <t>Consensus - Final LY M</t>
        </is>
      </c>
      <c r="I1395" t="n">
        <v>3745</v>
      </c>
      <c r="J1395" t="n">
        <v>903</v>
      </c>
      <c r="K1395" t="n">
        <v>954</v>
      </c>
      <c r="L1395" t="n">
        <v>3001</v>
      </c>
      <c r="M1395" t="n">
        <v>1688</v>
      </c>
      <c r="N1395" t="n">
        <v>990</v>
      </c>
      <c r="O1395" t="n">
        <v>1517</v>
      </c>
      <c r="P1395" t="n">
        <v>1210</v>
      </c>
      <c r="Q1395" t="n">
        <v>708</v>
      </c>
      <c r="S1395" t="n">
        <v>1706</v>
      </c>
      <c r="T1395" t="n">
        <v>526</v>
      </c>
    </row>
    <row r="1396">
      <c r="A1396" t="inlineStr">
        <is>
          <t>Kylie Makeup</t>
        </is>
      </c>
      <c r="B1396" t="inlineStr">
        <is>
          <t>Lips (01245)</t>
        </is>
      </c>
      <c r="C1396" t="inlineStr">
        <is>
          <t>Kylie Velvet Lip Kit (00006095)</t>
        </is>
      </c>
      <c r="D1396" s="1" t="n">
        <v>4064941008613</v>
      </c>
      <c r="E1396" t="inlineStr">
        <is>
          <t>KJ MU V LIQ K MLTLPK 3ML 1.1G HARM IV</t>
        </is>
      </c>
      <c r="F1396" t="inlineStr">
        <is>
          <t>P_US_ULTA</t>
        </is>
      </c>
      <c r="G1396" t="inlineStr">
        <is>
          <t>Month-2026.M09.W38</t>
        </is>
      </c>
      <c r="H1396" t="inlineStr">
        <is>
          <t>System FC - Final</t>
        </is>
      </c>
      <c r="I1396" t="n">
        <v>659</v>
      </c>
      <c r="J1396" t="n">
        <v>667</v>
      </c>
      <c r="K1396" t="n">
        <v>1318</v>
      </c>
      <c r="L1396" t="n">
        <v>3033</v>
      </c>
      <c r="M1396" t="n">
        <v>836</v>
      </c>
      <c r="N1396" t="n">
        <v>1501</v>
      </c>
      <c r="O1396" t="n">
        <v>740</v>
      </c>
      <c r="P1396" t="n">
        <v>2052</v>
      </c>
      <c r="Q1396" t="n">
        <v>899</v>
      </c>
      <c r="R1396" t="n">
        <v>1521</v>
      </c>
      <c r="S1396" t="n">
        <v>1829</v>
      </c>
      <c r="T1396" t="n">
        <v>1092</v>
      </c>
    </row>
    <row r="1397">
      <c r="A1397" t="inlineStr">
        <is>
          <t>Kylie Makeup</t>
        </is>
      </c>
      <c r="B1397" t="inlineStr">
        <is>
          <t>Lips (01245)</t>
        </is>
      </c>
      <c r="C1397" t="inlineStr">
        <is>
          <t>Kylie Velvet Lip Kit (00006095)</t>
        </is>
      </c>
      <c r="D1397" s="1" t="n">
        <v>4064941008613</v>
      </c>
      <c r="E1397" t="inlineStr">
        <is>
          <t>KJ MU V LIQ K MLTLPK 3ML 1.1G HARM IV</t>
        </is>
      </c>
      <c r="F1397" t="inlineStr">
        <is>
          <t>P_US_ULTA</t>
        </is>
      </c>
      <c r="G1397" t="inlineStr">
        <is>
          <t>Month-2026.M09.W38</t>
        </is>
      </c>
      <c r="H1397" t="inlineStr">
        <is>
          <t>EPOS</t>
        </is>
      </c>
      <c r="I1397" t="n">
        <v>803</v>
      </c>
    </row>
    <row r="1398">
      <c r="A1398" t="inlineStr">
        <is>
          <t>Kylie Makeup</t>
        </is>
      </c>
      <c r="B1398" t="inlineStr">
        <is>
          <t>Lips (01245)</t>
        </is>
      </c>
      <c r="C1398" t="inlineStr">
        <is>
          <t>Kylie Velvet Lip Kit (00006095)</t>
        </is>
      </c>
      <c r="D1398" s="1" t="n">
        <v>4064941008613</v>
      </c>
      <c r="E1398" t="inlineStr">
        <is>
          <t>KJ MU V LIQ K MLTLPK 3ML 1.1G HARM IV</t>
        </is>
      </c>
      <c r="F1398" t="inlineStr">
        <is>
          <t>P_US_ULTA</t>
        </is>
      </c>
      <c r="G1398" t="inlineStr">
        <is>
          <t>Month-2026.M09.W38</t>
        </is>
      </c>
      <c r="H1398" t="inlineStr">
        <is>
          <t>Reasonability Adjustment</t>
        </is>
      </c>
      <c r="J1398" t="n">
        <v>237</v>
      </c>
      <c r="P1398" t="n">
        <v>-933</v>
      </c>
      <c r="T1398" t="n">
        <v>-330</v>
      </c>
    </row>
    <row r="1399">
      <c r="A1399" t="inlineStr">
        <is>
          <t>Kylie Makeup</t>
        </is>
      </c>
      <c r="B1399" t="inlineStr">
        <is>
          <t>Lips (01245)</t>
        </is>
      </c>
      <c r="C1399" t="inlineStr">
        <is>
          <t>Kylie Velvet Lip Kit (00006095)</t>
        </is>
      </c>
      <c r="D1399" s="1" t="n">
        <v>4064941008613</v>
      </c>
      <c r="E1399" t="inlineStr">
        <is>
          <t>KJ MU V LIQ K MLTLPK 3ML 1.1G HARM IV</t>
        </is>
      </c>
      <c r="F1399" t="inlineStr">
        <is>
          <t>P_US_ULTA</t>
        </is>
      </c>
      <c r="G1399" t="inlineStr">
        <is>
          <t>Month-2026.M09.W38</t>
        </is>
      </c>
      <c r="H1399" t="inlineStr">
        <is>
          <t>Total Demand Assumption</t>
        </is>
      </c>
      <c r="I1399" t="n">
        <v>-303</v>
      </c>
      <c r="J1399" t="n">
        <v>-188</v>
      </c>
      <c r="K1399" t="n">
        <v>-207</v>
      </c>
      <c r="L1399" t="n">
        <v>-288</v>
      </c>
      <c r="M1399" t="n">
        <v>-206</v>
      </c>
      <c r="N1399" t="n">
        <v>-141</v>
      </c>
      <c r="O1399" t="n">
        <v>-287</v>
      </c>
      <c r="P1399" t="n">
        <v>-167</v>
      </c>
      <c r="Q1399" t="n">
        <v>-233</v>
      </c>
      <c r="R1399" t="n">
        <v>-225</v>
      </c>
      <c r="S1399" t="n">
        <v>-573</v>
      </c>
      <c r="T1399" t="n">
        <v>-247</v>
      </c>
    </row>
    <row r="1400">
      <c r="A1400" t="inlineStr">
        <is>
          <t>Kylie Makeup</t>
        </is>
      </c>
      <c r="B1400" t="inlineStr">
        <is>
          <t>Lips (01245)</t>
        </is>
      </c>
      <c r="C1400" t="inlineStr">
        <is>
          <t>Kylie Velvet Lip Kit (00006095)</t>
        </is>
      </c>
      <c r="D1400" s="1" t="n">
        <v>4064941008613</v>
      </c>
      <c r="E1400" t="inlineStr">
        <is>
          <t>KJ MU V LIQ K MLTLPK 3ML 1.1G HARM IV</t>
        </is>
      </c>
      <c r="F1400" t="inlineStr">
        <is>
          <t>P_US_ULTA</t>
        </is>
      </c>
      <c r="G1400" t="inlineStr">
        <is>
          <t>Month-2026.M09.W38</t>
        </is>
      </c>
      <c r="H1400" t="inlineStr">
        <is>
          <t>Consensus - Final</t>
        </is>
      </c>
      <c r="I1400" t="n">
        <v>659</v>
      </c>
      <c r="J1400" t="n">
        <v>667</v>
      </c>
      <c r="K1400" t="n">
        <v>1211</v>
      </c>
      <c r="L1400" t="n">
        <v>2745</v>
      </c>
      <c r="M1400" t="n">
        <v>642</v>
      </c>
      <c r="N1400" t="n">
        <v>1360</v>
      </c>
      <c r="O1400" t="n">
        <v>453</v>
      </c>
      <c r="P1400" t="n">
        <v>952</v>
      </c>
      <c r="Q1400" t="n">
        <v>666</v>
      </c>
      <c r="R1400" t="n">
        <v>1296</v>
      </c>
      <c r="S1400" t="n">
        <v>1293</v>
      </c>
      <c r="T1400" t="n">
        <v>515</v>
      </c>
    </row>
    <row r="1401">
      <c r="A1401" t="inlineStr">
        <is>
          <t>Kylie Makeup</t>
        </is>
      </c>
      <c r="B1401" t="inlineStr">
        <is>
          <t>Lips (01245)</t>
        </is>
      </c>
      <c r="C1401" t="inlineStr">
        <is>
          <t>Kylie Velvet Lip Kit (00006095)</t>
        </is>
      </c>
      <c r="D1401" s="1" t="n">
        <v>4064941008613</v>
      </c>
      <c r="E1401" t="inlineStr">
        <is>
          <t>KJ MU V LIQ K MLTLPK 3ML 1.1G HARM IV</t>
        </is>
      </c>
      <c r="F1401" t="inlineStr">
        <is>
          <t>P_US_ULTA</t>
        </is>
      </c>
      <c r="G1401" t="inlineStr">
        <is>
          <t>Month-2026.M09.W38</t>
        </is>
      </c>
      <c r="H1401" t="inlineStr">
        <is>
          <t>Supply Cuts</t>
        </is>
      </c>
    </row>
    <row r="1402">
      <c r="A1402" t="inlineStr">
        <is>
          <t>Kylie Makeup</t>
        </is>
      </c>
      <c r="B1402" t="inlineStr">
        <is>
          <t>Lips (01245)</t>
        </is>
      </c>
      <c r="C1402" t="inlineStr">
        <is>
          <t>Kylie Velvet Lip Kit (00006095)</t>
        </is>
      </c>
      <c r="D1402" s="1" t="n">
        <v>4064941008644</v>
      </c>
      <c r="E1402" t="inlineStr">
        <is>
          <t>KJ MU V LIQ K MLTLPK 3G 1G PSK 100 VP IV</t>
        </is>
      </c>
      <c r="F1402" t="inlineStr">
        <is>
          <t>P_US_ALL_OTHERS</t>
        </is>
      </c>
      <c r="G1402" t="inlineStr">
        <is>
          <t>CurrentWorkingView</t>
        </is>
      </c>
      <c r="H1402" t="inlineStr">
        <is>
          <t>Consensus - Final LY M</t>
        </is>
      </c>
      <c r="I1402" t="n">
        <v>224</v>
      </c>
      <c r="J1402" t="n">
        <v>266</v>
      </c>
      <c r="K1402" t="n">
        <v>377</v>
      </c>
      <c r="L1402" t="n">
        <v>152</v>
      </c>
      <c r="M1402" t="n">
        <v>155</v>
      </c>
      <c r="N1402" t="n">
        <v>133</v>
      </c>
      <c r="O1402" t="n">
        <v>26</v>
      </c>
      <c r="P1402" t="n">
        <v>385</v>
      </c>
      <c r="Q1402" t="n">
        <v>163</v>
      </c>
      <c r="R1402" t="n">
        <v>245</v>
      </c>
      <c r="S1402" t="n">
        <v>471</v>
      </c>
      <c r="T1402" t="n">
        <v>109</v>
      </c>
    </row>
    <row r="1403">
      <c r="A1403" t="inlineStr">
        <is>
          <t>Kylie Makeup</t>
        </is>
      </c>
      <c r="B1403" t="inlineStr">
        <is>
          <t>Lips (01245)</t>
        </is>
      </c>
      <c r="C1403" t="inlineStr">
        <is>
          <t>Kylie Velvet Lip Kit (00006095)</t>
        </is>
      </c>
      <c r="D1403" s="1" t="n">
        <v>4064941008644</v>
      </c>
      <c r="E1403" t="inlineStr">
        <is>
          <t>KJ MU V LIQ K MLTLPK 3G 1G PSK 100 VP IV</t>
        </is>
      </c>
      <c r="F1403" t="inlineStr">
        <is>
          <t>P_US_ALL_OTHERS</t>
        </is>
      </c>
      <c r="G1403" t="inlineStr">
        <is>
          <t>CurrentWorkingView</t>
        </is>
      </c>
      <c r="H1403" t="inlineStr">
        <is>
          <t>System FC - Final</t>
        </is>
      </c>
      <c r="I1403" t="n">
        <v>214</v>
      </c>
      <c r="J1403" t="n">
        <v>305</v>
      </c>
      <c r="K1403" t="n">
        <v>599</v>
      </c>
      <c r="L1403" t="n">
        <v>163</v>
      </c>
      <c r="M1403" t="n">
        <v>180</v>
      </c>
      <c r="N1403" t="n">
        <v>230</v>
      </c>
      <c r="O1403" t="n">
        <v>111</v>
      </c>
      <c r="P1403" t="n">
        <v>136</v>
      </c>
      <c r="Q1403" t="n">
        <v>168</v>
      </c>
      <c r="R1403" t="n">
        <v>107</v>
      </c>
      <c r="S1403" t="n">
        <v>488</v>
      </c>
      <c r="T1403" t="n">
        <v>180</v>
      </c>
    </row>
    <row r="1404">
      <c r="A1404" t="inlineStr">
        <is>
          <t>Kylie Makeup</t>
        </is>
      </c>
      <c r="B1404" t="inlineStr">
        <is>
          <t>Lips (01245)</t>
        </is>
      </c>
      <c r="C1404" t="inlineStr">
        <is>
          <t>Kylie Velvet Lip Kit (00006095)</t>
        </is>
      </c>
      <c r="D1404" s="1" t="n">
        <v>4064941008644</v>
      </c>
      <c r="E1404" t="inlineStr">
        <is>
          <t>KJ MU V LIQ K MLTLPK 3G 1G PSK 100 VP IV</t>
        </is>
      </c>
      <c r="F1404" t="inlineStr">
        <is>
          <t>P_US_ALL_OTHERS</t>
        </is>
      </c>
      <c r="G1404" t="inlineStr">
        <is>
          <t>CurrentWorkingView</t>
        </is>
      </c>
      <c r="H1404" t="inlineStr">
        <is>
          <t>EPOS</t>
        </is>
      </c>
      <c r="I1404" t="n">
        <v>147</v>
      </c>
    </row>
    <row r="1405">
      <c r="A1405" t="inlineStr">
        <is>
          <t>Kylie Makeup</t>
        </is>
      </c>
      <c r="B1405" t="inlineStr">
        <is>
          <t>Lips (01245)</t>
        </is>
      </c>
      <c r="C1405" t="inlineStr">
        <is>
          <t>Kylie Velvet Lip Kit (00006095)</t>
        </is>
      </c>
      <c r="D1405" s="1" t="n">
        <v>4064941008644</v>
      </c>
      <c r="E1405" t="inlineStr">
        <is>
          <t>KJ MU V LIQ K MLTLPK 3G 1G PSK 100 VP IV</t>
        </is>
      </c>
      <c r="F1405" t="inlineStr">
        <is>
          <t>P_US_ALL_OTHERS</t>
        </is>
      </c>
      <c r="G1405" t="inlineStr">
        <is>
          <t>CurrentWorkingView</t>
        </is>
      </c>
      <c r="H1405" t="inlineStr">
        <is>
          <t>Reasonability Adjustment</t>
        </is>
      </c>
      <c r="S1405" t="n">
        <v>-31</v>
      </c>
      <c r="T1405" t="n">
        <v>-38</v>
      </c>
    </row>
    <row r="1406">
      <c r="A1406" t="inlineStr">
        <is>
          <t>Kylie Makeup</t>
        </is>
      </c>
      <c r="B1406" t="inlineStr">
        <is>
          <t>Lips (01245)</t>
        </is>
      </c>
      <c r="C1406" t="inlineStr">
        <is>
          <t>Kylie Velvet Lip Kit (00006095)</t>
        </is>
      </c>
      <c r="D1406" s="1" t="n">
        <v>4064941008644</v>
      </c>
      <c r="E1406" t="inlineStr">
        <is>
          <t>KJ MU V LIQ K MLTLPK 3G 1G PSK 100 VP IV</t>
        </is>
      </c>
      <c r="F1406" t="inlineStr">
        <is>
          <t>P_US_ALL_OTHERS</t>
        </is>
      </c>
      <c r="G1406" t="inlineStr">
        <is>
          <t>CurrentWorkingView</t>
        </is>
      </c>
      <c r="H1406" t="inlineStr">
        <is>
          <t>Total Demand Assumption</t>
        </is>
      </c>
    </row>
    <row r="1407">
      <c r="A1407" t="inlineStr">
        <is>
          <t>Kylie Makeup</t>
        </is>
      </c>
      <c r="B1407" t="inlineStr">
        <is>
          <t>Lips (01245)</t>
        </is>
      </c>
      <c r="C1407" t="inlineStr">
        <is>
          <t>Kylie Velvet Lip Kit (00006095)</t>
        </is>
      </c>
      <c r="D1407" s="1" t="n">
        <v>4064941008644</v>
      </c>
      <c r="E1407" t="inlineStr">
        <is>
          <t>KJ MU V LIQ K MLTLPK 3G 1G PSK 100 VP IV</t>
        </is>
      </c>
      <c r="F1407" t="inlineStr">
        <is>
          <t>P_US_ALL_OTHERS</t>
        </is>
      </c>
      <c r="G1407" t="inlineStr">
        <is>
          <t>CurrentWorkingView</t>
        </is>
      </c>
      <c r="H1407" t="inlineStr">
        <is>
          <t>Consensus - Final</t>
        </is>
      </c>
      <c r="I1407" t="n">
        <v>214</v>
      </c>
      <c r="J1407" t="n">
        <v>305</v>
      </c>
      <c r="K1407" t="n">
        <v>445</v>
      </c>
      <c r="L1407" t="n">
        <v>163</v>
      </c>
      <c r="M1407" t="n">
        <v>180</v>
      </c>
      <c r="N1407" t="n">
        <v>230</v>
      </c>
      <c r="O1407" t="n">
        <v>111</v>
      </c>
      <c r="P1407" t="n">
        <v>136</v>
      </c>
      <c r="Q1407" t="n">
        <v>168</v>
      </c>
      <c r="R1407" t="n">
        <v>107</v>
      </c>
      <c r="S1407" t="n">
        <v>457</v>
      </c>
      <c r="T1407" t="n">
        <v>142</v>
      </c>
    </row>
    <row r="1408">
      <c r="A1408" t="inlineStr">
        <is>
          <t>Kylie Makeup</t>
        </is>
      </c>
      <c r="B1408" t="inlineStr">
        <is>
          <t>Lips (01245)</t>
        </is>
      </c>
      <c r="C1408" t="inlineStr">
        <is>
          <t>Kylie Velvet Lip Kit (00006095)</t>
        </is>
      </c>
      <c r="D1408" s="1" t="n">
        <v>4064941008644</v>
      </c>
      <c r="E1408" t="inlineStr">
        <is>
          <t>KJ MU V LIQ K MLTLPK 3G 1G PSK 100 VP IV</t>
        </is>
      </c>
      <c r="F1408" t="inlineStr">
        <is>
          <t>P_US_ALL_OTHERS</t>
        </is>
      </c>
      <c r="G1408" t="inlineStr">
        <is>
          <t>CurrentWorkingView</t>
        </is>
      </c>
      <c r="H1408" t="inlineStr">
        <is>
          <t>Supply Cuts</t>
        </is>
      </c>
    </row>
    <row r="1409">
      <c r="A1409" t="inlineStr">
        <is>
          <t>Kylie Makeup</t>
        </is>
      </c>
      <c r="B1409" t="inlineStr">
        <is>
          <t>Lips (01245)</t>
        </is>
      </c>
      <c r="C1409" t="inlineStr">
        <is>
          <t>Kylie Velvet Lip Kit (00006095)</t>
        </is>
      </c>
      <c r="D1409" s="1" t="n">
        <v>4064941008644</v>
      </c>
      <c r="E1409" t="inlineStr">
        <is>
          <t>KJ MU V LIQ K MLTLPK 3G 1G PSK 100 VP IV</t>
        </is>
      </c>
      <c r="F1409" t="inlineStr">
        <is>
          <t>P_US_ALL_OTHERS</t>
        </is>
      </c>
      <c r="G1409" t="inlineStr">
        <is>
          <t>Month-2026.M09.W38</t>
        </is>
      </c>
      <c r="H1409" t="inlineStr">
        <is>
          <t>Consensus - Final LY M</t>
        </is>
      </c>
      <c r="I1409" t="n">
        <v>224</v>
      </c>
      <c r="J1409" t="n">
        <v>266</v>
      </c>
      <c r="K1409" t="n">
        <v>377</v>
      </c>
      <c r="L1409" t="n">
        <v>152</v>
      </c>
      <c r="M1409" t="n">
        <v>155</v>
      </c>
      <c r="N1409" t="n">
        <v>133</v>
      </c>
      <c r="O1409" t="n">
        <v>26</v>
      </c>
      <c r="P1409" t="n">
        <v>385</v>
      </c>
      <c r="Q1409" t="n">
        <v>163</v>
      </c>
      <c r="R1409" t="n">
        <v>245</v>
      </c>
      <c r="S1409" t="n">
        <v>471</v>
      </c>
      <c r="T1409" t="n">
        <v>109</v>
      </c>
    </row>
    <row r="1410">
      <c r="A1410" t="inlineStr">
        <is>
          <t>Kylie Makeup</t>
        </is>
      </c>
      <c r="B1410" t="inlineStr">
        <is>
          <t>Lips (01245)</t>
        </is>
      </c>
      <c r="C1410" t="inlineStr">
        <is>
          <t>Kylie Velvet Lip Kit (00006095)</t>
        </is>
      </c>
      <c r="D1410" s="1" t="n">
        <v>4064941008644</v>
      </c>
      <c r="E1410" t="inlineStr">
        <is>
          <t>KJ MU V LIQ K MLTLPK 3G 1G PSK 100 VP IV</t>
        </is>
      </c>
      <c r="F1410" t="inlineStr">
        <is>
          <t>P_US_ALL_OTHERS</t>
        </is>
      </c>
      <c r="G1410" t="inlineStr">
        <is>
          <t>Month-2026.M09.W38</t>
        </is>
      </c>
      <c r="H1410" t="inlineStr">
        <is>
          <t>System FC - Final</t>
        </is>
      </c>
      <c r="I1410" t="n">
        <v>214</v>
      </c>
      <c r="J1410" t="n">
        <v>305</v>
      </c>
      <c r="K1410" t="n">
        <v>604</v>
      </c>
      <c r="L1410" t="n">
        <v>394</v>
      </c>
      <c r="M1410" t="n">
        <v>232</v>
      </c>
      <c r="N1410" t="n">
        <v>210</v>
      </c>
      <c r="O1410" t="n">
        <v>155</v>
      </c>
      <c r="P1410" t="n">
        <v>200</v>
      </c>
      <c r="Q1410" t="n">
        <v>217</v>
      </c>
      <c r="R1410" t="n">
        <v>197</v>
      </c>
      <c r="S1410" t="n">
        <v>416</v>
      </c>
      <c r="T1410" t="n">
        <v>217</v>
      </c>
    </row>
    <row r="1411">
      <c r="A1411" t="inlineStr">
        <is>
          <t>Kylie Makeup</t>
        </is>
      </c>
      <c r="B1411" t="inlineStr">
        <is>
          <t>Lips (01245)</t>
        </is>
      </c>
      <c r="C1411" t="inlineStr">
        <is>
          <t>Kylie Velvet Lip Kit (00006095)</t>
        </is>
      </c>
      <c r="D1411" s="1" t="n">
        <v>4064941008644</v>
      </c>
      <c r="E1411" t="inlineStr">
        <is>
          <t>KJ MU V LIQ K MLTLPK 3G 1G PSK 100 VP IV</t>
        </is>
      </c>
      <c r="F1411" t="inlineStr">
        <is>
          <t>P_US_ALL_OTHERS</t>
        </is>
      </c>
      <c r="G1411" t="inlineStr">
        <is>
          <t>Month-2026.M09.W38</t>
        </is>
      </c>
      <c r="H1411" t="inlineStr">
        <is>
          <t>EPOS</t>
        </is>
      </c>
      <c r="I1411" t="n">
        <v>147</v>
      </c>
    </row>
    <row r="1412">
      <c r="A1412" t="inlineStr">
        <is>
          <t>Kylie Makeup</t>
        </is>
      </c>
      <c r="B1412" t="inlineStr">
        <is>
          <t>Lips (01245)</t>
        </is>
      </c>
      <c r="C1412" t="inlineStr">
        <is>
          <t>Kylie Velvet Lip Kit (00006095)</t>
        </is>
      </c>
      <c r="D1412" s="1" t="n">
        <v>4064941008644</v>
      </c>
      <c r="E1412" t="inlineStr">
        <is>
          <t>KJ MU V LIQ K MLTLPK 3G 1G PSK 100 VP IV</t>
        </is>
      </c>
      <c r="F1412" t="inlineStr">
        <is>
          <t>P_US_ALL_OTHERS</t>
        </is>
      </c>
      <c r="G1412" t="inlineStr">
        <is>
          <t>Month-2026.M09.W38</t>
        </is>
      </c>
      <c r="H1412" t="inlineStr">
        <is>
          <t>Reasonability Adjustment</t>
        </is>
      </c>
      <c r="S1412" t="n">
        <v>-31</v>
      </c>
      <c r="T1412" t="n">
        <v>-38</v>
      </c>
    </row>
    <row r="1413">
      <c r="A1413" t="inlineStr">
        <is>
          <t>Kylie Makeup</t>
        </is>
      </c>
      <c r="B1413" t="inlineStr">
        <is>
          <t>Lips (01245)</t>
        </is>
      </c>
      <c r="C1413" t="inlineStr">
        <is>
          <t>Kylie Velvet Lip Kit (00006095)</t>
        </is>
      </c>
      <c r="D1413" s="1" t="n">
        <v>4064941008644</v>
      </c>
      <c r="E1413" t="inlineStr">
        <is>
          <t>KJ MU V LIQ K MLTLPK 3G 1G PSK 100 VP IV</t>
        </is>
      </c>
      <c r="F1413" t="inlineStr">
        <is>
          <t>P_US_ALL_OTHERS</t>
        </is>
      </c>
      <c r="G1413" t="inlineStr">
        <is>
          <t>Month-2026.M09.W38</t>
        </is>
      </c>
      <c r="H1413" t="inlineStr">
        <is>
          <t>Total Demand Assumption</t>
        </is>
      </c>
    </row>
    <row r="1414">
      <c r="A1414" t="inlineStr">
        <is>
          <t>Kylie Makeup</t>
        </is>
      </c>
      <c r="B1414" t="inlineStr">
        <is>
          <t>Lips (01245)</t>
        </is>
      </c>
      <c r="C1414" t="inlineStr">
        <is>
          <t>Kylie Velvet Lip Kit (00006095)</t>
        </is>
      </c>
      <c r="D1414" s="1" t="n">
        <v>4064941008644</v>
      </c>
      <c r="E1414" t="inlineStr">
        <is>
          <t>KJ MU V LIQ K MLTLPK 3G 1G PSK 100 VP IV</t>
        </is>
      </c>
      <c r="F1414" t="inlineStr">
        <is>
          <t>P_US_ALL_OTHERS</t>
        </is>
      </c>
      <c r="G1414" t="inlineStr">
        <is>
          <t>Month-2026.M09.W38</t>
        </is>
      </c>
      <c r="H1414" t="inlineStr">
        <is>
          <t>Consensus - Final</t>
        </is>
      </c>
      <c r="I1414" t="n">
        <v>214</v>
      </c>
      <c r="J1414" t="n">
        <v>305</v>
      </c>
      <c r="K1414" t="n">
        <v>378</v>
      </c>
      <c r="L1414" t="n">
        <v>394</v>
      </c>
      <c r="M1414" t="n">
        <v>232</v>
      </c>
      <c r="N1414" t="n">
        <v>210</v>
      </c>
      <c r="O1414" t="n">
        <v>155</v>
      </c>
      <c r="P1414" t="n">
        <v>200</v>
      </c>
      <c r="Q1414" t="n">
        <v>217</v>
      </c>
      <c r="R1414" t="n">
        <v>197</v>
      </c>
      <c r="S1414" t="n">
        <v>385</v>
      </c>
      <c r="T1414" t="n">
        <v>179</v>
      </c>
    </row>
    <row r="1415">
      <c r="A1415" t="inlineStr">
        <is>
          <t>Kylie Makeup</t>
        </is>
      </c>
      <c r="B1415" t="inlineStr">
        <is>
          <t>Lips (01245)</t>
        </is>
      </c>
      <c r="C1415" t="inlineStr">
        <is>
          <t>Kylie Velvet Lip Kit (00006095)</t>
        </is>
      </c>
      <c r="D1415" s="1" t="n">
        <v>4064941008644</v>
      </c>
      <c r="E1415" t="inlineStr">
        <is>
          <t>KJ MU V LIQ K MLTLPK 3G 1G PSK 100 VP IV</t>
        </is>
      </c>
      <c r="F1415" t="inlineStr">
        <is>
          <t>P_US_ALL_OTHERS</t>
        </is>
      </c>
      <c r="G1415" t="inlineStr">
        <is>
          <t>Month-2026.M09.W38</t>
        </is>
      </c>
      <c r="H1415" t="inlineStr">
        <is>
          <t>Supply Cuts</t>
        </is>
      </c>
    </row>
    <row r="1416">
      <c r="A1416" t="inlineStr">
        <is>
          <t>Kylie Makeup</t>
        </is>
      </c>
      <c r="B1416" t="inlineStr">
        <is>
          <t>Lips (01245)</t>
        </is>
      </c>
      <c r="C1416" t="inlineStr">
        <is>
          <t>Kylie Velvet Lip Kit (00006095)</t>
        </is>
      </c>
      <c r="D1416" s="1" t="n">
        <v>4064941008644</v>
      </c>
      <c r="E1416" t="inlineStr">
        <is>
          <t>KJ MU V LIQ K MLTLPK 3G 1G PSK 100 VP IV</t>
        </is>
      </c>
      <c r="F1416" t="inlineStr">
        <is>
          <t>P_US_FG</t>
        </is>
      </c>
      <c r="G1416" t="inlineStr">
        <is>
          <t>CurrentWorkingView</t>
        </is>
      </c>
      <c r="H1416" t="inlineStr">
        <is>
          <t>Consensus - Final LY M</t>
        </is>
      </c>
      <c r="L1416" t="n">
        <v>1</v>
      </c>
      <c r="Q1416" t="n">
        <v>36</v>
      </c>
    </row>
    <row r="1417">
      <c r="A1417" t="inlineStr">
        <is>
          <t>Kylie Makeup</t>
        </is>
      </c>
      <c r="B1417" t="inlineStr">
        <is>
          <t>Lips (01245)</t>
        </is>
      </c>
      <c r="C1417" t="inlineStr">
        <is>
          <t>Kylie Velvet Lip Kit (00006095)</t>
        </is>
      </c>
      <c r="D1417" s="1" t="n">
        <v>4064941008644</v>
      </c>
      <c r="E1417" t="inlineStr">
        <is>
          <t>KJ MU V LIQ K MLTLPK 3G 1G PSK 100 VP IV</t>
        </is>
      </c>
      <c r="F1417" t="inlineStr">
        <is>
          <t>P_US_FG</t>
        </is>
      </c>
      <c r="G1417" t="inlineStr">
        <is>
          <t>CurrentWorkingView</t>
        </is>
      </c>
      <c r="H1417" t="inlineStr">
        <is>
          <t>System FC - Final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Kylie Makeup</t>
        </is>
      </c>
      <c r="B1418" t="inlineStr">
        <is>
          <t>Lips (01245)</t>
        </is>
      </c>
      <c r="C1418" t="inlineStr">
        <is>
          <t>Kylie Velvet Lip Kit (00006095)</t>
        </is>
      </c>
      <c r="D1418" s="1" t="n">
        <v>4064941008644</v>
      </c>
      <c r="E1418" t="inlineStr">
        <is>
          <t>KJ MU V LIQ K MLTLPK 3G 1G PSK 100 VP IV</t>
        </is>
      </c>
      <c r="F1418" t="inlineStr">
        <is>
          <t>P_US_FG</t>
        </is>
      </c>
      <c r="G1418" t="inlineStr">
        <is>
          <t>CurrentWorkingView</t>
        </is>
      </c>
      <c r="H1418" t="inlineStr">
        <is>
          <t>EPOS</t>
        </is>
      </c>
    </row>
    <row r="1419">
      <c r="A1419" t="inlineStr">
        <is>
          <t>Kylie Makeup</t>
        </is>
      </c>
      <c r="B1419" t="inlineStr">
        <is>
          <t>Lips (01245)</t>
        </is>
      </c>
      <c r="C1419" t="inlineStr">
        <is>
          <t>Kylie Velvet Lip Kit (00006095)</t>
        </is>
      </c>
      <c r="D1419" s="1" t="n">
        <v>4064941008644</v>
      </c>
      <c r="E1419" t="inlineStr">
        <is>
          <t>KJ MU V LIQ K MLTLPK 3G 1G PSK 100 VP IV</t>
        </is>
      </c>
      <c r="F1419" t="inlineStr">
        <is>
          <t>P_US_FG</t>
        </is>
      </c>
      <c r="G1419" t="inlineStr">
        <is>
          <t>CurrentWorkingView</t>
        </is>
      </c>
      <c r="H1419" t="inlineStr">
        <is>
          <t>Reasonability Adjustment</t>
        </is>
      </c>
    </row>
    <row r="1420">
      <c r="A1420" t="inlineStr">
        <is>
          <t>Kylie Makeup</t>
        </is>
      </c>
      <c r="B1420" t="inlineStr">
        <is>
          <t>Lips (01245)</t>
        </is>
      </c>
      <c r="C1420" t="inlineStr">
        <is>
          <t>Kylie Velvet Lip Kit (00006095)</t>
        </is>
      </c>
      <c r="D1420" s="1" t="n">
        <v>4064941008644</v>
      </c>
      <c r="E1420" t="inlineStr">
        <is>
          <t>KJ MU V LIQ K MLTLPK 3G 1G PSK 100 VP IV</t>
        </is>
      </c>
      <c r="F1420" t="inlineStr">
        <is>
          <t>P_US_FG</t>
        </is>
      </c>
      <c r="G1420" t="inlineStr">
        <is>
          <t>CurrentWorkingView</t>
        </is>
      </c>
      <c r="H1420" t="inlineStr">
        <is>
          <t>Total Demand Assumption</t>
        </is>
      </c>
    </row>
    <row r="1421">
      <c r="A1421" t="inlineStr">
        <is>
          <t>Kylie Makeup</t>
        </is>
      </c>
      <c r="B1421" t="inlineStr">
        <is>
          <t>Lips (01245)</t>
        </is>
      </c>
      <c r="C1421" t="inlineStr">
        <is>
          <t>Kylie Velvet Lip Kit (00006095)</t>
        </is>
      </c>
      <c r="D1421" s="1" t="n">
        <v>4064941008644</v>
      </c>
      <c r="E1421" t="inlineStr">
        <is>
          <t>KJ MU V LIQ K MLTLPK 3G 1G PSK 100 VP IV</t>
        </is>
      </c>
      <c r="F1421" t="inlineStr">
        <is>
          <t>P_US_FG</t>
        </is>
      </c>
      <c r="G1421" t="inlineStr">
        <is>
          <t>CurrentWorkingView</t>
        </is>
      </c>
      <c r="H1421" t="inlineStr">
        <is>
          <t>Consensus - Final</t>
        </is>
      </c>
      <c r="K1421" t="n">
        <v>0</v>
      </c>
    </row>
    <row r="1422">
      <c r="A1422" t="inlineStr">
        <is>
          <t>Kylie Makeup</t>
        </is>
      </c>
      <c r="B1422" t="inlineStr">
        <is>
          <t>Lips (01245)</t>
        </is>
      </c>
      <c r="C1422" t="inlineStr">
        <is>
          <t>Kylie Velvet Lip Kit (00006095)</t>
        </is>
      </c>
      <c r="D1422" s="1" t="n">
        <v>4064941008644</v>
      </c>
      <c r="E1422" t="inlineStr">
        <is>
          <t>KJ MU V LIQ K MLTLPK 3G 1G PSK 100 VP IV</t>
        </is>
      </c>
      <c r="F1422" t="inlineStr">
        <is>
          <t>P_US_FG</t>
        </is>
      </c>
      <c r="G1422" t="inlineStr">
        <is>
          <t>CurrentWorkingView</t>
        </is>
      </c>
      <c r="H1422" t="inlineStr">
        <is>
          <t>Supply Cuts</t>
        </is>
      </c>
    </row>
    <row r="1423">
      <c r="A1423" t="inlineStr">
        <is>
          <t>Kylie Makeup</t>
        </is>
      </c>
      <c r="B1423" t="inlineStr">
        <is>
          <t>Lips (01245)</t>
        </is>
      </c>
      <c r="C1423" t="inlineStr">
        <is>
          <t>Kylie Velvet Lip Kit (00006095)</t>
        </is>
      </c>
      <c r="D1423" s="1" t="n">
        <v>4064941008644</v>
      </c>
      <c r="E1423" t="inlineStr">
        <is>
          <t>KJ MU V LIQ K MLTLPK 3G 1G PSK 100 VP IV</t>
        </is>
      </c>
      <c r="F1423" t="inlineStr">
        <is>
          <t>P_US_FG</t>
        </is>
      </c>
      <c r="G1423" t="inlineStr">
        <is>
          <t>Month-2026.M09.W38</t>
        </is>
      </c>
      <c r="H1423" t="inlineStr">
        <is>
          <t>Consensus - Final LY M</t>
        </is>
      </c>
      <c r="L1423" t="n">
        <v>1</v>
      </c>
      <c r="Q1423" t="n">
        <v>36</v>
      </c>
    </row>
    <row r="1424">
      <c r="A1424" t="inlineStr">
        <is>
          <t>Kylie Makeup</t>
        </is>
      </c>
      <c r="B1424" t="inlineStr">
        <is>
          <t>Lips (01245)</t>
        </is>
      </c>
      <c r="C1424" t="inlineStr">
        <is>
          <t>Kylie Velvet Lip Kit (00006095)</t>
        </is>
      </c>
      <c r="D1424" s="1" t="n">
        <v>4064941008644</v>
      </c>
      <c r="E1424" t="inlineStr">
        <is>
          <t>KJ MU V LIQ K MLTLPK 3G 1G PSK 100 VP IV</t>
        </is>
      </c>
      <c r="F1424" t="inlineStr">
        <is>
          <t>P_US_FG</t>
        </is>
      </c>
      <c r="G1424" t="inlineStr">
        <is>
          <t>Month-2026.M09.W38</t>
        </is>
      </c>
      <c r="H1424" t="inlineStr">
        <is>
          <t>System FC - Final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Kylie Makeup</t>
        </is>
      </c>
      <c r="B1425" t="inlineStr">
        <is>
          <t>Lips (01245)</t>
        </is>
      </c>
      <c r="C1425" t="inlineStr">
        <is>
          <t>Kylie Velvet Lip Kit (00006095)</t>
        </is>
      </c>
      <c r="D1425" s="1" t="n">
        <v>4064941008644</v>
      </c>
      <c r="E1425" t="inlineStr">
        <is>
          <t>KJ MU V LIQ K MLTLPK 3G 1G PSK 100 VP IV</t>
        </is>
      </c>
      <c r="F1425" t="inlineStr">
        <is>
          <t>P_US_FG</t>
        </is>
      </c>
      <c r="G1425" t="inlineStr">
        <is>
          <t>Month-2026.M09.W38</t>
        </is>
      </c>
      <c r="H1425" t="inlineStr">
        <is>
          <t>EPOS</t>
        </is>
      </c>
    </row>
    <row r="1426">
      <c r="A1426" t="inlineStr">
        <is>
          <t>Kylie Makeup</t>
        </is>
      </c>
      <c r="B1426" t="inlineStr">
        <is>
          <t>Lips (01245)</t>
        </is>
      </c>
      <c r="C1426" t="inlineStr">
        <is>
          <t>Kylie Velvet Lip Kit (00006095)</t>
        </is>
      </c>
      <c r="D1426" s="1" t="n">
        <v>4064941008644</v>
      </c>
      <c r="E1426" t="inlineStr">
        <is>
          <t>KJ MU V LIQ K MLTLPK 3G 1G PSK 100 VP IV</t>
        </is>
      </c>
      <c r="F1426" t="inlineStr">
        <is>
          <t>P_US_FG</t>
        </is>
      </c>
      <c r="G1426" t="inlineStr">
        <is>
          <t>Month-2026.M09.W38</t>
        </is>
      </c>
      <c r="H1426" t="inlineStr">
        <is>
          <t>Reasonability Adjustment</t>
        </is>
      </c>
    </row>
    <row r="1427">
      <c r="A1427" t="inlineStr">
        <is>
          <t>Kylie Makeup</t>
        </is>
      </c>
      <c r="B1427" t="inlineStr">
        <is>
          <t>Lips (01245)</t>
        </is>
      </c>
      <c r="C1427" t="inlineStr">
        <is>
          <t>Kylie Velvet Lip Kit (00006095)</t>
        </is>
      </c>
      <c r="D1427" s="1" t="n">
        <v>4064941008644</v>
      </c>
      <c r="E1427" t="inlineStr">
        <is>
          <t>KJ MU V LIQ K MLTLPK 3G 1G PSK 100 VP IV</t>
        </is>
      </c>
      <c r="F1427" t="inlineStr">
        <is>
          <t>P_US_FG</t>
        </is>
      </c>
      <c r="G1427" t="inlineStr">
        <is>
          <t>Month-2026.M09.W38</t>
        </is>
      </c>
      <c r="H1427" t="inlineStr">
        <is>
          <t>Total Demand Assumption</t>
        </is>
      </c>
    </row>
    <row r="1428">
      <c r="A1428" t="inlineStr">
        <is>
          <t>Kylie Makeup</t>
        </is>
      </c>
      <c r="B1428" t="inlineStr">
        <is>
          <t>Lips (01245)</t>
        </is>
      </c>
      <c r="C1428" t="inlineStr">
        <is>
          <t>Kylie Velvet Lip Kit (00006095)</t>
        </is>
      </c>
      <c r="D1428" s="1" t="n">
        <v>4064941008644</v>
      </c>
      <c r="E1428" t="inlineStr">
        <is>
          <t>KJ MU V LIQ K MLTLPK 3G 1G PSK 100 VP IV</t>
        </is>
      </c>
      <c r="F1428" t="inlineStr">
        <is>
          <t>P_US_FG</t>
        </is>
      </c>
      <c r="G1428" t="inlineStr">
        <is>
          <t>Month-2026.M09.W38</t>
        </is>
      </c>
      <c r="H1428" t="inlineStr">
        <is>
          <t>Consensus - Final</t>
        </is>
      </c>
      <c r="K1428" t="n">
        <v>0</v>
      </c>
    </row>
    <row r="1429">
      <c r="A1429" t="inlineStr">
        <is>
          <t>Kylie Makeup</t>
        </is>
      </c>
      <c r="B1429" t="inlineStr">
        <is>
          <t>Lips (01245)</t>
        </is>
      </c>
      <c r="C1429" t="inlineStr">
        <is>
          <t>Kylie Velvet Lip Kit (00006095)</t>
        </is>
      </c>
      <c r="D1429" s="1" t="n">
        <v>4064941008644</v>
      </c>
      <c r="E1429" t="inlineStr">
        <is>
          <t>KJ MU V LIQ K MLTLPK 3G 1G PSK 100 VP IV</t>
        </is>
      </c>
      <c r="F1429" t="inlineStr">
        <is>
          <t>P_US_FG</t>
        </is>
      </c>
      <c r="G1429" t="inlineStr">
        <is>
          <t>Month-2026.M09.W38</t>
        </is>
      </c>
      <c r="H1429" t="inlineStr">
        <is>
          <t>Supply Cuts</t>
        </is>
      </c>
    </row>
    <row r="1430">
      <c r="A1430" t="inlineStr">
        <is>
          <t>Kylie Makeup</t>
        </is>
      </c>
      <c r="B1430" t="inlineStr">
        <is>
          <t>Lips (01245)</t>
        </is>
      </c>
      <c r="C1430" t="inlineStr">
        <is>
          <t>Kylie Velvet Lip Kit (00006095)</t>
        </is>
      </c>
      <c r="D1430" s="1" t="n">
        <v>4064941008644</v>
      </c>
      <c r="E1430" t="inlineStr">
        <is>
          <t>KJ MU V LIQ K MLTLPK 3G 1G PSK 100 VP IV</t>
        </is>
      </c>
      <c r="F1430" t="inlineStr">
        <is>
          <t>P_US_ULTA</t>
        </is>
      </c>
      <c r="G1430" t="inlineStr">
        <is>
          <t>CurrentWorkingView</t>
        </is>
      </c>
      <c r="H1430" t="inlineStr">
        <is>
          <t>Consensus - Final LY M</t>
        </is>
      </c>
      <c r="I1430" t="n">
        <v>1108</v>
      </c>
      <c r="J1430" t="n">
        <v>893</v>
      </c>
      <c r="K1430" t="n">
        <v>2504</v>
      </c>
      <c r="L1430" t="n">
        <v>1338</v>
      </c>
      <c r="M1430" t="n">
        <v>1488</v>
      </c>
      <c r="N1430" t="n">
        <v>490</v>
      </c>
      <c r="P1430" t="n">
        <v>1838</v>
      </c>
      <c r="Q1430" t="n">
        <v>1235</v>
      </c>
      <c r="R1430" t="n">
        <v>782</v>
      </c>
      <c r="S1430" t="n">
        <v>1204</v>
      </c>
      <c r="T1430" t="n">
        <v>671</v>
      </c>
    </row>
    <row r="1431">
      <c r="A1431" t="inlineStr">
        <is>
          <t>Kylie Makeup</t>
        </is>
      </c>
      <c r="B1431" t="inlineStr">
        <is>
          <t>Lips (01245)</t>
        </is>
      </c>
      <c r="C1431" t="inlineStr">
        <is>
          <t>Kylie Velvet Lip Kit (00006095)</t>
        </is>
      </c>
      <c r="D1431" s="1" t="n">
        <v>4064941008644</v>
      </c>
      <c r="E1431" t="inlineStr">
        <is>
          <t>KJ MU V LIQ K MLTLPK 3G 1G PSK 100 VP IV</t>
        </is>
      </c>
      <c r="F1431" t="inlineStr">
        <is>
          <t>P_US_ULTA</t>
        </is>
      </c>
      <c r="G1431" t="inlineStr">
        <is>
          <t>CurrentWorkingView</t>
        </is>
      </c>
      <c r="H1431" t="inlineStr">
        <is>
          <t>System FC - Final</t>
        </is>
      </c>
      <c r="I1431" t="n">
        <v>464</v>
      </c>
      <c r="J1431" t="n">
        <v>694</v>
      </c>
      <c r="K1431" t="n">
        <v>971</v>
      </c>
      <c r="L1431" t="n">
        <v>590</v>
      </c>
      <c r="M1431" t="n">
        <v>660</v>
      </c>
      <c r="N1431" t="n">
        <v>828</v>
      </c>
      <c r="O1431" t="n">
        <v>399</v>
      </c>
      <c r="P1431" t="n">
        <v>484</v>
      </c>
      <c r="Q1431" t="n">
        <v>612</v>
      </c>
      <c r="R1431" t="n">
        <v>382</v>
      </c>
      <c r="S1431" t="n">
        <v>1779</v>
      </c>
      <c r="T1431" t="n">
        <v>651</v>
      </c>
    </row>
    <row r="1432">
      <c r="A1432" t="inlineStr">
        <is>
          <t>Kylie Makeup</t>
        </is>
      </c>
      <c r="B1432" t="inlineStr">
        <is>
          <t>Lips (01245)</t>
        </is>
      </c>
      <c r="C1432" t="inlineStr">
        <is>
          <t>Kylie Velvet Lip Kit (00006095)</t>
        </is>
      </c>
      <c r="D1432" s="1" t="n">
        <v>4064941008644</v>
      </c>
      <c r="E1432" t="inlineStr">
        <is>
          <t>KJ MU V LIQ K MLTLPK 3G 1G PSK 100 VP IV</t>
        </is>
      </c>
      <c r="F1432" t="inlineStr">
        <is>
          <t>P_US_ULTA</t>
        </is>
      </c>
      <c r="G1432" t="inlineStr">
        <is>
          <t>CurrentWorkingView</t>
        </is>
      </c>
      <c r="H1432" t="inlineStr">
        <is>
          <t>EPOS</t>
        </is>
      </c>
      <c r="I1432" t="n">
        <v>803</v>
      </c>
    </row>
    <row r="1433">
      <c r="A1433" t="inlineStr">
        <is>
          <t>Kylie Makeup</t>
        </is>
      </c>
      <c r="B1433" t="inlineStr">
        <is>
          <t>Lips (01245)</t>
        </is>
      </c>
      <c r="C1433" t="inlineStr">
        <is>
          <t>Kylie Velvet Lip Kit (00006095)</t>
        </is>
      </c>
      <c r="D1433" s="1" t="n">
        <v>4064941008644</v>
      </c>
      <c r="E1433" t="inlineStr">
        <is>
          <t>KJ MU V LIQ K MLTLPK 3G 1G PSK 100 VP IV</t>
        </is>
      </c>
      <c r="F1433" t="inlineStr">
        <is>
          <t>P_US_ULTA</t>
        </is>
      </c>
      <c r="G1433" t="inlineStr">
        <is>
          <t>CurrentWorkingView</t>
        </is>
      </c>
      <c r="H1433" t="inlineStr">
        <is>
          <t>Reasonability Adjustment</t>
        </is>
      </c>
      <c r="S1433" t="n">
        <v>-149</v>
      </c>
      <c r="T1433" t="n">
        <v>-183</v>
      </c>
    </row>
    <row r="1434">
      <c r="A1434" t="inlineStr">
        <is>
          <t>Kylie Makeup</t>
        </is>
      </c>
      <c r="B1434" t="inlineStr">
        <is>
          <t>Lips (01245)</t>
        </is>
      </c>
      <c r="C1434" t="inlineStr">
        <is>
          <t>Kylie Velvet Lip Kit (00006095)</t>
        </is>
      </c>
      <c r="D1434" s="1" t="n">
        <v>4064941008644</v>
      </c>
      <c r="E1434" t="inlineStr">
        <is>
          <t>KJ MU V LIQ K MLTLPK 3G 1G PSK 100 VP IV</t>
        </is>
      </c>
      <c r="F1434" t="inlineStr">
        <is>
          <t>P_US_ULTA</t>
        </is>
      </c>
      <c r="G1434" t="inlineStr">
        <is>
          <t>CurrentWorkingView</t>
        </is>
      </c>
      <c r="H1434" t="inlineStr">
        <is>
          <t>Total Demand Assumption</t>
        </is>
      </c>
      <c r="I1434" t="n">
        <v>-335</v>
      </c>
      <c r="J1434" t="n">
        <v>-211</v>
      </c>
      <c r="K1434" t="n">
        <v>-250</v>
      </c>
      <c r="L1434" t="n">
        <v>-244</v>
      </c>
      <c r="M1434" t="n">
        <v>-256</v>
      </c>
      <c r="N1434" t="n">
        <v>-209</v>
      </c>
      <c r="O1434" t="n">
        <v>-207</v>
      </c>
      <c r="P1434" t="n">
        <v>-251</v>
      </c>
      <c r="Q1434" t="n">
        <v>-231</v>
      </c>
      <c r="R1434" t="n">
        <v>-223</v>
      </c>
      <c r="S1434" t="n">
        <v>-568</v>
      </c>
      <c r="T1434" t="n">
        <v>-245</v>
      </c>
    </row>
    <row r="1435">
      <c r="A1435" t="inlineStr">
        <is>
          <t>Kylie Makeup</t>
        </is>
      </c>
      <c r="B1435" t="inlineStr">
        <is>
          <t>Lips (01245)</t>
        </is>
      </c>
      <c r="C1435" t="inlineStr">
        <is>
          <t>Kylie Velvet Lip Kit (00006095)</t>
        </is>
      </c>
      <c r="D1435" s="1" t="n">
        <v>4064941008644</v>
      </c>
      <c r="E1435" t="inlineStr">
        <is>
          <t>KJ MU V LIQ K MLTLPK 3G 1G PSK 100 VP IV</t>
        </is>
      </c>
      <c r="F1435" t="inlineStr">
        <is>
          <t>P_US_ULTA</t>
        </is>
      </c>
      <c r="G1435" t="inlineStr">
        <is>
          <t>CurrentWorkingView</t>
        </is>
      </c>
      <c r="H1435" t="inlineStr">
        <is>
          <t>Consensus - Final</t>
        </is>
      </c>
      <c r="I1435" t="n">
        <v>464</v>
      </c>
      <c r="J1435" t="n">
        <v>694</v>
      </c>
      <c r="K1435" t="n">
        <v>1178</v>
      </c>
      <c r="L1435" t="n">
        <v>379</v>
      </c>
      <c r="M1435" t="n">
        <v>447</v>
      </c>
      <c r="N1435" t="n">
        <v>619</v>
      </c>
      <c r="O1435" t="n">
        <v>194</v>
      </c>
      <c r="P1435" t="n">
        <v>233</v>
      </c>
      <c r="Q1435" t="n">
        <v>381</v>
      </c>
      <c r="R1435" t="n">
        <v>159</v>
      </c>
      <c r="S1435" t="n">
        <v>1105</v>
      </c>
      <c r="T1435" t="n">
        <v>225</v>
      </c>
    </row>
    <row r="1436">
      <c r="A1436" t="inlineStr">
        <is>
          <t>Kylie Makeup</t>
        </is>
      </c>
      <c r="B1436" t="inlineStr">
        <is>
          <t>Lips (01245)</t>
        </is>
      </c>
      <c r="C1436" t="inlineStr">
        <is>
          <t>Kylie Velvet Lip Kit (00006095)</t>
        </is>
      </c>
      <c r="D1436" s="1" t="n">
        <v>4064941008644</v>
      </c>
      <c r="E1436" t="inlineStr">
        <is>
          <t>KJ MU V LIQ K MLTLPK 3G 1G PSK 100 VP IV</t>
        </is>
      </c>
      <c r="F1436" t="inlineStr">
        <is>
          <t>P_US_ULTA</t>
        </is>
      </c>
      <c r="G1436" t="inlineStr">
        <is>
          <t>CurrentWorkingView</t>
        </is>
      </c>
      <c r="H1436" t="inlineStr">
        <is>
          <t>Supply Cuts</t>
        </is>
      </c>
    </row>
    <row r="1437">
      <c r="A1437" t="inlineStr">
        <is>
          <t>Kylie Makeup</t>
        </is>
      </c>
      <c r="B1437" t="inlineStr">
        <is>
          <t>Lips (01245)</t>
        </is>
      </c>
      <c r="C1437" t="inlineStr">
        <is>
          <t>Kylie Velvet Lip Kit (00006095)</t>
        </is>
      </c>
      <c r="D1437" s="1" t="n">
        <v>4064941008644</v>
      </c>
      <c r="E1437" t="inlineStr">
        <is>
          <t>KJ MU V LIQ K MLTLPK 3G 1G PSK 100 VP IV</t>
        </is>
      </c>
      <c r="F1437" t="inlineStr">
        <is>
          <t>P_US_ULTA</t>
        </is>
      </c>
      <c r="G1437" t="inlineStr">
        <is>
          <t>Month-2026.M09.W38</t>
        </is>
      </c>
      <c r="H1437" t="inlineStr">
        <is>
          <t>Consensus - Final LY M</t>
        </is>
      </c>
      <c r="I1437" t="n">
        <v>1108</v>
      </c>
      <c r="J1437" t="n">
        <v>893</v>
      </c>
      <c r="K1437" t="n">
        <v>2504</v>
      </c>
      <c r="L1437" t="n">
        <v>1338</v>
      </c>
      <c r="M1437" t="n">
        <v>1488</v>
      </c>
      <c r="N1437" t="n">
        <v>490</v>
      </c>
      <c r="P1437" t="n">
        <v>1838</v>
      </c>
      <c r="Q1437" t="n">
        <v>1235</v>
      </c>
      <c r="R1437" t="n">
        <v>782</v>
      </c>
      <c r="S1437" t="n">
        <v>1204</v>
      </c>
      <c r="T1437" t="n">
        <v>671</v>
      </c>
    </row>
    <row r="1438">
      <c r="A1438" t="inlineStr">
        <is>
          <t>Kylie Makeup</t>
        </is>
      </c>
      <c r="B1438" t="inlineStr">
        <is>
          <t>Lips (01245)</t>
        </is>
      </c>
      <c r="C1438" t="inlineStr">
        <is>
          <t>Kylie Velvet Lip Kit (00006095)</t>
        </is>
      </c>
      <c r="D1438" s="1" t="n">
        <v>4064941008644</v>
      </c>
      <c r="E1438" t="inlineStr">
        <is>
          <t>KJ MU V LIQ K MLTLPK 3G 1G PSK 100 VP IV</t>
        </is>
      </c>
      <c r="F1438" t="inlineStr">
        <is>
          <t>P_US_ULTA</t>
        </is>
      </c>
      <c r="G1438" t="inlineStr">
        <is>
          <t>Month-2026.M09.W38</t>
        </is>
      </c>
      <c r="H1438" t="inlineStr">
        <is>
          <t>System FC - Final</t>
        </is>
      </c>
      <c r="I1438" t="n">
        <v>464</v>
      </c>
      <c r="J1438" t="n">
        <v>694</v>
      </c>
      <c r="K1438" t="n">
        <v>1192</v>
      </c>
      <c r="L1438" t="n">
        <v>1865</v>
      </c>
      <c r="M1438" t="n">
        <v>1102</v>
      </c>
      <c r="N1438" t="n">
        <v>1004</v>
      </c>
      <c r="O1438" t="n">
        <v>735</v>
      </c>
      <c r="P1438" t="n">
        <v>932</v>
      </c>
      <c r="Q1438" t="n">
        <v>1036</v>
      </c>
      <c r="R1438" t="n">
        <v>930</v>
      </c>
      <c r="S1438" t="n">
        <v>1975</v>
      </c>
      <c r="T1438" t="n">
        <v>1029</v>
      </c>
    </row>
    <row r="1439">
      <c r="A1439" t="inlineStr">
        <is>
          <t>Kylie Makeup</t>
        </is>
      </c>
      <c r="B1439" t="inlineStr">
        <is>
          <t>Lips (01245)</t>
        </is>
      </c>
      <c r="C1439" t="inlineStr">
        <is>
          <t>Kylie Velvet Lip Kit (00006095)</t>
        </is>
      </c>
      <c r="D1439" s="1" t="n">
        <v>4064941008644</v>
      </c>
      <c r="E1439" t="inlineStr">
        <is>
          <t>KJ MU V LIQ K MLTLPK 3G 1G PSK 100 VP IV</t>
        </is>
      </c>
      <c r="F1439" t="inlineStr">
        <is>
          <t>P_US_ULTA</t>
        </is>
      </c>
      <c r="G1439" t="inlineStr">
        <is>
          <t>Month-2026.M09.W38</t>
        </is>
      </c>
      <c r="H1439" t="inlineStr">
        <is>
          <t>EPOS</t>
        </is>
      </c>
      <c r="I1439" t="n">
        <v>803</v>
      </c>
    </row>
    <row r="1440">
      <c r="A1440" t="inlineStr">
        <is>
          <t>Kylie Makeup</t>
        </is>
      </c>
      <c r="B1440" t="inlineStr">
        <is>
          <t>Lips (01245)</t>
        </is>
      </c>
      <c r="C1440" t="inlineStr">
        <is>
          <t>Kylie Velvet Lip Kit (00006095)</t>
        </is>
      </c>
      <c r="D1440" s="1" t="n">
        <v>4064941008644</v>
      </c>
      <c r="E1440" t="inlineStr">
        <is>
          <t>KJ MU V LIQ K MLTLPK 3G 1G PSK 100 VP IV</t>
        </is>
      </c>
      <c r="F1440" t="inlineStr">
        <is>
          <t>P_US_ULTA</t>
        </is>
      </c>
      <c r="G1440" t="inlineStr">
        <is>
          <t>Month-2026.M09.W38</t>
        </is>
      </c>
      <c r="H1440" t="inlineStr">
        <is>
          <t>Reasonability Adjustment</t>
        </is>
      </c>
      <c r="S1440" t="n">
        <v>-149</v>
      </c>
      <c r="T1440" t="n">
        <v>-183</v>
      </c>
    </row>
    <row r="1441">
      <c r="A1441" t="inlineStr">
        <is>
          <t>Kylie Makeup</t>
        </is>
      </c>
      <c r="B1441" t="inlineStr">
        <is>
          <t>Lips (01245)</t>
        </is>
      </c>
      <c r="C1441" t="inlineStr">
        <is>
          <t>Kylie Velvet Lip Kit (00006095)</t>
        </is>
      </c>
      <c r="D1441" s="1" t="n">
        <v>4064941008644</v>
      </c>
      <c r="E1441" t="inlineStr">
        <is>
          <t>KJ MU V LIQ K MLTLPK 3G 1G PSK 100 VP IV</t>
        </is>
      </c>
      <c r="F1441" t="inlineStr">
        <is>
          <t>P_US_ULTA</t>
        </is>
      </c>
      <c r="G1441" t="inlineStr">
        <is>
          <t>Month-2026.M09.W38</t>
        </is>
      </c>
      <c r="H1441" t="inlineStr">
        <is>
          <t>Total Demand Assumption</t>
        </is>
      </c>
      <c r="I1441" t="n">
        <v>-335</v>
      </c>
      <c r="J1441" t="n">
        <v>-211</v>
      </c>
      <c r="K1441" t="n">
        <v>-250</v>
      </c>
      <c r="L1441" t="n">
        <v>-244</v>
      </c>
      <c r="M1441" t="n">
        <v>-256</v>
      </c>
      <c r="N1441" t="n">
        <v>-209</v>
      </c>
      <c r="O1441" t="n">
        <v>-207</v>
      </c>
      <c r="P1441" t="n">
        <v>-251</v>
      </c>
      <c r="Q1441" t="n">
        <v>-231</v>
      </c>
      <c r="R1441" t="n">
        <v>-223</v>
      </c>
      <c r="S1441" t="n">
        <v>-568</v>
      </c>
      <c r="T1441" t="n">
        <v>-245</v>
      </c>
    </row>
    <row r="1442">
      <c r="A1442" t="inlineStr">
        <is>
          <t>Kylie Makeup</t>
        </is>
      </c>
      <c r="B1442" t="inlineStr">
        <is>
          <t>Lips (01245)</t>
        </is>
      </c>
      <c r="C1442" t="inlineStr">
        <is>
          <t>Kylie Velvet Lip Kit (00006095)</t>
        </is>
      </c>
      <c r="D1442" s="1" t="n">
        <v>4064941008644</v>
      </c>
      <c r="E1442" t="inlineStr">
        <is>
          <t>KJ MU V LIQ K MLTLPK 3G 1G PSK 100 VP IV</t>
        </is>
      </c>
      <c r="F1442" t="inlineStr">
        <is>
          <t>P_US_ULTA</t>
        </is>
      </c>
      <c r="G1442" t="inlineStr">
        <is>
          <t>Month-2026.M09.W38</t>
        </is>
      </c>
      <c r="H1442" t="inlineStr">
        <is>
          <t>Consensus - Final</t>
        </is>
      </c>
      <c r="I1442" t="n">
        <v>464</v>
      </c>
      <c r="J1442" t="n">
        <v>694</v>
      </c>
      <c r="K1442" t="n">
        <v>1178</v>
      </c>
      <c r="L1442" t="n">
        <v>1621</v>
      </c>
      <c r="M1442" t="n">
        <v>858</v>
      </c>
      <c r="N1442" t="n">
        <v>795</v>
      </c>
      <c r="O1442" t="n">
        <v>528</v>
      </c>
      <c r="P1442" t="n">
        <v>681</v>
      </c>
      <c r="Q1442" t="n">
        <v>805</v>
      </c>
      <c r="R1442" t="n">
        <v>707</v>
      </c>
      <c r="S1442" t="n">
        <v>1295</v>
      </c>
      <c r="T1442" t="n">
        <v>601</v>
      </c>
    </row>
    <row r="1443">
      <c r="A1443" t="inlineStr">
        <is>
          <t>Kylie Makeup</t>
        </is>
      </c>
      <c r="B1443" t="inlineStr">
        <is>
          <t>Lips (01245)</t>
        </is>
      </c>
      <c r="C1443" t="inlineStr">
        <is>
          <t>Kylie Velvet Lip Kit (00006095)</t>
        </is>
      </c>
      <c r="D1443" s="1" t="n">
        <v>4064941008644</v>
      </c>
      <c r="E1443" t="inlineStr">
        <is>
          <t>KJ MU V LIQ K MLTLPK 3G 1G PSK 100 VP IV</t>
        </is>
      </c>
      <c r="F1443" t="inlineStr">
        <is>
          <t>P_US_ULTA</t>
        </is>
      </c>
      <c r="G1443" t="inlineStr">
        <is>
          <t>Month-2026.M09.W38</t>
        </is>
      </c>
      <c r="H1443" t="inlineStr">
        <is>
          <t>Supply Cuts</t>
        </is>
      </c>
    </row>
    <row r="1444">
      <c r="A1444" t="inlineStr">
        <is>
          <t>Kylie Makeup</t>
        </is>
      </c>
      <c r="B1444" t="inlineStr">
        <is>
          <t>Lips (01245)</t>
        </is>
      </c>
      <c r="C1444" t="inlineStr">
        <is>
          <t>Kylie Matte Lip Kit (00006094)</t>
        </is>
      </c>
      <c r="D1444" s="1" t="n">
        <v>4064941008675</v>
      </c>
      <c r="E1444" t="inlineStr">
        <is>
          <t>KJ MU M LIQ K SET NEW MDIN 700 BARE 23IV</t>
        </is>
      </c>
      <c r="F1444" t="inlineStr">
        <is>
          <t>P_US_ALL_OTHERS</t>
        </is>
      </c>
      <c r="G1444" t="inlineStr">
        <is>
          <t>CurrentWorkingView</t>
        </is>
      </c>
      <c r="H1444" t="inlineStr">
        <is>
          <t>Consensus - Final LY M</t>
        </is>
      </c>
      <c r="I1444" t="n">
        <v>204</v>
      </c>
      <c r="J1444" t="n">
        <v>150</v>
      </c>
      <c r="K1444" t="n">
        <v>161</v>
      </c>
      <c r="L1444" t="n">
        <v>144</v>
      </c>
      <c r="M1444" t="n">
        <v>124</v>
      </c>
      <c r="N1444" t="n">
        <v>162</v>
      </c>
      <c r="O1444" t="n">
        <v>143</v>
      </c>
      <c r="P1444" t="n">
        <v>184</v>
      </c>
      <c r="Q1444" t="n">
        <v>209</v>
      </c>
      <c r="R1444" t="n">
        <v>187</v>
      </c>
      <c r="S1444" t="n">
        <v>253</v>
      </c>
      <c r="T1444" t="n">
        <v>129</v>
      </c>
    </row>
    <row r="1445">
      <c r="A1445" t="inlineStr">
        <is>
          <t>Kylie Makeup</t>
        </is>
      </c>
      <c r="B1445" t="inlineStr">
        <is>
          <t>Lips (01245)</t>
        </is>
      </c>
      <c r="C1445" t="inlineStr">
        <is>
          <t>Kylie Matte Lip Kit (00006094)</t>
        </is>
      </c>
      <c r="D1445" s="1" t="n">
        <v>4064941008675</v>
      </c>
      <c r="E1445" t="inlineStr">
        <is>
          <t>KJ MU M LIQ K SET NEW MDIN 700 BARE 23IV</t>
        </is>
      </c>
      <c r="F1445" t="inlineStr">
        <is>
          <t>P_US_ALL_OTHERS</t>
        </is>
      </c>
      <c r="G1445" t="inlineStr">
        <is>
          <t>CurrentWorkingView</t>
        </is>
      </c>
      <c r="H1445" t="inlineStr">
        <is>
          <t>System FC - Final</t>
        </is>
      </c>
      <c r="I1445" t="n">
        <v>121</v>
      </c>
      <c r="J1445" t="n">
        <v>138</v>
      </c>
      <c r="K1445" t="n">
        <v>116</v>
      </c>
      <c r="L1445" t="n">
        <v>138</v>
      </c>
      <c r="M1445" t="n">
        <v>187</v>
      </c>
      <c r="N1445" t="n">
        <v>198</v>
      </c>
      <c r="O1445" t="n">
        <v>212</v>
      </c>
      <c r="P1445" t="n">
        <v>240</v>
      </c>
      <c r="Q1445" t="n">
        <v>233</v>
      </c>
      <c r="R1445" t="n">
        <v>185</v>
      </c>
      <c r="S1445" t="n">
        <v>222</v>
      </c>
      <c r="T1445" t="n">
        <v>193</v>
      </c>
    </row>
    <row r="1446">
      <c r="A1446" t="inlineStr">
        <is>
          <t>Kylie Makeup</t>
        </is>
      </c>
      <c r="B1446" t="inlineStr">
        <is>
          <t>Lips (01245)</t>
        </is>
      </c>
      <c r="C1446" t="inlineStr">
        <is>
          <t>Kylie Matte Lip Kit (00006094)</t>
        </is>
      </c>
      <c r="D1446" s="1" t="n">
        <v>4064941008675</v>
      </c>
      <c r="E1446" t="inlineStr">
        <is>
          <t>KJ MU M LIQ K SET NEW MDIN 700 BARE 23IV</t>
        </is>
      </c>
      <c r="F1446" t="inlineStr">
        <is>
          <t>P_US_ALL_OTHERS</t>
        </is>
      </c>
      <c r="G1446" t="inlineStr">
        <is>
          <t>CurrentWorkingView</t>
        </is>
      </c>
      <c r="H1446" t="inlineStr">
        <is>
          <t>EPOS</t>
        </is>
      </c>
      <c r="I1446" t="n">
        <v>88</v>
      </c>
    </row>
    <row r="1447">
      <c r="A1447" t="inlineStr">
        <is>
          <t>Kylie Makeup</t>
        </is>
      </c>
      <c r="B1447" t="inlineStr">
        <is>
          <t>Lips (01245)</t>
        </is>
      </c>
      <c r="C1447" t="inlineStr">
        <is>
          <t>Kylie Matte Lip Kit (00006094)</t>
        </is>
      </c>
      <c r="D1447" s="1" t="n">
        <v>4064941008675</v>
      </c>
      <c r="E1447" t="inlineStr">
        <is>
          <t>KJ MU M LIQ K SET NEW MDIN 700 BARE 23IV</t>
        </is>
      </c>
      <c r="F1447" t="inlineStr">
        <is>
          <t>P_US_ALL_OTHERS</t>
        </is>
      </c>
      <c r="G1447" t="inlineStr">
        <is>
          <t>CurrentWorkingView</t>
        </is>
      </c>
      <c r="H1447" t="inlineStr">
        <is>
          <t>Reasonability Adjustment</t>
        </is>
      </c>
    </row>
    <row r="1448">
      <c r="A1448" t="inlineStr">
        <is>
          <t>Kylie Makeup</t>
        </is>
      </c>
      <c r="B1448" t="inlineStr">
        <is>
          <t>Lips (01245)</t>
        </is>
      </c>
      <c r="C1448" t="inlineStr">
        <is>
          <t>Kylie Matte Lip Kit (00006094)</t>
        </is>
      </c>
      <c r="D1448" s="1" t="n">
        <v>4064941008675</v>
      </c>
      <c r="E1448" t="inlineStr">
        <is>
          <t>KJ MU M LIQ K SET NEW MDIN 700 BARE 23IV</t>
        </is>
      </c>
      <c r="F1448" t="inlineStr">
        <is>
          <t>P_US_ALL_OTHERS</t>
        </is>
      </c>
      <c r="G1448" t="inlineStr">
        <is>
          <t>CurrentWorkingView</t>
        </is>
      </c>
      <c r="H1448" t="inlineStr">
        <is>
          <t>Total Demand Assumption</t>
        </is>
      </c>
    </row>
    <row r="1449">
      <c r="A1449" t="inlineStr">
        <is>
          <t>Kylie Makeup</t>
        </is>
      </c>
      <c r="B1449" t="inlineStr">
        <is>
          <t>Lips (01245)</t>
        </is>
      </c>
      <c r="C1449" t="inlineStr">
        <is>
          <t>Kylie Matte Lip Kit (00006094)</t>
        </is>
      </c>
      <c r="D1449" s="1" t="n">
        <v>4064941008675</v>
      </c>
      <c r="E1449" t="inlineStr">
        <is>
          <t>KJ MU M LIQ K SET NEW MDIN 700 BARE 23IV</t>
        </is>
      </c>
      <c r="F1449" t="inlineStr">
        <is>
          <t>P_US_ALL_OTHERS</t>
        </is>
      </c>
      <c r="G1449" t="inlineStr">
        <is>
          <t>CurrentWorkingView</t>
        </is>
      </c>
      <c r="H1449" t="inlineStr">
        <is>
          <t>Consensus - Final</t>
        </is>
      </c>
      <c r="I1449" t="n">
        <v>121</v>
      </c>
      <c r="J1449" t="n">
        <v>138</v>
      </c>
      <c r="K1449" t="n">
        <v>148.256849315068</v>
      </c>
      <c r="L1449" t="n">
        <v>138</v>
      </c>
      <c r="M1449" t="n">
        <v>187</v>
      </c>
      <c r="N1449" t="n">
        <v>198</v>
      </c>
      <c r="O1449" t="n">
        <v>212</v>
      </c>
      <c r="P1449" t="n">
        <v>240</v>
      </c>
      <c r="Q1449" t="n">
        <v>233</v>
      </c>
      <c r="R1449" t="n">
        <v>185</v>
      </c>
      <c r="S1449" t="n">
        <v>222</v>
      </c>
      <c r="T1449" t="n">
        <v>193</v>
      </c>
    </row>
    <row r="1450">
      <c r="A1450" t="inlineStr">
        <is>
          <t>Kylie Makeup</t>
        </is>
      </c>
      <c r="B1450" t="inlineStr">
        <is>
          <t>Lips (01245)</t>
        </is>
      </c>
      <c r="C1450" t="inlineStr">
        <is>
          <t>Kylie Matte Lip Kit (00006094)</t>
        </is>
      </c>
      <c r="D1450" s="1" t="n">
        <v>4064941008675</v>
      </c>
      <c r="E1450" t="inlineStr">
        <is>
          <t>KJ MU M LIQ K SET NEW MDIN 700 BARE 23IV</t>
        </is>
      </c>
      <c r="F1450" t="inlineStr">
        <is>
          <t>P_US_ALL_OTHERS</t>
        </is>
      </c>
      <c r="G1450" t="inlineStr">
        <is>
          <t>CurrentWorkingView</t>
        </is>
      </c>
      <c r="H1450" t="inlineStr">
        <is>
          <t>Supply Cuts</t>
        </is>
      </c>
    </row>
    <row r="1451">
      <c r="A1451" t="inlineStr">
        <is>
          <t>Kylie Makeup</t>
        </is>
      </c>
      <c r="B1451" t="inlineStr">
        <is>
          <t>Lips (01245)</t>
        </is>
      </c>
      <c r="C1451" t="inlineStr">
        <is>
          <t>Kylie Matte Lip Kit (00006094)</t>
        </is>
      </c>
      <c r="D1451" s="1" t="n">
        <v>4064941008675</v>
      </c>
      <c r="E1451" t="inlineStr">
        <is>
          <t>KJ MU M LIQ K SET NEW MDIN 700 BARE 23IV</t>
        </is>
      </c>
      <c r="F1451" t="inlineStr">
        <is>
          <t>P_US_ALL_OTHERS</t>
        </is>
      </c>
      <c r="G1451" t="inlineStr">
        <is>
          <t>Month-2026.M09.W38</t>
        </is>
      </c>
      <c r="H1451" t="inlineStr">
        <is>
          <t>Consensus - Final LY M</t>
        </is>
      </c>
      <c r="I1451" t="n">
        <v>204</v>
      </c>
      <c r="J1451" t="n">
        <v>150</v>
      </c>
      <c r="K1451" t="n">
        <v>161</v>
      </c>
      <c r="L1451" t="n">
        <v>144</v>
      </c>
      <c r="M1451" t="n">
        <v>124</v>
      </c>
      <c r="N1451" t="n">
        <v>162</v>
      </c>
      <c r="O1451" t="n">
        <v>143</v>
      </c>
      <c r="P1451" t="n">
        <v>184</v>
      </c>
      <c r="Q1451" t="n">
        <v>209</v>
      </c>
      <c r="R1451" t="n">
        <v>187</v>
      </c>
      <c r="S1451" t="n">
        <v>253</v>
      </c>
      <c r="T1451" t="n">
        <v>129</v>
      </c>
    </row>
    <row r="1452">
      <c r="A1452" t="inlineStr">
        <is>
          <t>Kylie Makeup</t>
        </is>
      </c>
      <c r="B1452" t="inlineStr">
        <is>
          <t>Lips (01245)</t>
        </is>
      </c>
      <c r="C1452" t="inlineStr">
        <is>
          <t>Kylie Matte Lip Kit (00006094)</t>
        </is>
      </c>
      <c r="D1452" s="1" t="n">
        <v>4064941008675</v>
      </c>
      <c r="E1452" t="inlineStr">
        <is>
          <t>KJ MU M LIQ K SET NEW MDIN 700 BARE 23IV</t>
        </is>
      </c>
      <c r="F1452" t="inlineStr">
        <is>
          <t>P_US_ALL_OTHERS</t>
        </is>
      </c>
      <c r="G1452" t="inlineStr">
        <is>
          <t>Month-2026.M09.W38</t>
        </is>
      </c>
      <c r="H1452" t="inlineStr">
        <is>
          <t>System FC - Final</t>
        </is>
      </c>
      <c r="I1452" t="n">
        <v>121</v>
      </c>
      <c r="J1452" t="n">
        <v>138</v>
      </c>
      <c r="K1452" t="n">
        <v>147</v>
      </c>
      <c r="L1452" t="n">
        <v>177</v>
      </c>
      <c r="M1452" t="n">
        <v>140</v>
      </c>
      <c r="N1452" t="n">
        <v>177</v>
      </c>
      <c r="O1452" t="n">
        <v>212</v>
      </c>
      <c r="P1452" t="n">
        <v>224</v>
      </c>
      <c r="Q1452" t="n">
        <v>181</v>
      </c>
      <c r="R1452" t="n">
        <v>128</v>
      </c>
      <c r="S1452" t="n">
        <v>194</v>
      </c>
      <c r="T1452" t="n">
        <v>157</v>
      </c>
    </row>
    <row r="1453">
      <c r="A1453" t="inlineStr">
        <is>
          <t>Kylie Makeup</t>
        </is>
      </c>
      <c r="B1453" t="inlineStr">
        <is>
          <t>Lips (01245)</t>
        </is>
      </c>
      <c r="C1453" t="inlineStr">
        <is>
          <t>Kylie Matte Lip Kit (00006094)</t>
        </is>
      </c>
      <c r="D1453" s="1" t="n">
        <v>4064941008675</v>
      </c>
      <c r="E1453" t="inlineStr">
        <is>
          <t>KJ MU M LIQ K SET NEW MDIN 700 BARE 23IV</t>
        </is>
      </c>
      <c r="F1453" t="inlineStr">
        <is>
          <t>P_US_ALL_OTHERS</t>
        </is>
      </c>
      <c r="G1453" t="inlineStr">
        <is>
          <t>Month-2026.M09.W38</t>
        </is>
      </c>
      <c r="H1453" t="inlineStr">
        <is>
          <t>EPOS</t>
        </is>
      </c>
      <c r="I1453" t="n">
        <v>88</v>
      </c>
    </row>
    <row r="1454">
      <c r="A1454" t="inlineStr">
        <is>
          <t>Kylie Makeup</t>
        </is>
      </c>
      <c r="B1454" t="inlineStr">
        <is>
          <t>Lips (01245)</t>
        </is>
      </c>
      <c r="C1454" t="inlineStr">
        <is>
          <t>Kylie Matte Lip Kit (00006094)</t>
        </is>
      </c>
      <c r="D1454" s="1" t="n">
        <v>4064941008675</v>
      </c>
      <c r="E1454" t="inlineStr">
        <is>
          <t>KJ MU M LIQ K SET NEW MDIN 700 BARE 23IV</t>
        </is>
      </c>
      <c r="F1454" t="inlineStr">
        <is>
          <t>P_US_ALL_OTHERS</t>
        </is>
      </c>
      <c r="G1454" t="inlineStr">
        <is>
          <t>Month-2026.M09.W38</t>
        </is>
      </c>
      <c r="H1454" t="inlineStr">
        <is>
          <t>Reasonability Adjustment</t>
        </is>
      </c>
    </row>
    <row r="1455">
      <c r="A1455" t="inlineStr">
        <is>
          <t>Kylie Makeup</t>
        </is>
      </c>
      <c r="B1455" t="inlineStr">
        <is>
          <t>Lips (01245)</t>
        </is>
      </c>
      <c r="C1455" t="inlineStr">
        <is>
          <t>Kylie Matte Lip Kit (00006094)</t>
        </is>
      </c>
      <c r="D1455" s="1" t="n">
        <v>4064941008675</v>
      </c>
      <c r="E1455" t="inlineStr">
        <is>
          <t>KJ MU M LIQ K SET NEW MDIN 700 BARE 23IV</t>
        </is>
      </c>
      <c r="F1455" t="inlineStr">
        <is>
          <t>P_US_ALL_OTHERS</t>
        </is>
      </c>
      <c r="G1455" t="inlineStr">
        <is>
          <t>Month-2026.M09.W38</t>
        </is>
      </c>
      <c r="H1455" t="inlineStr">
        <is>
          <t>Total Demand Assumption</t>
        </is>
      </c>
    </row>
    <row r="1456">
      <c r="A1456" t="inlineStr">
        <is>
          <t>Kylie Makeup</t>
        </is>
      </c>
      <c r="B1456" t="inlineStr">
        <is>
          <t>Lips (01245)</t>
        </is>
      </c>
      <c r="C1456" t="inlineStr">
        <is>
          <t>Kylie Matte Lip Kit (00006094)</t>
        </is>
      </c>
      <c r="D1456" s="1" t="n">
        <v>4064941008675</v>
      </c>
      <c r="E1456" t="inlineStr">
        <is>
          <t>KJ MU M LIQ K SET NEW MDIN 700 BARE 23IV</t>
        </is>
      </c>
      <c r="F1456" t="inlineStr">
        <is>
          <t>P_US_ALL_OTHERS</t>
        </is>
      </c>
      <c r="G1456" t="inlineStr">
        <is>
          <t>Month-2026.M09.W38</t>
        </is>
      </c>
      <c r="H1456" t="inlineStr">
        <is>
          <t>Consensus - Final</t>
        </is>
      </c>
      <c r="I1456" t="n">
        <v>121</v>
      </c>
      <c r="J1456" t="n">
        <v>138</v>
      </c>
      <c r="K1456" t="n">
        <v>148.256849315068</v>
      </c>
      <c r="L1456" t="n">
        <v>177</v>
      </c>
      <c r="M1456" t="n">
        <v>140</v>
      </c>
      <c r="N1456" t="n">
        <v>177</v>
      </c>
      <c r="O1456" t="n">
        <v>212</v>
      </c>
      <c r="P1456" t="n">
        <v>224</v>
      </c>
      <c r="Q1456" t="n">
        <v>181</v>
      </c>
      <c r="R1456" t="n">
        <v>128</v>
      </c>
      <c r="S1456" t="n">
        <v>194</v>
      </c>
      <c r="T1456" t="n">
        <v>157</v>
      </c>
    </row>
    <row r="1457">
      <c r="A1457" t="inlineStr">
        <is>
          <t>Kylie Makeup</t>
        </is>
      </c>
      <c r="B1457" t="inlineStr">
        <is>
          <t>Lips (01245)</t>
        </is>
      </c>
      <c r="C1457" t="inlineStr">
        <is>
          <t>Kylie Matte Lip Kit (00006094)</t>
        </is>
      </c>
      <c r="D1457" s="1" t="n">
        <v>4064941008675</v>
      </c>
      <c r="E1457" t="inlineStr">
        <is>
          <t>KJ MU M LIQ K SET NEW MDIN 700 BARE 23IV</t>
        </is>
      </c>
      <c r="F1457" t="inlineStr">
        <is>
          <t>P_US_ALL_OTHERS</t>
        </is>
      </c>
      <c r="G1457" t="inlineStr">
        <is>
          <t>Month-2026.M09.W38</t>
        </is>
      </c>
      <c r="H1457" t="inlineStr">
        <is>
          <t>Supply Cuts</t>
        </is>
      </c>
    </row>
    <row r="1458">
      <c r="A1458" t="inlineStr">
        <is>
          <t>Kylie Makeup</t>
        </is>
      </c>
      <c r="B1458" t="inlineStr">
        <is>
          <t>Lips (01245)</t>
        </is>
      </c>
      <c r="C1458" t="inlineStr">
        <is>
          <t>Kylie Matte Lip Kit (00006094)</t>
        </is>
      </c>
      <c r="D1458" s="1" t="n">
        <v>4064941008675</v>
      </c>
      <c r="E1458" t="inlineStr">
        <is>
          <t>KJ MU M LIQ K SET NEW MDIN 700 BARE 23IV</t>
        </is>
      </c>
      <c r="F1458" t="inlineStr">
        <is>
          <t>P_US_FG</t>
        </is>
      </c>
      <c r="G1458" t="inlineStr">
        <is>
          <t>CurrentWorkingView</t>
        </is>
      </c>
      <c r="H1458" t="inlineStr">
        <is>
          <t>Consensus - Final LY M</t>
        </is>
      </c>
      <c r="K1458" t="n">
        <v>50</v>
      </c>
      <c r="L1458" t="n">
        <v>2</v>
      </c>
      <c r="M1458" t="n">
        <v>1</v>
      </c>
      <c r="Q1458" t="n">
        <v>41</v>
      </c>
    </row>
    <row r="1459">
      <c r="A1459" t="inlineStr">
        <is>
          <t>Kylie Makeup</t>
        </is>
      </c>
      <c r="B1459" t="inlineStr">
        <is>
          <t>Lips (01245)</t>
        </is>
      </c>
      <c r="C1459" t="inlineStr">
        <is>
          <t>Kylie Matte Lip Kit (00006094)</t>
        </is>
      </c>
      <c r="D1459" s="1" t="n">
        <v>4064941008675</v>
      </c>
      <c r="E1459" t="inlineStr">
        <is>
          <t>KJ MU M LIQ K SET NEW MDIN 700 BARE 23IV</t>
        </is>
      </c>
      <c r="F1459" t="inlineStr">
        <is>
          <t>P_US_FG</t>
        </is>
      </c>
      <c r="G1459" t="inlineStr">
        <is>
          <t>CurrentWorkingView</t>
        </is>
      </c>
      <c r="H1459" t="inlineStr">
        <is>
          <t>System FC - Final</t>
        </is>
      </c>
      <c r="K1459" t="n">
        <v>4</v>
      </c>
      <c r="L1459" t="n">
        <v>5</v>
      </c>
      <c r="M1459" t="n">
        <v>4</v>
      </c>
      <c r="N1459" t="n">
        <v>5</v>
      </c>
      <c r="O1459" t="n">
        <v>5</v>
      </c>
      <c r="P1459" t="n">
        <v>4</v>
      </c>
      <c r="Q1459" t="n">
        <v>5</v>
      </c>
      <c r="R1459" t="n">
        <v>4</v>
      </c>
      <c r="S1459" t="n">
        <v>4</v>
      </c>
      <c r="T1459" t="n">
        <v>4</v>
      </c>
    </row>
    <row r="1460">
      <c r="A1460" t="inlineStr">
        <is>
          <t>Kylie Makeup</t>
        </is>
      </c>
      <c r="B1460" t="inlineStr">
        <is>
          <t>Lips (01245)</t>
        </is>
      </c>
      <c r="C1460" t="inlineStr">
        <is>
          <t>Kylie Matte Lip Kit (00006094)</t>
        </is>
      </c>
      <c r="D1460" s="1" t="n">
        <v>4064941008675</v>
      </c>
      <c r="E1460" t="inlineStr">
        <is>
          <t>KJ MU M LIQ K SET NEW MDIN 700 BARE 23IV</t>
        </is>
      </c>
      <c r="F1460" t="inlineStr">
        <is>
          <t>P_US_FG</t>
        </is>
      </c>
      <c r="G1460" t="inlineStr">
        <is>
          <t>CurrentWorkingView</t>
        </is>
      </c>
      <c r="H1460" t="inlineStr">
        <is>
          <t>EPOS</t>
        </is>
      </c>
    </row>
    <row r="1461">
      <c r="A1461" t="inlineStr">
        <is>
          <t>Kylie Makeup</t>
        </is>
      </c>
      <c r="B1461" t="inlineStr">
        <is>
          <t>Lips (01245)</t>
        </is>
      </c>
      <c r="C1461" t="inlineStr">
        <is>
          <t>Kylie Matte Lip Kit (00006094)</t>
        </is>
      </c>
      <c r="D1461" s="1" t="n">
        <v>4064941008675</v>
      </c>
      <c r="E1461" t="inlineStr">
        <is>
          <t>KJ MU M LIQ K SET NEW MDIN 700 BARE 23IV</t>
        </is>
      </c>
      <c r="F1461" t="inlineStr">
        <is>
          <t>P_US_FG</t>
        </is>
      </c>
      <c r="G1461" t="inlineStr">
        <is>
          <t>CurrentWorkingView</t>
        </is>
      </c>
      <c r="H1461" t="inlineStr">
        <is>
          <t>Reasonability Adjustment</t>
        </is>
      </c>
    </row>
    <row r="1462">
      <c r="A1462" t="inlineStr">
        <is>
          <t>Kylie Makeup</t>
        </is>
      </c>
      <c r="B1462" t="inlineStr">
        <is>
          <t>Lips (01245)</t>
        </is>
      </c>
      <c r="C1462" t="inlineStr">
        <is>
          <t>Kylie Matte Lip Kit (00006094)</t>
        </is>
      </c>
      <c r="D1462" s="1" t="n">
        <v>4064941008675</v>
      </c>
      <c r="E1462" t="inlineStr">
        <is>
          <t>KJ MU M LIQ K SET NEW MDIN 700 BARE 23IV</t>
        </is>
      </c>
      <c r="F1462" t="inlineStr">
        <is>
          <t>P_US_FG</t>
        </is>
      </c>
      <c r="G1462" t="inlineStr">
        <is>
          <t>CurrentWorkingView</t>
        </is>
      </c>
      <c r="H1462" t="inlineStr">
        <is>
          <t>Total Demand Assumption</t>
        </is>
      </c>
    </row>
    <row r="1463">
      <c r="A1463" t="inlineStr">
        <is>
          <t>Kylie Makeup</t>
        </is>
      </c>
      <c r="B1463" t="inlineStr">
        <is>
          <t>Lips (01245)</t>
        </is>
      </c>
      <c r="C1463" t="inlineStr">
        <is>
          <t>Kylie Matte Lip Kit (00006094)</t>
        </is>
      </c>
      <c r="D1463" s="1" t="n">
        <v>4064941008675</v>
      </c>
      <c r="E1463" t="inlineStr">
        <is>
          <t>KJ MU M LIQ K SET NEW MDIN 700 BARE 23IV</t>
        </is>
      </c>
      <c r="F1463" t="inlineStr">
        <is>
          <t>P_US_FG</t>
        </is>
      </c>
      <c r="G1463" t="inlineStr">
        <is>
          <t>CurrentWorkingView</t>
        </is>
      </c>
      <c r="H1463" t="inlineStr">
        <is>
          <t>Consensus - Final</t>
        </is>
      </c>
      <c r="K1463" t="n">
        <v>0</v>
      </c>
    </row>
    <row r="1464">
      <c r="A1464" t="inlineStr">
        <is>
          <t>Kylie Makeup</t>
        </is>
      </c>
      <c r="B1464" t="inlineStr">
        <is>
          <t>Lips (01245)</t>
        </is>
      </c>
      <c r="C1464" t="inlineStr">
        <is>
          <t>Kylie Matte Lip Kit (00006094)</t>
        </is>
      </c>
      <c r="D1464" s="1" t="n">
        <v>4064941008675</v>
      </c>
      <c r="E1464" t="inlineStr">
        <is>
          <t>KJ MU M LIQ K SET NEW MDIN 700 BARE 23IV</t>
        </is>
      </c>
      <c r="F1464" t="inlineStr">
        <is>
          <t>P_US_FG</t>
        </is>
      </c>
      <c r="G1464" t="inlineStr">
        <is>
          <t>CurrentWorkingView</t>
        </is>
      </c>
      <c r="H1464" t="inlineStr">
        <is>
          <t>Supply Cuts</t>
        </is>
      </c>
    </row>
    <row r="1465">
      <c r="A1465" t="inlineStr">
        <is>
          <t>Kylie Makeup</t>
        </is>
      </c>
      <c r="B1465" t="inlineStr">
        <is>
          <t>Lips (01245)</t>
        </is>
      </c>
      <c r="C1465" t="inlineStr">
        <is>
          <t>Kylie Matte Lip Kit (00006094)</t>
        </is>
      </c>
      <c r="D1465" s="1" t="n">
        <v>4064941008675</v>
      </c>
      <c r="E1465" t="inlineStr">
        <is>
          <t>KJ MU M LIQ K SET NEW MDIN 700 BARE 23IV</t>
        </is>
      </c>
      <c r="F1465" t="inlineStr">
        <is>
          <t>P_US_FG</t>
        </is>
      </c>
      <c r="G1465" t="inlineStr">
        <is>
          <t>Month-2026.M09.W38</t>
        </is>
      </c>
      <c r="H1465" t="inlineStr">
        <is>
          <t>Consensus - Final LY M</t>
        </is>
      </c>
      <c r="K1465" t="n">
        <v>50</v>
      </c>
      <c r="L1465" t="n">
        <v>2</v>
      </c>
      <c r="M1465" t="n">
        <v>1</v>
      </c>
      <c r="Q1465" t="n">
        <v>41</v>
      </c>
    </row>
    <row r="1466">
      <c r="A1466" t="inlineStr">
        <is>
          <t>Kylie Makeup</t>
        </is>
      </c>
      <c r="B1466" t="inlineStr">
        <is>
          <t>Lips (01245)</t>
        </is>
      </c>
      <c r="C1466" t="inlineStr">
        <is>
          <t>Kylie Matte Lip Kit (00006094)</t>
        </is>
      </c>
      <c r="D1466" s="1" t="n">
        <v>4064941008675</v>
      </c>
      <c r="E1466" t="inlineStr">
        <is>
          <t>KJ MU M LIQ K SET NEW MDIN 700 BARE 23IV</t>
        </is>
      </c>
      <c r="F1466" t="inlineStr">
        <is>
          <t>P_US_FG</t>
        </is>
      </c>
      <c r="G1466" t="inlineStr">
        <is>
          <t>Month-2026.M09.W38</t>
        </is>
      </c>
      <c r="H1466" t="inlineStr">
        <is>
          <t>System FC - Final</t>
        </is>
      </c>
      <c r="K1466" t="n">
        <v>6</v>
      </c>
      <c r="L1466" t="n">
        <v>5</v>
      </c>
      <c r="M1466" t="n">
        <v>4</v>
      </c>
      <c r="N1466" t="n">
        <v>5</v>
      </c>
      <c r="O1466" t="n">
        <v>5</v>
      </c>
      <c r="P1466" t="n">
        <v>8</v>
      </c>
      <c r="Q1466" t="n">
        <v>9</v>
      </c>
      <c r="R1466" t="n">
        <v>5</v>
      </c>
      <c r="S1466" t="n">
        <v>4</v>
      </c>
      <c r="T1466" t="n">
        <v>5</v>
      </c>
    </row>
    <row r="1467">
      <c r="A1467" t="inlineStr">
        <is>
          <t>Kylie Makeup</t>
        </is>
      </c>
      <c r="B1467" t="inlineStr">
        <is>
          <t>Lips (01245)</t>
        </is>
      </c>
      <c r="C1467" t="inlineStr">
        <is>
          <t>Kylie Matte Lip Kit (00006094)</t>
        </is>
      </c>
      <c r="D1467" s="1" t="n">
        <v>4064941008675</v>
      </c>
      <c r="E1467" t="inlineStr">
        <is>
          <t>KJ MU M LIQ K SET NEW MDIN 700 BARE 23IV</t>
        </is>
      </c>
      <c r="F1467" t="inlineStr">
        <is>
          <t>P_US_FG</t>
        </is>
      </c>
      <c r="G1467" t="inlineStr">
        <is>
          <t>Month-2026.M09.W38</t>
        </is>
      </c>
      <c r="H1467" t="inlineStr">
        <is>
          <t>EPOS</t>
        </is>
      </c>
    </row>
    <row r="1468">
      <c r="A1468" t="inlineStr">
        <is>
          <t>Kylie Makeup</t>
        </is>
      </c>
      <c r="B1468" t="inlineStr">
        <is>
          <t>Lips (01245)</t>
        </is>
      </c>
      <c r="C1468" t="inlineStr">
        <is>
          <t>Kylie Matte Lip Kit (00006094)</t>
        </is>
      </c>
      <c r="D1468" s="1" t="n">
        <v>4064941008675</v>
      </c>
      <c r="E1468" t="inlineStr">
        <is>
          <t>KJ MU M LIQ K SET NEW MDIN 700 BARE 23IV</t>
        </is>
      </c>
      <c r="F1468" t="inlineStr">
        <is>
          <t>P_US_FG</t>
        </is>
      </c>
      <c r="G1468" t="inlineStr">
        <is>
          <t>Month-2026.M09.W38</t>
        </is>
      </c>
      <c r="H1468" t="inlineStr">
        <is>
          <t>Reasonability Adjustment</t>
        </is>
      </c>
    </row>
    <row r="1469">
      <c r="A1469" t="inlineStr">
        <is>
          <t>Kylie Makeup</t>
        </is>
      </c>
      <c r="B1469" t="inlineStr">
        <is>
          <t>Lips (01245)</t>
        </is>
      </c>
      <c r="C1469" t="inlineStr">
        <is>
          <t>Kylie Matte Lip Kit (00006094)</t>
        </is>
      </c>
      <c r="D1469" s="1" t="n">
        <v>4064941008675</v>
      </c>
      <c r="E1469" t="inlineStr">
        <is>
          <t>KJ MU M LIQ K SET NEW MDIN 700 BARE 23IV</t>
        </is>
      </c>
      <c r="F1469" t="inlineStr">
        <is>
          <t>P_US_FG</t>
        </is>
      </c>
      <c r="G1469" t="inlineStr">
        <is>
          <t>Month-2026.M09.W38</t>
        </is>
      </c>
      <c r="H1469" t="inlineStr">
        <is>
          <t>Total Demand Assumption</t>
        </is>
      </c>
    </row>
    <row r="1470">
      <c r="A1470" t="inlineStr">
        <is>
          <t>Kylie Makeup</t>
        </is>
      </c>
      <c r="B1470" t="inlineStr">
        <is>
          <t>Lips (01245)</t>
        </is>
      </c>
      <c r="C1470" t="inlineStr">
        <is>
          <t>Kylie Matte Lip Kit (00006094)</t>
        </is>
      </c>
      <c r="D1470" s="1" t="n">
        <v>4064941008675</v>
      </c>
      <c r="E1470" t="inlineStr">
        <is>
          <t>KJ MU M LIQ K SET NEW MDIN 700 BARE 23IV</t>
        </is>
      </c>
      <c r="F1470" t="inlineStr">
        <is>
          <t>P_US_FG</t>
        </is>
      </c>
      <c r="G1470" t="inlineStr">
        <is>
          <t>Month-2026.M09.W38</t>
        </is>
      </c>
      <c r="H1470" t="inlineStr">
        <is>
          <t>Consensus - Final</t>
        </is>
      </c>
      <c r="K1470" t="n">
        <v>0</v>
      </c>
    </row>
    <row r="1471">
      <c r="A1471" t="inlineStr">
        <is>
          <t>Kylie Makeup</t>
        </is>
      </c>
      <c r="B1471" t="inlineStr">
        <is>
          <t>Lips (01245)</t>
        </is>
      </c>
      <c r="C1471" t="inlineStr">
        <is>
          <t>Kylie Matte Lip Kit (00006094)</t>
        </is>
      </c>
      <c r="D1471" s="1" t="n">
        <v>4064941008675</v>
      </c>
      <c r="E1471" t="inlineStr">
        <is>
          <t>KJ MU M LIQ K SET NEW MDIN 700 BARE 23IV</t>
        </is>
      </c>
      <c r="F1471" t="inlineStr">
        <is>
          <t>P_US_FG</t>
        </is>
      </c>
      <c r="G1471" t="inlineStr">
        <is>
          <t>Month-2026.M09.W38</t>
        </is>
      </c>
      <c r="H1471" t="inlineStr">
        <is>
          <t>Supply Cuts</t>
        </is>
      </c>
    </row>
    <row r="1472">
      <c r="A1472" t="inlineStr">
        <is>
          <t>Kylie Makeup</t>
        </is>
      </c>
      <c r="B1472" t="inlineStr">
        <is>
          <t>Lips (01245)</t>
        </is>
      </c>
      <c r="C1472" t="inlineStr">
        <is>
          <t>Kylie Matte Lip Kit (00006094)</t>
        </is>
      </c>
      <c r="D1472" s="1" t="n">
        <v>4064941008675</v>
      </c>
      <c r="E1472" t="inlineStr">
        <is>
          <t>KJ MU M LIQ K SET NEW MDIN 700 BARE 23IV</t>
        </is>
      </c>
      <c r="F1472" t="inlineStr">
        <is>
          <t>P_US_ULTA</t>
        </is>
      </c>
      <c r="G1472" t="inlineStr">
        <is>
          <t>CurrentWorkingView</t>
        </is>
      </c>
      <c r="H1472" t="inlineStr">
        <is>
          <t>Consensus - Final LY M</t>
        </is>
      </c>
      <c r="I1472" t="n">
        <v>793</v>
      </c>
      <c r="J1472" t="n">
        <v>754</v>
      </c>
      <c r="K1472" t="n">
        <v>769</v>
      </c>
      <c r="L1472" t="n">
        <v>607</v>
      </c>
      <c r="M1472" t="n">
        <v>1187</v>
      </c>
      <c r="N1472" t="n">
        <v>714</v>
      </c>
      <c r="O1472" t="n">
        <v>2027</v>
      </c>
      <c r="P1472" t="n">
        <v>1021</v>
      </c>
      <c r="Q1472" t="n">
        <v>968</v>
      </c>
      <c r="R1472" t="n">
        <v>827</v>
      </c>
      <c r="S1472" t="n">
        <v>886</v>
      </c>
      <c r="T1472" t="n">
        <v>691</v>
      </c>
    </row>
    <row r="1473">
      <c r="A1473" t="inlineStr">
        <is>
          <t>Kylie Makeup</t>
        </is>
      </c>
      <c r="B1473" t="inlineStr">
        <is>
          <t>Lips (01245)</t>
        </is>
      </c>
      <c r="C1473" t="inlineStr">
        <is>
          <t>Kylie Matte Lip Kit (00006094)</t>
        </is>
      </c>
      <c r="D1473" s="1" t="n">
        <v>4064941008675</v>
      </c>
      <c r="E1473" t="inlineStr">
        <is>
          <t>KJ MU M LIQ K SET NEW MDIN 700 BARE 23IV</t>
        </is>
      </c>
      <c r="F1473" t="inlineStr">
        <is>
          <t>P_US_ULTA</t>
        </is>
      </c>
      <c r="G1473" t="inlineStr">
        <is>
          <t>CurrentWorkingView</t>
        </is>
      </c>
      <c r="H1473" t="inlineStr">
        <is>
          <t>System FC - Final</t>
        </is>
      </c>
      <c r="I1473" t="n">
        <v>590</v>
      </c>
      <c r="J1473" t="n">
        <v>881</v>
      </c>
      <c r="K1473" t="n">
        <v>908</v>
      </c>
      <c r="L1473" t="n">
        <v>1143</v>
      </c>
      <c r="M1473" t="n">
        <v>1393</v>
      </c>
      <c r="N1473" t="n">
        <v>1290</v>
      </c>
      <c r="O1473" t="n">
        <v>1320</v>
      </c>
      <c r="P1473" t="n">
        <v>1004</v>
      </c>
      <c r="Q1473" t="n">
        <v>1200</v>
      </c>
      <c r="R1473" t="n">
        <v>600</v>
      </c>
      <c r="S1473" t="n">
        <v>1515</v>
      </c>
      <c r="T1473" t="n">
        <v>801</v>
      </c>
    </row>
    <row r="1474">
      <c r="A1474" t="inlineStr">
        <is>
          <t>Kylie Makeup</t>
        </is>
      </c>
      <c r="B1474" t="inlineStr">
        <is>
          <t>Lips (01245)</t>
        </is>
      </c>
      <c r="C1474" t="inlineStr">
        <is>
          <t>Kylie Matte Lip Kit (00006094)</t>
        </is>
      </c>
      <c r="D1474" s="1" t="n">
        <v>4064941008675</v>
      </c>
      <c r="E1474" t="inlineStr">
        <is>
          <t>KJ MU M LIQ K SET NEW MDIN 700 BARE 23IV</t>
        </is>
      </c>
      <c r="F1474" t="inlineStr">
        <is>
          <t>P_US_ULTA</t>
        </is>
      </c>
      <c r="G1474" t="inlineStr">
        <is>
          <t>CurrentWorkingView</t>
        </is>
      </c>
      <c r="H1474" t="inlineStr">
        <is>
          <t>EPOS</t>
        </is>
      </c>
      <c r="I1474" t="n">
        <v>431</v>
      </c>
    </row>
    <row r="1475">
      <c r="A1475" t="inlineStr">
        <is>
          <t>Kylie Makeup</t>
        </is>
      </c>
      <c r="B1475" t="inlineStr">
        <is>
          <t>Lips (01245)</t>
        </is>
      </c>
      <c r="C1475" t="inlineStr">
        <is>
          <t>Kylie Matte Lip Kit (00006094)</t>
        </is>
      </c>
      <c r="D1475" s="1" t="n">
        <v>4064941008675</v>
      </c>
      <c r="E1475" t="inlineStr">
        <is>
          <t>KJ MU M LIQ K SET NEW MDIN 700 BARE 23IV</t>
        </is>
      </c>
      <c r="F1475" t="inlineStr">
        <is>
          <t>P_US_ULTA</t>
        </is>
      </c>
      <c r="G1475" t="inlineStr">
        <is>
          <t>CurrentWorkingView</t>
        </is>
      </c>
      <c r="H1475" t="inlineStr">
        <is>
          <t>Reasonability Adjustment</t>
        </is>
      </c>
    </row>
    <row r="1476">
      <c r="A1476" t="inlineStr">
        <is>
          <t>Kylie Makeup</t>
        </is>
      </c>
      <c r="B1476" t="inlineStr">
        <is>
          <t>Lips (01245)</t>
        </is>
      </c>
      <c r="C1476" t="inlineStr">
        <is>
          <t>Kylie Matte Lip Kit (00006094)</t>
        </is>
      </c>
      <c r="D1476" s="1" t="n">
        <v>4064941008675</v>
      </c>
      <c r="E1476" t="inlineStr">
        <is>
          <t>KJ MU M LIQ K SET NEW MDIN 700 BARE 23IV</t>
        </is>
      </c>
      <c r="F1476" t="inlineStr">
        <is>
          <t>P_US_ULTA</t>
        </is>
      </c>
      <c r="G1476" t="inlineStr">
        <is>
          <t>CurrentWorkingView</t>
        </is>
      </c>
      <c r="H1476" t="inlineStr">
        <is>
          <t>Total Demand Assumption</t>
        </is>
      </c>
    </row>
    <row r="1477">
      <c r="A1477" t="inlineStr">
        <is>
          <t>Kylie Makeup</t>
        </is>
      </c>
      <c r="B1477" t="inlineStr">
        <is>
          <t>Lips (01245)</t>
        </is>
      </c>
      <c r="C1477" t="inlineStr">
        <is>
          <t>Kylie Matte Lip Kit (00006094)</t>
        </is>
      </c>
      <c r="D1477" s="1" t="n">
        <v>4064941008675</v>
      </c>
      <c r="E1477" t="inlineStr">
        <is>
          <t>KJ MU M LIQ K SET NEW MDIN 700 BARE 23IV</t>
        </is>
      </c>
      <c r="F1477" t="inlineStr">
        <is>
          <t>P_US_ULTA</t>
        </is>
      </c>
      <c r="G1477" t="inlineStr">
        <is>
          <t>CurrentWorkingView</t>
        </is>
      </c>
      <c r="H1477" t="inlineStr">
        <is>
          <t>Consensus - Final</t>
        </is>
      </c>
      <c r="I1477" t="n">
        <v>590</v>
      </c>
      <c r="J1477" t="n">
        <v>881</v>
      </c>
      <c r="K1477" t="n">
        <v>957.743150684931</v>
      </c>
      <c r="L1477" t="n">
        <v>1143</v>
      </c>
      <c r="M1477" t="n">
        <v>1393</v>
      </c>
      <c r="N1477" t="n">
        <v>1290</v>
      </c>
      <c r="O1477" t="n">
        <v>1320</v>
      </c>
      <c r="P1477" t="n">
        <v>1004</v>
      </c>
      <c r="Q1477" t="n">
        <v>1200</v>
      </c>
      <c r="R1477" t="n">
        <v>600</v>
      </c>
      <c r="S1477" t="n">
        <v>1515</v>
      </c>
      <c r="T1477" t="n">
        <v>801</v>
      </c>
    </row>
    <row r="1478">
      <c r="A1478" t="inlineStr">
        <is>
          <t>Kylie Makeup</t>
        </is>
      </c>
      <c r="B1478" t="inlineStr">
        <is>
          <t>Lips (01245)</t>
        </is>
      </c>
      <c r="C1478" t="inlineStr">
        <is>
          <t>Kylie Matte Lip Kit (00006094)</t>
        </is>
      </c>
      <c r="D1478" s="1" t="n">
        <v>4064941008675</v>
      </c>
      <c r="E1478" t="inlineStr">
        <is>
          <t>KJ MU M LIQ K SET NEW MDIN 700 BARE 23IV</t>
        </is>
      </c>
      <c r="F1478" t="inlineStr">
        <is>
          <t>P_US_ULTA</t>
        </is>
      </c>
      <c r="G1478" t="inlineStr">
        <is>
          <t>CurrentWorkingView</t>
        </is>
      </c>
      <c r="H1478" t="inlineStr">
        <is>
          <t>Supply Cuts</t>
        </is>
      </c>
    </row>
    <row r="1479">
      <c r="A1479" t="inlineStr">
        <is>
          <t>Kylie Makeup</t>
        </is>
      </c>
      <c r="B1479" t="inlineStr">
        <is>
          <t>Lips (01245)</t>
        </is>
      </c>
      <c r="C1479" t="inlineStr">
        <is>
          <t>Kylie Matte Lip Kit (00006094)</t>
        </is>
      </c>
      <c r="D1479" s="1" t="n">
        <v>4064941008675</v>
      </c>
      <c r="E1479" t="inlineStr">
        <is>
          <t>KJ MU M LIQ K SET NEW MDIN 700 BARE 23IV</t>
        </is>
      </c>
      <c r="F1479" t="inlineStr">
        <is>
          <t>P_US_ULTA</t>
        </is>
      </c>
      <c r="G1479" t="inlineStr">
        <is>
          <t>Month-2026.M09.W38</t>
        </is>
      </c>
      <c r="H1479" t="inlineStr">
        <is>
          <t>Consensus - Final LY M</t>
        </is>
      </c>
      <c r="I1479" t="n">
        <v>793</v>
      </c>
      <c r="J1479" t="n">
        <v>754</v>
      </c>
      <c r="K1479" t="n">
        <v>769</v>
      </c>
      <c r="L1479" t="n">
        <v>607</v>
      </c>
      <c r="M1479" t="n">
        <v>1187</v>
      </c>
      <c r="N1479" t="n">
        <v>714</v>
      </c>
      <c r="O1479" t="n">
        <v>2027</v>
      </c>
      <c r="P1479" t="n">
        <v>1021</v>
      </c>
      <c r="Q1479" t="n">
        <v>968</v>
      </c>
      <c r="R1479" t="n">
        <v>827</v>
      </c>
      <c r="S1479" t="n">
        <v>886</v>
      </c>
      <c r="T1479" t="n">
        <v>691</v>
      </c>
    </row>
    <row r="1480">
      <c r="A1480" t="inlineStr">
        <is>
          <t>Kylie Makeup</t>
        </is>
      </c>
      <c r="B1480" t="inlineStr">
        <is>
          <t>Lips (01245)</t>
        </is>
      </c>
      <c r="C1480" t="inlineStr">
        <is>
          <t>Kylie Matte Lip Kit (00006094)</t>
        </is>
      </c>
      <c r="D1480" s="1" t="n">
        <v>4064941008675</v>
      </c>
      <c r="E1480" t="inlineStr">
        <is>
          <t>KJ MU M LIQ K SET NEW MDIN 700 BARE 23IV</t>
        </is>
      </c>
      <c r="F1480" t="inlineStr">
        <is>
          <t>P_US_ULTA</t>
        </is>
      </c>
      <c r="G1480" t="inlineStr">
        <is>
          <t>Month-2026.M09.W38</t>
        </is>
      </c>
      <c r="H1480" t="inlineStr">
        <is>
          <t>System FC - Final</t>
        </is>
      </c>
      <c r="I1480" t="n">
        <v>590</v>
      </c>
      <c r="J1480" t="n">
        <v>881</v>
      </c>
      <c r="K1480" t="n">
        <v>974</v>
      </c>
      <c r="L1480" t="n">
        <v>1126</v>
      </c>
      <c r="M1480" t="n">
        <v>702</v>
      </c>
      <c r="N1480" t="n">
        <v>842</v>
      </c>
      <c r="O1480" t="n">
        <v>1426</v>
      </c>
      <c r="P1480" t="n">
        <v>844</v>
      </c>
      <c r="Q1480" t="n">
        <v>926</v>
      </c>
      <c r="R1480" t="n">
        <v>665</v>
      </c>
      <c r="S1480" t="n">
        <v>952</v>
      </c>
      <c r="T1480" t="n">
        <v>716</v>
      </c>
    </row>
    <row r="1481">
      <c r="A1481" t="inlineStr">
        <is>
          <t>Kylie Makeup</t>
        </is>
      </c>
      <c r="B1481" t="inlineStr">
        <is>
          <t>Lips (01245)</t>
        </is>
      </c>
      <c r="C1481" t="inlineStr">
        <is>
          <t>Kylie Matte Lip Kit (00006094)</t>
        </is>
      </c>
      <c r="D1481" s="1" t="n">
        <v>4064941008675</v>
      </c>
      <c r="E1481" t="inlineStr">
        <is>
          <t>KJ MU M LIQ K SET NEW MDIN 700 BARE 23IV</t>
        </is>
      </c>
      <c r="F1481" t="inlineStr">
        <is>
          <t>P_US_ULTA</t>
        </is>
      </c>
      <c r="G1481" t="inlineStr">
        <is>
          <t>Month-2026.M09.W38</t>
        </is>
      </c>
      <c r="H1481" t="inlineStr">
        <is>
          <t>EPOS</t>
        </is>
      </c>
      <c r="I1481" t="n">
        <v>431</v>
      </c>
    </row>
    <row r="1482">
      <c r="A1482" t="inlineStr">
        <is>
          <t>Kylie Makeup</t>
        </is>
      </c>
      <c r="B1482" t="inlineStr">
        <is>
          <t>Lips (01245)</t>
        </is>
      </c>
      <c r="C1482" t="inlineStr">
        <is>
          <t>Kylie Matte Lip Kit (00006094)</t>
        </is>
      </c>
      <c r="D1482" s="1" t="n">
        <v>4064941008675</v>
      </c>
      <c r="E1482" t="inlineStr">
        <is>
          <t>KJ MU M LIQ K SET NEW MDIN 700 BARE 23IV</t>
        </is>
      </c>
      <c r="F1482" t="inlineStr">
        <is>
          <t>P_US_ULTA</t>
        </is>
      </c>
      <c r="G1482" t="inlineStr">
        <is>
          <t>Month-2026.M09.W38</t>
        </is>
      </c>
      <c r="H1482" t="inlineStr">
        <is>
          <t>Reasonability Adjustment</t>
        </is>
      </c>
    </row>
    <row r="1483">
      <c r="A1483" t="inlineStr">
        <is>
          <t>Kylie Makeup</t>
        </is>
      </c>
      <c r="B1483" t="inlineStr">
        <is>
          <t>Lips (01245)</t>
        </is>
      </c>
      <c r="C1483" t="inlineStr">
        <is>
          <t>Kylie Matte Lip Kit (00006094)</t>
        </is>
      </c>
      <c r="D1483" s="1" t="n">
        <v>4064941008675</v>
      </c>
      <c r="E1483" t="inlineStr">
        <is>
          <t>KJ MU M LIQ K SET NEW MDIN 700 BARE 23IV</t>
        </is>
      </c>
      <c r="F1483" t="inlineStr">
        <is>
          <t>P_US_ULTA</t>
        </is>
      </c>
      <c r="G1483" t="inlineStr">
        <is>
          <t>Month-2026.M09.W38</t>
        </is>
      </c>
      <c r="H1483" t="inlineStr">
        <is>
          <t>Total Demand Assumption</t>
        </is>
      </c>
    </row>
    <row r="1484">
      <c r="A1484" t="inlineStr">
        <is>
          <t>Kylie Makeup</t>
        </is>
      </c>
      <c r="B1484" t="inlineStr">
        <is>
          <t>Lips (01245)</t>
        </is>
      </c>
      <c r="C1484" t="inlineStr">
        <is>
          <t>Kylie Matte Lip Kit (00006094)</t>
        </is>
      </c>
      <c r="D1484" s="1" t="n">
        <v>4064941008675</v>
      </c>
      <c r="E1484" t="inlineStr">
        <is>
          <t>KJ MU M LIQ K SET NEW MDIN 700 BARE 23IV</t>
        </is>
      </c>
      <c r="F1484" t="inlineStr">
        <is>
          <t>P_US_ULTA</t>
        </is>
      </c>
      <c r="G1484" t="inlineStr">
        <is>
          <t>Month-2026.M09.W38</t>
        </is>
      </c>
      <c r="H1484" t="inlineStr">
        <is>
          <t>Consensus - Final</t>
        </is>
      </c>
      <c r="I1484" t="n">
        <v>590</v>
      </c>
      <c r="J1484" t="n">
        <v>881</v>
      </c>
      <c r="K1484" t="n">
        <v>957.743150684931</v>
      </c>
      <c r="L1484" t="n">
        <v>1126</v>
      </c>
      <c r="M1484" t="n">
        <v>702</v>
      </c>
      <c r="N1484" t="n">
        <v>842</v>
      </c>
      <c r="O1484" t="n">
        <v>1426</v>
      </c>
      <c r="P1484" t="n">
        <v>844</v>
      </c>
      <c r="Q1484" t="n">
        <v>926</v>
      </c>
      <c r="R1484" t="n">
        <v>665</v>
      </c>
      <c r="S1484" t="n">
        <v>952</v>
      </c>
      <c r="T1484" t="n">
        <v>716</v>
      </c>
    </row>
    <row r="1485">
      <c r="A1485" t="inlineStr">
        <is>
          <t>Kylie Makeup</t>
        </is>
      </c>
      <c r="B1485" t="inlineStr">
        <is>
          <t>Lips (01245)</t>
        </is>
      </c>
      <c r="C1485" t="inlineStr">
        <is>
          <t>Kylie Matte Lip Kit (00006094)</t>
        </is>
      </c>
      <c r="D1485" s="1" t="n">
        <v>4064941008675</v>
      </c>
      <c r="E1485" t="inlineStr">
        <is>
          <t>KJ MU M LIQ K SET NEW MDIN 700 BARE 23IV</t>
        </is>
      </c>
      <c r="F1485" t="inlineStr">
        <is>
          <t>P_US_ULTA</t>
        </is>
      </c>
      <c r="G1485" t="inlineStr">
        <is>
          <t>Month-2026.M09.W38</t>
        </is>
      </c>
      <c r="H1485" t="inlineStr">
        <is>
          <t>Supply Cuts</t>
        </is>
      </c>
    </row>
    <row r="1486">
      <c r="A1486" t="inlineStr">
        <is>
          <t>Kylie Makeup</t>
        </is>
      </c>
      <c r="B1486" t="inlineStr">
        <is>
          <t>Lips (01245)</t>
        </is>
      </c>
      <c r="C1486" t="inlineStr">
        <is>
          <t>Kylie Matte Lip Kit (00006094)</t>
        </is>
      </c>
      <c r="D1486" s="1" t="n">
        <v>4064941008682</v>
      </c>
      <c r="E1486" t="inlineStr">
        <is>
          <t>KJ MU M LIQ K SET NWMDIN704 SWTRWTR 23IV</t>
        </is>
      </c>
      <c r="F1486" t="inlineStr">
        <is>
          <t>P_US_ALL_OTHERS</t>
        </is>
      </c>
      <c r="G1486" t="inlineStr">
        <is>
          <t>CurrentWorkingView</t>
        </is>
      </c>
      <c r="H1486" t="inlineStr">
        <is>
          <t>Consensus - Final LY M</t>
        </is>
      </c>
      <c r="I1486" t="n">
        <v>27</v>
      </c>
      <c r="J1486" t="n">
        <v>19</v>
      </c>
      <c r="K1486" t="n">
        <v>12</v>
      </c>
      <c r="L1486" t="n">
        <v>18</v>
      </c>
      <c r="M1486" t="n">
        <v>26</v>
      </c>
      <c r="N1486" t="n">
        <v>42</v>
      </c>
      <c r="O1486" t="n">
        <v>24</v>
      </c>
      <c r="P1486" t="n">
        <v>36</v>
      </c>
      <c r="Q1486" t="n">
        <v>39</v>
      </c>
      <c r="R1486" t="n">
        <v>26</v>
      </c>
      <c r="S1486" t="n">
        <v>21</v>
      </c>
      <c r="T1486" t="n">
        <v>19</v>
      </c>
    </row>
    <row r="1487">
      <c r="A1487" t="inlineStr">
        <is>
          <t>Kylie Makeup</t>
        </is>
      </c>
      <c r="B1487" t="inlineStr">
        <is>
          <t>Lips (01245)</t>
        </is>
      </c>
      <c r="C1487" t="inlineStr">
        <is>
          <t>Kylie Matte Lip Kit (00006094)</t>
        </is>
      </c>
      <c r="D1487" s="1" t="n">
        <v>4064941008682</v>
      </c>
      <c r="E1487" t="inlineStr">
        <is>
          <t>KJ MU M LIQ K SET NWMDIN704 SWTRWTR 23IV</t>
        </is>
      </c>
      <c r="F1487" t="inlineStr">
        <is>
          <t>P_US_ALL_OTHERS</t>
        </is>
      </c>
      <c r="G1487" t="inlineStr">
        <is>
          <t>CurrentWorkingView</t>
        </is>
      </c>
      <c r="H1487" t="inlineStr">
        <is>
          <t>System FC - Final</t>
        </is>
      </c>
      <c r="I1487" t="n">
        <v>21</v>
      </c>
      <c r="J1487" t="n">
        <v>9</v>
      </c>
      <c r="K1487" t="n">
        <v>23</v>
      </c>
      <c r="L1487" t="n">
        <v>16</v>
      </c>
      <c r="M1487" t="n">
        <v>18</v>
      </c>
      <c r="N1487" t="n">
        <v>17</v>
      </c>
      <c r="O1487" t="n">
        <v>18</v>
      </c>
      <c r="P1487" t="n">
        <v>16</v>
      </c>
      <c r="Q1487" t="n">
        <v>18</v>
      </c>
      <c r="R1487" t="n">
        <v>17</v>
      </c>
      <c r="S1487" t="n">
        <v>18</v>
      </c>
      <c r="T1487" t="n">
        <v>17</v>
      </c>
    </row>
    <row r="1488">
      <c r="A1488" t="inlineStr">
        <is>
          <t>Kylie Makeup</t>
        </is>
      </c>
      <c r="B1488" t="inlineStr">
        <is>
          <t>Lips (01245)</t>
        </is>
      </c>
      <c r="C1488" t="inlineStr">
        <is>
          <t>Kylie Matte Lip Kit (00006094)</t>
        </is>
      </c>
      <c r="D1488" s="1" t="n">
        <v>4064941008682</v>
      </c>
      <c r="E1488" t="inlineStr">
        <is>
          <t>KJ MU M LIQ K SET NWMDIN704 SWTRWTR 23IV</t>
        </is>
      </c>
      <c r="F1488" t="inlineStr">
        <is>
          <t>P_US_ALL_OTHERS</t>
        </is>
      </c>
      <c r="G1488" t="inlineStr">
        <is>
          <t>CurrentWorkingView</t>
        </is>
      </c>
      <c r="H1488" t="inlineStr">
        <is>
          <t>EPOS</t>
        </is>
      </c>
      <c r="I1488" t="n">
        <v>26</v>
      </c>
    </row>
    <row r="1489">
      <c r="A1489" t="inlineStr">
        <is>
          <t>Kylie Makeup</t>
        </is>
      </c>
      <c r="B1489" t="inlineStr">
        <is>
          <t>Lips (01245)</t>
        </is>
      </c>
      <c r="C1489" t="inlineStr">
        <is>
          <t>Kylie Matte Lip Kit (00006094)</t>
        </is>
      </c>
      <c r="D1489" s="1" t="n">
        <v>4064941008682</v>
      </c>
      <c r="E1489" t="inlineStr">
        <is>
          <t>KJ MU M LIQ K SET NWMDIN704 SWTRWTR 23IV</t>
        </is>
      </c>
      <c r="F1489" t="inlineStr">
        <is>
          <t>P_US_ALL_OTHERS</t>
        </is>
      </c>
      <c r="G1489" t="inlineStr">
        <is>
          <t>CurrentWorkingView</t>
        </is>
      </c>
      <c r="H1489" t="inlineStr">
        <is>
          <t>Reasonability Adjustment</t>
        </is>
      </c>
      <c r="S1489" t="n">
        <v>-3</v>
      </c>
    </row>
    <row r="1490">
      <c r="A1490" t="inlineStr">
        <is>
          <t>Kylie Makeup</t>
        </is>
      </c>
      <c r="B1490" t="inlineStr">
        <is>
          <t>Lips (01245)</t>
        </is>
      </c>
      <c r="C1490" t="inlineStr">
        <is>
          <t>Kylie Matte Lip Kit (00006094)</t>
        </is>
      </c>
      <c r="D1490" s="1" t="n">
        <v>4064941008682</v>
      </c>
      <c r="E1490" t="inlineStr">
        <is>
          <t>KJ MU M LIQ K SET NWMDIN704 SWTRWTR 23IV</t>
        </is>
      </c>
      <c r="F1490" t="inlineStr">
        <is>
          <t>P_US_ALL_OTHERS</t>
        </is>
      </c>
      <c r="G1490" t="inlineStr">
        <is>
          <t>CurrentWorkingView</t>
        </is>
      </c>
      <c r="H1490" t="inlineStr">
        <is>
          <t>Total Demand Assumption</t>
        </is>
      </c>
    </row>
    <row r="1491">
      <c r="A1491" t="inlineStr">
        <is>
          <t>Kylie Makeup</t>
        </is>
      </c>
      <c r="B1491" t="inlineStr">
        <is>
          <t>Lips (01245)</t>
        </is>
      </c>
      <c r="C1491" t="inlineStr">
        <is>
          <t>Kylie Matte Lip Kit (00006094)</t>
        </is>
      </c>
      <c r="D1491" s="1" t="n">
        <v>4064941008682</v>
      </c>
      <c r="E1491" t="inlineStr">
        <is>
          <t>KJ MU M LIQ K SET NWMDIN704 SWTRWTR 23IV</t>
        </is>
      </c>
      <c r="F1491" t="inlineStr">
        <is>
          <t>P_US_ALL_OTHERS</t>
        </is>
      </c>
      <c r="G1491" t="inlineStr">
        <is>
          <t>CurrentWorkingView</t>
        </is>
      </c>
      <c r="H1491" t="inlineStr">
        <is>
          <t>Consensus - Final</t>
        </is>
      </c>
      <c r="I1491" t="n">
        <v>21</v>
      </c>
      <c r="J1491" t="n">
        <v>9</v>
      </c>
      <c r="K1491" t="n">
        <v>19.3586206896551</v>
      </c>
      <c r="L1491" t="n">
        <v>16</v>
      </c>
      <c r="M1491" t="n">
        <v>18</v>
      </c>
      <c r="N1491" t="n">
        <v>17</v>
      </c>
      <c r="O1491" t="n">
        <v>18</v>
      </c>
      <c r="P1491" t="n">
        <v>16</v>
      </c>
      <c r="Q1491" t="n">
        <v>18</v>
      </c>
      <c r="R1491" t="n">
        <v>17</v>
      </c>
      <c r="S1491" t="n">
        <v>15</v>
      </c>
      <c r="T1491" t="n">
        <v>17</v>
      </c>
    </row>
    <row r="1492">
      <c r="A1492" t="inlineStr">
        <is>
          <t>Kylie Makeup</t>
        </is>
      </c>
      <c r="B1492" t="inlineStr">
        <is>
          <t>Lips (01245)</t>
        </is>
      </c>
      <c r="C1492" t="inlineStr">
        <is>
          <t>Kylie Matte Lip Kit (00006094)</t>
        </is>
      </c>
      <c r="D1492" s="1" t="n">
        <v>4064941008682</v>
      </c>
      <c r="E1492" t="inlineStr">
        <is>
          <t>KJ MU M LIQ K SET NWMDIN704 SWTRWTR 23IV</t>
        </is>
      </c>
      <c r="F1492" t="inlineStr">
        <is>
          <t>P_US_ALL_OTHERS</t>
        </is>
      </c>
      <c r="G1492" t="inlineStr">
        <is>
          <t>CurrentWorkingView</t>
        </is>
      </c>
      <c r="H1492" t="inlineStr">
        <is>
          <t>Supply Cuts</t>
        </is>
      </c>
    </row>
    <row r="1493">
      <c r="A1493" t="inlineStr">
        <is>
          <t>Kylie Makeup</t>
        </is>
      </c>
      <c r="B1493" t="inlineStr">
        <is>
          <t>Lips (01245)</t>
        </is>
      </c>
      <c r="C1493" t="inlineStr">
        <is>
          <t>Kylie Matte Lip Kit (00006094)</t>
        </is>
      </c>
      <c r="D1493" s="1" t="n">
        <v>4064941008682</v>
      </c>
      <c r="E1493" t="inlineStr">
        <is>
          <t>KJ MU M LIQ K SET NWMDIN704 SWTRWTR 23IV</t>
        </is>
      </c>
      <c r="F1493" t="inlineStr">
        <is>
          <t>P_US_ALL_OTHERS</t>
        </is>
      </c>
      <c r="G1493" t="inlineStr">
        <is>
          <t>Month-2026.M09.W38</t>
        </is>
      </c>
      <c r="H1493" t="inlineStr">
        <is>
          <t>Consensus - Final LY M</t>
        </is>
      </c>
      <c r="I1493" t="n">
        <v>27</v>
      </c>
      <c r="J1493" t="n">
        <v>19</v>
      </c>
      <c r="K1493" t="n">
        <v>12</v>
      </c>
      <c r="L1493" t="n">
        <v>18</v>
      </c>
      <c r="M1493" t="n">
        <v>26</v>
      </c>
      <c r="N1493" t="n">
        <v>42</v>
      </c>
      <c r="O1493" t="n">
        <v>24</v>
      </c>
      <c r="P1493" t="n">
        <v>36</v>
      </c>
      <c r="Q1493" t="n">
        <v>39</v>
      </c>
      <c r="R1493" t="n">
        <v>26</v>
      </c>
      <c r="S1493" t="n">
        <v>21</v>
      </c>
      <c r="T1493" t="n">
        <v>19</v>
      </c>
    </row>
    <row r="1494">
      <c r="A1494" t="inlineStr">
        <is>
          <t>Kylie Makeup</t>
        </is>
      </c>
      <c r="B1494" t="inlineStr">
        <is>
          <t>Lips (01245)</t>
        </is>
      </c>
      <c r="C1494" t="inlineStr">
        <is>
          <t>Kylie Matte Lip Kit (00006094)</t>
        </is>
      </c>
      <c r="D1494" s="1" t="n">
        <v>4064941008682</v>
      </c>
      <c r="E1494" t="inlineStr">
        <is>
          <t>KJ MU M LIQ K SET NWMDIN704 SWTRWTR 23IV</t>
        </is>
      </c>
      <c r="F1494" t="inlineStr">
        <is>
          <t>P_US_ALL_OTHERS</t>
        </is>
      </c>
      <c r="G1494" t="inlineStr">
        <is>
          <t>Month-2026.M09.W38</t>
        </is>
      </c>
      <c r="H1494" t="inlineStr">
        <is>
          <t>System FC - Final</t>
        </is>
      </c>
      <c r="I1494" t="n">
        <v>21</v>
      </c>
      <c r="J1494" t="n">
        <v>9</v>
      </c>
      <c r="K1494" t="n">
        <v>19</v>
      </c>
      <c r="L1494" t="n">
        <v>22</v>
      </c>
      <c r="M1494" t="n">
        <v>22</v>
      </c>
      <c r="N1494" t="n">
        <v>22</v>
      </c>
      <c r="O1494" t="n">
        <v>22</v>
      </c>
      <c r="P1494" t="n">
        <v>24</v>
      </c>
      <c r="Q1494" t="n">
        <v>22</v>
      </c>
      <c r="R1494" t="n">
        <v>22</v>
      </c>
      <c r="S1494" t="n">
        <v>22</v>
      </c>
      <c r="T1494" t="n">
        <v>25</v>
      </c>
    </row>
    <row r="1495">
      <c r="A1495" t="inlineStr">
        <is>
          <t>Kylie Makeup</t>
        </is>
      </c>
      <c r="B1495" t="inlineStr">
        <is>
          <t>Lips (01245)</t>
        </is>
      </c>
      <c r="C1495" t="inlineStr">
        <is>
          <t>Kylie Matte Lip Kit (00006094)</t>
        </is>
      </c>
      <c r="D1495" s="1" t="n">
        <v>4064941008682</v>
      </c>
      <c r="E1495" t="inlineStr">
        <is>
          <t>KJ MU M LIQ K SET NWMDIN704 SWTRWTR 23IV</t>
        </is>
      </c>
      <c r="F1495" t="inlineStr">
        <is>
          <t>P_US_ALL_OTHERS</t>
        </is>
      </c>
      <c r="G1495" t="inlineStr">
        <is>
          <t>Month-2026.M09.W38</t>
        </is>
      </c>
      <c r="H1495" t="inlineStr">
        <is>
          <t>EPOS</t>
        </is>
      </c>
      <c r="I1495" t="n">
        <v>26</v>
      </c>
    </row>
    <row r="1496">
      <c r="A1496" t="inlineStr">
        <is>
          <t>Kylie Makeup</t>
        </is>
      </c>
      <c r="B1496" t="inlineStr">
        <is>
          <t>Lips (01245)</t>
        </is>
      </c>
      <c r="C1496" t="inlineStr">
        <is>
          <t>Kylie Matte Lip Kit (00006094)</t>
        </is>
      </c>
      <c r="D1496" s="1" t="n">
        <v>4064941008682</v>
      </c>
      <c r="E1496" t="inlineStr">
        <is>
          <t>KJ MU M LIQ K SET NWMDIN704 SWTRWTR 23IV</t>
        </is>
      </c>
      <c r="F1496" t="inlineStr">
        <is>
          <t>P_US_ALL_OTHERS</t>
        </is>
      </c>
      <c r="G1496" t="inlineStr">
        <is>
          <t>Month-2026.M09.W38</t>
        </is>
      </c>
      <c r="H1496" t="inlineStr">
        <is>
          <t>Reasonability Adjustment</t>
        </is>
      </c>
      <c r="S1496" t="n">
        <v>-3</v>
      </c>
    </row>
    <row r="1497">
      <c r="A1497" t="inlineStr">
        <is>
          <t>Kylie Makeup</t>
        </is>
      </c>
      <c r="B1497" t="inlineStr">
        <is>
          <t>Lips (01245)</t>
        </is>
      </c>
      <c r="C1497" t="inlineStr">
        <is>
          <t>Kylie Matte Lip Kit (00006094)</t>
        </is>
      </c>
      <c r="D1497" s="1" t="n">
        <v>4064941008682</v>
      </c>
      <c r="E1497" t="inlineStr">
        <is>
          <t>KJ MU M LIQ K SET NWMDIN704 SWTRWTR 23IV</t>
        </is>
      </c>
      <c r="F1497" t="inlineStr">
        <is>
          <t>P_US_ALL_OTHERS</t>
        </is>
      </c>
      <c r="G1497" t="inlineStr">
        <is>
          <t>Month-2026.M09.W38</t>
        </is>
      </c>
      <c r="H1497" t="inlineStr">
        <is>
          <t>Total Demand Assumption</t>
        </is>
      </c>
    </row>
    <row r="1498">
      <c r="A1498" t="inlineStr">
        <is>
          <t>Kylie Makeup</t>
        </is>
      </c>
      <c r="B1498" t="inlineStr">
        <is>
          <t>Lips (01245)</t>
        </is>
      </c>
      <c r="C1498" t="inlineStr">
        <is>
          <t>Kylie Matte Lip Kit (00006094)</t>
        </is>
      </c>
      <c r="D1498" s="1" t="n">
        <v>4064941008682</v>
      </c>
      <c r="E1498" t="inlineStr">
        <is>
          <t>KJ MU M LIQ K SET NWMDIN704 SWTRWTR 23IV</t>
        </is>
      </c>
      <c r="F1498" t="inlineStr">
        <is>
          <t>P_US_ALL_OTHERS</t>
        </is>
      </c>
      <c r="G1498" t="inlineStr">
        <is>
          <t>Month-2026.M09.W38</t>
        </is>
      </c>
      <c r="H1498" t="inlineStr">
        <is>
          <t>Consensus - Final</t>
        </is>
      </c>
      <c r="I1498" t="n">
        <v>21</v>
      </c>
      <c r="J1498" t="n">
        <v>9</v>
      </c>
      <c r="K1498" t="n">
        <v>19.3586206896551</v>
      </c>
      <c r="L1498" t="n">
        <v>22</v>
      </c>
      <c r="M1498" t="n">
        <v>22</v>
      </c>
      <c r="N1498" t="n">
        <v>22</v>
      </c>
      <c r="O1498" t="n">
        <v>22</v>
      </c>
      <c r="P1498" t="n">
        <v>24</v>
      </c>
      <c r="Q1498" t="n">
        <v>22</v>
      </c>
      <c r="R1498" t="n">
        <v>22</v>
      </c>
      <c r="S1498" t="n">
        <v>19</v>
      </c>
      <c r="T1498" t="n">
        <v>25</v>
      </c>
    </row>
    <row r="1499">
      <c r="A1499" t="inlineStr">
        <is>
          <t>Kylie Makeup</t>
        </is>
      </c>
      <c r="B1499" t="inlineStr">
        <is>
          <t>Lips (01245)</t>
        </is>
      </c>
      <c r="C1499" t="inlineStr">
        <is>
          <t>Kylie Matte Lip Kit (00006094)</t>
        </is>
      </c>
      <c r="D1499" s="1" t="n">
        <v>4064941008682</v>
      </c>
      <c r="E1499" t="inlineStr">
        <is>
          <t>KJ MU M LIQ K SET NWMDIN704 SWTRWTR 23IV</t>
        </is>
      </c>
      <c r="F1499" t="inlineStr">
        <is>
          <t>P_US_ALL_OTHERS</t>
        </is>
      </c>
      <c r="G1499" t="inlineStr">
        <is>
          <t>Month-2026.M09.W38</t>
        </is>
      </c>
      <c r="H1499" t="inlineStr">
        <is>
          <t>Supply Cuts</t>
        </is>
      </c>
    </row>
    <row r="1500">
      <c r="A1500" t="inlineStr">
        <is>
          <t>Kylie Makeup</t>
        </is>
      </c>
      <c r="B1500" t="inlineStr">
        <is>
          <t>Lips (01245)</t>
        </is>
      </c>
      <c r="C1500" t="inlineStr">
        <is>
          <t>Kylie Matte Lip Kit (00006094)</t>
        </is>
      </c>
      <c r="D1500" s="1" t="n">
        <v>4064941008682</v>
      </c>
      <c r="E1500" t="inlineStr">
        <is>
          <t>KJ MU M LIQ K SET NWMDIN704 SWTRWTR 23IV</t>
        </is>
      </c>
      <c r="F1500" t="inlineStr">
        <is>
          <t>P_US_FG</t>
        </is>
      </c>
      <c r="G1500" t="inlineStr">
        <is>
          <t>CurrentWorkingView</t>
        </is>
      </c>
      <c r="H1500" t="inlineStr">
        <is>
          <t>Consensus - Final LY M</t>
        </is>
      </c>
      <c r="K1500" t="n">
        <v>2</v>
      </c>
      <c r="L1500" t="n">
        <v>1</v>
      </c>
      <c r="O1500" t="n">
        <v>70</v>
      </c>
      <c r="Q1500" t="n">
        <v>41</v>
      </c>
    </row>
    <row r="1501">
      <c r="A1501" t="inlineStr">
        <is>
          <t>Kylie Makeup</t>
        </is>
      </c>
      <c r="B1501" t="inlineStr">
        <is>
          <t>Lips (01245)</t>
        </is>
      </c>
      <c r="C1501" t="inlineStr">
        <is>
          <t>Kylie Matte Lip Kit (00006094)</t>
        </is>
      </c>
      <c r="D1501" s="1" t="n">
        <v>4064941008682</v>
      </c>
      <c r="E1501" t="inlineStr">
        <is>
          <t>KJ MU M LIQ K SET NWMDIN704 SWTRWTR 23IV</t>
        </is>
      </c>
      <c r="F1501" t="inlineStr">
        <is>
          <t>P_US_FG</t>
        </is>
      </c>
      <c r="G1501" t="inlineStr">
        <is>
          <t>CurrentWorkingView</t>
        </is>
      </c>
      <c r="H1501" t="inlineStr">
        <is>
          <t>System FC - Final</t>
        </is>
      </c>
      <c r="K1501" t="n">
        <v>2</v>
      </c>
      <c r="L1501" t="n">
        <v>0</v>
      </c>
      <c r="M1501" t="n">
        <v>0</v>
      </c>
      <c r="N1501" t="n">
        <v>5</v>
      </c>
      <c r="O1501" t="n">
        <v>9</v>
      </c>
      <c r="P1501" t="n">
        <v>8</v>
      </c>
      <c r="Q1501" t="n">
        <v>13</v>
      </c>
      <c r="R1501" t="n">
        <v>4</v>
      </c>
      <c r="S1501" t="n">
        <v>0</v>
      </c>
      <c r="T1501" t="n">
        <v>0</v>
      </c>
    </row>
    <row r="1502">
      <c r="A1502" t="inlineStr">
        <is>
          <t>Kylie Makeup</t>
        </is>
      </c>
      <c r="B1502" t="inlineStr">
        <is>
          <t>Lips (01245)</t>
        </is>
      </c>
      <c r="C1502" t="inlineStr">
        <is>
          <t>Kylie Matte Lip Kit (00006094)</t>
        </is>
      </c>
      <c r="D1502" s="1" t="n">
        <v>4064941008682</v>
      </c>
      <c r="E1502" t="inlineStr">
        <is>
          <t>KJ MU M LIQ K SET NWMDIN704 SWTRWTR 23IV</t>
        </is>
      </c>
      <c r="F1502" t="inlineStr">
        <is>
          <t>P_US_FG</t>
        </is>
      </c>
      <c r="G1502" t="inlineStr">
        <is>
          <t>CurrentWorkingView</t>
        </is>
      </c>
      <c r="H1502" t="inlineStr">
        <is>
          <t>EPOS</t>
        </is>
      </c>
    </row>
    <row r="1503">
      <c r="A1503" t="inlineStr">
        <is>
          <t>Kylie Makeup</t>
        </is>
      </c>
      <c r="B1503" t="inlineStr">
        <is>
          <t>Lips (01245)</t>
        </is>
      </c>
      <c r="C1503" t="inlineStr">
        <is>
          <t>Kylie Matte Lip Kit (00006094)</t>
        </is>
      </c>
      <c r="D1503" s="1" t="n">
        <v>4064941008682</v>
      </c>
      <c r="E1503" t="inlineStr">
        <is>
          <t>KJ MU M LIQ K SET NWMDIN704 SWTRWTR 23IV</t>
        </is>
      </c>
      <c r="F1503" t="inlineStr">
        <is>
          <t>P_US_FG</t>
        </is>
      </c>
      <c r="G1503" t="inlineStr">
        <is>
          <t>CurrentWorkingView</t>
        </is>
      </c>
      <c r="H1503" t="inlineStr">
        <is>
          <t>Reasonability Adjustment</t>
        </is>
      </c>
    </row>
    <row r="1504">
      <c r="A1504" t="inlineStr">
        <is>
          <t>Kylie Makeup</t>
        </is>
      </c>
      <c r="B1504" t="inlineStr">
        <is>
          <t>Lips (01245)</t>
        </is>
      </c>
      <c r="C1504" t="inlineStr">
        <is>
          <t>Kylie Matte Lip Kit (00006094)</t>
        </is>
      </c>
      <c r="D1504" s="1" t="n">
        <v>4064941008682</v>
      </c>
      <c r="E1504" t="inlineStr">
        <is>
          <t>KJ MU M LIQ K SET NWMDIN704 SWTRWTR 23IV</t>
        </is>
      </c>
      <c r="F1504" t="inlineStr">
        <is>
          <t>P_US_FG</t>
        </is>
      </c>
      <c r="G1504" t="inlineStr">
        <is>
          <t>CurrentWorkingView</t>
        </is>
      </c>
      <c r="H1504" t="inlineStr">
        <is>
          <t>Total Demand Assumption</t>
        </is>
      </c>
    </row>
    <row r="1505">
      <c r="A1505" t="inlineStr">
        <is>
          <t>Kylie Makeup</t>
        </is>
      </c>
      <c r="B1505" t="inlineStr">
        <is>
          <t>Lips (01245)</t>
        </is>
      </c>
      <c r="C1505" t="inlineStr">
        <is>
          <t>Kylie Matte Lip Kit (00006094)</t>
        </is>
      </c>
      <c r="D1505" s="1" t="n">
        <v>4064941008682</v>
      </c>
      <c r="E1505" t="inlineStr">
        <is>
          <t>KJ MU M LIQ K SET NWMDIN704 SWTRWTR 23IV</t>
        </is>
      </c>
      <c r="F1505" t="inlineStr">
        <is>
          <t>P_US_FG</t>
        </is>
      </c>
      <c r="G1505" t="inlineStr">
        <is>
          <t>CurrentWorkingView</t>
        </is>
      </c>
      <c r="H1505" t="inlineStr">
        <is>
          <t>Consensus - Final</t>
        </is>
      </c>
      <c r="K1505" t="n">
        <v>0</v>
      </c>
    </row>
    <row r="1506">
      <c r="A1506" t="inlineStr">
        <is>
          <t>Kylie Makeup</t>
        </is>
      </c>
      <c r="B1506" t="inlineStr">
        <is>
          <t>Lips (01245)</t>
        </is>
      </c>
      <c r="C1506" t="inlineStr">
        <is>
          <t>Kylie Matte Lip Kit (00006094)</t>
        </is>
      </c>
      <c r="D1506" s="1" t="n">
        <v>4064941008682</v>
      </c>
      <c r="E1506" t="inlineStr">
        <is>
          <t>KJ MU M LIQ K SET NWMDIN704 SWTRWTR 23IV</t>
        </is>
      </c>
      <c r="F1506" t="inlineStr">
        <is>
          <t>P_US_FG</t>
        </is>
      </c>
      <c r="G1506" t="inlineStr">
        <is>
          <t>CurrentWorkingView</t>
        </is>
      </c>
      <c r="H1506" t="inlineStr">
        <is>
          <t>Supply Cuts</t>
        </is>
      </c>
    </row>
    <row r="1507">
      <c r="A1507" t="inlineStr">
        <is>
          <t>Kylie Makeup</t>
        </is>
      </c>
      <c r="B1507" t="inlineStr">
        <is>
          <t>Lips (01245)</t>
        </is>
      </c>
      <c r="C1507" t="inlineStr">
        <is>
          <t>Kylie Matte Lip Kit (00006094)</t>
        </is>
      </c>
      <c r="D1507" s="1" t="n">
        <v>4064941008682</v>
      </c>
      <c r="E1507" t="inlineStr">
        <is>
          <t>KJ MU M LIQ K SET NWMDIN704 SWTRWTR 23IV</t>
        </is>
      </c>
      <c r="F1507" t="inlineStr">
        <is>
          <t>P_US_FG</t>
        </is>
      </c>
      <c r="G1507" t="inlineStr">
        <is>
          <t>Month-2026.M09.W38</t>
        </is>
      </c>
      <c r="H1507" t="inlineStr">
        <is>
          <t>Consensus - Final LY M</t>
        </is>
      </c>
      <c r="K1507" t="n">
        <v>2</v>
      </c>
      <c r="L1507" t="n">
        <v>1</v>
      </c>
      <c r="O1507" t="n">
        <v>70</v>
      </c>
      <c r="Q1507" t="n">
        <v>41</v>
      </c>
    </row>
    <row r="1508">
      <c r="A1508" t="inlineStr">
        <is>
          <t>Kylie Makeup</t>
        </is>
      </c>
      <c r="B1508" t="inlineStr">
        <is>
          <t>Lips (01245)</t>
        </is>
      </c>
      <c r="C1508" t="inlineStr">
        <is>
          <t>Kylie Matte Lip Kit (00006094)</t>
        </is>
      </c>
      <c r="D1508" s="1" t="n">
        <v>4064941008682</v>
      </c>
      <c r="E1508" t="inlineStr">
        <is>
          <t>KJ MU M LIQ K SET NWMDIN704 SWTRWTR 23IV</t>
        </is>
      </c>
      <c r="F1508" t="inlineStr">
        <is>
          <t>P_US_FG</t>
        </is>
      </c>
      <c r="G1508" t="inlineStr">
        <is>
          <t>Month-2026.M09.W38</t>
        </is>
      </c>
      <c r="H1508" t="inlineStr">
        <is>
          <t>System FC - Final</t>
        </is>
      </c>
      <c r="K1508" t="n">
        <v>3</v>
      </c>
      <c r="L1508" t="n">
        <v>0</v>
      </c>
      <c r="M1508" t="n">
        <v>0</v>
      </c>
      <c r="N1508" t="n">
        <v>5</v>
      </c>
      <c r="O1508" t="n">
        <v>9</v>
      </c>
      <c r="P1508" t="n">
        <v>8</v>
      </c>
      <c r="Q1508" t="n">
        <v>13</v>
      </c>
      <c r="R1508" t="n">
        <v>4</v>
      </c>
      <c r="S1508" t="n">
        <v>0</v>
      </c>
      <c r="T1508" t="n">
        <v>1</v>
      </c>
    </row>
    <row r="1509">
      <c r="A1509" t="inlineStr">
        <is>
          <t>Kylie Makeup</t>
        </is>
      </c>
      <c r="B1509" t="inlineStr">
        <is>
          <t>Lips (01245)</t>
        </is>
      </c>
      <c r="C1509" t="inlineStr">
        <is>
          <t>Kylie Matte Lip Kit (00006094)</t>
        </is>
      </c>
      <c r="D1509" s="1" t="n">
        <v>4064941008682</v>
      </c>
      <c r="E1509" t="inlineStr">
        <is>
          <t>KJ MU M LIQ K SET NWMDIN704 SWTRWTR 23IV</t>
        </is>
      </c>
      <c r="F1509" t="inlineStr">
        <is>
          <t>P_US_FG</t>
        </is>
      </c>
      <c r="G1509" t="inlineStr">
        <is>
          <t>Month-2026.M09.W38</t>
        </is>
      </c>
      <c r="H1509" t="inlineStr">
        <is>
          <t>EPOS</t>
        </is>
      </c>
    </row>
    <row r="1510">
      <c r="A1510" t="inlineStr">
        <is>
          <t>Kylie Makeup</t>
        </is>
      </c>
      <c r="B1510" t="inlineStr">
        <is>
          <t>Lips (01245)</t>
        </is>
      </c>
      <c r="C1510" t="inlineStr">
        <is>
          <t>Kylie Matte Lip Kit (00006094)</t>
        </is>
      </c>
      <c r="D1510" s="1" t="n">
        <v>4064941008682</v>
      </c>
      <c r="E1510" t="inlineStr">
        <is>
          <t>KJ MU M LIQ K SET NWMDIN704 SWTRWTR 23IV</t>
        </is>
      </c>
      <c r="F1510" t="inlineStr">
        <is>
          <t>P_US_FG</t>
        </is>
      </c>
      <c r="G1510" t="inlineStr">
        <is>
          <t>Month-2026.M09.W38</t>
        </is>
      </c>
      <c r="H1510" t="inlineStr">
        <is>
          <t>Reasonability Adjustment</t>
        </is>
      </c>
    </row>
    <row r="1511">
      <c r="A1511" t="inlineStr">
        <is>
          <t>Kylie Makeup</t>
        </is>
      </c>
      <c r="B1511" t="inlineStr">
        <is>
          <t>Lips (01245)</t>
        </is>
      </c>
      <c r="C1511" t="inlineStr">
        <is>
          <t>Kylie Matte Lip Kit (00006094)</t>
        </is>
      </c>
      <c r="D1511" s="1" t="n">
        <v>4064941008682</v>
      </c>
      <c r="E1511" t="inlineStr">
        <is>
          <t>KJ MU M LIQ K SET NWMDIN704 SWTRWTR 23IV</t>
        </is>
      </c>
      <c r="F1511" t="inlineStr">
        <is>
          <t>P_US_FG</t>
        </is>
      </c>
      <c r="G1511" t="inlineStr">
        <is>
          <t>Month-2026.M09.W38</t>
        </is>
      </c>
      <c r="H1511" t="inlineStr">
        <is>
          <t>Total Demand Assumption</t>
        </is>
      </c>
    </row>
    <row r="1512">
      <c r="A1512" t="inlineStr">
        <is>
          <t>Kylie Makeup</t>
        </is>
      </c>
      <c r="B1512" t="inlineStr">
        <is>
          <t>Lips (01245)</t>
        </is>
      </c>
      <c r="C1512" t="inlineStr">
        <is>
          <t>Kylie Matte Lip Kit (00006094)</t>
        </is>
      </c>
      <c r="D1512" s="1" t="n">
        <v>4064941008682</v>
      </c>
      <c r="E1512" t="inlineStr">
        <is>
          <t>KJ MU M LIQ K SET NWMDIN704 SWTRWTR 23IV</t>
        </is>
      </c>
      <c r="F1512" t="inlineStr">
        <is>
          <t>P_US_FG</t>
        </is>
      </c>
      <c r="G1512" t="inlineStr">
        <is>
          <t>Month-2026.M09.W38</t>
        </is>
      </c>
      <c r="H1512" t="inlineStr">
        <is>
          <t>Consensus - Final</t>
        </is>
      </c>
      <c r="K1512" t="n">
        <v>0</v>
      </c>
    </row>
    <row r="1513">
      <c r="A1513" t="inlineStr">
        <is>
          <t>Kylie Makeup</t>
        </is>
      </c>
      <c r="B1513" t="inlineStr">
        <is>
          <t>Lips (01245)</t>
        </is>
      </c>
      <c r="C1513" t="inlineStr">
        <is>
          <t>Kylie Matte Lip Kit (00006094)</t>
        </is>
      </c>
      <c r="D1513" s="1" t="n">
        <v>4064941008682</v>
      </c>
      <c r="E1513" t="inlineStr">
        <is>
          <t>KJ MU M LIQ K SET NWMDIN704 SWTRWTR 23IV</t>
        </is>
      </c>
      <c r="F1513" t="inlineStr">
        <is>
          <t>P_US_FG</t>
        </is>
      </c>
      <c r="G1513" t="inlineStr">
        <is>
          <t>Month-2026.M09.W38</t>
        </is>
      </c>
      <c r="H1513" t="inlineStr">
        <is>
          <t>Supply Cuts</t>
        </is>
      </c>
    </row>
    <row r="1514">
      <c r="A1514" t="inlineStr">
        <is>
          <t>Kylie Makeup</t>
        </is>
      </c>
      <c r="B1514" t="inlineStr">
        <is>
          <t>Lips (01245)</t>
        </is>
      </c>
      <c r="C1514" t="inlineStr">
        <is>
          <t>Kylie Matte Lip Kit (00006094)</t>
        </is>
      </c>
      <c r="D1514" s="1" t="n">
        <v>4064941008682</v>
      </c>
      <c r="E1514" t="inlineStr">
        <is>
          <t>KJ MU M LIQ K SET NWMDIN704 SWTRWTR 23IV</t>
        </is>
      </c>
      <c r="F1514" t="inlineStr">
        <is>
          <t>P_US_ULTA</t>
        </is>
      </c>
      <c r="G1514" t="inlineStr">
        <is>
          <t>CurrentWorkingView</t>
        </is>
      </c>
      <c r="H1514" t="inlineStr">
        <is>
          <t>Consensus - Final LY M</t>
        </is>
      </c>
      <c r="I1514" t="n">
        <v>989</v>
      </c>
      <c r="J1514" t="n">
        <v>1004</v>
      </c>
      <c r="K1514" t="n">
        <v>892</v>
      </c>
      <c r="L1514" t="n">
        <v>610</v>
      </c>
      <c r="M1514" t="n">
        <v>1406</v>
      </c>
      <c r="N1514" t="n">
        <v>620</v>
      </c>
      <c r="O1514" t="n">
        <v>1886</v>
      </c>
      <c r="P1514" t="n">
        <v>663</v>
      </c>
      <c r="Q1514" t="n">
        <v>592</v>
      </c>
      <c r="R1514" t="n">
        <v>538</v>
      </c>
      <c r="S1514" t="n">
        <v>677</v>
      </c>
      <c r="T1514" t="n">
        <v>556</v>
      </c>
    </row>
    <row r="1515">
      <c r="A1515" t="inlineStr">
        <is>
          <t>Kylie Makeup</t>
        </is>
      </c>
      <c r="B1515" t="inlineStr">
        <is>
          <t>Lips (01245)</t>
        </is>
      </c>
      <c r="C1515" t="inlineStr">
        <is>
          <t>Kylie Matte Lip Kit (00006094)</t>
        </is>
      </c>
      <c r="D1515" s="1" t="n">
        <v>4064941008682</v>
      </c>
      <c r="E1515" t="inlineStr">
        <is>
          <t>KJ MU M LIQ K SET NWMDIN704 SWTRWTR 23IV</t>
        </is>
      </c>
      <c r="F1515" t="inlineStr">
        <is>
          <t>P_US_ULTA</t>
        </is>
      </c>
      <c r="G1515" t="inlineStr">
        <is>
          <t>CurrentWorkingView</t>
        </is>
      </c>
      <c r="H1515" t="inlineStr">
        <is>
          <t>System FC - Final</t>
        </is>
      </c>
      <c r="I1515" t="n">
        <v>555</v>
      </c>
      <c r="J1515" t="n">
        <v>868</v>
      </c>
      <c r="K1515" t="n">
        <v>859</v>
      </c>
      <c r="L1515" t="n">
        <v>1134</v>
      </c>
      <c r="M1515" t="n">
        <v>1321</v>
      </c>
      <c r="N1515" t="n">
        <v>1329</v>
      </c>
      <c r="O1515" t="n">
        <v>1187</v>
      </c>
      <c r="P1515" t="n">
        <v>1288</v>
      </c>
      <c r="Q1515" t="n">
        <v>1262</v>
      </c>
      <c r="R1515" t="n">
        <v>1050</v>
      </c>
      <c r="S1515" t="n">
        <v>1585</v>
      </c>
      <c r="T1515" t="n">
        <v>797</v>
      </c>
    </row>
    <row r="1516">
      <c r="A1516" t="inlineStr">
        <is>
          <t>Kylie Makeup</t>
        </is>
      </c>
      <c r="B1516" t="inlineStr">
        <is>
          <t>Lips (01245)</t>
        </is>
      </c>
      <c r="C1516" t="inlineStr">
        <is>
          <t>Kylie Matte Lip Kit (00006094)</t>
        </is>
      </c>
      <c r="D1516" s="1" t="n">
        <v>4064941008682</v>
      </c>
      <c r="E1516" t="inlineStr">
        <is>
          <t>KJ MU M LIQ K SET NWMDIN704 SWTRWTR 23IV</t>
        </is>
      </c>
      <c r="F1516" t="inlineStr">
        <is>
          <t>P_US_ULTA</t>
        </is>
      </c>
      <c r="G1516" t="inlineStr">
        <is>
          <t>CurrentWorkingView</t>
        </is>
      </c>
      <c r="H1516" t="inlineStr">
        <is>
          <t>EPOS</t>
        </is>
      </c>
      <c r="I1516" t="n">
        <v>403</v>
      </c>
    </row>
    <row r="1517">
      <c r="A1517" t="inlineStr">
        <is>
          <t>Kylie Makeup</t>
        </is>
      </c>
      <c r="B1517" t="inlineStr">
        <is>
          <t>Lips (01245)</t>
        </is>
      </c>
      <c r="C1517" t="inlineStr">
        <is>
          <t>Kylie Matte Lip Kit (00006094)</t>
        </is>
      </c>
      <c r="D1517" s="1" t="n">
        <v>4064941008682</v>
      </c>
      <c r="E1517" t="inlineStr">
        <is>
          <t>KJ MU M LIQ K SET NWMDIN704 SWTRWTR 23IV</t>
        </is>
      </c>
      <c r="F1517" t="inlineStr">
        <is>
          <t>P_US_ULTA</t>
        </is>
      </c>
      <c r="G1517" t="inlineStr">
        <is>
          <t>CurrentWorkingView</t>
        </is>
      </c>
      <c r="H1517" t="inlineStr">
        <is>
          <t>Reasonability Adjustment</t>
        </is>
      </c>
      <c r="S1517" t="n">
        <v>-118</v>
      </c>
    </row>
    <row r="1518">
      <c r="A1518" t="inlineStr">
        <is>
          <t>Kylie Makeup</t>
        </is>
      </c>
      <c r="B1518" t="inlineStr">
        <is>
          <t>Lips (01245)</t>
        </is>
      </c>
      <c r="C1518" t="inlineStr">
        <is>
          <t>Kylie Matte Lip Kit (00006094)</t>
        </is>
      </c>
      <c r="D1518" s="1" t="n">
        <v>4064941008682</v>
      </c>
      <c r="E1518" t="inlineStr">
        <is>
          <t>KJ MU M LIQ K SET NWMDIN704 SWTRWTR 23IV</t>
        </is>
      </c>
      <c r="F1518" t="inlineStr">
        <is>
          <t>P_US_ULTA</t>
        </is>
      </c>
      <c r="G1518" t="inlineStr">
        <is>
          <t>CurrentWorkingView</t>
        </is>
      </c>
      <c r="H1518" t="inlineStr">
        <is>
          <t>Total Demand Assumption</t>
        </is>
      </c>
    </row>
    <row r="1519">
      <c r="A1519" t="inlineStr">
        <is>
          <t>Kylie Makeup</t>
        </is>
      </c>
      <c r="B1519" t="inlineStr">
        <is>
          <t>Lips (01245)</t>
        </is>
      </c>
      <c r="C1519" t="inlineStr">
        <is>
          <t>Kylie Matte Lip Kit (00006094)</t>
        </is>
      </c>
      <c r="D1519" s="1" t="n">
        <v>4064941008682</v>
      </c>
      <c r="E1519" t="inlineStr">
        <is>
          <t>KJ MU M LIQ K SET NWMDIN704 SWTRWTR 23IV</t>
        </is>
      </c>
      <c r="F1519" t="inlineStr">
        <is>
          <t>P_US_ULTA</t>
        </is>
      </c>
      <c r="G1519" t="inlineStr">
        <is>
          <t>CurrentWorkingView</t>
        </is>
      </c>
      <c r="H1519" t="inlineStr">
        <is>
          <t>Consensus - Final</t>
        </is>
      </c>
      <c r="I1519" t="n">
        <v>555</v>
      </c>
      <c r="J1519" t="n">
        <v>868</v>
      </c>
      <c r="K1519" t="n">
        <v>907.641379310344</v>
      </c>
      <c r="L1519" t="n">
        <v>1134</v>
      </c>
      <c r="M1519" t="n">
        <v>1321</v>
      </c>
      <c r="N1519" t="n">
        <v>1329</v>
      </c>
      <c r="O1519" t="n">
        <v>1187</v>
      </c>
      <c r="P1519" t="n">
        <v>1288</v>
      </c>
      <c r="Q1519" t="n">
        <v>1262</v>
      </c>
      <c r="R1519" t="n">
        <v>1050</v>
      </c>
      <c r="S1519" t="n">
        <v>1467</v>
      </c>
      <c r="T1519" t="n">
        <v>797</v>
      </c>
    </row>
    <row r="1520">
      <c r="A1520" t="inlineStr">
        <is>
          <t>Kylie Makeup</t>
        </is>
      </c>
      <c r="B1520" t="inlineStr">
        <is>
          <t>Lips (01245)</t>
        </is>
      </c>
      <c r="C1520" t="inlineStr">
        <is>
          <t>Kylie Matte Lip Kit (00006094)</t>
        </is>
      </c>
      <c r="D1520" s="1" t="n">
        <v>4064941008682</v>
      </c>
      <c r="E1520" t="inlineStr">
        <is>
          <t>KJ MU M LIQ K SET NWMDIN704 SWTRWTR 23IV</t>
        </is>
      </c>
      <c r="F1520" t="inlineStr">
        <is>
          <t>P_US_ULTA</t>
        </is>
      </c>
      <c r="G1520" t="inlineStr">
        <is>
          <t>CurrentWorkingView</t>
        </is>
      </c>
      <c r="H1520" t="inlineStr">
        <is>
          <t>Supply Cuts</t>
        </is>
      </c>
    </row>
    <row r="1521">
      <c r="A1521" t="inlineStr">
        <is>
          <t>Kylie Makeup</t>
        </is>
      </c>
      <c r="B1521" t="inlineStr">
        <is>
          <t>Lips (01245)</t>
        </is>
      </c>
      <c r="C1521" t="inlineStr">
        <is>
          <t>Kylie Matte Lip Kit (00006094)</t>
        </is>
      </c>
      <c r="D1521" s="1" t="n">
        <v>4064941008682</v>
      </c>
      <c r="E1521" t="inlineStr">
        <is>
          <t>KJ MU M LIQ K SET NWMDIN704 SWTRWTR 23IV</t>
        </is>
      </c>
      <c r="F1521" t="inlineStr">
        <is>
          <t>P_US_ULTA</t>
        </is>
      </c>
      <c r="G1521" t="inlineStr">
        <is>
          <t>Month-2026.M09.W38</t>
        </is>
      </c>
      <c r="H1521" t="inlineStr">
        <is>
          <t>Consensus - Final LY M</t>
        </is>
      </c>
      <c r="I1521" t="n">
        <v>989</v>
      </c>
      <c r="J1521" t="n">
        <v>1004</v>
      </c>
      <c r="K1521" t="n">
        <v>892</v>
      </c>
      <c r="L1521" t="n">
        <v>610</v>
      </c>
      <c r="M1521" t="n">
        <v>1406</v>
      </c>
      <c r="N1521" t="n">
        <v>620</v>
      </c>
      <c r="O1521" t="n">
        <v>1886</v>
      </c>
      <c r="P1521" t="n">
        <v>663</v>
      </c>
      <c r="Q1521" t="n">
        <v>592</v>
      </c>
      <c r="R1521" t="n">
        <v>538</v>
      </c>
      <c r="S1521" t="n">
        <v>677</v>
      </c>
      <c r="T1521" t="n">
        <v>556</v>
      </c>
    </row>
    <row r="1522">
      <c r="A1522" t="inlineStr">
        <is>
          <t>Kylie Makeup</t>
        </is>
      </c>
      <c r="B1522" t="inlineStr">
        <is>
          <t>Lips (01245)</t>
        </is>
      </c>
      <c r="C1522" t="inlineStr">
        <is>
          <t>Kylie Matte Lip Kit (00006094)</t>
        </is>
      </c>
      <c r="D1522" s="1" t="n">
        <v>4064941008682</v>
      </c>
      <c r="E1522" t="inlineStr">
        <is>
          <t>KJ MU M LIQ K SET NWMDIN704 SWTRWTR 23IV</t>
        </is>
      </c>
      <c r="F1522" t="inlineStr">
        <is>
          <t>P_US_ULTA</t>
        </is>
      </c>
      <c r="G1522" t="inlineStr">
        <is>
          <t>Month-2026.M09.W38</t>
        </is>
      </c>
      <c r="H1522" t="inlineStr">
        <is>
          <t>System FC - Final</t>
        </is>
      </c>
      <c r="I1522" t="n">
        <v>555</v>
      </c>
      <c r="J1522" t="n">
        <v>868</v>
      </c>
      <c r="K1522" t="n">
        <v>919</v>
      </c>
      <c r="L1522" t="n">
        <v>642</v>
      </c>
      <c r="M1522" t="n">
        <v>1062</v>
      </c>
      <c r="N1522" t="n">
        <v>979</v>
      </c>
      <c r="O1522" t="n">
        <v>1156</v>
      </c>
      <c r="P1522" t="n">
        <v>856</v>
      </c>
      <c r="Q1522" t="n">
        <v>1054</v>
      </c>
      <c r="R1522" t="n">
        <v>639</v>
      </c>
      <c r="S1522" t="n">
        <v>797</v>
      </c>
      <c r="T1522" t="n">
        <v>629</v>
      </c>
    </row>
    <row r="1523">
      <c r="A1523" t="inlineStr">
        <is>
          <t>Kylie Makeup</t>
        </is>
      </c>
      <c r="B1523" t="inlineStr">
        <is>
          <t>Lips (01245)</t>
        </is>
      </c>
      <c r="C1523" t="inlineStr">
        <is>
          <t>Kylie Matte Lip Kit (00006094)</t>
        </is>
      </c>
      <c r="D1523" s="1" t="n">
        <v>4064941008682</v>
      </c>
      <c r="E1523" t="inlineStr">
        <is>
          <t>KJ MU M LIQ K SET NWMDIN704 SWTRWTR 23IV</t>
        </is>
      </c>
      <c r="F1523" t="inlineStr">
        <is>
          <t>P_US_ULTA</t>
        </is>
      </c>
      <c r="G1523" t="inlineStr">
        <is>
          <t>Month-2026.M09.W38</t>
        </is>
      </c>
      <c r="H1523" t="inlineStr">
        <is>
          <t>EPOS</t>
        </is>
      </c>
      <c r="I1523" t="n">
        <v>403</v>
      </c>
    </row>
    <row r="1524">
      <c r="A1524" t="inlineStr">
        <is>
          <t>Kylie Makeup</t>
        </is>
      </c>
      <c r="B1524" t="inlineStr">
        <is>
          <t>Lips (01245)</t>
        </is>
      </c>
      <c r="C1524" t="inlineStr">
        <is>
          <t>Kylie Matte Lip Kit (00006094)</t>
        </is>
      </c>
      <c r="D1524" s="1" t="n">
        <v>4064941008682</v>
      </c>
      <c r="E1524" t="inlineStr">
        <is>
          <t>KJ MU M LIQ K SET NWMDIN704 SWTRWTR 23IV</t>
        </is>
      </c>
      <c r="F1524" t="inlineStr">
        <is>
          <t>P_US_ULTA</t>
        </is>
      </c>
      <c r="G1524" t="inlineStr">
        <is>
          <t>Month-2026.M09.W38</t>
        </is>
      </c>
      <c r="H1524" t="inlineStr">
        <is>
          <t>Reasonability Adjustment</t>
        </is>
      </c>
      <c r="S1524" t="n">
        <v>-118</v>
      </c>
    </row>
    <row r="1525">
      <c r="A1525" t="inlineStr">
        <is>
          <t>Kylie Makeup</t>
        </is>
      </c>
      <c r="B1525" t="inlineStr">
        <is>
          <t>Lips (01245)</t>
        </is>
      </c>
      <c r="C1525" t="inlineStr">
        <is>
          <t>Kylie Matte Lip Kit (00006094)</t>
        </is>
      </c>
      <c r="D1525" s="1" t="n">
        <v>4064941008682</v>
      </c>
      <c r="E1525" t="inlineStr">
        <is>
          <t>KJ MU M LIQ K SET NWMDIN704 SWTRWTR 23IV</t>
        </is>
      </c>
      <c r="F1525" t="inlineStr">
        <is>
          <t>P_US_ULTA</t>
        </is>
      </c>
      <c r="G1525" t="inlineStr">
        <is>
          <t>Month-2026.M09.W38</t>
        </is>
      </c>
      <c r="H1525" t="inlineStr">
        <is>
          <t>Total Demand Assumption</t>
        </is>
      </c>
    </row>
    <row r="1526">
      <c r="A1526" t="inlineStr">
        <is>
          <t>Kylie Makeup</t>
        </is>
      </c>
      <c r="B1526" t="inlineStr">
        <is>
          <t>Lips (01245)</t>
        </is>
      </c>
      <c r="C1526" t="inlineStr">
        <is>
          <t>Kylie Matte Lip Kit (00006094)</t>
        </is>
      </c>
      <c r="D1526" s="1" t="n">
        <v>4064941008682</v>
      </c>
      <c r="E1526" t="inlineStr">
        <is>
          <t>KJ MU M LIQ K SET NWMDIN704 SWTRWTR 23IV</t>
        </is>
      </c>
      <c r="F1526" t="inlineStr">
        <is>
          <t>P_US_ULTA</t>
        </is>
      </c>
      <c r="G1526" t="inlineStr">
        <is>
          <t>Month-2026.M09.W38</t>
        </is>
      </c>
      <c r="H1526" t="inlineStr">
        <is>
          <t>Consensus - Final</t>
        </is>
      </c>
      <c r="I1526" t="n">
        <v>555</v>
      </c>
      <c r="J1526" t="n">
        <v>868</v>
      </c>
      <c r="K1526" t="n">
        <v>907.641379310344</v>
      </c>
      <c r="L1526" t="n">
        <v>642</v>
      </c>
      <c r="M1526" t="n">
        <v>1062</v>
      </c>
      <c r="N1526" t="n">
        <v>979</v>
      </c>
      <c r="O1526" t="n">
        <v>1156</v>
      </c>
      <c r="P1526" t="n">
        <v>856</v>
      </c>
      <c r="Q1526" t="n">
        <v>1054</v>
      </c>
      <c r="R1526" t="n">
        <v>639</v>
      </c>
      <c r="S1526" t="n">
        <v>679</v>
      </c>
      <c r="T1526" t="n">
        <v>629</v>
      </c>
    </row>
    <row r="1527">
      <c r="A1527" t="inlineStr">
        <is>
          <t>Kylie Makeup</t>
        </is>
      </c>
      <c r="B1527" t="inlineStr">
        <is>
          <t>Lips (01245)</t>
        </is>
      </c>
      <c r="C1527" t="inlineStr">
        <is>
          <t>Kylie Matte Lip Kit (00006094)</t>
        </is>
      </c>
      <c r="D1527" s="1" t="n">
        <v>4064941008682</v>
      </c>
      <c r="E1527" t="inlineStr">
        <is>
          <t>KJ MU M LIQ K SET NWMDIN704 SWTRWTR 23IV</t>
        </is>
      </c>
      <c r="F1527" t="inlineStr">
        <is>
          <t>P_US_ULTA</t>
        </is>
      </c>
      <c r="G1527" t="inlineStr">
        <is>
          <t>Month-2026.M09.W38</t>
        </is>
      </c>
      <c r="H1527" t="inlineStr">
        <is>
          <t>Supply Cuts</t>
        </is>
      </c>
    </row>
    <row r="1528">
      <c r="A1528" t="inlineStr">
        <is>
          <t>Kylie Makeup</t>
        </is>
      </c>
      <c r="B1528" t="inlineStr">
        <is>
          <t>Lips (01245)</t>
        </is>
      </c>
      <c r="C1528" t="inlineStr">
        <is>
          <t>Kylie Matte Lip Kit (00006094)</t>
        </is>
      </c>
      <c r="D1528" s="1" t="n">
        <v>4064941008699</v>
      </c>
      <c r="E1528" t="inlineStr">
        <is>
          <t>KJ MU M LIQ K SET NWMDIN703 DOLCE K 23IV</t>
        </is>
      </c>
      <c r="F1528" t="inlineStr">
        <is>
          <t>P_US_ALL_OTHERS</t>
        </is>
      </c>
      <c r="G1528" t="inlineStr">
        <is>
          <t>CurrentWorkingView</t>
        </is>
      </c>
      <c r="H1528" t="inlineStr">
        <is>
          <t>Consensus - Final LY M</t>
        </is>
      </c>
      <c r="J1528" t="n">
        <v>14</v>
      </c>
      <c r="K1528" t="n">
        <v>28</v>
      </c>
      <c r="L1528" t="n">
        <v>8</v>
      </c>
      <c r="M1528" t="n">
        <v>14</v>
      </c>
      <c r="N1528" t="n">
        <v>52</v>
      </c>
      <c r="O1528" t="n">
        <v>36</v>
      </c>
      <c r="P1528" t="n">
        <v>15</v>
      </c>
      <c r="Q1528" t="n">
        <v>37</v>
      </c>
      <c r="R1528" t="n">
        <v>25</v>
      </c>
      <c r="S1528" t="n">
        <v>24</v>
      </c>
      <c r="T1528" t="n">
        <v>7</v>
      </c>
    </row>
    <row r="1529">
      <c r="A1529" t="inlineStr">
        <is>
          <t>Kylie Makeup</t>
        </is>
      </c>
      <c r="B1529" t="inlineStr">
        <is>
          <t>Lips (01245)</t>
        </is>
      </c>
      <c r="C1529" t="inlineStr">
        <is>
          <t>Kylie Matte Lip Kit (00006094)</t>
        </is>
      </c>
      <c r="D1529" s="1" t="n">
        <v>4064941008699</v>
      </c>
      <c r="E1529" t="inlineStr">
        <is>
          <t>KJ MU M LIQ K SET NWMDIN703 DOLCE K 23IV</t>
        </is>
      </c>
      <c r="F1529" t="inlineStr">
        <is>
          <t>P_US_ALL_OTHERS</t>
        </is>
      </c>
      <c r="G1529" t="inlineStr">
        <is>
          <t>CurrentWorkingView</t>
        </is>
      </c>
      <c r="H1529" t="inlineStr">
        <is>
          <t>System FC - Final</t>
        </is>
      </c>
      <c r="I1529" t="n">
        <v>22</v>
      </c>
      <c r="J1529" t="n">
        <v>33</v>
      </c>
      <c r="K1529" t="n">
        <v>38</v>
      </c>
      <c r="L1529" t="n">
        <v>15</v>
      </c>
      <c r="M1529" t="n">
        <v>22</v>
      </c>
      <c r="N1529" t="n">
        <v>22</v>
      </c>
      <c r="O1529" t="n">
        <v>27</v>
      </c>
      <c r="P1529" t="n">
        <v>28</v>
      </c>
      <c r="Q1529" t="n">
        <v>27</v>
      </c>
      <c r="R1529" t="n">
        <v>24</v>
      </c>
      <c r="S1529" t="n">
        <v>27</v>
      </c>
      <c r="T1529" t="n">
        <v>21</v>
      </c>
    </row>
    <row r="1530">
      <c r="A1530" t="inlineStr">
        <is>
          <t>Kylie Makeup</t>
        </is>
      </c>
      <c r="B1530" t="inlineStr">
        <is>
          <t>Lips (01245)</t>
        </is>
      </c>
      <c r="C1530" t="inlineStr">
        <is>
          <t>Kylie Matte Lip Kit (00006094)</t>
        </is>
      </c>
      <c r="D1530" s="1" t="n">
        <v>4064941008699</v>
      </c>
      <c r="E1530" t="inlineStr">
        <is>
          <t>KJ MU M LIQ K SET NWMDIN703 DOLCE K 23IV</t>
        </is>
      </c>
      <c r="F1530" t="inlineStr">
        <is>
          <t>P_US_ALL_OTHERS</t>
        </is>
      </c>
      <c r="G1530" t="inlineStr">
        <is>
          <t>CurrentWorkingView</t>
        </is>
      </c>
      <c r="H1530" t="inlineStr">
        <is>
          <t>EPOS</t>
        </is>
      </c>
      <c r="I1530" t="n">
        <v>34</v>
      </c>
    </row>
    <row r="1531">
      <c r="A1531" t="inlineStr">
        <is>
          <t>Kylie Makeup</t>
        </is>
      </c>
      <c r="B1531" t="inlineStr">
        <is>
          <t>Lips (01245)</t>
        </is>
      </c>
      <c r="C1531" t="inlineStr">
        <is>
          <t>Kylie Matte Lip Kit (00006094)</t>
        </is>
      </c>
      <c r="D1531" s="1" t="n">
        <v>4064941008699</v>
      </c>
      <c r="E1531" t="inlineStr">
        <is>
          <t>KJ MU M LIQ K SET NWMDIN703 DOLCE K 23IV</t>
        </is>
      </c>
      <c r="F1531" t="inlineStr">
        <is>
          <t>P_US_ALL_OTHERS</t>
        </is>
      </c>
      <c r="G1531" t="inlineStr">
        <is>
          <t>CurrentWorkingView</t>
        </is>
      </c>
      <c r="H1531" t="inlineStr">
        <is>
          <t>Reasonability Adjustment</t>
        </is>
      </c>
      <c r="R1531" t="n">
        <v>-9</v>
      </c>
      <c r="S1531" t="n">
        <v>-9</v>
      </c>
      <c r="T1531" t="n">
        <v>-10</v>
      </c>
    </row>
    <row r="1532">
      <c r="A1532" t="inlineStr">
        <is>
          <t>Kylie Makeup</t>
        </is>
      </c>
      <c r="B1532" t="inlineStr">
        <is>
          <t>Lips (01245)</t>
        </is>
      </c>
      <c r="C1532" t="inlineStr">
        <is>
          <t>Kylie Matte Lip Kit (00006094)</t>
        </is>
      </c>
      <c r="D1532" s="1" t="n">
        <v>4064941008699</v>
      </c>
      <c r="E1532" t="inlineStr">
        <is>
          <t>KJ MU M LIQ K SET NWMDIN703 DOLCE K 23IV</t>
        </is>
      </c>
      <c r="F1532" t="inlineStr">
        <is>
          <t>P_US_ALL_OTHERS</t>
        </is>
      </c>
      <c r="G1532" t="inlineStr">
        <is>
          <t>CurrentWorkingView</t>
        </is>
      </c>
      <c r="H1532" t="inlineStr">
        <is>
          <t>Total Demand Assumption</t>
        </is>
      </c>
      <c r="I1532" t="n">
        <v>7075</v>
      </c>
    </row>
    <row r="1533">
      <c r="A1533" t="inlineStr">
        <is>
          <t>Kylie Makeup</t>
        </is>
      </c>
      <c r="B1533" t="inlineStr">
        <is>
          <t>Lips (01245)</t>
        </is>
      </c>
      <c r="C1533" t="inlineStr">
        <is>
          <t>Kylie Matte Lip Kit (00006094)</t>
        </is>
      </c>
      <c r="D1533" s="1" t="n">
        <v>4064941008699</v>
      </c>
      <c r="E1533" t="inlineStr">
        <is>
          <t>KJ MU M LIQ K SET NWMDIN703 DOLCE K 23IV</t>
        </is>
      </c>
      <c r="F1533" t="inlineStr">
        <is>
          <t>P_US_ALL_OTHERS</t>
        </is>
      </c>
      <c r="G1533" t="inlineStr">
        <is>
          <t>CurrentWorkingView</t>
        </is>
      </c>
      <c r="H1533" t="inlineStr">
        <is>
          <t>Consensus - Final</t>
        </is>
      </c>
      <c r="I1533" t="n">
        <v>22</v>
      </c>
      <c r="J1533" t="n">
        <v>33</v>
      </c>
      <c r="K1533" t="n">
        <v>32</v>
      </c>
      <c r="L1533" t="n">
        <v>15</v>
      </c>
      <c r="M1533" t="n">
        <v>22</v>
      </c>
      <c r="N1533" t="n">
        <v>22</v>
      </c>
      <c r="O1533" t="n">
        <v>27</v>
      </c>
      <c r="P1533" t="n">
        <v>28</v>
      </c>
      <c r="Q1533" t="n">
        <v>27</v>
      </c>
      <c r="R1533" t="n">
        <v>15</v>
      </c>
      <c r="S1533" t="n">
        <v>18</v>
      </c>
      <c r="T1533" t="n">
        <v>11</v>
      </c>
    </row>
    <row r="1534">
      <c r="A1534" t="inlineStr">
        <is>
          <t>Kylie Makeup</t>
        </is>
      </c>
      <c r="B1534" t="inlineStr">
        <is>
          <t>Lips (01245)</t>
        </is>
      </c>
      <c r="C1534" t="inlineStr">
        <is>
          <t>Kylie Matte Lip Kit (00006094)</t>
        </is>
      </c>
      <c r="D1534" s="1" t="n">
        <v>4064941008699</v>
      </c>
      <c r="E1534" t="inlineStr">
        <is>
          <t>KJ MU M LIQ K SET NWMDIN703 DOLCE K 23IV</t>
        </is>
      </c>
      <c r="F1534" t="inlineStr">
        <is>
          <t>P_US_ALL_OTHERS</t>
        </is>
      </c>
      <c r="G1534" t="inlineStr">
        <is>
          <t>CurrentWorkingView</t>
        </is>
      </c>
      <c r="H1534" t="inlineStr">
        <is>
          <t>Supply Cuts</t>
        </is>
      </c>
    </row>
    <row r="1535">
      <c r="A1535" t="inlineStr">
        <is>
          <t>Kylie Makeup</t>
        </is>
      </c>
      <c r="B1535" t="inlineStr">
        <is>
          <t>Lips (01245)</t>
        </is>
      </c>
      <c r="C1535" t="inlineStr">
        <is>
          <t>Kylie Matte Lip Kit (00006094)</t>
        </is>
      </c>
      <c r="D1535" s="1" t="n">
        <v>4064941008699</v>
      </c>
      <c r="E1535" t="inlineStr">
        <is>
          <t>KJ MU M LIQ K SET NWMDIN703 DOLCE K 23IV</t>
        </is>
      </c>
      <c r="F1535" t="inlineStr">
        <is>
          <t>P_US_ALL_OTHERS</t>
        </is>
      </c>
      <c r="G1535" t="inlineStr">
        <is>
          <t>Month-2026.M09.W38</t>
        </is>
      </c>
      <c r="H1535" t="inlineStr">
        <is>
          <t>Consensus - Final LY M</t>
        </is>
      </c>
      <c r="J1535" t="n">
        <v>14</v>
      </c>
      <c r="K1535" t="n">
        <v>28</v>
      </c>
      <c r="L1535" t="n">
        <v>8</v>
      </c>
      <c r="M1535" t="n">
        <v>14</v>
      </c>
      <c r="N1535" t="n">
        <v>52</v>
      </c>
      <c r="O1535" t="n">
        <v>36</v>
      </c>
      <c r="P1535" t="n">
        <v>15</v>
      </c>
      <c r="Q1535" t="n">
        <v>37</v>
      </c>
      <c r="R1535" t="n">
        <v>25</v>
      </c>
      <c r="S1535" t="n">
        <v>24</v>
      </c>
      <c r="T1535" t="n">
        <v>7</v>
      </c>
    </row>
    <row r="1536">
      <c r="A1536" t="inlineStr">
        <is>
          <t>Kylie Makeup</t>
        </is>
      </c>
      <c r="B1536" t="inlineStr">
        <is>
          <t>Lips (01245)</t>
        </is>
      </c>
      <c r="C1536" t="inlineStr">
        <is>
          <t>Kylie Matte Lip Kit (00006094)</t>
        </is>
      </c>
      <c r="D1536" s="1" t="n">
        <v>4064941008699</v>
      </c>
      <c r="E1536" t="inlineStr">
        <is>
          <t>KJ MU M LIQ K SET NWMDIN703 DOLCE K 23IV</t>
        </is>
      </c>
      <c r="F1536" t="inlineStr">
        <is>
          <t>P_US_ALL_OTHERS</t>
        </is>
      </c>
      <c r="G1536" t="inlineStr">
        <is>
          <t>Month-2026.M09.W38</t>
        </is>
      </c>
      <c r="H1536" t="inlineStr">
        <is>
          <t>System FC - Final</t>
        </is>
      </c>
      <c r="I1536" t="n">
        <v>22</v>
      </c>
      <c r="J1536" t="n">
        <v>33</v>
      </c>
      <c r="K1536" t="n">
        <v>38</v>
      </c>
      <c r="L1536" t="n">
        <v>21</v>
      </c>
      <c r="M1536" t="n">
        <v>14</v>
      </c>
      <c r="N1536" t="n">
        <v>21</v>
      </c>
      <c r="O1536" t="n">
        <v>26</v>
      </c>
      <c r="P1536" t="n">
        <v>24</v>
      </c>
      <c r="Q1536" t="n">
        <v>18</v>
      </c>
      <c r="R1536" t="n">
        <v>14</v>
      </c>
      <c r="S1536" t="n">
        <v>22</v>
      </c>
      <c r="T1536" t="n">
        <v>18</v>
      </c>
    </row>
    <row r="1537">
      <c r="A1537" t="inlineStr">
        <is>
          <t>Kylie Makeup</t>
        </is>
      </c>
      <c r="B1537" t="inlineStr">
        <is>
          <t>Lips (01245)</t>
        </is>
      </c>
      <c r="C1537" t="inlineStr">
        <is>
          <t>Kylie Matte Lip Kit (00006094)</t>
        </is>
      </c>
      <c r="D1537" s="1" t="n">
        <v>4064941008699</v>
      </c>
      <c r="E1537" t="inlineStr">
        <is>
          <t>KJ MU M LIQ K SET NWMDIN703 DOLCE K 23IV</t>
        </is>
      </c>
      <c r="F1537" t="inlineStr">
        <is>
          <t>P_US_ALL_OTHERS</t>
        </is>
      </c>
      <c r="G1537" t="inlineStr">
        <is>
          <t>Month-2026.M09.W38</t>
        </is>
      </c>
      <c r="H1537" t="inlineStr">
        <is>
          <t>EPOS</t>
        </is>
      </c>
      <c r="I1537" t="n">
        <v>34</v>
      </c>
    </row>
    <row r="1538">
      <c r="A1538" t="inlineStr">
        <is>
          <t>Kylie Makeup</t>
        </is>
      </c>
      <c r="B1538" t="inlineStr">
        <is>
          <t>Lips (01245)</t>
        </is>
      </c>
      <c r="C1538" t="inlineStr">
        <is>
          <t>Kylie Matte Lip Kit (00006094)</t>
        </is>
      </c>
      <c r="D1538" s="1" t="n">
        <v>4064941008699</v>
      </c>
      <c r="E1538" t="inlineStr">
        <is>
          <t>KJ MU M LIQ K SET NWMDIN703 DOLCE K 23IV</t>
        </is>
      </c>
      <c r="F1538" t="inlineStr">
        <is>
          <t>P_US_ALL_OTHERS</t>
        </is>
      </c>
      <c r="G1538" t="inlineStr">
        <is>
          <t>Month-2026.M09.W38</t>
        </is>
      </c>
      <c r="H1538" t="inlineStr">
        <is>
          <t>Reasonability Adjustment</t>
        </is>
      </c>
      <c r="R1538" t="n">
        <v>-9</v>
      </c>
      <c r="S1538" t="n">
        <v>-9</v>
      </c>
      <c r="T1538" t="n">
        <v>-10</v>
      </c>
    </row>
    <row r="1539">
      <c r="A1539" t="inlineStr">
        <is>
          <t>Kylie Makeup</t>
        </is>
      </c>
      <c r="B1539" t="inlineStr">
        <is>
          <t>Lips (01245)</t>
        </is>
      </c>
      <c r="C1539" t="inlineStr">
        <is>
          <t>Kylie Matte Lip Kit (00006094)</t>
        </is>
      </c>
      <c r="D1539" s="1" t="n">
        <v>4064941008699</v>
      </c>
      <c r="E1539" t="inlineStr">
        <is>
          <t>KJ MU M LIQ K SET NWMDIN703 DOLCE K 23IV</t>
        </is>
      </c>
      <c r="F1539" t="inlineStr">
        <is>
          <t>P_US_ALL_OTHERS</t>
        </is>
      </c>
      <c r="G1539" t="inlineStr">
        <is>
          <t>Month-2026.M09.W38</t>
        </is>
      </c>
      <c r="H1539" t="inlineStr">
        <is>
          <t>Total Demand Assumption</t>
        </is>
      </c>
      <c r="I1539" t="n">
        <v>7075</v>
      </c>
    </row>
    <row r="1540">
      <c r="A1540" t="inlineStr">
        <is>
          <t>Kylie Makeup</t>
        </is>
      </c>
      <c r="B1540" t="inlineStr">
        <is>
          <t>Lips (01245)</t>
        </is>
      </c>
      <c r="C1540" t="inlineStr">
        <is>
          <t>Kylie Matte Lip Kit (00006094)</t>
        </is>
      </c>
      <c r="D1540" s="1" t="n">
        <v>4064941008699</v>
      </c>
      <c r="E1540" t="inlineStr">
        <is>
          <t>KJ MU M LIQ K SET NWMDIN703 DOLCE K 23IV</t>
        </is>
      </c>
      <c r="F1540" t="inlineStr">
        <is>
          <t>P_US_ALL_OTHERS</t>
        </is>
      </c>
      <c r="G1540" t="inlineStr">
        <is>
          <t>Month-2026.M09.W38</t>
        </is>
      </c>
      <c r="H1540" t="inlineStr">
        <is>
          <t>Consensus - Final</t>
        </is>
      </c>
      <c r="I1540" t="n">
        <v>22</v>
      </c>
      <c r="J1540" t="n">
        <v>33</v>
      </c>
      <c r="K1540" t="n">
        <v>28</v>
      </c>
      <c r="L1540" t="n">
        <v>21</v>
      </c>
      <c r="M1540" t="n">
        <v>14</v>
      </c>
      <c r="N1540" t="n">
        <v>21</v>
      </c>
      <c r="O1540" t="n">
        <v>26</v>
      </c>
      <c r="P1540" t="n">
        <v>24</v>
      </c>
      <c r="Q1540" t="n">
        <v>18</v>
      </c>
      <c r="R1540" t="n">
        <v>5</v>
      </c>
      <c r="S1540" t="n">
        <v>13</v>
      </c>
      <c r="T1540" t="n">
        <v>8</v>
      </c>
    </row>
    <row r="1541">
      <c r="A1541" t="inlineStr">
        <is>
          <t>Kylie Makeup</t>
        </is>
      </c>
      <c r="B1541" t="inlineStr">
        <is>
          <t>Lips (01245)</t>
        </is>
      </c>
      <c r="C1541" t="inlineStr">
        <is>
          <t>Kylie Matte Lip Kit (00006094)</t>
        </is>
      </c>
      <c r="D1541" s="1" t="n">
        <v>4064941008699</v>
      </c>
      <c r="E1541" t="inlineStr">
        <is>
          <t>KJ MU M LIQ K SET NWMDIN703 DOLCE K 23IV</t>
        </is>
      </c>
      <c r="F1541" t="inlineStr">
        <is>
          <t>P_US_ALL_OTHERS</t>
        </is>
      </c>
      <c r="G1541" t="inlineStr">
        <is>
          <t>Month-2026.M09.W38</t>
        </is>
      </c>
      <c r="H1541" t="inlineStr">
        <is>
          <t>Supply Cuts</t>
        </is>
      </c>
    </row>
    <row r="1542">
      <c r="A1542" t="inlineStr">
        <is>
          <t>Kylie Makeup</t>
        </is>
      </c>
      <c r="B1542" t="inlineStr">
        <is>
          <t>Lips (01245)</t>
        </is>
      </c>
      <c r="C1542" t="inlineStr">
        <is>
          <t>Kylie Matte Lip Kit (00006094)</t>
        </is>
      </c>
      <c r="D1542" s="1" t="n">
        <v>4064941008699</v>
      </c>
      <c r="E1542" t="inlineStr">
        <is>
          <t>KJ MU M LIQ K SET NWMDIN703 DOLCE K 23IV</t>
        </is>
      </c>
      <c r="F1542" t="inlineStr">
        <is>
          <t>P_US_FG</t>
        </is>
      </c>
      <c r="G1542" t="inlineStr">
        <is>
          <t>CurrentWorkingView</t>
        </is>
      </c>
      <c r="H1542" t="inlineStr">
        <is>
          <t>Consensus - Final LY M</t>
        </is>
      </c>
      <c r="K1542" t="n">
        <v>50</v>
      </c>
      <c r="L1542" t="n">
        <v>6</v>
      </c>
      <c r="M1542" t="n">
        <v>35</v>
      </c>
      <c r="N1542" t="n">
        <v>35</v>
      </c>
      <c r="O1542" t="n">
        <v>15</v>
      </c>
      <c r="Q1542" t="n">
        <v>45</v>
      </c>
    </row>
    <row r="1543">
      <c r="A1543" t="inlineStr">
        <is>
          <t>Kylie Makeup</t>
        </is>
      </c>
      <c r="B1543" t="inlineStr">
        <is>
          <t>Lips (01245)</t>
        </is>
      </c>
      <c r="C1543" t="inlineStr">
        <is>
          <t>Kylie Matte Lip Kit (00006094)</t>
        </is>
      </c>
      <c r="D1543" s="1" t="n">
        <v>4064941008699</v>
      </c>
      <c r="E1543" t="inlineStr">
        <is>
          <t>KJ MU M LIQ K SET NWMDIN703 DOLCE K 23IV</t>
        </is>
      </c>
      <c r="F1543" t="inlineStr">
        <is>
          <t>P_US_FG</t>
        </is>
      </c>
      <c r="G1543" t="inlineStr">
        <is>
          <t>CurrentWorkingView</t>
        </is>
      </c>
      <c r="H1543" t="inlineStr">
        <is>
          <t>System FC - Final</t>
        </is>
      </c>
      <c r="K1543" t="n">
        <v>9</v>
      </c>
      <c r="L1543" t="n">
        <v>5</v>
      </c>
      <c r="M1543" t="n">
        <v>18</v>
      </c>
      <c r="N1543" t="n">
        <v>13</v>
      </c>
      <c r="O1543" t="n">
        <v>5</v>
      </c>
      <c r="P1543" t="n">
        <v>0</v>
      </c>
      <c r="Q1543" t="n">
        <v>22</v>
      </c>
      <c r="R1543" t="n">
        <v>8</v>
      </c>
      <c r="S1543" t="n">
        <v>9</v>
      </c>
      <c r="T1543" t="n">
        <v>0</v>
      </c>
    </row>
    <row r="1544">
      <c r="A1544" t="inlineStr">
        <is>
          <t>Kylie Makeup</t>
        </is>
      </c>
      <c r="B1544" t="inlineStr">
        <is>
          <t>Lips (01245)</t>
        </is>
      </c>
      <c r="C1544" t="inlineStr">
        <is>
          <t>Kylie Matte Lip Kit (00006094)</t>
        </is>
      </c>
      <c r="D1544" s="1" t="n">
        <v>4064941008699</v>
      </c>
      <c r="E1544" t="inlineStr">
        <is>
          <t>KJ MU M LIQ K SET NWMDIN703 DOLCE K 23IV</t>
        </is>
      </c>
      <c r="F1544" t="inlineStr">
        <is>
          <t>P_US_FG</t>
        </is>
      </c>
      <c r="G1544" t="inlineStr">
        <is>
          <t>CurrentWorkingView</t>
        </is>
      </c>
      <c r="H1544" t="inlineStr">
        <is>
          <t>EPOS</t>
        </is>
      </c>
    </row>
    <row r="1545">
      <c r="A1545" t="inlineStr">
        <is>
          <t>Kylie Makeup</t>
        </is>
      </c>
      <c r="B1545" t="inlineStr">
        <is>
          <t>Lips (01245)</t>
        </is>
      </c>
      <c r="C1545" t="inlineStr">
        <is>
          <t>Kylie Matte Lip Kit (00006094)</t>
        </is>
      </c>
      <c r="D1545" s="1" t="n">
        <v>4064941008699</v>
      </c>
      <c r="E1545" t="inlineStr">
        <is>
          <t>KJ MU M LIQ K SET NWMDIN703 DOLCE K 23IV</t>
        </is>
      </c>
      <c r="F1545" t="inlineStr">
        <is>
          <t>P_US_FG</t>
        </is>
      </c>
      <c r="G1545" t="inlineStr">
        <is>
          <t>CurrentWorkingView</t>
        </is>
      </c>
      <c r="H1545" t="inlineStr">
        <is>
          <t>Reasonability Adjustment</t>
        </is>
      </c>
    </row>
    <row r="1546">
      <c r="A1546" t="inlineStr">
        <is>
          <t>Kylie Makeup</t>
        </is>
      </c>
      <c r="B1546" t="inlineStr">
        <is>
          <t>Lips (01245)</t>
        </is>
      </c>
      <c r="C1546" t="inlineStr">
        <is>
          <t>Kylie Matte Lip Kit (00006094)</t>
        </is>
      </c>
      <c r="D1546" s="1" t="n">
        <v>4064941008699</v>
      </c>
      <c r="E1546" t="inlineStr">
        <is>
          <t>KJ MU M LIQ K SET NWMDIN703 DOLCE K 23IV</t>
        </is>
      </c>
      <c r="F1546" t="inlineStr">
        <is>
          <t>P_US_FG</t>
        </is>
      </c>
      <c r="G1546" t="inlineStr">
        <is>
          <t>CurrentWorkingView</t>
        </is>
      </c>
      <c r="H1546" t="inlineStr">
        <is>
          <t>Total Demand Assumption</t>
        </is>
      </c>
    </row>
    <row r="1547">
      <c r="A1547" t="inlineStr">
        <is>
          <t>Kylie Makeup</t>
        </is>
      </c>
      <c r="B1547" t="inlineStr">
        <is>
          <t>Lips (01245)</t>
        </is>
      </c>
      <c r="C1547" t="inlineStr">
        <is>
          <t>Kylie Matte Lip Kit (00006094)</t>
        </is>
      </c>
      <c r="D1547" s="1" t="n">
        <v>4064941008699</v>
      </c>
      <c r="E1547" t="inlineStr">
        <is>
          <t>KJ MU M LIQ K SET NWMDIN703 DOLCE K 23IV</t>
        </is>
      </c>
      <c r="F1547" t="inlineStr">
        <is>
          <t>P_US_FG</t>
        </is>
      </c>
      <c r="G1547" t="inlineStr">
        <is>
          <t>CurrentWorkingView</t>
        </is>
      </c>
      <c r="H1547" t="inlineStr">
        <is>
          <t>Consensus - Final</t>
        </is>
      </c>
      <c r="K1547" t="n">
        <v>0</v>
      </c>
    </row>
    <row r="1548">
      <c r="A1548" t="inlineStr">
        <is>
          <t>Kylie Makeup</t>
        </is>
      </c>
      <c r="B1548" t="inlineStr">
        <is>
          <t>Lips (01245)</t>
        </is>
      </c>
      <c r="C1548" t="inlineStr">
        <is>
          <t>Kylie Matte Lip Kit (00006094)</t>
        </is>
      </c>
      <c r="D1548" s="1" t="n">
        <v>4064941008699</v>
      </c>
      <c r="E1548" t="inlineStr">
        <is>
          <t>KJ MU M LIQ K SET NWMDIN703 DOLCE K 23IV</t>
        </is>
      </c>
      <c r="F1548" t="inlineStr">
        <is>
          <t>P_US_FG</t>
        </is>
      </c>
      <c r="G1548" t="inlineStr">
        <is>
          <t>CurrentWorkingView</t>
        </is>
      </c>
      <c r="H1548" t="inlineStr">
        <is>
          <t>Supply Cuts</t>
        </is>
      </c>
    </row>
    <row r="1549">
      <c r="A1549" t="inlineStr">
        <is>
          <t>Kylie Makeup</t>
        </is>
      </c>
      <c r="B1549" t="inlineStr">
        <is>
          <t>Lips (01245)</t>
        </is>
      </c>
      <c r="C1549" t="inlineStr">
        <is>
          <t>Kylie Matte Lip Kit (00006094)</t>
        </is>
      </c>
      <c r="D1549" s="1" t="n">
        <v>4064941008699</v>
      </c>
      <c r="E1549" t="inlineStr">
        <is>
          <t>KJ MU M LIQ K SET NWMDIN703 DOLCE K 23IV</t>
        </is>
      </c>
      <c r="F1549" t="inlineStr">
        <is>
          <t>P_US_FG</t>
        </is>
      </c>
      <c r="G1549" t="inlineStr">
        <is>
          <t>Month-2026.M09.W38</t>
        </is>
      </c>
      <c r="H1549" t="inlineStr">
        <is>
          <t>Consensus - Final LY M</t>
        </is>
      </c>
      <c r="K1549" t="n">
        <v>50</v>
      </c>
      <c r="L1549" t="n">
        <v>6</v>
      </c>
      <c r="M1549" t="n">
        <v>35</v>
      </c>
      <c r="N1549" t="n">
        <v>35</v>
      </c>
      <c r="O1549" t="n">
        <v>15</v>
      </c>
      <c r="Q1549" t="n">
        <v>45</v>
      </c>
    </row>
    <row r="1550">
      <c r="A1550" t="inlineStr">
        <is>
          <t>Kylie Makeup</t>
        </is>
      </c>
      <c r="B1550" t="inlineStr">
        <is>
          <t>Lips (01245)</t>
        </is>
      </c>
      <c r="C1550" t="inlineStr">
        <is>
          <t>Kylie Matte Lip Kit (00006094)</t>
        </is>
      </c>
      <c r="D1550" s="1" t="n">
        <v>4064941008699</v>
      </c>
      <c r="E1550" t="inlineStr">
        <is>
          <t>KJ MU M LIQ K SET NWMDIN703 DOLCE K 23IV</t>
        </is>
      </c>
      <c r="F1550" t="inlineStr">
        <is>
          <t>P_US_FG</t>
        </is>
      </c>
      <c r="G1550" t="inlineStr">
        <is>
          <t>Month-2026.M09.W38</t>
        </is>
      </c>
      <c r="H1550" t="inlineStr">
        <is>
          <t>System FC - Final</t>
        </is>
      </c>
      <c r="K1550" t="n">
        <v>13</v>
      </c>
      <c r="L1550" t="n">
        <v>5</v>
      </c>
      <c r="M1550" t="n">
        <v>18</v>
      </c>
      <c r="N1550" t="n">
        <v>13</v>
      </c>
      <c r="O1550" t="n">
        <v>5</v>
      </c>
      <c r="P1550" t="n">
        <v>0</v>
      </c>
      <c r="Q1550" t="n">
        <v>22</v>
      </c>
      <c r="R1550" t="n">
        <v>8</v>
      </c>
      <c r="S1550" t="n">
        <v>9</v>
      </c>
      <c r="T1550" t="n">
        <v>4</v>
      </c>
    </row>
    <row r="1551">
      <c r="A1551" t="inlineStr">
        <is>
          <t>Kylie Makeup</t>
        </is>
      </c>
      <c r="B1551" t="inlineStr">
        <is>
          <t>Lips (01245)</t>
        </is>
      </c>
      <c r="C1551" t="inlineStr">
        <is>
          <t>Kylie Matte Lip Kit (00006094)</t>
        </is>
      </c>
      <c r="D1551" s="1" t="n">
        <v>4064941008699</v>
      </c>
      <c r="E1551" t="inlineStr">
        <is>
          <t>KJ MU M LIQ K SET NWMDIN703 DOLCE K 23IV</t>
        </is>
      </c>
      <c r="F1551" t="inlineStr">
        <is>
          <t>P_US_FG</t>
        </is>
      </c>
      <c r="G1551" t="inlineStr">
        <is>
          <t>Month-2026.M09.W38</t>
        </is>
      </c>
      <c r="H1551" t="inlineStr">
        <is>
          <t>EPOS</t>
        </is>
      </c>
    </row>
    <row r="1552">
      <c r="A1552" t="inlineStr">
        <is>
          <t>Kylie Makeup</t>
        </is>
      </c>
      <c r="B1552" t="inlineStr">
        <is>
          <t>Lips (01245)</t>
        </is>
      </c>
      <c r="C1552" t="inlineStr">
        <is>
          <t>Kylie Matte Lip Kit (00006094)</t>
        </is>
      </c>
      <c r="D1552" s="1" t="n">
        <v>4064941008699</v>
      </c>
      <c r="E1552" t="inlineStr">
        <is>
          <t>KJ MU M LIQ K SET NWMDIN703 DOLCE K 23IV</t>
        </is>
      </c>
      <c r="F1552" t="inlineStr">
        <is>
          <t>P_US_FG</t>
        </is>
      </c>
      <c r="G1552" t="inlineStr">
        <is>
          <t>Month-2026.M09.W38</t>
        </is>
      </c>
      <c r="H1552" t="inlineStr">
        <is>
          <t>Reasonability Adjustment</t>
        </is>
      </c>
    </row>
    <row r="1553">
      <c r="A1553" t="inlineStr">
        <is>
          <t>Kylie Makeup</t>
        </is>
      </c>
      <c r="B1553" t="inlineStr">
        <is>
          <t>Lips (01245)</t>
        </is>
      </c>
      <c r="C1553" t="inlineStr">
        <is>
          <t>Kylie Matte Lip Kit (00006094)</t>
        </is>
      </c>
      <c r="D1553" s="1" t="n">
        <v>4064941008699</v>
      </c>
      <c r="E1553" t="inlineStr">
        <is>
          <t>KJ MU M LIQ K SET NWMDIN703 DOLCE K 23IV</t>
        </is>
      </c>
      <c r="F1553" t="inlineStr">
        <is>
          <t>P_US_FG</t>
        </is>
      </c>
      <c r="G1553" t="inlineStr">
        <is>
          <t>Month-2026.M09.W38</t>
        </is>
      </c>
      <c r="H1553" t="inlineStr">
        <is>
          <t>Total Demand Assumption</t>
        </is>
      </c>
    </row>
    <row r="1554">
      <c r="A1554" t="inlineStr">
        <is>
          <t>Kylie Makeup</t>
        </is>
      </c>
      <c r="B1554" t="inlineStr">
        <is>
          <t>Lips (01245)</t>
        </is>
      </c>
      <c r="C1554" t="inlineStr">
        <is>
          <t>Kylie Matte Lip Kit (00006094)</t>
        </is>
      </c>
      <c r="D1554" s="1" t="n">
        <v>4064941008699</v>
      </c>
      <c r="E1554" t="inlineStr">
        <is>
          <t>KJ MU M LIQ K SET NWMDIN703 DOLCE K 23IV</t>
        </is>
      </c>
      <c r="F1554" t="inlineStr">
        <is>
          <t>P_US_FG</t>
        </is>
      </c>
      <c r="G1554" t="inlineStr">
        <is>
          <t>Month-2026.M09.W38</t>
        </is>
      </c>
      <c r="H1554" t="inlineStr">
        <is>
          <t>Consensus - Final</t>
        </is>
      </c>
      <c r="K1554" t="n">
        <v>0</v>
      </c>
    </row>
    <row r="1555">
      <c r="A1555" t="inlineStr">
        <is>
          <t>Kylie Makeup</t>
        </is>
      </c>
      <c r="B1555" t="inlineStr">
        <is>
          <t>Lips (01245)</t>
        </is>
      </c>
      <c r="C1555" t="inlineStr">
        <is>
          <t>Kylie Matte Lip Kit (00006094)</t>
        </is>
      </c>
      <c r="D1555" s="1" t="n">
        <v>4064941008699</v>
      </c>
      <c r="E1555" t="inlineStr">
        <is>
          <t>KJ MU M LIQ K SET NWMDIN703 DOLCE K 23IV</t>
        </is>
      </c>
      <c r="F1555" t="inlineStr">
        <is>
          <t>P_US_FG</t>
        </is>
      </c>
      <c r="G1555" t="inlineStr">
        <is>
          <t>Month-2026.M09.W38</t>
        </is>
      </c>
      <c r="H1555" t="inlineStr">
        <is>
          <t>Supply Cuts</t>
        </is>
      </c>
    </row>
    <row r="1556">
      <c r="A1556" t="inlineStr">
        <is>
          <t>Kylie Makeup</t>
        </is>
      </c>
      <c r="B1556" t="inlineStr">
        <is>
          <t>Lips (01245)</t>
        </is>
      </c>
      <c r="C1556" t="inlineStr">
        <is>
          <t>Kylie Matte Lip Kit (00006094)</t>
        </is>
      </c>
      <c r="D1556" s="1" t="n">
        <v>4064941008699</v>
      </c>
      <c r="E1556" t="inlineStr">
        <is>
          <t>KJ MU M LIQ K SET NWMDIN703 DOLCE K 23IV</t>
        </is>
      </c>
      <c r="F1556" t="inlineStr">
        <is>
          <t>P_US_ULTA</t>
        </is>
      </c>
      <c r="G1556" t="inlineStr">
        <is>
          <t>CurrentWorkingView</t>
        </is>
      </c>
      <c r="H1556" t="inlineStr">
        <is>
          <t>Consensus - Final LY M</t>
        </is>
      </c>
      <c r="I1556" t="n">
        <v>235</v>
      </c>
      <c r="J1556" t="n">
        <v>2690</v>
      </c>
      <c r="K1556" t="n">
        <v>1377</v>
      </c>
      <c r="L1556" t="n">
        <v>2968</v>
      </c>
      <c r="M1556" t="n">
        <v>2631</v>
      </c>
      <c r="N1556" t="n">
        <v>1405</v>
      </c>
      <c r="O1556" t="n">
        <v>3611</v>
      </c>
      <c r="P1556" t="n">
        <v>1876</v>
      </c>
      <c r="Q1556" t="n">
        <v>728</v>
      </c>
      <c r="R1556" t="n">
        <v>592</v>
      </c>
      <c r="S1556" t="n">
        <v>1389</v>
      </c>
      <c r="T1556" t="n">
        <v>801</v>
      </c>
    </row>
    <row r="1557">
      <c r="A1557" t="inlineStr">
        <is>
          <t>Kylie Makeup</t>
        </is>
      </c>
      <c r="B1557" t="inlineStr">
        <is>
          <t>Lips (01245)</t>
        </is>
      </c>
      <c r="C1557" t="inlineStr">
        <is>
          <t>Kylie Matte Lip Kit (00006094)</t>
        </is>
      </c>
      <c r="D1557" s="1" t="n">
        <v>4064941008699</v>
      </c>
      <c r="E1557" t="inlineStr">
        <is>
          <t>KJ MU M LIQ K SET NWMDIN703 DOLCE K 23IV</t>
        </is>
      </c>
      <c r="F1557" t="inlineStr">
        <is>
          <t>P_US_ULTA</t>
        </is>
      </c>
      <c r="G1557" t="inlineStr">
        <is>
          <t>CurrentWorkingView</t>
        </is>
      </c>
      <c r="H1557" t="inlineStr">
        <is>
          <t>System FC - Final</t>
        </is>
      </c>
      <c r="I1557" t="n">
        <v>3191</v>
      </c>
      <c r="J1557" t="n">
        <v>1687</v>
      </c>
      <c r="K1557" t="n">
        <v>1856</v>
      </c>
      <c r="L1557" t="n">
        <v>1415</v>
      </c>
      <c r="M1557" t="n">
        <v>1920</v>
      </c>
      <c r="N1557" t="n">
        <v>2043</v>
      </c>
      <c r="O1557" t="n">
        <v>2174</v>
      </c>
      <c r="P1557" t="n">
        <v>2432</v>
      </c>
      <c r="Q1557" t="n">
        <v>2376</v>
      </c>
      <c r="R1557" t="n">
        <v>1903</v>
      </c>
      <c r="S1557" t="n">
        <v>2309</v>
      </c>
      <c r="T1557" t="n">
        <v>1996</v>
      </c>
    </row>
    <row r="1558">
      <c r="A1558" t="inlineStr">
        <is>
          <t>Kylie Makeup</t>
        </is>
      </c>
      <c r="B1558" t="inlineStr">
        <is>
          <t>Lips (01245)</t>
        </is>
      </c>
      <c r="C1558" t="inlineStr">
        <is>
          <t>Kylie Matte Lip Kit (00006094)</t>
        </is>
      </c>
      <c r="D1558" s="1" t="n">
        <v>4064941008699</v>
      </c>
      <c r="E1558" t="inlineStr">
        <is>
          <t>KJ MU M LIQ K SET NWMDIN703 DOLCE K 23IV</t>
        </is>
      </c>
      <c r="F1558" t="inlineStr">
        <is>
          <t>P_US_ULTA</t>
        </is>
      </c>
      <c r="G1558" t="inlineStr">
        <is>
          <t>CurrentWorkingView</t>
        </is>
      </c>
      <c r="H1558" t="inlineStr">
        <is>
          <t>EPOS</t>
        </is>
      </c>
      <c r="I1558" t="n">
        <v>909</v>
      </c>
    </row>
    <row r="1559">
      <c r="A1559" t="inlineStr">
        <is>
          <t>Kylie Makeup</t>
        </is>
      </c>
      <c r="B1559" t="inlineStr">
        <is>
          <t>Lips (01245)</t>
        </is>
      </c>
      <c r="C1559" t="inlineStr">
        <is>
          <t>Kylie Matte Lip Kit (00006094)</t>
        </is>
      </c>
      <c r="D1559" s="1" t="n">
        <v>4064941008699</v>
      </c>
      <c r="E1559" t="inlineStr">
        <is>
          <t>KJ MU M LIQ K SET NWMDIN703 DOLCE K 23IV</t>
        </is>
      </c>
      <c r="F1559" t="inlineStr">
        <is>
          <t>P_US_ULTA</t>
        </is>
      </c>
      <c r="G1559" t="inlineStr">
        <is>
          <t>CurrentWorkingView</t>
        </is>
      </c>
      <c r="H1559" t="inlineStr">
        <is>
          <t>Reasonability Adjustment</t>
        </is>
      </c>
      <c r="R1559" t="n">
        <v>-956</v>
      </c>
      <c r="S1559" t="n">
        <v>-951</v>
      </c>
      <c r="T1559" t="n">
        <v>-1094</v>
      </c>
    </row>
    <row r="1560">
      <c r="A1560" t="inlineStr">
        <is>
          <t>Kylie Makeup</t>
        </is>
      </c>
      <c r="B1560" t="inlineStr">
        <is>
          <t>Lips (01245)</t>
        </is>
      </c>
      <c r="C1560" t="inlineStr">
        <is>
          <t>Kylie Matte Lip Kit (00006094)</t>
        </is>
      </c>
      <c r="D1560" s="1" t="n">
        <v>4064941008699</v>
      </c>
      <c r="E1560" t="inlineStr">
        <is>
          <t>KJ MU M LIQ K SET NWMDIN703 DOLCE K 23IV</t>
        </is>
      </c>
      <c r="F1560" t="inlineStr">
        <is>
          <t>P_US_ULTA</t>
        </is>
      </c>
      <c r="G1560" t="inlineStr">
        <is>
          <t>CurrentWorkingView</t>
        </is>
      </c>
      <c r="H1560" t="inlineStr">
        <is>
          <t>Total Demand Assumption</t>
        </is>
      </c>
    </row>
    <row r="1561">
      <c r="A1561" t="inlineStr">
        <is>
          <t>Kylie Makeup</t>
        </is>
      </c>
      <c r="B1561" t="inlineStr">
        <is>
          <t>Lips (01245)</t>
        </is>
      </c>
      <c r="C1561" t="inlineStr">
        <is>
          <t>Kylie Matte Lip Kit (00006094)</t>
        </is>
      </c>
      <c r="D1561" s="1" t="n">
        <v>4064941008699</v>
      </c>
      <c r="E1561" t="inlineStr">
        <is>
          <t>KJ MU M LIQ K SET NWMDIN703 DOLCE K 23IV</t>
        </is>
      </c>
      <c r="F1561" t="inlineStr">
        <is>
          <t>P_US_ULTA</t>
        </is>
      </c>
      <c r="G1561" t="inlineStr">
        <is>
          <t>CurrentWorkingView</t>
        </is>
      </c>
      <c r="H1561" t="inlineStr">
        <is>
          <t>Consensus - Final</t>
        </is>
      </c>
      <c r="I1561" t="n">
        <v>3191</v>
      </c>
      <c r="J1561" t="n">
        <v>1687</v>
      </c>
      <c r="K1561" t="n">
        <v>1956</v>
      </c>
      <c r="L1561" t="n">
        <v>1415</v>
      </c>
      <c r="M1561" t="n">
        <v>1920</v>
      </c>
      <c r="N1561" t="n">
        <v>2043</v>
      </c>
      <c r="O1561" t="n">
        <v>2174</v>
      </c>
      <c r="P1561" t="n">
        <v>2432</v>
      </c>
      <c r="Q1561" t="n">
        <v>2376</v>
      </c>
      <c r="R1561" t="n">
        <v>947</v>
      </c>
      <c r="S1561" t="n">
        <v>1358</v>
      </c>
      <c r="T1561" t="n">
        <v>902</v>
      </c>
    </row>
    <row r="1562">
      <c r="A1562" t="inlineStr">
        <is>
          <t>Kylie Makeup</t>
        </is>
      </c>
      <c r="B1562" t="inlineStr">
        <is>
          <t>Lips (01245)</t>
        </is>
      </c>
      <c r="C1562" t="inlineStr">
        <is>
          <t>Kylie Matte Lip Kit (00006094)</t>
        </is>
      </c>
      <c r="D1562" s="1" t="n">
        <v>4064941008699</v>
      </c>
      <c r="E1562" t="inlineStr">
        <is>
          <t>KJ MU M LIQ K SET NWMDIN703 DOLCE K 23IV</t>
        </is>
      </c>
      <c r="F1562" t="inlineStr">
        <is>
          <t>P_US_ULTA</t>
        </is>
      </c>
      <c r="G1562" t="inlineStr">
        <is>
          <t>CurrentWorkingView</t>
        </is>
      </c>
      <c r="H1562" t="inlineStr">
        <is>
          <t>Supply Cuts</t>
        </is>
      </c>
    </row>
    <row r="1563">
      <c r="A1563" t="inlineStr">
        <is>
          <t>Kylie Makeup</t>
        </is>
      </c>
      <c r="B1563" t="inlineStr">
        <is>
          <t>Lips (01245)</t>
        </is>
      </c>
      <c r="C1563" t="inlineStr">
        <is>
          <t>Kylie Matte Lip Kit (00006094)</t>
        </is>
      </c>
      <c r="D1563" s="1" t="n">
        <v>4064941008699</v>
      </c>
      <c r="E1563" t="inlineStr">
        <is>
          <t>KJ MU M LIQ K SET NWMDIN703 DOLCE K 23IV</t>
        </is>
      </c>
      <c r="F1563" t="inlineStr">
        <is>
          <t>P_US_ULTA</t>
        </is>
      </c>
      <c r="G1563" t="inlineStr">
        <is>
          <t>Month-2026.M09.W38</t>
        </is>
      </c>
      <c r="H1563" t="inlineStr">
        <is>
          <t>Consensus - Final LY M</t>
        </is>
      </c>
      <c r="I1563" t="n">
        <v>235</v>
      </c>
      <c r="J1563" t="n">
        <v>2690</v>
      </c>
      <c r="K1563" t="n">
        <v>1377</v>
      </c>
      <c r="L1563" t="n">
        <v>2968</v>
      </c>
      <c r="M1563" t="n">
        <v>2631</v>
      </c>
      <c r="N1563" t="n">
        <v>1405</v>
      </c>
      <c r="O1563" t="n">
        <v>3611</v>
      </c>
      <c r="P1563" t="n">
        <v>1876</v>
      </c>
      <c r="Q1563" t="n">
        <v>728</v>
      </c>
      <c r="R1563" t="n">
        <v>592</v>
      </c>
      <c r="S1563" t="n">
        <v>1389</v>
      </c>
      <c r="T1563" t="n">
        <v>801</v>
      </c>
    </row>
    <row r="1564">
      <c r="A1564" t="inlineStr">
        <is>
          <t>Kylie Makeup</t>
        </is>
      </c>
      <c r="B1564" t="inlineStr">
        <is>
          <t>Lips (01245)</t>
        </is>
      </c>
      <c r="C1564" t="inlineStr">
        <is>
          <t>Kylie Matte Lip Kit (00006094)</t>
        </is>
      </c>
      <c r="D1564" s="1" t="n">
        <v>4064941008699</v>
      </c>
      <c r="E1564" t="inlineStr">
        <is>
          <t>KJ MU M LIQ K SET NWMDIN703 DOLCE K 23IV</t>
        </is>
      </c>
      <c r="F1564" t="inlineStr">
        <is>
          <t>P_US_ULTA</t>
        </is>
      </c>
      <c r="G1564" t="inlineStr">
        <is>
          <t>Month-2026.M09.W38</t>
        </is>
      </c>
      <c r="H1564" t="inlineStr">
        <is>
          <t>System FC - Final</t>
        </is>
      </c>
      <c r="I1564" t="n">
        <v>3191</v>
      </c>
      <c r="J1564" t="n">
        <v>1687</v>
      </c>
      <c r="K1564" t="n">
        <v>2104</v>
      </c>
      <c r="L1564" t="n">
        <v>2112</v>
      </c>
      <c r="M1564" t="n">
        <v>1672</v>
      </c>
      <c r="N1564" t="n">
        <v>2138</v>
      </c>
      <c r="O1564" t="n">
        <v>2595</v>
      </c>
      <c r="P1564" t="n">
        <v>2716</v>
      </c>
      <c r="Q1564" t="n">
        <v>2153</v>
      </c>
      <c r="R1564" t="n">
        <v>1568</v>
      </c>
      <c r="S1564" t="n">
        <v>2351</v>
      </c>
      <c r="T1564" t="n">
        <v>1894</v>
      </c>
    </row>
    <row r="1565">
      <c r="A1565" t="inlineStr">
        <is>
          <t>Kylie Makeup</t>
        </is>
      </c>
      <c r="B1565" t="inlineStr">
        <is>
          <t>Lips (01245)</t>
        </is>
      </c>
      <c r="C1565" t="inlineStr">
        <is>
          <t>Kylie Matte Lip Kit (00006094)</t>
        </is>
      </c>
      <c r="D1565" s="1" t="n">
        <v>4064941008699</v>
      </c>
      <c r="E1565" t="inlineStr">
        <is>
          <t>KJ MU M LIQ K SET NWMDIN703 DOLCE K 23IV</t>
        </is>
      </c>
      <c r="F1565" t="inlineStr">
        <is>
          <t>P_US_ULTA</t>
        </is>
      </c>
      <c r="G1565" t="inlineStr">
        <is>
          <t>Month-2026.M09.W38</t>
        </is>
      </c>
      <c r="H1565" t="inlineStr">
        <is>
          <t>EPOS</t>
        </is>
      </c>
      <c r="I1565" t="n">
        <v>909</v>
      </c>
    </row>
    <row r="1566">
      <c r="A1566" t="inlineStr">
        <is>
          <t>Kylie Makeup</t>
        </is>
      </c>
      <c r="B1566" t="inlineStr">
        <is>
          <t>Lips (01245)</t>
        </is>
      </c>
      <c r="C1566" t="inlineStr">
        <is>
          <t>Kylie Matte Lip Kit (00006094)</t>
        </is>
      </c>
      <c r="D1566" s="1" t="n">
        <v>4064941008699</v>
      </c>
      <c r="E1566" t="inlineStr">
        <is>
          <t>KJ MU M LIQ K SET NWMDIN703 DOLCE K 23IV</t>
        </is>
      </c>
      <c r="F1566" t="inlineStr">
        <is>
          <t>P_US_ULTA</t>
        </is>
      </c>
      <c r="G1566" t="inlineStr">
        <is>
          <t>Month-2026.M09.W38</t>
        </is>
      </c>
      <c r="H1566" t="inlineStr">
        <is>
          <t>Reasonability Adjustment</t>
        </is>
      </c>
      <c r="R1566" t="n">
        <v>-956</v>
      </c>
      <c r="S1566" t="n">
        <v>-951</v>
      </c>
      <c r="T1566" t="n">
        <v>-1094</v>
      </c>
    </row>
    <row r="1567">
      <c r="A1567" t="inlineStr">
        <is>
          <t>Kylie Makeup</t>
        </is>
      </c>
      <c r="B1567" t="inlineStr">
        <is>
          <t>Lips (01245)</t>
        </is>
      </c>
      <c r="C1567" t="inlineStr">
        <is>
          <t>Kylie Matte Lip Kit (00006094)</t>
        </is>
      </c>
      <c r="D1567" s="1" t="n">
        <v>4064941008699</v>
      </c>
      <c r="E1567" t="inlineStr">
        <is>
          <t>KJ MU M LIQ K SET NWMDIN703 DOLCE K 23IV</t>
        </is>
      </c>
      <c r="F1567" t="inlineStr">
        <is>
          <t>P_US_ULTA</t>
        </is>
      </c>
      <c r="G1567" t="inlineStr">
        <is>
          <t>Month-2026.M09.W38</t>
        </is>
      </c>
      <c r="H1567" t="inlineStr">
        <is>
          <t>Total Demand Assumption</t>
        </is>
      </c>
    </row>
    <row r="1568">
      <c r="A1568" t="inlineStr">
        <is>
          <t>Kylie Makeup</t>
        </is>
      </c>
      <c r="B1568" t="inlineStr">
        <is>
          <t>Lips (01245)</t>
        </is>
      </c>
      <c r="C1568" t="inlineStr">
        <is>
          <t>Kylie Matte Lip Kit (00006094)</t>
        </is>
      </c>
      <c r="D1568" s="1" t="n">
        <v>4064941008699</v>
      </c>
      <c r="E1568" t="inlineStr">
        <is>
          <t>KJ MU M LIQ K SET NWMDIN703 DOLCE K 23IV</t>
        </is>
      </c>
      <c r="F1568" t="inlineStr">
        <is>
          <t>P_US_ULTA</t>
        </is>
      </c>
      <c r="G1568" t="inlineStr">
        <is>
          <t>Month-2026.M09.W38</t>
        </is>
      </c>
      <c r="H1568" t="inlineStr">
        <is>
          <t>Consensus - Final</t>
        </is>
      </c>
      <c r="I1568" t="n">
        <v>3191</v>
      </c>
      <c r="J1568" t="n">
        <v>1687</v>
      </c>
      <c r="K1568" t="n">
        <v>1956</v>
      </c>
      <c r="L1568" t="n">
        <v>2112</v>
      </c>
      <c r="M1568" t="n">
        <v>1672</v>
      </c>
      <c r="N1568" t="n">
        <v>2138</v>
      </c>
      <c r="O1568" t="n">
        <v>2595</v>
      </c>
      <c r="P1568" t="n">
        <v>2716</v>
      </c>
      <c r="Q1568" t="n">
        <v>2153</v>
      </c>
      <c r="R1568" t="n">
        <v>612</v>
      </c>
      <c r="S1568" t="n">
        <v>1400</v>
      </c>
      <c r="T1568" t="n">
        <v>800</v>
      </c>
    </row>
    <row r="1569">
      <c r="A1569" t="inlineStr">
        <is>
          <t>Kylie Makeup</t>
        </is>
      </c>
      <c r="B1569" t="inlineStr">
        <is>
          <t>Lips (01245)</t>
        </is>
      </c>
      <c r="C1569" t="inlineStr">
        <is>
          <t>Kylie Matte Lip Kit (00006094)</t>
        </is>
      </c>
      <c r="D1569" s="1" t="n">
        <v>4064941008699</v>
      </c>
      <c r="E1569" t="inlineStr">
        <is>
          <t>KJ MU M LIQ K SET NWMDIN703 DOLCE K 23IV</t>
        </is>
      </c>
      <c r="F1569" t="inlineStr">
        <is>
          <t>P_US_ULTA</t>
        </is>
      </c>
      <c r="G1569" t="inlineStr">
        <is>
          <t>Month-2026.M09.W38</t>
        </is>
      </c>
      <c r="H1569" t="inlineStr">
        <is>
          <t>Supply Cuts</t>
        </is>
      </c>
    </row>
    <row r="1570">
      <c r="A1570" t="inlineStr">
        <is>
          <t>Kylie Makeup</t>
        </is>
      </c>
      <c r="B1570" t="inlineStr">
        <is>
          <t>Face (01243)</t>
        </is>
      </c>
      <c r="C1570" t="inlineStr">
        <is>
          <t>Kylie Loose Powder (00006129)</t>
        </is>
      </c>
      <c r="D1570" s="1" t="n">
        <v>4064941033608</v>
      </c>
      <c r="E1570" t="inlineStr">
        <is>
          <t>KJ MU LSE PWD LOSPWD 5G 100 TRNSL VP IV</t>
        </is>
      </c>
      <c r="F1570" t="inlineStr">
        <is>
          <t>P_US_ALL_OTHERS</t>
        </is>
      </c>
      <c r="G1570" t="inlineStr">
        <is>
          <t>CurrentWorkingView</t>
        </is>
      </c>
      <c r="H1570" t="inlineStr">
        <is>
          <t>Consensus - Final LY M</t>
        </is>
      </c>
      <c r="I1570" t="n">
        <v>178</v>
      </c>
      <c r="J1570" t="n">
        <v>123</v>
      </c>
      <c r="K1570" t="n">
        <v>183</v>
      </c>
      <c r="L1570" t="n">
        <v>83</v>
      </c>
      <c r="M1570" t="n">
        <v>149</v>
      </c>
      <c r="N1570" t="n">
        <v>155</v>
      </c>
      <c r="O1570" t="n">
        <v>125</v>
      </c>
      <c r="P1570" t="n">
        <v>291</v>
      </c>
      <c r="Q1570" t="n">
        <v>87</v>
      </c>
      <c r="R1570" t="n">
        <v>157</v>
      </c>
      <c r="S1570" t="n">
        <v>138</v>
      </c>
      <c r="T1570" t="n">
        <v>51</v>
      </c>
    </row>
    <row r="1571">
      <c r="A1571" t="inlineStr">
        <is>
          <t>Kylie Makeup</t>
        </is>
      </c>
      <c r="B1571" t="inlineStr">
        <is>
          <t>Face (01243)</t>
        </is>
      </c>
      <c r="C1571" t="inlineStr">
        <is>
          <t>Kylie Loose Powder (00006129)</t>
        </is>
      </c>
      <c r="D1571" s="1" t="n">
        <v>4064941033608</v>
      </c>
      <c r="E1571" t="inlineStr">
        <is>
          <t>KJ MU LSE PWD LOSPWD 5G 100 TRNSL VP IV</t>
        </is>
      </c>
      <c r="F1571" t="inlineStr">
        <is>
          <t>P_US_ALL_OTHERS</t>
        </is>
      </c>
      <c r="G1571" t="inlineStr">
        <is>
          <t>CurrentWorkingView</t>
        </is>
      </c>
      <c r="H1571" t="inlineStr">
        <is>
          <t>System FC - Final</t>
        </is>
      </c>
      <c r="I1571" t="n">
        <v>110</v>
      </c>
      <c r="J1571" t="n">
        <v>209</v>
      </c>
      <c r="K1571" t="n">
        <v>97</v>
      </c>
      <c r="L1571" t="n">
        <v>177</v>
      </c>
      <c r="M1571" t="n">
        <v>133</v>
      </c>
      <c r="N1571" t="n">
        <v>101</v>
      </c>
      <c r="O1571" t="n">
        <v>40</v>
      </c>
      <c r="P1571" t="n">
        <v>40</v>
      </c>
      <c r="Q1571" t="n">
        <v>49</v>
      </c>
      <c r="R1571" t="n">
        <v>40</v>
      </c>
      <c r="S1571" t="n">
        <v>80</v>
      </c>
      <c r="T1571" t="n">
        <v>78</v>
      </c>
    </row>
    <row r="1572">
      <c r="A1572" t="inlineStr">
        <is>
          <t>Kylie Makeup</t>
        </is>
      </c>
      <c r="B1572" t="inlineStr">
        <is>
          <t>Face (01243)</t>
        </is>
      </c>
      <c r="C1572" t="inlineStr">
        <is>
          <t>Kylie Loose Powder (00006129)</t>
        </is>
      </c>
      <c r="D1572" s="1" t="n">
        <v>4064941033608</v>
      </c>
      <c r="E1572" t="inlineStr">
        <is>
          <t>KJ MU LSE PWD LOSPWD 5G 100 TRNSL VP IV</t>
        </is>
      </c>
      <c r="F1572" t="inlineStr">
        <is>
          <t>P_US_ALL_OTHERS</t>
        </is>
      </c>
      <c r="G1572" t="inlineStr">
        <is>
          <t>CurrentWorkingView</t>
        </is>
      </c>
      <c r="H1572" t="inlineStr">
        <is>
          <t>EPOS</t>
        </is>
      </c>
      <c r="I1572" t="n">
        <v>88</v>
      </c>
    </row>
    <row r="1573">
      <c r="A1573" t="inlineStr">
        <is>
          <t>Kylie Makeup</t>
        </is>
      </c>
      <c r="B1573" t="inlineStr">
        <is>
          <t>Face (01243)</t>
        </is>
      </c>
      <c r="C1573" t="inlineStr">
        <is>
          <t>Kylie Loose Powder (00006129)</t>
        </is>
      </c>
      <c r="D1573" s="1" t="n">
        <v>4064941033608</v>
      </c>
      <c r="E1573" t="inlineStr">
        <is>
          <t>KJ MU LSE PWD LOSPWD 5G 100 TRNSL VP IV</t>
        </is>
      </c>
      <c r="F1573" t="inlineStr">
        <is>
          <t>P_US_ALL_OTHERS</t>
        </is>
      </c>
      <c r="G1573" t="inlineStr">
        <is>
          <t>CurrentWorkingView</t>
        </is>
      </c>
      <c r="H1573" t="inlineStr">
        <is>
          <t>Reasonability Adjustment</t>
        </is>
      </c>
    </row>
    <row r="1574">
      <c r="A1574" t="inlineStr">
        <is>
          <t>Kylie Makeup</t>
        </is>
      </c>
      <c r="B1574" t="inlineStr">
        <is>
          <t>Face (01243)</t>
        </is>
      </c>
      <c r="C1574" t="inlineStr">
        <is>
          <t>Kylie Loose Powder (00006129)</t>
        </is>
      </c>
      <c r="D1574" s="1" t="n">
        <v>4064941033608</v>
      </c>
      <c r="E1574" t="inlineStr">
        <is>
          <t>KJ MU LSE PWD LOSPWD 5G 100 TRNSL VP IV</t>
        </is>
      </c>
      <c r="F1574" t="inlineStr">
        <is>
          <t>P_US_ALL_OTHERS</t>
        </is>
      </c>
      <c r="G1574" t="inlineStr">
        <is>
          <t>CurrentWorkingView</t>
        </is>
      </c>
      <c r="H1574" t="inlineStr">
        <is>
          <t>Total Demand Assumption</t>
        </is>
      </c>
    </row>
    <row r="1575">
      <c r="A1575" t="inlineStr">
        <is>
          <t>Kylie Makeup</t>
        </is>
      </c>
      <c r="B1575" t="inlineStr">
        <is>
          <t>Face (01243)</t>
        </is>
      </c>
      <c r="C1575" t="inlineStr">
        <is>
          <t>Kylie Loose Powder (00006129)</t>
        </is>
      </c>
      <c r="D1575" s="1" t="n">
        <v>4064941033608</v>
      </c>
      <c r="E1575" t="inlineStr">
        <is>
          <t>KJ MU LSE PWD LOSPWD 5G 100 TRNSL VP IV</t>
        </is>
      </c>
      <c r="F1575" t="inlineStr">
        <is>
          <t>P_US_ALL_OTHERS</t>
        </is>
      </c>
      <c r="G1575" t="inlineStr">
        <is>
          <t>CurrentWorkingView</t>
        </is>
      </c>
      <c r="H1575" t="inlineStr">
        <is>
          <t>Consensus - Final</t>
        </is>
      </c>
      <c r="I1575" t="n">
        <v>110</v>
      </c>
      <c r="J1575" t="n">
        <v>209</v>
      </c>
      <c r="K1575" t="n">
        <v>99.1700680272108</v>
      </c>
      <c r="L1575" t="n">
        <v>177</v>
      </c>
      <c r="M1575" t="n">
        <v>133</v>
      </c>
      <c r="N1575" t="n">
        <v>101</v>
      </c>
      <c r="O1575" t="n">
        <v>40</v>
      </c>
      <c r="P1575" t="n">
        <v>40</v>
      </c>
      <c r="Q1575" t="n">
        <v>49</v>
      </c>
      <c r="R1575" t="n">
        <v>40</v>
      </c>
      <c r="S1575" t="n">
        <v>80</v>
      </c>
      <c r="T1575" t="n">
        <v>78</v>
      </c>
    </row>
    <row r="1576">
      <c r="A1576" t="inlineStr">
        <is>
          <t>Kylie Makeup</t>
        </is>
      </c>
      <c r="B1576" t="inlineStr">
        <is>
          <t>Face (01243)</t>
        </is>
      </c>
      <c r="C1576" t="inlineStr">
        <is>
          <t>Kylie Loose Powder (00006129)</t>
        </is>
      </c>
      <c r="D1576" s="1" t="n">
        <v>4064941033608</v>
      </c>
      <c r="E1576" t="inlineStr">
        <is>
          <t>KJ MU LSE PWD LOSPWD 5G 100 TRNSL VP IV</t>
        </is>
      </c>
      <c r="F1576" t="inlineStr">
        <is>
          <t>P_US_ALL_OTHERS</t>
        </is>
      </c>
      <c r="G1576" t="inlineStr">
        <is>
          <t>CurrentWorkingView</t>
        </is>
      </c>
      <c r="H1576" t="inlineStr">
        <is>
          <t>Supply Cuts</t>
        </is>
      </c>
    </row>
    <row r="1577">
      <c r="A1577" t="inlineStr">
        <is>
          <t>Kylie Makeup</t>
        </is>
      </c>
      <c r="B1577" t="inlineStr">
        <is>
          <t>Face (01243)</t>
        </is>
      </c>
      <c r="C1577" t="inlineStr">
        <is>
          <t>Kylie Loose Powder (00006129)</t>
        </is>
      </c>
      <c r="D1577" s="1" t="n">
        <v>4064941033608</v>
      </c>
      <c r="E1577" t="inlineStr">
        <is>
          <t>KJ MU LSE PWD LOSPWD 5G 100 TRNSL VP IV</t>
        </is>
      </c>
      <c r="F1577" t="inlineStr">
        <is>
          <t>P_US_ALL_OTHERS</t>
        </is>
      </c>
      <c r="G1577" t="inlineStr">
        <is>
          <t>Month-2026.M09.W38</t>
        </is>
      </c>
      <c r="H1577" t="inlineStr">
        <is>
          <t>Consensus - Final LY M</t>
        </is>
      </c>
      <c r="I1577" t="n">
        <v>178</v>
      </c>
      <c r="J1577" t="n">
        <v>123</v>
      </c>
      <c r="K1577" t="n">
        <v>183</v>
      </c>
      <c r="L1577" t="n">
        <v>83</v>
      </c>
      <c r="M1577" t="n">
        <v>149</v>
      </c>
      <c r="N1577" t="n">
        <v>155</v>
      </c>
      <c r="O1577" t="n">
        <v>125</v>
      </c>
      <c r="P1577" t="n">
        <v>291</v>
      </c>
      <c r="Q1577" t="n">
        <v>87</v>
      </c>
      <c r="R1577" t="n">
        <v>157</v>
      </c>
      <c r="S1577" t="n">
        <v>138</v>
      </c>
      <c r="T1577" t="n">
        <v>51</v>
      </c>
    </row>
    <row r="1578">
      <c r="A1578" t="inlineStr">
        <is>
          <t>Kylie Makeup</t>
        </is>
      </c>
      <c r="B1578" t="inlineStr">
        <is>
          <t>Face (01243)</t>
        </is>
      </c>
      <c r="C1578" t="inlineStr">
        <is>
          <t>Kylie Loose Powder (00006129)</t>
        </is>
      </c>
      <c r="D1578" s="1" t="n">
        <v>4064941033608</v>
      </c>
      <c r="E1578" t="inlineStr">
        <is>
          <t>KJ MU LSE PWD LOSPWD 5G 100 TRNSL VP IV</t>
        </is>
      </c>
      <c r="F1578" t="inlineStr">
        <is>
          <t>P_US_ALL_OTHERS</t>
        </is>
      </c>
      <c r="G1578" t="inlineStr">
        <is>
          <t>Month-2026.M09.W38</t>
        </is>
      </c>
      <c r="H1578" t="inlineStr">
        <is>
          <t>System FC - Final</t>
        </is>
      </c>
      <c r="I1578" t="n">
        <v>110</v>
      </c>
      <c r="J1578" t="n">
        <v>209</v>
      </c>
      <c r="K1578" t="n">
        <v>114</v>
      </c>
      <c r="L1578" t="n">
        <v>120</v>
      </c>
      <c r="M1578" t="n">
        <v>98</v>
      </c>
      <c r="N1578" t="n">
        <v>67</v>
      </c>
      <c r="O1578" t="n">
        <v>40</v>
      </c>
      <c r="P1578" t="n">
        <v>40</v>
      </c>
      <c r="Q1578" t="n">
        <v>40</v>
      </c>
      <c r="R1578" t="n">
        <v>55</v>
      </c>
      <c r="S1578" t="n">
        <v>62</v>
      </c>
      <c r="T1578" t="n">
        <v>68</v>
      </c>
    </row>
    <row r="1579">
      <c r="A1579" t="inlineStr">
        <is>
          <t>Kylie Makeup</t>
        </is>
      </c>
      <c r="B1579" t="inlineStr">
        <is>
          <t>Face (01243)</t>
        </is>
      </c>
      <c r="C1579" t="inlineStr">
        <is>
          <t>Kylie Loose Powder (00006129)</t>
        </is>
      </c>
      <c r="D1579" s="1" t="n">
        <v>4064941033608</v>
      </c>
      <c r="E1579" t="inlineStr">
        <is>
          <t>KJ MU LSE PWD LOSPWD 5G 100 TRNSL VP IV</t>
        </is>
      </c>
      <c r="F1579" t="inlineStr">
        <is>
          <t>P_US_ALL_OTHERS</t>
        </is>
      </c>
      <c r="G1579" t="inlineStr">
        <is>
          <t>Month-2026.M09.W38</t>
        </is>
      </c>
      <c r="H1579" t="inlineStr">
        <is>
          <t>EPOS</t>
        </is>
      </c>
      <c r="I1579" t="n">
        <v>88</v>
      </c>
    </row>
    <row r="1580">
      <c r="A1580" t="inlineStr">
        <is>
          <t>Kylie Makeup</t>
        </is>
      </c>
      <c r="B1580" t="inlineStr">
        <is>
          <t>Face (01243)</t>
        </is>
      </c>
      <c r="C1580" t="inlineStr">
        <is>
          <t>Kylie Loose Powder (00006129)</t>
        </is>
      </c>
      <c r="D1580" s="1" t="n">
        <v>4064941033608</v>
      </c>
      <c r="E1580" t="inlineStr">
        <is>
          <t>KJ MU LSE PWD LOSPWD 5G 100 TRNSL VP IV</t>
        </is>
      </c>
      <c r="F1580" t="inlineStr">
        <is>
          <t>P_US_ALL_OTHERS</t>
        </is>
      </c>
      <c r="G1580" t="inlineStr">
        <is>
          <t>Month-2026.M09.W38</t>
        </is>
      </c>
      <c r="H1580" t="inlineStr">
        <is>
          <t>Reasonability Adjustment</t>
        </is>
      </c>
    </row>
    <row r="1581">
      <c r="A1581" t="inlineStr">
        <is>
          <t>Kylie Makeup</t>
        </is>
      </c>
      <c r="B1581" t="inlineStr">
        <is>
          <t>Face (01243)</t>
        </is>
      </c>
      <c r="C1581" t="inlineStr">
        <is>
          <t>Kylie Loose Powder (00006129)</t>
        </is>
      </c>
      <c r="D1581" s="1" t="n">
        <v>4064941033608</v>
      </c>
      <c r="E1581" t="inlineStr">
        <is>
          <t>KJ MU LSE PWD LOSPWD 5G 100 TRNSL VP IV</t>
        </is>
      </c>
      <c r="F1581" t="inlineStr">
        <is>
          <t>P_US_ALL_OTHERS</t>
        </is>
      </c>
      <c r="G1581" t="inlineStr">
        <is>
          <t>Month-2026.M09.W38</t>
        </is>
      </c>
      <c r="H1581" t="inlineStr">
        <is>
          <t>Total Demand Assumption</t>
        </is>
      </c>
    </row>
    <row r="1582">
      <c r="A1582" t="inlineStr">
        <is>
          <t>Kylie Makeup</t>
        </is>
      </c>
      <c r="B1582" t="inlineStr">
        <is>
          <t>Face (01243)</t>
        </is>
      </c>
      <c r="C1582" t="inlineStr">
        <is>
          <t>Kylie Loose Powder (00006129)</t>
        </is>
      </c>
      <c r="D1582" s="1" t="n">
        <v>4064941033608</v>
      </c>
      <c r="E1582" t="inlineStr">
        <is>
          <t>KJ MU LSE PWD LOSPWD 5G 100 TRNSL VP IV</t>
        </is>
      </c>
      <c r="F1582" t="inlineStr">
        <is>
          <t>P_US_ALL_OTHERS</t>
        </is>
      </c>
      <c r="G1582" t="inlineStr">
        <is>
          <t>Month-2026.M09.W38</t>
        </is>
      </c>
      <c r="H1582" t="inlineStr">
        <is>
          <t>Consensus - Final</t>
        </is>
      </c>
      <c r="I1582" t="n">
        <v>110</v>
      </c>
      <c r="J1582" t="n">
        <v>209</v>
      </c>
      <c r="K1582" t="n">
        <v>99.1700680272108</v>
      </c>
      <c r="L1582" t="n">
        <v>120</v>
      </c>
      <c r="M1582" t="n">
        <v>98</v>
      </c>
      <c r="N1582" t="n">
        <v>67</v>
      </c>
      <c r="O1582" t="n">
        <v>40</v>
      </c>
      <c r="P1582" t="n">
        <v>40</v>
      </c>
      <c r="Q1582" t="n">
        <v>40</v>
      </c>
      <c r="R1582" t="n">
        <v>55</v>
      </c>
      <c r="S1582" t="n">
        <v>62</v>
      </c>
      <c r="T1582" t="n">
        <v>68</v>
      </c>
    </row>
    <row r="1583">
      <c r="A1583" t="inlineStr">
        <is>
          <t>Kylie Makeup</t>
        </is>
      </c>
      <c r="B1583" t="inlineStr">
        <is>
          <t>Face (01243)</t>
        </is>
      </c>
      <c r="C1583" t="inlineStr">
        <is>
          <t>Kylie Loose Powder (00006129)</t>
        </is>
      </c>
      <c r="D1583" s="1" t="n">
        <v>4064941033608</v>
      </c>
      <c r="E1583" t="inlineStr">
        <is>
          <t>KJ MU LSE PWD LOSPWD 5G 100 TRNSL VP IV</t>
        </is>
      </c>
      <c r="F1583" t="inlineStr">
        <is>
          <t>P_US_ALL_OTHERS</t>
        </is>
      </c>
      <c r="G1583" t="inlineStr">
        <is>
          <t>Month-2026.M09.W38</t>
        </is>
      </c>
      <c r="H1583" t="inlineStr">
        <is>
          <t>Supply Cuts</t>
        </is>
      </c>
    </row>
    <row r="1584">
      <c r="A1584" t="inlineStr">
        <is>
          <t>Kylie Makeup</t>
        </is>
      </c>
      <c r="B1584" t="inlineStr">
        <is>
          <t>Face (01243)</t>
        </is>
      </c>
      <c r="C1584" t="inlineStr">
        <is>
          <t>Kylie Loose Powder (00006129)</t>
        </is>
      </c>
      <c r="D1584" s="1" t="n">
        <v>4064941033608</v>
      </c>
      <c r="E1584" t="inlineStr">
        <is>
          <t>KJ MU LSE PWD LOSPWD 5G 100 TRNSL VP IV</t>
        </is>
      </c>
      <c r="F1584" t="inlineStr">
        <is>
          <t>P_US_FG</t>
        </is>
      </c>
      <c r="G1584" t="inlineStr">
        <is>
          <t>CurrentWorkingView</t>
        </is>
      </c>
      <c r="H1584" t="inlineStr">
        <is>
          <t>Consensus - Final LY M</t>
        </is>
      </c>
      <c r="Q1584" t="n">
        <v>27</v>
      </c>
    </row>
    <row r="1585">
      <c r="A1585" t="inlineStr">
        <is>
          <t>Kylie Makeup</t>
        </is>
      </c>
      <c r="B1585" t="inlineStr">
        <is>
          <t>Face (01243)</t>
        </is>
      </c>
      <c r="C1585" t="inlineStr">
        <is>
          <t>Kylie Loose Powder (00006129)</t>
        </is>
      </c>
      <c r="D1585" s="1" t="n">
        <v>4064941033608</v>
      </c>
      <c r="E1585" t="inlineStr">
        <is>
          <t>KJ MU LSE PWD LOSPWD 5G 100 TRNSL VP IV</t>
        </is>
      </c>
      <c r="F1585" t="inlineStr">
        <is>
          <t>P_US_FG</t>
        </is>
      </c>
      <c r="G1585" t="inlineStr">
        <is>
          <t>CurrentWorkingView</t>
        </is>
      </c>
      <c r="H1585" t="inlineStr">
        <is>
          <t>System FC - Final</t>
        </is>
      </c>
      <c r="J1585" t="n">
        <v>1</v>
      </c>
      <c r="K1585" t="n">
        <v>119</v>
      </c>
      <c r="L1585" t="n">
        <v>13</v>
      </c>
      <c r="M1585" t="n">
        <v>27</v>
      </c>
      <c r="N1585" t="n">
        <v>4</v>
      </c>
      <c r="O1585" t="n">
        <v>0</v>
      </c>
      <c r="P1585" t="n">
        <v>0</v>
      </c>
      <c r="Q1585" t="n">
        <v>27</v>
      </c>
      <c r="R1585" t="n">
        <v>0</v>
      </c>
      <c r="S1585" t="n">
        <v>0</v>
      </c>
      <c r="T1585" t="n">
        <v>0</v>
      </c>
    </row>
    <row r="1586">
      <c r="A1586" t="inlineStr">
        <is>
          <t>Kylie Makeup</t>
        </is>
      </c>
      <c r="B1586" t="inlineStr">
        <is>
          <t>Face (01243)</t>
        </is>
      </c>
      <c r="C1586" t="inlineStr">
        <is>
          <t>Kylie Loose Powder (00006129)</t>
        </is>
      </c>
      <c r="D1586" s="1" t="n">
        <v>4064941033608</v>
      </c>
      <c r="E1586" t="inlineStr">
        <is>
          <t>KJ MU LSE PWD LOSPWD 5G 100 TRNSL VP IV</t>
        </is>
      </c>
      <c r="F1586" t="inlineStr">
        <is>
          <t>P_US_FG</t>
        </is>
      </c>
      <c r="G1586" t="inlineStr">
        <is>
          <t>CurrentWorkingView</t>
        </is>
      </c>
      <c r="H1586" t="inlineStr">
        <is>
          <t>EPOS</t>
        </is>
      </c>
    </row>
    <row r="1587">
      <c r="A1587" t="inlineStr">
        <is>
          <t>Kylie Makeup</t>
        </is>
      </c>
      <c r="B1587" t="inlineStr">
        <is>
          <t>Face (01243)</t>
        </is>
      </c>
      <c r="C1587" t="inlineStr">
        <is>
          <t>Kylie Loose Powder (00006129)</t>
        </is>
      </c>
      <c r="D1587" s="1" t="n">
        <v>4064941033608</v>
      </c>
      <c r="E1587" t="inlineStr">
        <is>
          <t>KJ MU LSE PWD LOSPWD 5G 100 TRNSL VP IV</t>
        </is>
      </c>
      <c r="F1587" t="inlineStr">
        <is>
          <t>P_US_FG</t>
        </is>
      </c>
      <c r="G1587" t="inlineStr">
        <is>
          <t>CurrentWorkingView</t>
        </is>
      </c>
      <c r="H1587" t="inlineStr">
        <is>
          <t>Reasonability Adjustment</t>
        </is>
      </c>
    </row>
    <row r="1588">
      <c r="A1588" t="inlineStr">
        <is>
          <t>Kylie Makeup</t>
        </is>
      </c>
      <c r="B1588" t="inlineStr">
        <is>
          <t>Face (01243)</t>
        </is>
      </c>
      <c r="C1588" t="inlineStr">
        <is>
          <t>Kylie Loose Powder (00006129)</t>
        </is>
      </c>
      <c r="D1588" s="1" t="n">
        <v>4064941033608</v>
      </c>
      <c r="E1588" t="inlineStr">
        <is>
          <t>KJ MU LSE PWD LOSPWD 5G 100 TRNSL VP IV</t>
        </is>
      </c>
      <c r="F1588" t="inlineStr">
        <is>
          <t>P_US_FG</t>
        </is>
      </c>
      <c r="G1588" t="inlineStr">
        <is>
          <t>CurrentWorkingView</t>
        </is>
      </c>
      <c r="H1588" t="inlineStr">
        <is>
          <t>Total Demand Assumption</t>
        </is>
      </c>
    </row>
    <row r="1589">
      <c r="A1589" t="inlineStr">
        <is>
          <t>Kylie Makeup</t>
        </is>
      </c>
      <c r="B1589" t="inlineStr">
        <is>
          <t>Face (01243)</t>
        </is>
      </c>
      <c r="C1589" t="inlineStr">
        <is>
          <t>Kylie Loose Powder (00006129)</t>
        </is>
      </c>
      <c r="D1589" s="1" t="n">
        <v>4064941033608</v>
      </c>
      <c r="E1589" t="inlineStr">
        <is>
          <t>KJ MU LSE PWD LOSPWD 5G 100 TRNSL VP IV</t>
        </is>
      </c>
      <c r="F1589" t="inlineStr">
        <is>
          <t>P_US_FG</t>
        </is>
      </c>
      <c r="G1589" t="inlineStr">
        <is>
          <t>CurrentWorkingView</t>
        </is>
      </c>
      <c r="H1589" t="inlineStr">
        <is>
          <t>Consensus - Final</t>
        </is>
      </c>
      <c r="J1589" t="n">
        <v>1</v>
      </c>
      <c r="K1589" t="n">
        <v>0</v>
      </c>
    </row>
    <row r="1590">
      <c r="A1590" t="inlineStr">
        <is>
          <t>Kylie Makeup</t>
        </is>
      </c>
      <c r="B1590" t="inlineStr">
        <is>
          <t>Face (01243)</t>
        </is>
      </c>
      <c r="C1590" t="inlineStr">
        <is>
          <t>Kylie Loose Powder (00006129)</t>
        </is>
      </c>
      <c r="D1590" s="1" t="n">
        <v>4064941033608</v>
      </c>
      <c r="E1590" t="inlineStr">
        <is>
          <t>KJ MU LSE PWD LOSPWD 5G 100 TRNSL VP IV</t>
        </is>
      </c>
      <c r="F1590" t="inlineStr">
        <is>
          <t>P_US_FG</t>
        </is>
      </c>
      <c r="G1590" t="inlineStr">
        <is>
          <t>CurrentWorkingView</t>
        </is>
      </c>
      <c r="H1590" t="inlineStr">
        <is>
          <t>Supply Cuts</t>
        </is>
      </c>
    </row>
    <row r="1591">
      <c r="A1591" t="inlineStr">
        <is>
          <t>Kylie Makeup</t>
        </is>
      </c>
      <c r="B1591" t="inlineStr">
        <is>
          <t>Face (01243)</t>
        </is>
      </c>
      <c r="C1591" t="inlineStr">
        <is>
          <t>Kylie Loose Powder (00006129)</t>
        </is>
      </c>
      <c r="D1591" s="1" t="n">
        <v>4064941033608</v>
      </c>
      <c r="E1591" t="inlineStr">
        <is>
          <t>KJ MU LSE PWD LOSPWD 5G 100 TRNSL VP IV</t>
        </is>
      </c>
      <c r="F1591" t="inlineStr">
        <is>
          <t>P_US_FG</t>
        </is>
      </c>
      <c r="G1591" t="inlineStr">
        <is>
          <t>Month-2026.M09.W38</t>
        </is>
      </c>
      <c r="H1591" t="inlineStr">
        <is>
          <t>Consensus - Final LY M</t>
        </is>
      </c>
      <c r="Q1591" t="n">
        <v>27</v>
      </c>
    </row>
    <row r="1592">
      <c r="A1592" t="inlineStr">
        <is>
          <t>Kylie Makeup</t>
        </is>
      </c>
      <c r="B1592" t="inlineStr">
        <is>
          <t>Face (01243)</t>
        </is>
      </c>
      <c r="C1592" t="inlineStr">
        <is>
          <t>Kylie Loose Powder (00006129)</t>
        </is>
      </c>
      <c r="D1592" s="1" t="n">
        <v>4064941033608</v>
      </c>
      <c r="E1592" t="inlineStr">
        <is>
          <t>KJ MU LSE PWD LOSPWD 5G 100 TRNSL VP IV</t>
        </is>
      </c>
      <c r="F1592" t="inlineStr">
        <is>
          <t>P_US_FG</t>
        </is>
      </c>
      <c r="G1592" t="inlineStr">
        <is>
          <t>Month-2026.M09.W38</t>
        </is>
      </c>
      <c r="H1592" t="inlineStr">
        <is>
          <t>System FC - Final</t>
        </is>
      </c>
      <c r="J1592" t="n">
        <v>1</v>
      </c>
      <c r="K1592" t="n">
        <v>175</v>
      </c>
      <c r="L1592" t="n">
        <v>13</v>
      </c>
      <c r="M1592" t="n">
        <v>26</v>
      </c>
      <c r="N1592" t="n">
        <v>4</v>
      </c>
      <c r="O1592" t="n">
        <v>0</v>
      </c>
      <c r="P1592" t="n">
        <v>0</v>
      </c>
      <c r="Q1592" t="n">
        <v>27</v>
      </c>
      <c r="R1592" t="n">
        <v>0</v>
      </c>
      <c r="S1592" t="n">
        <v>0</v>
      </c>
      <c r="T1592" t="n">
        <v>13</v>
      </c>
    </row>
    <row r="1593">
      <c r="A1593" t="inlineStr">
        <is>
          <t>Kylie Makeup</t>
        </is>
      </c>
      <c r="B1593" t="inlineStr">
        <is>
          <t>Face (01243)</t>
        </is>
      </c>
      <c r="C1593" t="inlineStr">
        <is>
          <t>Kylie Loose Powder (00006129)</t>
        </is>
      </c>
      <c r="D1593" s="1" t="n">
        <v>4064941033608</v>
      </c>
      <c r="E1593" t="inlineStr">
        <is>
          <t>KJ MU LSE PWD LOSPWD 5G 100 TRNSL VP IV</t>
        </is>
      </c>
      <c r="F1593" t="inlineStr">
        <is>
          <t>P_US_FG</t>
        </is>
      </c>
      <c r="G1593" t="inlineStr">
        <is>
          <t>Month-2026.M09.W38</t>
        </is>
      </c>
      <c r="H1593" t="inlineStr">
        <is>
          <t>EPOS</t>
        </is>
      </c>
    </row>
    <row r="1594">
      <c r="A1594" t="inlineStr">
        <is>
          <t>Kylie Makeup</t>
        </is>
      </c>
      <c r="B1594" t="inlineStr">
        <is>
          <t>Face (01243)</t>
        </is>
      </c>
      <c r="C1594" t="inlineStr">
        <is>
          <t>Kylie Loose Powder (00006129)</t>
        </is>
      </c>
      <c r="D1594" s="1" t="n">
        <v>4064941033608</v>
      </c>
      <c r="E1594" t="inlineStr">
        <is>
          <t>KJ MU LSE PWD LOSPWD 5G 100 TRNSL VP IV</t>
        </is>
      </c>
      <c r="F1594" t="inlineStr">
        <is>
          <t>P_US_FG</t>
        </is>
      </c>
      <c r="G1594" t="inlineStr">
        <is>
          <t>Month-2026.M09.W38</t>
        </is>
      </c>
      <c r="H1594" t="inlineStr">
        <is>
          <t>Reasonability Adjustment</t>
        </is>
      </c>
    </row>
    <row r="1595">
      <c r="A1595" t="inlineStr">
        <is>
          <t>Kylie Makeup</t>
        </is>
      </c>
      <c r="B1595" t="inlineStr">
        <is>
          <t>Face (01243)</t>
        </is>
      </c>
      <c r="C1595" t="inlineStr">
        <is>
          <t>Kylie Loose Powder (00006129)</t>
        </is>
      </c>
      <c r="D1595" s="1" t="n">
        <v>4064941033608</v>
      </c>
      <c r="E1595" t="inlineStr">
        <is>
          <t>KJ MU LSE PWD LOSPWD 5G 100 TRNSL VP IV</t>
        </is>
      </c>
      <c r="F1595" t="inlineStr">
        <is>
          <t>P_US_FG</t>
        </is>
      </c>
      <c r="G1595" t="inlineStr">
        <is>
          <t>Month-2026.M09.W38</t>
        </is>
      </c>
      <c r="H1595" t="inlineStr">
        <is>
          <t>Total Demand Assumption</t>
        </is>
      </c>
    </row>
    <row r="1596">
      <c r="A1596" t="inlineStr">
        <is>
          <t>Kylie Makeup</t>
        </is>
      </c>
      <c r="B1596" t="inlineStr">
        <is>
          <t>Face (01243)</t>
        </is>
      </c>
      <c r="C1596" t="inlineStr">
        <is>
          <t>Kylie Loose Powder (00006129)</t>
        </is>
      </c>
      <c r="D1596" s="1" t="n">
        <v>4064941033608</v>
      </c>
      <c r="E1596" t="inlineStr">
        <is>
          <t>KJ MU LSE PWD LOSPWD 5G 100 TRNSL VP IV</t>
        </is>
      </c>
      <c r="F1596" t="inlineStr">
        <is>
          <t>P_US_FG</t>
        </is>
      </c>
      <c r="G1596" t="inlineStr">
        <is>
          <t>Month-2026.M09.W38</t>
        </is>
      </c>
      <c r="H1596" t="inlineStr">
        <is>
          <t>Consensus - Final</t>
        </is>
      </c>
      <c r="J1596" t="n">
        <v>1</v>
      </c>
      <c r="K1596" t="n">
        <v>0</v>
      </c>
    </row>
    <row r="1597">
      <c r="A1597" t="inlineStr">
        <is>
          <t>Kylie Makeup</t>
        </is>
      </c>
      <c r="B1597" t="inlineStr">
        <is>
          <t>Face (01243)</t>
        </is>
      </c>
      <c r="C1597" t="inlineStr">
        <is>
          <t>Kylie Loose Powder (00006129)</t>
        </is>
      </c>
      <c r="D1597" s="1" t="n">
        <v>4064941033608</v>
      </c>
      <c r="E1597" t="inlineStr">
        <is>
          <t>KJ MU LSE PWD LOSPWD 5G 100 TRNSL VP IV</t>
        </is>
      </c>
      <c r="F1597" t="inlineStr">
        <is>
          <t>P_US_FG</t>
        </is>
      </c>
      <c r="G1597" t="inlineStr">
        <is>
          <t>Month-2026.M09.W38</t>
        </is>
      </c>
      <c r="H1597" t="inlineStr">
        <is>
          <t>Supply Cuts</t>
        </is>
      </c>
    </row>
    <row r="1598">
      <c r="A1598" t="inlineStr">
        <is>
          <t>Kylie Makeup</t>
        </is>
      </c>
      <c r="B1598" t="inlineStr">
        <is>
          <t>Face (01243)</t>
        </is>
      </c>
      <c r="C1598" t="inlineStr">
        <is>
          <t>Kylie Loose Powder (00006129)</t>
        </is>
      </c>
      <c r="D1598" s="1" t="n">
        <v>4064941033608</v>
      </c>
      <c r="E1598" t="inlineStr">
        <is>
          <t>KJ MU LSE PWD LOSPWD 5G 100 TRNSL VP IV</t>
        </is>
      </c>
      <c r="F1598" t="inlineStr">
        <is>
          <t>P_US_ULTA</t>
        </is>
      </c>
      <c r="G1598" t="inlineStr">
        <is>
          <t>CurrentWorkingView</t>
        </is>
      </c>
      <c r="H1598" t="inlineStr">
        <is>
          <t>Consensus - Final LY M</t>
        </is>
      </c>
      <c r="I1598" t="n">
        <v>2986</v>
      </c>
      <c r="J1598" t="n">
        <v>724</v>
      </c>
      <c r="K1598" t="n">
        <v>1683</v>
      </c>
      <c r="L1598" t="n">
        <v>1866</v>
      </c>
      <c r="M1598" t="n">
        <v>1000</v>
      </c>
      <c r="N1598" t="n">
        <v>1857</v>
      </c>
      <c r="O1598" t="n">
        <v>566</v>
      </c>
      <c r="P1598" t="n">
        <v>724</v>
      </c>
      <c r="Q1598" t="n">
        <v>1648</v>
      </c>
      <c r="R1598" t="n">
        <v>1469</v>
      </c>
      <c r="S1598" t="n">
        <v>1697</v>
      </c>
      <c r="T1598" t="n">
        <v>1483</v>
      </c>
    </row>
    <row r="1599">
      <c r="A1599" t="inlineStr">
        <is>
          <t>Kylie Makeup</t>
        </is>
      </c>
      <c r="B1599" t="inlineStr">
        <is>
          <t>Face (01243)</t>
        </is>
      </c>
      <c r="C1599" t="inlineStr">
        <is>
          <t>Kylie Loose Powder (00006129)</t>
        </is>
      </c>
      <c r="D1599" s="1" t="n">
        <v>4064941033608</v>
      </c>
      <c r="E1599" t="inlineStr">
        <is>
          <t>KJ MU LSE PWD LOSPWD 5G 100 TRNSL VP IV</t>
        </is>
      </c>
      <c r="F1599" t="inlineStr">
        <is>
          <t>P_US_ULTA</t>
        </is>
      </c>
      <c r="G1599" t="inlineStr">
        <is>
          <t>CurrentWorkingView</t>
        </is>
      </c>
      <c r="H1599" t="inlineStr">
        <is>
          <t>System FC - Final</t>
        </is>
      </c>
      <c r="I1599" t="n">
        <v>1246</v>
      </c>
      <c r="J1599" t="n">
        <v>1516</v>
      </c>
      <c r="K1599" t="n">
        <v>1801</v>
      </c>
      <c r="L1599" t="n">
        <v>1410</v>
      </c>
      <c r="M1599" t="n">
        <v>952</v>
      </c>
      <c r="N1599" t="n">
        <v>908</v>
      </c>
      <c r="O1599" t="n">
        <v>1049</v>
      </c>
      <c r="P1599" t="n">
        <v>1832</v>
      </c>
      <c r="Q1599" t="n">
        <v>2259</v>
      </c>
      <c r="R1599" t="n">
        <v>1162</v>
      </c>
      <c r="S1599" t="n">
        <v>2223</v>
      </c>
      <c r="T1599" t="n">
        <v>1427</v>
      </c>
    </row>
    <row r="1600">
      <c r="A1600" t="inlineStr">
        <is>
          <t>Kylie Makeup</t>
        </is>
      </c>
      <c r="B1600" t="inlineStr">
        <is>
          <t>Face (01243)</t>
        </is>
      </c>
      <c r="C1600" t="inlineStr">
        <is>
          <t>Kylie Loose Powder (00006129)</t>
        </is>
      </c>
      <c r="D1600" s="1" t="n">
        <v>4064941033608</v>
      </c>
      <c r="E1600" t="inlineStr">
        <is>
          <t>KJ MU LSE PWD LOSPWD 5G 100 TRNSL VP IV</t>
        </is>
      </c>
      <c r="F1600" t="inlineStr">
        <is>
          <t>P_US_ULTA</t>
        </is>
      </c>
      <c r="G1600" t="inlineStr">
        <is>
          <t>CurrentWorkingView</t>
        </is>
      </c>
      <c r="H1600" t="inlineStr">
        <is>
          <t>EPOS</t>
        </is>
      </c>
      <c r="I1600" t="n">
        <v>1111</v>
      </c>
    </row>
    <row r="1601">
      <c r="A1601" t="inlineStr">
        <is>
          <t>Kylie Makeup</t>
        </is>
      </c>
      <c r="B1601" t="inlineStr">
        <is>
          <t>Face (01243)</t>
        </is>
      </c>
      <c r="C1601" t="inlineStr">
        <is>
          <t>Kylie Loose Powder (00006129)</t>
        </is>
      </c>
      <c r="D1601" s="1" t="n">
        <v>4064941033608</v>
      </c>
      <c r="E1601" t="inlineStr">
        <is>
          <t>KJ MU LSE PWD LOSPWD 5G 100 TRNSL VP IV</t>
        </is>
      </c>
      <c r="F1601" t="inlineStr">
        <is>
          <t>P_US_ULTA</t>
        </is>
      </c>
      <c r="G1601" t="inlineStr">
        <is>
          <t>CurrentWorkingView</t>
        </is>
      </c>
      <c r="H1601" t="inlineStr">
        <is>
          <t>Reasonability Adjustment</t>
        </is>
      </c>
    </row>
    <row r="1602">
      <c r="A1602" t="inlineStr">
        <is>
          <t>Kylie Makeup</t>
        </is>
      </c>
      <c r="B1602" t="inlineStr">
        <is>
          <t>Face (01243)</t>
        </is>
      </c>
      <c r="C1602" t="inlineStr">
        <is>
          <t>Kylie Loose Powder (00006129)</t>
        </is>
      </c>
      <c r="D1602" s="1" t="n">
        <v>4064941033608</v>
      </c>
      <c r="E1602" t="inlineStr">
        <is>
          <t>KJ MU LSE PWD LOSPWD 5G 100 TRNSL VP IV</t>
        </is>
      </c>
      <c r="F1602" t="inlineStr">
        <is>
          <t>P_US_ULTA</t>
        </is>
      </c>
      <c r="G1602" t="inlineStr">
        <is>
          <t>CurrentWorkingView</t>
        </is>
      </c>
      <c r="H1602" t="inlineStr">
        <is>
          <t>Total Demand Assumption</t>
        </is>
      </c>
    </row>
    <row r="1603">
      <c r="A1603" t="inlineStr">
        <is>
          <t>Kylie Makeup</t>
        </is>
      </c>
      <c r="B1603" t="inlineStr">
        <is>
          <t>Face (01243)</t>
        </is>
      </c>
      <c r="C1603" t="inlineStr">
        <is>
          <t>Kylie Loose Powder (00006129)</t>
        </is>
      </c>
      <c r="D1603" s="1" t="n">
        <v>4064941033608</v>
      </c>
      <c r="E1603" t="inlineStr">
        <is>
          <t>KJ MU LSE PWD LOSPWD 5G 100 TRNSL VP IV</t>
        </is>
      </c>
      <c r="F1603" t="inlineStr">
        <is>
          <t>P_US_ULTA</t>
        </is>
      </c>
      <c r="G1603" t="inlineStr">
        <is>
          <t>CurrentWorkingView</t>
        </is>
      </c>
      <c r="H1603" t="inlineStr">
        <is>
          <t>Consensus - Final</t>
        </is>
      </c>
      <c r="I1603" t="n">
        <v>1246</v>
      </c>
      <c r="J1603" t="n">
        <v>1516</v>
      </c>
      <c r="K1603" t="n">
        <v>1836.82993197278</v>
      </c>
      <c r="L1603" t="n">
        <v>1410</v>
      </c>
      <c r="M1603" t="n">
        <v>952</v>
      </c>
      <c r="N1603" t="n">
        <v>908</v>
      </c>
      <c r="O1603" t="n">
        <v>1049</v>
      </c>
      <c r="P1603" t="n">
        <v>1832</v>
      </c>
      <c r="Q1603" t="n">
        <v>2259</v>
      </c>
      <c r="R1603" t="n">
        <v>1162</v>
      </c>
      <c r="S1603" t="n">
        <v>2223</v>
      </c>
      <c r="T1603" t="n">
        <v>1427</v>
      </c>
    </row>
    <row r="1604">
      <c r="A1604" t="inlineStr">
        <is>
          <t>Kylie Makeup</t>
        </is>
      </c>
      <c r="B1604" t="inlineStr">
        <is>
          <t>Face (01243)</t>
        </is>
      </c>
      <c r="C1604" t="inlineStr">
        <is>
          <t>Kylie Loose Powder (00006129)</t>
        </is>
      </c>
      <c r="D1604" s="1" t="n">
        <v>4064941033608</v>
      </c>
      <c r="E1604" t="inlineStr">
        <is>
          <t>KJ MU LSE PWD LOSPWD 5G 100 TRNSL VP IV</t>
        </is>
      </c>
      <c r="F1604" t="inlineStr">
        <is>
          <t>P_US_ULTA</t>
        </is>
      </c>
      <c r="G1604" t="inlineStr">
        <is>
          <t>CurrentWorkingView</t>
        </is>
      </c>
      <c r="H1604" t="inlineStr">
        <is>
          <t>Supply Cuts</t>
        </is>
      </c>
    </row>
    <row r="1605">
      <c r="A1605" t="inlineStr">
        <is>
          <t>Kylie Makeup</t>
        </is>
      </c>
      <c r="B1605" t="inlineStr">
        <is>
          <t>Face (01243)</t>
        </is>
      </c>
      <c r="C1605" t="inlineStr">
        <is>
          <t>Kylie Loose Powder (00006129)</t>
        </is>
      </c>
      <c r="D1605" s="1" t="n">
        <v>4064941033608</v>
      </c>
      <c r="E1605" t="inlineStr">
        <is>
          <t>KJ MU LSE PWD LOSPWD 5G 100 TRNSL VP IV</t>
        </is>
      </c>
      <c r="F1605" t="inlineStr">
        <is>
          <t>P_US_ULTA</t>
        </is>
      </c>
      <c r="G1605" t="inlineStr">
        <is>
          <t>Month-2026.M09.W38</t>
        </is>
      </c>
      <c r="H1605" t="inlineStr">
        <is>
          <t>Consensus - Final LY M</t>
        </is>
      </c>
      <c r="I1605" t="n">
        <v>2986</v>
      </c>
      <c r="J1605" t="n">
        <v>724</v>
      </c>
      <c r="K1605" t="n">
        <v>1683</v>
      </c>
      <c r="L1605" t="n">
        <v>1866</v>
      </c>
      <c r="M1605" t="n">
        <v>1000</v>
      </c>
      <c r="N1605" t="n">
        <v>1857</v>
      </c>
      <c r="O1605" t="n">
        <v>566</v>
      </c>
      <c r="P1605" t="n">
        <v>724</v>
      </c>
      <c r="Q1605" t="n">
        <v>1648</v>
      </c>
      <c r="R1605" t="n">
        <v>1469</v>
      </c>
      <c r="S1605" t="n">
        <v>1697</v>
      </c>
      <c r="T1605" t="n">
        <v>1483</v>
      </c>
    </row>
    <row r="1606">
      <c r="A1606" t="inlineStr">
        <is>
          <t>Kylie Makeup</t>
        </is>
      </c>
      <c r="B1606" t="inlineStr">
        <is>
          <t>Face (01243)</t>
        </is>
      </c>
      <c r="C1606" t="inlineStr">
        <is>
          <t>Kylie Loose Powder (00006129)</t>
        </is>
      </c>
      <c r="D1606" s="1" t="n">
        <v>4064941033608</v>
      </c>
      <c r="E1606" t="inlineStr">
        <is>
          <t>KJ MU LSE PWD LOSPWD 5G 100 TRNSL VP IV</t>
        </is>
      </c>
      <c r="F1606" t="inlineStr">
        <is>
          <t>P_US_ULTA</t>
        </is>
      </c>
      <c r="G1606" t="inlineStr">
        <is>
          <t>Month-2026.M09.W38</t>
        </is>
      </c>
      <c r="H1606" t="inlineStr">
        <is>
          <t>System FC - Final</t>
        </is>
      </c>
      <c r="I1606" t="n">
        <v>1246</v>
      </c>
      <c r="J1606" t="n">
        <v>1516</v>
      </c>
      <c r="K1606" t="n">
        <v>1963</v>
      </c>
      <c r="L1606" t="n">
        <v>1212</v>
      </c>
      <c r="M1606" t="n">
        <v>1950</v>
      </c>
      <c r="N1606" t="n">
        <v>1714</v>
      </c>
      <c r="O1606" t="n">
        <v>1426</v>
      </c>
      <c r="P1606" t="n">
        <v>1096</v>
      </c>
      <c r="Q1606" t="n">
        <v>1182</v>
      </c>
      <c r="R1606" t="n">
        <v>385</v>
      </c>
      <c r="S1606" t="n">
        <v>1461</v>
      </c>
      <c r="T1606" t="n">
        <v>411</v>
      </c>
    </row>
    <row r="1607">
      <c r="A1607" t="inlineStr">
        <is>
          <t>Kylie Makeup</t>
        </is>
      </c>
      <c r="B1607" t="inlineStr">
        <is>
          <t>Face (01243)</t>
        </is>
      </c>
      <c r="C1607" t="inlineStr">
        <is>
          <t>Kylie Loose Powder (00006129)</t>
        </is>
      </c>
      <c r="D1607" s="1" t="n">
        <v>4064941033608</v>
      </c>
      <c r="E1607" t="inlineStr">
        <is>
          <t>KJ MU LSE PWD LOSPWD 5G 100 TRNSL VP IV</t>
        </is>
      </c>
      <c r="F1607" t="inlineStr">
        <is>
          <t>P_US_ULTA</t>
        </is>
      </c>
      <c r="G1607" t="inlineStr">
        <is>
          <t>Month-2026.M09.W38</t>
        </is>
      </c>
      <c r="H1607" t="inlineStr">
        <is>
          <t>EPOS</t>
        </is>
      </c>
      <c r="I1607" t="n">
        <v>1111</v>
      </c>
    </row>
    <row r="1608">
      <c r="A1608" t="inlineStr">
        <is>
          <t>Kylie Makeup</t>
        </is>
      </c>
      <c r="B1608" t="inlineStr">
        <is>
          <t>Face (01243)</t>
        </is>
      </c>
      <c r="C1608" t="inlineStr">
        <is>
          <t>Kylie Loose Powder (00006129)</t>
        </is>
      </c>
      <c r="D1608" s="1" t="n">
        <v>4064941033608</v>
      </c>
      <c r="E1608" t="inlineStr">
        <is>
          <t>KJ MU LSE PWD LOSPWD 5G 100 TRNSL VP IV</t>
        </is>
      </c>
      <c r="F1608" t="inlineStr">
        <is>
          <t>P_US_ULTA</t>
        </is>
      </c>
      <c r="G1608" t="inlineStr">
        <is>
          <t>Month-2026.M09.W38</t>
        </is>
      </c>
      <c r="H1608" t="inlineStr">
        <is>
          <t>Reasonability Adjustment</t>
        </is>
      </c>
    </row>
    <row r="1609">
      <c r="A1609" t="inlineStr">
        <is>
          <t>Kylie Makeup</t>
        </is>
      </c>
      <c r="B1609" t="inlineStr">
        <is>
          <t>Face (01243)</t>
        </is>
      </c>
      <c r="C1609" t="inlineStr">
        <is>
          <t>Kylie Loose Powder (00006129)</t>
        </is>
      </c>
      <c r="D1609" s="1" t="n">
        <v>4064941033608</v>
      </c>
      <c r="E1609" t="inlineStr">
        <is>
          <t>KJ MU LSE PWD LOSPWD 5G 100 TRNSL VP IV</t>
        </is>
      </c>
      <c r="F1609" t="inlineStr">
        <is>
          <t>P_US_ULTA</t>
        </is>
      </c>
      <c r="G1609" t="inlineStr">
        <is>
          <t>Month-2026.M09.W38</t>
        </is>
      </c>
      <c r="H1609" t="inlineStr">
        <is>
          <t>Total Demand Assumption</t>
        </is>
      </c>
    </row>
    <row r="1610">
      <c r="A1610" t="inlineStr">
        <is>
          <t>Kylie Makeup</t>
        </is>
      </c>
      <c r="B1610" t="inlineStr">
        <is>
          <t>Face (01243)</t>
        </is>
      </c>
      <c r="C1610" t="inlineStr">
        <is>
          <t>Kylie Loose Powder (00006129)</t>
        </is>
      </c>
      <c r="D1610" s="1" t="n">
        <v>4064941033608</v>
      </c>
      <c r="E1610" t="inlineStr">
        <is>
          <t>KJ MU LSE PWD LOSPWD 5G 100 TRNSL VP IV</t>
        </is>
      </c>
      <c r="F1610" t="inlineStr">
        <is>
          <t>P_US_ULTA</t>
        </is>
      </c>
      <c r="G1610" t="inlineStr">
        <is>
          <t>Month-2026.M09.W38</t>
        </is>
      </c>
      <c r="H1610" t="inlineStr">
        <is>
          <t>Consensus - Final</t>
        </is>
      </c>
      <c r="I1610" t="n">
        <v>1246</v>
      </c>
      <c r="J1610" t="n">
        <v>1516</v>
      </c>
      <c r="K1610" t="n">
        <v>1836.82993197278</v>
      </c>
      <c r="L1610" t="n">
        <v>1212</v>
      </c>
      <c r="M1610" t="n">
        <v>1950</v>
      </c>
      <c r="N1610" t="n">
        <v>1714</v>
      </c>
      <c r="O1610" t="n">
        <v>1426</v>
      </c>
      <c r="P1610" t="n">
        <v>1096</v>
      </c>
      <c r="Q1610" t="n">
        <v>1182</v>
      </c>
      <c r="R1610" t="n">
        <v>385</v>
      </c>
      <c r="S1610" t="n">
        <v>1461</v>
      </c>
      <c r="T1610" t="n">
        <v>411</v>
      </c>
    </row>
    <row r="1611">
      <c r="A1611" t="inlineStr">
        <is>
          <t>Kylie Makeup</t>
        </is>
      </c>
      <c r="B1611" t="inlineStr">
        <is>
          <t>Face (01243)</t>
        </is>
      </c>
      <c r="C1611" t="inlineStr">
        <is>
          <t>Kylie Loose Powder (00006129)</t>
        </is>
      </c>
      <c r="D1611" s="1" t="n">
        <v>4064941033608</v>
      </c>
      <c r="E1611" t="inlineStr">
        <is>
          <t>KJ MU LSE PWD LOSPWD 5G 100 TRNSL VP IV</t>
        </is>
      </c>
      <c r="F1611" t="inlineStr">
        <is>
          <t>P_US_ULTA</t>
        </is>
      </c>
      <c r="G1611" t="inlineStr">
        <is>
          <t>Month-2026.M09.W38</t>
        </is>
      </c>
      <c r="H1611" t="inlineStr">
        <is>
          <t>Supply Cuts</t>
        </is>
      </c>
    </row>
    <row r="1612">
      <c r="A1612" t="inlineStr">
        <is>
          <t>Kylie Makeup</t>
        </is>
      </c>
      <c r="B1612" t="inlineStr">
        <is>
          <t>Lips (01245)</t>
        </is>
      </c>
      <c r="C1612" t="inlineStr">
        <is>
          <t>Kylie Plumping Gloss (00006105)</t>
        </is>
      </c>
      <c r="D1612" s="1" t="n">
        <v>4064941078074</v>
      </c>
      <c r="E1612" t="inlineStr">
        <is>
          <t>KJ MU PLMP GLS LG3.22ml 110MOQ PLUMPG IV</t>
        </is>
      </c>
      <c r="F1612" t="inlineStr">
        <is>
          <t>P_US_FG</t>
        </is>
      </c>
      <c r="G1612" t="inlineStr">
        <is>
          <t>CurrentWorkingView</t>
        </is>
      </c>
      <c r="H1612" t="inlineStr">
        <is>
          <t>Consensus - Final LY M</t>
        </is>
      </c>
      <c r="Q1612" t="n">
        <v>26</v>
      </c>
    </row>
    <row r="1613">
      <c r="A1613" t="inlineStr">
        <is>
          <t>Kylie Makeup</t>
        </is>
      </c>
      <c r="B1613" t="inlineStr">
        <is>
          <t>Lips (01245)</t>
        </is>
      </c>
      <c r="C1613" t="inlineStr">
        <is>
          <t>Kylie Plumping Gloss (00006105)</t>
        </is>
      </c>
      <c r="D1613" s="1" t="n">
        <v>4064941078074</v>
      </c>
      <c r="E1613" t="inlineStr">
        <is>
          <t>KJ MU PLMP GLS LG3.22ml 110MOQ PLUMPG IV</t>
        </is>
      </c>
      <c r="F1613" t="inlineStr">
        <is>
          <t>P_US_FG</t>
        </is>
      </c>
      <c r="G1613" t="inlineStr">
        <is>
          <t>CurrentWorkingView</t>
        </is>
      </c>
      <c r="H1613" t="inlineStr">
        <is>
          <t>System FC - Final</t>
        </is>
      </c>
      <c r="K1613" t="n">
        <v>4</v>
      </c>
      <c r="L1613" t="n">
        <v>4</v>
      </c>
      <c r="M1613" t="n">
        <v>0</v>
      </c>
      <c r="N1613" t="n">
        <v>4</v>
      </c>
      <c r="O1613" t="n">
        <v>0</v>
      </c>
      <c r="P1613" t="n">
        <v>0</v>
      </c>
      <c r="Q1613" t="n">
        <v>13</v>
      </c>
      <c r="R1613" t="n">
        <v>4</v>
      </c>
      <c r="S1613" t="n">
        <v>0</v>
      </c>
      <c r="T1613" t="n">
        <v>0</v>
      </c>
    </row>
    <row r="1614">
      <c r="A1614" t="inlineStr">
        <is>
          <t>Kylie Makeup</t>
        </is>
      </c>
      <c r="B1614" t="inlineStr">
        <is>
          <t>Lips (01245)</t>
        </is>
      </c>
      <c r="C1614" t="inlineStr">
        <is>
          <t>Kylie Plumping Gloss (00006105)</t>
        </is>
      </c>
      <c r="D1614" s="1" t="n">
        <v>4064941078074</v>
      </c>
      <c r="E1614" t="inlineStr">
        <is>
          <t>KJ MU PLMP GLS LG3.22ml 110MOQ PLUMPG IV</t>
        </is>
      </c>
      <c r="F1614" t="inlineStr">
        <is>
          <t>P_US_FG</t>
        </is>
      </c>
      <c r="G1614" t="inlineStr">
        <is>
          <t>CurrentWorkingView</t>
        </is>
      </c>
      <c r="H1614" t="inlineStr">
        <is>
          <t>EPOS</t>
        </is>
      </c>
    </row>
    <row r="1615">
      <c r="A1615" t="inlineStr">
        <is>
          <t>Kylie Makeup</t>
        </is>
      </c>
      <c r="B1615" t="inlineStr">
        <is>
          <t>Lips (01245)</t>
        </is>
      </c>
      <c r="C1615" t="inlineStr">
        <is>
          <t>Kylie Plumping Gloss (00006105)</t>
        </is>
      </c>
      <c r="D1615" s="1" t="n">
        <v>4064941078074</v>
      </c>
      <c r="E1615" t="inlineStr">
        <is>
          <t>KJ MU PLMP GLS LG3.22ml 110MOQ PLUMPG IV</t>
        </is>
      </c>
      <c r="F1615" t="inlineStr">
        <is>
          <t>P_US_FG</t>
        </is>
      </c>
      <c r="G1615" t="inlineStr">
        <is>
          <t>CurrentWorkingView</t>
        </is>
      </c>
      <c r="H1615" t="inlineStr">
        <is>
          <t>Reasonability Adjustment</t>
        </is>
      </c>
    </row>
    <row r="1616">
      <c r="A1616" t="inlineStr">
        <is>
          <t>Kylie Makeup</t>
        </is>
      </c>
      <c r="B1616" t="inlineStr">
        <is>
          <t>Lips (01245)</t>
        </is>
      </c>
      <c r="C1616" t="inlineStr">
        <is>
          <t>Kylie Plumping Gloss (00006105)</t>
        </is>
      </c>
      <c r="D1616" s="1" t="n">
        <v>4064941078074</v>
      </c>
      <c r="E1616" t="inlineStr">
        <is>
          <t>KJ MU PLMP GLS LG3.22ml 110MOQ PLUMPG IV</t>
        </is>
      </c>
      <c r="F1616" t="inlineStr">
        <is>
          <t>P_US_FG</t>
        </is>
      </c>
      <c r="G1616" t="inlineStr">
        <is>
          <t>CurrentWorkingView</t>
        </is>
      </c>
      <c r="H1616" t="inlineStr">
        <is>
          <t>Total Demand Assumption</t>
        </is>
      </c>
    </row>
    <row r="1617">
      <c r="A1617" t="inlineStr">
        <is>
          <t>Kylie Makeup</t>
        </is>
      </c>
      <c r="B1617" t="inlineStr">
        <is>
          <t>Lips (01245)</t>
        </is>
      </c>
      <c r="C1617" t="inlineStr">
        <is>
          <t>Kylie Plumping Gloss (00006105)</t>
        </is>
      </c>
      <c r="D1617" s="1" t="n">
        <v>4064941078074</v>
      </c>
      <c r="E1617" t="inlineStr">
        <is>
          <t>KJ MU PLMP GLS LG3.22ml 110MOQ PLUMPG IV</t>
        </is>
      </c>
      <c r="F1617" t="inlineStr">
        <is>
          <t>P_US_FG</t>
        </is>
      </c>
      <c r="G1617" t="inlineStr">
        <is>
          <t>CurrentWorkingView</t>
        </is>
      </c>
      <c r="H1617" t="inlineStr">
        <is>
          <t>Consensus - Final</t>
        </is>
      </c>
      <c r="K1617" t="n">
        <v>0</v>
      </c>
    </row>
    <row r="1618">
      <c r="A1618" t="inlineStr">
        <is>
          <t>Kylie Makeup</t>
        </is>
      </c>
      <c r="B1618" t="inlineStr">
        <is>
          <t>Lips (01245)</t>
        </is>
      </c>
      <c r="C1618" t="inlineStr">
        <is>
          <t>Kylie Plumping Gloss (00006105)</t>
        </is>
      </c>
      <c r="D1618" s="1" t="n">
        <v>4064941078074</v>
      </c>
      <c r="E1618" t="inlineStr">
        <is>
          <t>KJ MU PLMP GLS LG3.22ml 110MOQ PLUMPG IV</t>
        </is>
      </c>
      <c r="F1618" t="inlineStr">
        <is>
          <t>P_US_FG</t>
        </is>
      </c>
      <c r="G1618" t="inlineStr">
        <is>
          <t>CurrentWorkingView</t>
        </is>
      </c>
      <c r="H1618" t="inlineStr">
        <is>
          <t>Supply Cuts</t>
        </is>
      </c>
    </row>
    <row r="1619">
      <c r="A1619" t="inlineStr">
        <is>
          <t>Kylie Makeup</t>
        </is>
      </c>
      <c r="B1619" t="inlineStr">
        <is>
          <t>Lips (01245)</t>
        </is>
      </c>
      <c r="C1619" t="inlineStr">
        <is>
          <t>Kylie Plumping Gloss (00006105)</t>
        </is>
      </c>
      <c r="D1619" s="1" t="n">
        <v>4064941078074</v>
      </c>
      <c r="E1619" t="inlineStr">
        <is>
          <t>KJ MU PLMP GLS LG3.22ml 110MOQ PLUMPG IV</t>
        </is>
      </c>
      <c r="F1619" t="inlineStr">
        <is>
          <t>P_US_FG</t>
        </is>
      </c>
      <c r="G1619" t="inlineStr">
        <is>
          <t>Month-2026.M09.W38</t>
        </is>
      </c>
      <c r="H1619" t="inlineStr">
        <is>
          <t>Consensus - Final LY M</t>
        </is>
      </c>
      <c r="Q1619" t="n">
        <v>26</v>
      </c>
    </row>
    <row r="1620">
      <c r="A1620" t="inlineStr">
        <is>
          <t>Kylie Makeup</t>
        </is>
      </c>
      <c r="B1620" t="inlineStr">
        <is>
          <t>Lips (01245)</t>
        </is>
      </c>
      <c r="C1620" t="inlineStr">
        <is>
          <t>Kylie Plumping Gloss (00006105)</t>
        </is>
      </c>
      <c r="D1620" s="1" t="n">
        <v>4064941078074</v>
      </c>
      <c r="E1620" t="inlineStr">
        <is>
          <t>KJ MU PLMP GLS LG3.22ml 110MOQ PLUMPG IV</t>
        </is>
      </c>
      <c r="F1620" t="inlineStr">
        <is>
          <t>P_US_FG</t>
        </is>
      </c>
      <c r="G1620" t="inlineStr">
        <is>
          <t>Month-2026.M09.W38</t>
        </is>
      </c>
      <c r="H1620" t="inlineStr">
        <is>
          <t>System FC - Final</t>
        </is>
      </c>
      <c r="K1620" t="n">
        <v>6</v>
      </c>
      <c r="L1620" t="n">
        <v>4</v>
      </c>
      <c r="M1620" t="n">
        <v>0</v>
      </c>
      <c r="N1620" t="n">
        <v>4</v>
      </c>
      <c r="O1620" t="n">
        <v>0</v>
      </c>
      <c r="P1620" t="n">
        <v>0</v>
      </c>
      <c r="Q1620" t="n">
        <v>13</v>
      </c>
      <c r="R1620" t="n">
        <v>4</v>
      </c>
      <c r="S1620" t="n">
        <v>0</v>
      </c>
      <c r="T1620" t="n">
        <v>1</v>
      </c>
    </row>
    <row r="1621">
      <c r="A1621" t="inlineStr">
        <is>
          <t>Kylie Makeup</t>
        </is>
      </c>
      <c r="B1621" t="inlineStr">
        <is>
          <t>Lips (01245)</t>
        </is>
      </c>
      <c r="C1621" t="inlineStr">
        <is>
          <t>Kylie Plumping Gloss (00006105)</t>
        </is>
      </c>
      <c r="D1621" s="1" t="n">
        <v>4064941078074</v>
      </c>
      <c r="E1621" t="inlineStr">
        <is>
          <t>KJ MU PLMP GLS LG3.22ml 110MOQ PLUMPG IV</t>
        </is>
      </c>
      <c r="F1621" t="inlineStr">
        <is>
          <t>P_US_FG</t>
        </is>
      </c>
      <c r="G1621" t="inlineStr">
        <is>
          <t>Month-2026.M09.W38</t>
        </is>
      </c>
      <c r="H1621" t="inlineStr">
        <is>
          <t>EPOS</t>
        </is>
      </c>
    </row>
    <row r="1622">
      <c r="A1622" t="inlineStr">
        <is>
          <t>Kylie Makeup</t>
        </is>
      </c>
      <c r="B1622" t="inlineStr">
        <is>
          <t>Lips (01245)</t>
        </is>
      </c>
      <c r="C1622" t="inlineStr">
        <is>
          <t>Kylie Plumping Gloss (00006105)</t>
        </is>
      </c>
      <c r="D1622" s="1" t="n">
        <v>4064941078074</v>
      </c>
      <c r="E1622" t="inlineStr">
        <is>
          <t>KJ MU PLMP GLS LG3.22ml 110MOQ PLUMPG IV</t>
        </is>
      </c>
      <c r="F1622" t="inlineStr">
        <is>
          <t>P_US_FG</t>
        </is>
      </c>
      <c r="G1622" t="inlineStr">
        <is>
          <t>Month-2026.M09.W38</t>
        </is>
      </c>
      <c r="H1622" t="inlineStr">
        <is>
          <t>Reasonability Adjustment</t>
        </is>
      </c>
    </row>
    <row r="1623">
      <c r="A1623" t="inlineStr">
        <is>
          <t>Kylie Makeup</t>
        </is>
      </c>
      <c r="B1623" t="inlineStr">
        <is>
          <t>Lips (01245)</t>
        </is>
      </c>
      <c r="C1623" t="inlineStr">
        <is>
          <t>Kylie Plumping Gloss (00006105)</t>
        </is>
      </c>
      <c r="D1623" s="1" t="n">
        <v>4064941078074</v>
      </c>
      <c r="E1623" t="inlineStr">
        <is>
          <t>KJ MU PLMP GLS LG3.22ml 110MOQ PLUMPG IV</t>
        </is>
      </c>
      <c r="F1623" t="inlineStr">
        <is>
          <t>P_US_FG</t>
        </is>
      </c>
      <c r="G1623" t="inlineStr">
        <is>
          <t>Month-2026.M09.W38</t>
        </is>
      </c>
      <c r="H1623" t="inlineStr">
        <is>
          <t>Total Demand Assumption</t>
        </is>
      </c>
    </row>
    <row r="1624">
      <c r="A1624" t="inlineStr">
        <is>
          <t>Kylie Makeup</t>
        </is>
      </c>
      <c r="B1624" t="inlineStr">
        <is>
          <t>Lips (01245)</t>
        </is>
      </c>
      <c r="C1624" t="inlineStr">
        <is>
          <t>Kylie Plumping Gloss (00006105)</t>
        </is>
      </c>
      <c r="D1624" s="1" t="n">
        <v>4064941078074</v>
      </c>
      <c r="E1624" t="inlineStr">
        <is>
          <t>KJ MU PLMP GLS LG3.22ml 110MOQ PLUMPG IV</t>
        </is>
      </c>
      <c r="F1624" t="inlineStr">
        <is>
          <t>P_US_FG</t>
        </is>
      </c>
      <c r="G1624" t="inlineStr">
        <is>
          <t>Month-2026.M09.W38</t>
        </is>
      </c>
      <c r="H1624" t="inlineStr">
        <is>
          <t>Consensus - Final</t>
        </is>
      </c>
      <c r="K1624" t="n">
        <v>0</v>
      </c>
    </row>
    <row r="1625">
      <c r="A1625" t="inlineStr">
        <is>
          <t>Kylie Makeup</t>
        </is>
      </c>
      <c r="B1625" t="inlineStr">
        <is>
          <t>Lips (01245)</t>
        </is>
      </c>
      <c r="C1625" t="inlineStr">
        <is>
          <t>Kylie Plumping Gloss (00006105)</t>
        </is>
      </c>
      <c r="D1625" s="1" t="n">
        <v>4064941078074</v>
      </c>
      <c r="E1625" t="inlineStr">
        <is>
          <t>KJ MU PLMP GLS LG3.22ml 110MOQ PLUMPG IV</t>
        </is>
      </c>
      <c r="F1625" t="inlineStr">
        <is>
          <t>P_US_FG</t>
        </is>
      </c>
      <c r="G1625" t="inlineStr">
        <is>
          <t>Month-2026.M09.W38</t>
        </is>
      </c>
      <c r="H1625" t="inlineStr">
        <is>
          <t>Supply Cuts</t>
        </is>
      </c>
    </row>
    <row r="1626">
      <c r="A1626" t="inlineStr">
        <is>
          <t>Kylie Makeup</t>
        </is>
      </c>
      <c r="B1626" t="inlineStr">
        <is>
          <t>Lips (01245)</t>
        </is>
      </c>
      <c r="C1626" t="inlineStr">
        <is>
          <t>Kylie Plumping Gloss (00006105)</t>
        </is>
      </c>
      <c r="D1626" s="1" t="n">
        <v>4064941078074</v>
      </c>
      <c r="E1626" t="inlineStr">
        <is>
          <t>KJ MU PLMP GLS LG3.22ml 110MOQ PLUMPG IV</t>
        </is>
      </c>
      <c r="F1626" t="inlineStr">
        <is>
          <t>P_US_ULTA</t>
        </is>
      </c>
      <c r="G1626" t="inlineStr">
        <is>
          <t>CurrentWorkingView</t>
        </is>
      </c>
      <c r="H1626" t="inlineStr">
        <is>
          <t>Consensus - Final LY M</t>
        </is>
      </c>
      <c r="I1626" t="n">
        <v>204</v>
      </c>
      <c r="J1626" t="n">
        <v>147</v>
      </c>
      <c r="K1626" t="n">
        <v>118</v>
      </c>
      <c r="L1626" t="n">
        <v>236</v>
      </c>
      <c r="M1626" t="n">
        <v>740</v>
      </c>
      <c r="N1626" t="n">
        <v>255</v>
      </c>
      <c r="O1626" t="n">
        <v>17</v>
      </c>
      <c r="P1626" t="n">
        <v>9</v>
      </c>
      <c r="Q1626" t="n">
        <v>34</v>
      </c>
      <c r="R1626" t="n">
        <v>24</v>
      </c>
      <c r="S1626" t="n">
        <v>58</v>
      </c>
      <c r="T1626" t="n">
        <v>56</v>
      </c>
    </row>
    <row r="1627">
      <c r="A1627" t="inlineStr">
        <is>
          <t>Kylie Makeup</t>
        </is>
      </c>
      <c r="B1627" t="inlineStr">
        <is>
          <t>Lips (01245)</t>
        </is>
      </c>
      <c r="C1627" t="inlineStr">
        <is>
          <t>Kylie Plumping Gloss (00006105)</t>
        </is>
      </c>
      <c r="D1627" s="1" t="n">
        <v>4064941078074</v>
      </c>
      <c r="E1627" t="inlineStr">
        <is>
          <t>KJ MU PLMP GLS LG3.22ml 110MOQ PLUMPG IV</t>
        </is>
      </c>
      <c r="F1627" t="inlineStr">
        <is>
          <t>P_US_ULTA</t>
        </is>
      </c>
      <c r="G1627" t="inlineStr">
        <is>
          <t>CurrentWorkingView</t>
        </is>
      </c>
      <c r="H1627" t="inlineStr">
        <is>
          <t>System FC - Final</t>
        </is>
      </c>
      <c r="I1627" t="n">
        <v>279</v>
      </c>
      <c r="J1627" t="n">
        <v>32</v>
      </c>
      <c r="K1627" t="n">
        <v>564</v>
      </c>
      <c r="L1627" t="n">
        <v>115</v>
      </c>
      <c r="M1627" t="n">
        <v>262</v>
      </c>
      <c r="N1627" t="n">
        <v>45</v>
      </c>
      <c r="O1627" t="n">
        <v>44</v>
      </c>
      <c r="P1627" t="n">
        <v>60</v>
      </c>
      <c r="Q1627" t="n">
        <v>89</v>
      </c>
      <c r="R1627" t="n">
        <v>35</v>
      </c>
      <c r="S1627" t="n">
        <v>40</v>
      </c>
      <c r="T1627" t="n">
        <v>22</v>
      </c>
    </row>
    <row r="1628">
      <c r="A1628" t="inlineStr">
        <is>
          <t>Kylie Makeup</t>
        </is>
      </c>
      <c r="B1628" t="inlineStr">
        <is>
          <t>Lips (01245)</t>
        </is>
      </c>
      <c r="C1628" t="inlineStr">
        <is>
          <t>Kylie Plumping Gloss (00006105)</t>
        </is>
      </c>
      <c r="D1628" s="1" t="n">
        <v>4064941078074</v>
      </c>
      <c r="E1628" t="inlineStr">
        <is>
          <t>KJ MU PLMP GLS LG3.22ml 110MOQ PLUMPG IV</t>
        </is>
      </c>
      <c r="F1628" t="inlineStr">
        <is>
          <t>P_US_ULTA</t>
        </is>
      </c>
      <c r="G1628" t="inlineStr">
        <is>
          <t>CurrentWorkingView</t>
        </is>
      </c>
      <c r="H1628" t="inlineStr">
        <is>
          <t>EPOS</t>
        </is>
      </c>
      <c r="I1628" t="n">
        <v>142</v>
      </c>
    </row>
    <row r="1629">
      <c r="A1629" t="inlineStr">
        <is>
          <t>Kylie Makeup</t>
        </is>
      </c>
      <c r="B1629" t="inlineStr">
        <is>
          <t>Lips (01245)</t>
        </is>
      </c>
      <c r="C1629" t="inlineStr">
        <is>
          <t>Kylie Plumping Gloss (00006105)</t>
        </is>
      </c>
      <c r="D1629" s="1" t="n">
        <v>4064941078074</v>
      </c>
      <c r="E1629" t="inlineStr">
        <is>
          <t>KJ MU PLMP GLS LG3.22ml 110MOQ PLUMPG IV</t>
        </is>
      </c>
      <c r="F1629" t="inlineStr">
        <is>
          <t>P_US_ULTA</t>
        </is>
      </c>
      <c r="G1629" t="inlineStr">
        <is>
          <t>CurrentWorkingView</t>
        </is>
      </c>
      <c r="H1629" t="inlineStr">
        <is>
          <t>Reasonability Adjustment</t>
        </is>
      </c>
    </row>
    <row r="1630">
      <c r="A1630" t="inlineStr">
        <is>
          <t>Kylie Makeup</t>
        </is>
      </c>
      <c r="B1630" t="inlineStr">
        <is>
          <t>Lips (01245)</t>
        </is>
      </c>
      <c r="C1630" t="inlineStr">
        <is>
          <t>Kylie Plumping Gloss (00006105)</t>
        </is>
      </c>
      <c r="D1630" s="1" t="n">
        <v>4064941078074</v>
      </c>
      <c r="E1630" t="inlineStr">
        <is>
          <t>KJ MU PLMP GLS LG3.22ml 110MOQ PLUMPG IV</t>
        </is>
      </c>
      <c r="F1630" t="inlineStr">
        <is>
          <t>P_US_ULTA</t>
        </is>
      </c>
      <c r="G1630" t="inlineStr">
        <is>
          <t>CurrentWorkingView</t>
        </is>
      </c>
      <c r="H1630" t="inlineStr">
        <is>
          <t>Total Demand Assumption</t>
        </is>
      </c>
    </row>
    <row r="1631">
      <c r="A1631" t="inlineStr">
        <is>
          <t>Kylie Makeup</t>
        </is>
      </c>
      <c r="B1631" t="inlineStr">
        <is>
          <t>Lips (01245)</t>
        </is>
      </c>
      <c r="C1631" t="inlineStr">
        <is>
          <t>Kylie Plumping Gloss (00006105)</t>
        </is>
      </c>
      <c r="D1631" s="1" t="n">
        <v>4064941078074</v>
      </c>
      <c r="E1631" t="inlineStr">
        <is>
          <t>KJ MU PLMP GLS LG3.22ml 110MOQ PLUMPG IV</t>
        </is>
      </c>
      <c r="F1631" t="inlineStr">
        <is>
          <t>P_US_ULTA</t>
        </is>
      </c>
      <c r="G1631" t="inlineStr">
        <is>
          <t>CurrentWorkingView</t>
        </is>
      </c>
      <c r="H1631" t="inlineStr">
        <is>
          <t>Consensus - Final</t>
        </is>
      </c>
      <c r="I1631" t="n">
        <v>279</v>
      </c>
      <c r="J1631" t="n">
        <v>32</v>
      </c>
      <c r="K1631" t="n">
        <v>564</v>
      </c>
      <c r="L1631" t="n">
        <v>115</v>
      </c>
      <c r="M1631" t="n">
        <v>262</v>
      </c>
      <c r="N1631" t="n">
        <v>45</v>
      </c>
      <c r="O1631" t="n">
        <v>44</v>
      </c>
      <c r="P1631" t="n">
        <v>60</v>
      </c>
      <c r="Q1631" t="n">
        <v>89</v>
      </c>
      <c r="R1631" t="n">
        <v>35</v>
      </c>
      <c r="S1631" t="n">
        <v>40</v>
      </c>
      <c r="T1631" t="n">
        <v>22</v>
      </c>
    </row>
    <row r="1632">
      <c r="A1632" t="inlineStr">
        <is>
          <t>Kylie Makeup</t>
        </is>
      </c>
      <c r="B1632" t="inlineStr">
        <is>
          <t>Lips (01245)</t>
        </is>
      </c>
      <c r="C1632" t="inlineStr">
        <is>
          <t>Kylie Plumping Gloss (00006105)</t>
        </is>
      </c>
      <c r="D1632" s="1" t="n">
        <v>4064941078074</v>
      </c>
      <c r="E1632" t="inlineStr">
        <is>
          <t>KJ MU PLMP GLS LG3.22ml 110MOQ PLUMPG IV</t>
        </is>
      </c>
      <c r="F1632" t="inlineStr">
        <is>
          <t>P_US_ULTA</t>
        </is>
      </c>
      <c r="G1632" t="inlineStr">
        <is>
          <t>CurrentWorkingView</t>
        </is>
      </c>
      <c r="H1632" t="inlineStr">
        <is>
          <t>Supply Cuts</t>
        </is>
      </c>
    </row>
    <row r="1633">
      <c r="A1633" t="inlineStr">
        <is>
          <t>Kylie Makeup</t>
        </is>
      </c>
      <c r="B1633" t="inlineStr">
        <is>
          <t>Lips (01245)</t>
        </is>
      </c>
      <c r="C1633" t="inlineStr">
        <is>
          <t>Kylie Plumping Gloss (00006105)</t>
        </is>
      </c>
      <c r="D1633" s="1" t="n">
        <v>4064941078074</v>
      </c>
      <c r="E1633" t="inlineStr">
        <is>
          <t>KJ MU PLMP GLS LG3.22ml 110MOQ PLUMPG IV</t>
        </is>
      </c>
      <c r="F1633" t="inlineStr">
        <is>
          <t>P_US_ULTA</t>
        </is>
      </c>
      <c r="G1633" t="inlineStr">
        <is>
          <t>Month-2026.M09.W38</t>
        </is>
      </c>
      <c r="H1633" t="inlineStr">
        <is>
          <t>Consensus - Final LY M</t>
        </is>
      </c>
      <c r="I1633" t="n">
        <v>204</v>
      </c>
      <c r="J1633" t="n">
        <v>147</v>
      </c>
      <c r="K1633" t="n">
        <v>118</v>
      </c>
      <c r="L1633" t="n">
        <v>236</v>
      </c>
      <c r="M1633" t="n">
        <v>740</v>
      </c>
      <c r="N1633" t="n">
        <v>255</v>
      </c>
      <c r="O1633" t="n">
        <v>17</v>
      </c>
      <c r="P1633" t="n">
        <v>9</v>
      </c>
      <c r="Q1633" t="n">
        <v>34</v>
      </c>
      <c r="R1633" t="n">
        <v>24</v>
      </c>
      <c r="S1633" t="n">
        <v>58</v>
      </c>
      <c r="T1633" t="n">
        <v>56</v>
      </c>
    </row>
    <row r="1634">
      <c r="A1634" t="inlineStr">
        <is>
          <t>Kylie Makeup</t>
        </is>
      </c>
      <c r="B1634" t="inlineStr">
        <is>
          <t>Lips (01245)</t>
        </is>
      </c>
      <c r="C1634" t="inlineStr">
        <is>
          <t>Kylie Plumping Gloss (00006105)</t>
        </is>
      </c>
      <c r="D1634" s="1" t="n">
        <v>4064941078074</v>
      </c>
      <c r="E1634" t="inlineStr">
        <is>
          <t>KJ MU PLMP GLS LG3.22ml 110MOQ PLUMPG IV</t>
        </is>
      </c>
      <c r="F1634" t="inlineStr">
        <is>
          <t>P_US_ULTA</t>
        </is>
      </c>
      <c r="G1634" t="inlineStr">
        <is>
          <t>Month-2026.M09.W38</t>
        </is>
      </c>
      <c r="H1634" t="inlineStr">
        <is>
          <t>System FC - Final</t>
        </is>
      </c>
      <c r="I1634" t="n">
        <v>279</v>
      </c>
      <c r="J1634" t="n">
        <v>32</v>
      </c>
      <c r="K1634" t="n">
        <v>809</v>
      </c>
      <c r="L1634" t="n">
        <v>373</v>
      </c>
      <c r="M1634" t="n">
        <v>454</v>
      </c>
      <c r="N1634" t="n">
        <v>208</v>
      </c>
      <c r="O1634" t="n">
        <v>204</v>
      </c>
      <c r="P1634" t="n">
        <v>336</v>
      </c>
      <c r="Q1634" t="n">
        <v>199</v>
      </c>
      <c r="R1634" t="n">
        <v>167</v>
      </c>
      <c r="S1634" t="n">
        <v>230</v>
      </c>
      <c r="T1634" t="n">
        <v>129</v>
      </c>
    </row>
    <row r="1635">
      <c r="A1635" t="inlineStr">
        <is>
          <t>Kylie Makeup</t>
        </is>
      </c>
      <c r="B1635" t="inlineStr">
        <is>
          <t>Lips (01245)</t>
        </is>
      </c>
      <c r="C1635" t="inlineStr">
        <is>
          <t>Kylie Plumping Gloss (00006105)</t>
        </is>
      </c>
      <c r="D1635" s="1" t="n">
        <v>4064941078074</v>
      </c>
      <c r="E1635" t="inlineStr">
        <is>
          <t>KJ MU PLMP GLS LG3.22ml 110MOQ PLUMPG IV</t>
        </is>
      </c>
      <c r="F1635" t="inlineStr">
        <is>
          <t>P_US_ULTA</t>
        </is>
      </c>
      <c r="G1635" t="inlineStr">
        <is>
          <t>Month-2026.M09.W38</t>
        </is>
      </c>
      <c r="H1635" t="inlineStr">
        <is>
          <t>EPOS</t>
        </is>
      </c>
      <c r="I1635" t="n">
        <v>142</v>
      </c>
    </row>
    <row r="1636">
      <c r="A1636" t="inlineStr">
        <is>
          <t>Kylie Makeup</t>
        </is>
      </c>
      <c r="B1636" t="inlineStr">
        <is>
          <t>Lips (01245)</t>
        </is>
      </c>
      <c r="C1636" t="inlineStr">
        <is>
          <t>Kylie Plumping Gloss (00006105)</t>
        </is>
      </c>
      <c r="D1636" s="1" t="n">
        <v>4064941078074</v>
      </c>
      <c r="E1636" t="inlineStr">
        <is>
          <t>KJ MU PLMP GLS LG3.22ml 110MOQ PLUMPG IV</t>
        </is>
      </c>
      <c r="F1636" t="inlineStr">
        <is>
          <t>P_US_ULTA</t>
        </is>
      </c>
      <c r="G1636" t="inlineStr">
        <is>
          <t>Month-2026.M09.W38</t>
        </is>
      </c>
      <c r="H1636" t="inlineStr">
        <is>
          <t>Reasonability Adjustment</t>
        </is>
      </c>
    </row>
    <row r="1637">
      <c r="A1637" t="inlineStr">
        <is>
          <t>Kylie Makeup</t>
        </is>
      </c>
      <c r="B1637" t="inlineStr">
        <is>
          <t>Lips (01245)</t>
        </is>
      </c>
      <c r="C1637" t="inlineStr">
        <is>
          <t>Kylie Plumping Gloss (00006105)</t>
        </is>
      </c>
      <c r="D1637" s="1" t="n">
        <v>4064941078074</v>
      </c>
      <c r="E1637" t="inlineStr">
        <is>
          <t>KJ MU PLMP GLS LG3.22ml 110MOQ PLUMPG IV</t>
        </is>
      </c>
      <c r="F1637" t="inlineStr">
        <is>
          <t>P_US_ULTA</t>
        </is>
      </c>
      <c r="G1637" t="inlineStr">
        <is>
          <t>Month-2026.M09.W38</t>
        </is>
      </c>
      <c r="H1637" t="inlineStr">
        <is>
          <t>Total Demand Assumption</t>
        </is>
      </c>
    </row>
    <row r="1638">
      <c r="A1638" t="inlineStr">
        <is>
          <t>Kylie Makeup</t>
        </is>
      </c>
      <c r="B1638" t="inlineStr">
        <is>
          <t>Lips (01245)</t>
        </is>
      </c>
      <c r="C1638" t="inlineStr">
        <is>
          <t>Kylie Plumping Gloss (00006105)</t>
        </is>
      </c>
      <c r="D1638" s="1" t="n">
        <v>4064941078074</v>
      </c>
      <c r="E1638" t="inlineStr">
        <is>
          <t>KJ MU PLMP GLS LG3.22ml 110MOQ PLUMPG IV</t>
        </is>
      </c>
      <c r="F1638" t="inlineStr">
        <is>
          <t>P_US_ULTA</t>
        </is>
      </c>
      <c r="G1638" t="inlineStr">
        <is>
          <t>Month-2026.M09.W38</t>
        </is>
      </c>
      <c r="H1638" t="inlineStr">
        <is>
          <t>Consensus - Final</t>
        </is>
      </c>
      <c r="I1638" t="n">
        <v>279</v>
      </c>
      <c r="J1638" t="n">
        <v>32</v>
      </c>
      <c r="K1638" t="n">
        <v>564</v>
      </c>
      <c r="L1638" t="n">
        <v>373</v>
      </c>
      <c r="M1638" t="n">
        <v>454</v>
      </c>
      <c r="N1638" t="n">
        <v>208</v>
      </c>
      <c r="O1638" t="n">
        <v>204</v>
      </c>
      <c r="P1638" t="n">
        <v>336</v>
      </c>
      <c r="Q1638" t="n">
        <v>199</v>
      </c>
      <c r="R1638" t="n">
        <v>167</v>
      </c>
      <c r="S1638" t="n">
        <v>230</v>
      </c>
      <c r="T1638" t="n">
        <v>129</v>
      </c>
    </row>
    <row r="1639">
      <c r="A1639" t="inlineStr">
        <is>
          <t>Kylie Makeup</t>
        </is>
      </c>
      <c r="B1639" t="inlineStr">
        <is>
          <t>Lips (01245)</t>
        </is>
      </c>
      <c r="C1639" t="inlineStr">
        <is>
          <t>Kylie Plumping Gloss (00006105)</t>
        </is>
      </c>
      <c r="D1639" s="1" t="n">
        <v>4064941078074</v>
      </c>
      <c r="E1639" t="inlineStr">
        <is>
          <t>KJ MU PLMP GLS LG3.22ml 110MOQ PLUMPG IV</t>
        </is>
      </c>
      <c r="F1639" t="inlineStr">
        <is>
          <t>P_US_ULTA</t>
        </is>
      </c>
      <c r="G1639" t="inlineStr">
        <is>
          <t>Month-2026.M09.W38</t>
        </is>
      </c>
      <c r="H1639" t="inlineStr">
        <is>
          <t>Supply Cuts</t>
        </is>
      </c>
    </row>
    <row r="1640">
      <c r="A1640" t="inlineStr">
        <is>
          <t>Kylie Makeup</t>
        </is>
      </c>
      <c r="B1640" t="inlineStr">
        <is>
          <t>Lips (01245)</t>
        </is>
      </c>
      <c r="C1640" t="inlineStr">
        <is>
          <t>Kylie Plumping Gloss (00006105)</t>
        </is>
      </c>
      <c r="D1640" s="1" t="n">
        <v>4064941078081</v>
      </c>
      <c r="E1640" t="inlineStr">
        <is>
          <t>KJ MU PLMP GLS LG3.22ml 343ROC PLUMPG IV</t>
        </is>
      </c>
      <c r="F1640" t="inlineStr">
        <is>
          <t>P_US_FG</t>
        </is>
      </c>
      <c r="G1640" t="inlineStr">
        <is>
          <t>CurrentWorkingView</t>
        </is>
      </c>
      <c r="H1640" t="inlineStr">
        <is>
          <t>Consensus - Final LY M</t>
        </is>
      </c>
      <c r="Q1640" t="n">
        <v>27</v>
      </c>
    </row>
    <row r="1641">
      <c r="A1641" t="inlineStr">
        <is>
          <t>Kylie Makeup</t>
        </is>
      </c>
      <c r="B1641" t="inlineStr">
        <is>
          <t>Lips (01245)</t>
        </is>
      </c>
      <c r="C1641" t="inlineStr">
        <is>
          <t>Kylie Plumping Gloss (00006105)</t>
        </is>
      </c>
      <c r="D1641" s="1" t="n">
        <v>4064941078081</v>
      </c>
      <c r="E1641" t="inlineStr">
        <is>
          <t>KJ MU PLMP GLS LG3.22ml 343ROC PLUMPG IV</t>
        </is>
      </c>
      <c r="F1641" t="inlineStr">
        <is>
          <t>P_US_FG</t>
        </is>
      </c>
      <c r="G1641" t="inlineStr">
        <is>
          <t>CurrentWorkingView</t>
        </is>
      </c>
      <c r="H1641" t="inlineStr">
        <is>
          <t>System FC - Final</t>
        </is>
      </c>
      <c r="K1641" t="n">
        <v>4</v>
      </c>
      <c r="L1641" t="n">
        <v>5</v>
      </c>
      <c r="M1641" t="n">
        <v>4</v>
      </c>
      <c r="N1641" t="n">
        <v>4</v>
      </c>
      <c r="O1641" t="n">
        <v>0</v>
      </c>
      <c r="P1641" t="n">
        <v>0</v>
      </c>
      <c r="Q1641" t="n">
        <v>13</v>
      </c>
      <c r="R1641" t="n">
        <v>5</v>
      </c>
      <c r="S1641" t="n">
        <v>0</v>
      </c>
      <c r="T1641" t="n">
        <v>0</v>
      </c>
    </row>
    <row r="1642">
      <c r="A1642" t="inlineStr">
        <is>
          <t>Kylie Makeup</t>
        </is>
      </c>
      <c r="B1642" t="inlineStr">
        <is>
          <t>Lips (01245)</t>
        </is>
      </c>
      <c r="C1642" t="inlineStr">
        <is>
          <t>Kylie Plumping Gloss (00006105)</t>
        </is>
      </c>
      <c r="D1642" s="1" t="n">
        <v>4064941078081</v>
      </c>
      <c r="E1642" t="inlineStr">
        <is>
          <t>KJ MU PLMP GLS LG3.22ml 343ROC PLUMPG IV</t>
        </is>
      </c>
      <c r="F1642" t="inlineStr">
        <is>
          <t>P_US_FG</t>
        </is>
      </c>
      <c r="G1642" t="inlineStr">
        <is>
          <t>CurrentWorkingView</t>
        </is>
      </c>
      <c r="H1642" t="inlineStr">
        <is>
          <t>EPOS</t>
        </is>
      </c>
    </row>
    <row r="1643">
      <c r="A1643" t="inlineStr">
        <is>
          <t>Kylie Makeup</t>
        </is>
      </c>
      <c r="B1643" t="inlineStr">
        <is>
          <t>Lips (01245)</t>
        </is>
      </c>
      <c r="C1643" t="inlineStr">
        <is>
          <t>Kylie Plumping Gloss (00006105)</t>
        </is>
      </c>
      <c r="D1643" s="1" t="n">
        <v>4064941078081</v>
      </c>
      <c r="E1643" t="inlineStr">
        <is>
          <t>KJ MU PLMP GLS LG3.22ml 343ROC PLUMPG IV</t>
        </is>
      </c>
      <c r="F1643" t="inlineStr">
        <is>
          <t>P_US_FG</t>
        </is>
      </c>
      <c r="G1643" t="inlineStr">
        <is>
          <t>CurrentWorkingView</t>
        </is>
      </c>
      <c r="H1643" t="inlineStr">
        <is>
          <t>Reasonability Adjustment</t>
        </is>
      </c>
    </row>
    <row r="1644">
      <c r="A1644" t="inlineStr">
        <is>
          <t>Kylie Makeup</t>
        </is>
      </c>
      <c r="B1644" t="inlineStr">
        <is>
          <t>Lips (01245)</t>
        </is>
      </c>
      <c r="C1644" t="inlineStr">
        <is>
          <t>Kylie Plumping Gloss (00006105)</t>
        </is>
      </c>
      <c r="D1644" s="1" t="n">
        <v>4064941078081</v>
      </c>
      <c r="E1644" t="inlineStr">
        <is>
          <t>KJ MU PLMP GLS LG3.22ml 343ROC PLUMPG IV</t>
        </is>
      </c>
      <c r="F1644" t="inlineStr">
        <is>
          <t>P_US_FG</t>
        </is>
      </c>
      <c r="G1644" t="inlineStr">
        <is>
          <t>CurrentWorkingView</t>
        </is>
      </c>
      <c r="H1644" t="inlineStr">
        <is>
          <t>Total Demand Assumption</t>
        </is>
      </c>
    </row>
    <row r="1645">
      <c r="A1645" t="inlineStr">
        <is>
          <t>Kylie Makeup</t>
        </is>
      </c>
      <c r="B1645" t="inlineStr">
        <is>
          <t>Lips (01245)</t>
        </is>
      </c>
      <c r="C1645" t="inlineStr">
        <is>
          <t>Kylie Plumping Gloss (00006105)</t>
        </is>
      </c>
      <c r="D1645" s="1" t="n">
        <v>4064941078081</v>
      </c>
      <c r="E1645" t="inlineStr">
        <is>
          <t>KJ MU PLMP GLS LG3.22ml 343ROC PLUMPG IV</t>
        </is>
      </c>
      <c r="F1645" t="inlineStr">
        <is>
          <t>P_US_FG</t>
        </is>
      </c>
      <c r="G1645" t="inlineStr">
        <is>
          <t>CurrentWorkingView</t>
        </is>
      </c>
      <c r="H1645" t="inlineStr">
        <is>
          <t>Consensus - Final</t>
        </is>
      </c>
      <c r="K1645" t="n">
        <v>0</v>
      </c>
    </row>
    <row r="1646">
      <c r="A1646" t="inlineStr">
        <is>
          <t>Kylie Makeup</t>
        </is>
      </c>
      <c r="B1646" t="inlineStr">
        <is>
          <t>Lips (01245)</t>
        </is>
      </c>
      <c r="C1646" t="inlineStr">
        <is>
          <t>Kylie Plumping Gloss (00006105)</t>
        </is>
      </c>
      <c r="D1646" s="1" t="n">
        <v>4064941078081</v>
      </c>
      <c r="E1646" t="inlineStr">
        <is>
          <t>KJ MU PLMP GLS LG3.22ml 343ROC PLUMPG IV</t>
        </is>
      </c>
      <c r="F1646" t="inlineStr">
        <is>
          <t>P_US_FG</t>
        </is>
      </c>
      <c r="G1646" t="inlineStr">
        <is>
          <t>CurrentWorkingView</t>
        </is>
      </c>
      <c r="H1646" t="inlineStr">
        <is>
          <t>Supply Cuts</t>
        </is>
      </c>
    </row>
    <row r="1647">
      <c r="A1647" t="inlineStr">
        <is>
          <t>Kylie Makeup</t>
        </is>
      </c>
      <c r="B1647" t="inlineStr">
        <is>
          <t>Lips (01245)</t>
        </is>
      </c>
      <c r="C1647" t="inlineStr">
        <is>
          <t>Kylie Plumping Gloss (00006105)</t>
        </is>
      </c>
      <c r="D1647" s="1" t="n">
        <v>4064941078081</v>
      </c>
      <c r="E1647" t="inlineStr">
        <is>
          <t>KJ MU PLMP GLS LG3.22ml 343ROC PLUMPG IV</t>
        </is>
      </c>
      <c r="F1647" t="inlineStr">
        <is>
          <t>P_US_FG</t>
        </is>
      </c>
      <c r="G1647" t="inlineStr">
        <is>
          <t>Month-2026.M09.W38</t>
        </is>
      </c>
      <c r="H1647" t="inlineStr">
        <is>
          <t>Consensus - Final LY M</t>
        </is>
      </c>
      <c r="Q1647" t="n">
        <v>27</v>
      </c>
    </row>
    <row r="1648">
      <c r="A1648" t="inlineStr">
        <is>
          <t>Kylie Makeup</t>
        </is>
      </c>
      <c r="B1648" t="inlineStr">
        <is>
          <t>Lips (01245)</t>
        </is>
      </c>
      <c r="C1648" t="inlineStr">
        <is>
          <t>Kylie Plumping Gloss (00006105)</t>
        </is>
      </c>
      <c r="D1648" s="1" t="n">
        <v>4064941078081</v>
      </c>
      <c r="E1648" t="inlineStr">
        <is>
          <t>KJ MU PLMP GLS LG3.22ml 343ROC PLUMPG IV</t>
        </is>
      </c>
      <c r="F1648" t="inlineStr">
        <is>
          <t>P_US_FG</t>
        </is>
      </c>
      <c r="G1648" t="inlineStr">
        <is>
          <t>Month-2026.M09.W38</t>
        </is>
      </c>
      <c r="H1648" t="inlineStr">
        <is>
          <t>System FC - Final</t>
        </is>
      </c>
      <c r="K1648" t="n">
        <v>6</v>
      </c>
      <c r="L1648" t="n">
        <v>5</v>
      </c>
      <c r="M1648" t="n">
        <v>4</v>
      </c>
      <c r="N1648" t="n">
        <v>4</v>
      </c>
      <c r="O1648" t="n">
        <v>0</v>
      </c>
      <c r="P1648" t="n">
        <v>0</v>
      </c>
      <c r="Q1648" t="n">
        <v>13</v>
      </c>
      <c r="R1648" t="n">
        <v>5</v>
      </c>
      <c r="S1648" t="n">
        <v>0</v>
      </c>
      <c r="T1648" t="n">
        <v>3</v>
      </c>
    </row>
    <row r="1649">
      <c r="A1649" t="inlineStr">
        <is>
          <t>Kylie Makeup</t>
        </is>
      </c>
      <c r="B1649" t="inlineStr">
        <is>
          <t>Lips (01245)</t>
        </is>
      </c>
      <c r="C1649" t="inlineStr">
        <is>
          <t>Kylie Plumping Gloss (00006105)</t>
        </is>
      </c>
      <c r="D1649" s="1" t="n">
        <v>4064941078081</v>
      </c>
      <c r="E1649" t="inlineStr">
        <is>
          <t>KJ MU PLMP GLS LG3.22ml 343ROC PLUMPG IV</t>
        </is>
      </c>
      <c r="F1649" t="inlineStr">
        <is>
          <t>P_US_FG</t>
        </is>
      </c>
      <c r="G1649" t="inlineStr">
        <is>
          <t>Month-2026.M09.W38</t>
        </is>
      </c>
      <c r="H1649" t="inlineStr">
        <is>
          <t>EPOS</t>
        </is>
      </c>
    </row>
    <row r="1650">
      <c r="A1650" t="inlineStr">
        <is>
          <t>Kylie Makeup</t>
        </is>
      </c>
      <c r="B1650" t="inlineStr">
        <is>
          <t>Lips (01245)</t>
        </is>
      </c>
      <c r="C1650" t="inlineStr">
        <is>
          <t>Kylie Plumping Gloss (00006105)</t>
        </is>
      </c>
      <c r="D1650" s="1" t="n">
        <v>4064941078081</v>
      </c>
      <c r="E1650" t="inlineStr">
        <is>
          <t>KJ MU PLMP GLS LG3.22ml 343ROC PLUMPG IV</t>
        </is>
      </c>
      <c r="F1650" t="inlineStr">
        <is>
          <t>P_US_FG</t>
        </is>
      </c>
      <c r="G1650" t="inlineStr">
        <is>
          <t>Month-2026.M09.W38</t>
        </is>
      </c>
      <c r="H1650" t="inlineStr">
        <is>
          <t>Reasonability Adjustment</t>
        </is>
      </c>
    </row>
    <row r="1651">
      <c r="A1651" t="inlineStr">
        <is>
          <t>Kylie Makeup</t>
        </is>
      </c>
      <c r="B1651" t="inlineStr">
        <is>
          <t>Lips (01245)</t>
        </is>
      </c>
      <c r="C1651" t="inlineStr">
        <is>
          <t>Kylie Plumping Gloss (00006105)</t>
        </is>
      </c>
      <c r="D1651" s="1" t="n">
        <v>4064941078081</v>
      </c>
      <c r="E1651" t="inlineStr">
        <is>
          <t>KJ MU PLMP GLS LG3.22ml 343ROC PLUMPG IV</t>
        </is>
      </c>
      <c r="F1651" t="inlineStr">
        <is>
          <t>P_US_FG</t>
        </is>
      </c>
      <c r="G1651" t="inlineStr">
        <is>
          <t>Month-2026.M09.W38</t>
        </is>
      </c>
      <c r="H1651" t="inlineStr">
        <is>
          <t>Total Demand Assumption</t>
        </is>
      </c>
    </row>
    <row r="1652">
      <c r="A1652" t="inlineStr">
        <is>
          <t>Kylie Makeup</t>
        </is>
      </c>
      <c r="B1652" t="inlineStr">
        <is>
          <t>Lips (01245)</t>
        </is>
      </c>
      <c r="C1652" t="inlineStr">
        <is>
          <t>Kylie Plumping Gloss (00006105)</t>
        </is>
      </c>
      <c r="D1652" s="1" t="n">
        <v>4064941078081</v>
      </c>
      <c r="E1652" t="inlineStr">
        <is>
          <t>KJ MU PLMP GLS LG3.22ml 343ROC PLUMPG IV</t>
        </is>
      </c>
      <c r="F1652" t="inlineStr">
        <is>
          <t>P_US_FG</t>
        </is>
      </c>
      <c r="G1652" t="inlineStr">
        <is>
          <t>Month-2026.M09.W38</t>
        </is>
      </c>
      <c r="H1652" t="inlineStr">
        <is>
          <t>Consensus - Final</t>
        </is>
      </c>
      <c r="K1652" t="n">
        <v>0</v>
      </c>
    </row>
    <row r="1653">
      <c r="A1653" t="inlineStr">
        <is>
          <t>Kylie Makeup</t>
        </is>
      </c>
      <c r="B1653" t="inlineStr">
        <is>
          <t>Lips (01245)</t>
        </is>
      </c>
      <c r="C1653" t="inlineStr">
        <is>
          <t>Kylie Plumping Gloss (00006105)</t>
        </is>
      </c>
      <c r="D1653" s="1" t="n">
        <v>4064941078081</v>
      </c>
      <c r="E1653" t="inlineStr">
        <is>
          <t>KJ MU PLMP GLS LG3.22ml 343ROC PLUMPG IV</t>
        </is>
      </c>
      <c r="F1653" t="inlineStr">
        <is>
          <t>P_US_FG</t>
        </is>
      </c>
      <c r="G1653" t="inlineStr">
        <is>
          <t>Month-2026.M09.W38</t>
        </is>
      </c>
      <c r="H1653" t="inlineStr">
        <is>
          <t>Supply Cuts</t>
        </is>
      </c>
    </row>
    <row r="1654">
      <c r="A1654" t="inlineStr">
        <is>
          <t>Kylie Makeup</t>
        </is>
      </c>
      <c r="B1654" t="inlineStr">
        <is>
          <t>Lips (01245)</t>
        </is>
      </c>
      <c r="C1654" t="inlineStr">
        <is>
          <t>Kylie Plumping Gloss (00006105)</t>
        </is>
      </c>
      <c r="D1654" s="1" t="n">
        <v>4064941078081</v>
      </c>
      <c r="E1654" t="inlineStr">
        <is>
          <t>KJ MU PLMP GLS LG3.22ml 343ROC PLUMPG IV</t>
        </is>
      </c>
      <c r="F1654" t="inlineStr">
        <is>
          <t>P_US_ULTA</t>
        </is>
      </c>
      <c r="G1654" t="inlineStr">
        <is>
          <t>CurrentWorkingView</t>
        </is>
      </c>
      <c r="H1654" t="inlineStr">
        <is>
          <t>Consensus - Final LY M</t>
        </is>
      </c>
      <c r="I1654" t="n">
        <v>1598</v>
      </c>
      <c r="J1654" t="n">
        <v>667</v>
      </c>
      <c r="K1654" t="n">
        <v>571</v>
      </c>
      <c r="L1654" t="n">
        <v>1262</v>
      </c>
      <c r="M1654" t="n">
        <v>1773</v>
      </c>
      <c r="N1654" t="n">
        <v>971</v>
      </c>
      <c r="O1654" t="n">
        <v>769</v>
      </c>
      <c r="P1654" t="n">
        <v>309</v>
      </c>
      <c r="Q1654" t="n">
        <v>1155</v>
      </c>
      <c r="R1654" t="n">
        <v>574</v>
      </c>
      <c r="S1654" t="n">
        <v>834</v>
      </c>
      <c r="T1654" t="n">
        <v>711</v>
      </c>
    </row>
    <row r="1655">
      <c r="A1655" t="inlineStr">
        <is>
          <t>Kylie Makeup</t>
        </is>
      </c>
      <c r="B1655" t="inlineStr">
        <is>
          <t>Lips (01245)</t>
        </is>
      </c>
      <c r="C1655" t="inlineStr">
        <is>
          <t>Kylie Plumping Gloss (00006105)</t>
        </is>
      </c>
      <c r="D1655" s="1" t="n">
        <v>4064941078081</v>
      </c>
      <c r="E1655" t="inlineStr">
        <is>
          <t>KJ MU PLMP GLS LG3.22ml 343ROC PLUMPG IV</t>
        </is>
      </c>
      <c r="F1655" t="inlineStr">
        <is>
          <t>P_US_ULTA</t>
        </is>
      </c>
      <c r="G1655" t="inlineStr">
        <is>
          <t>CurrentWorkingView</t>
        </is>
      </c>
      <c r="H1655" t="inlineStr">
        <is>
          <t>System FC - Final</t>
        </is>
      </c>
      <c r="I1655" t="n">
        <v>1002</v>
      </c>
      <c r="J1655" t="n">
        <v>412</v>
      </c>
      <c r="K1655" t="n">
        <v>593</v>
      </c>
      <c r="L1655" t="n">
        <v>456</v>
      </c>
      <c r="M1655" t="n">
        <v>2049</v>
      </c>
      <c r="N1655" t="n">
        <v>1337</v>
      </c>
      <c r="O1655" t="n">
        <v>496</v>
      </c>
      <c r="P1655" t="n">
        <v>460</v>
      </c>
      <c r="Q1655" t="n">
        <v>456</v>
      </c>
      <c r="R1655" t="n">
        <v>455</v>
      </c>
      <c r="S1655" t="n">
        <v>457</v>
      </c>
      <c r="T1655" t="n">
        <v>456</v>
      </c>
    </row>
    <row r="1656">
      <c r="A1656" t="inlineStr">
        <is>
          <t>Kylie Makeup</t>
        </is>
      </c>
      <c r="B1656" t="inlineStr">
        <is>
          <t>Lips (01245)</t>
        </is>
      </c>
      <c r="C1656" t="inlineStr">
        <is>
          <t>Kylie Plumping Gloss (00006105)</t>
        </is>
      </c>
      <c r="D1656" s="1" t="n">
        <v>4064941078081</v>
      </c>
      <c r="E1656" t="inlineStr">
        <is>
          <t>KJ MU PLMP GLS LG3.22ml 343ROC PLUMPG IV</t>
        </is>
      </c>
      <c r="F1656" t="inlineStr">
        <is>
          <t>P_US_ULTA</t>
        </is>
      </c>
      <c r="G1656" t="inlineStr">
        <is>
          <t>CurrentWorkingView</t>
        </is>
      </c>
      <c r="H1656" t="inlineStr">
        <is>
          <t>EPOS</t>
        </is>
      </c>
      <c r="I1656" t="n">
        <v>1059</v>
      </c>
    </row>
    <row r="1657">
      <c r="A1657" t="inlineStr">
        <is>
          <t>Kylie Makeup</t>
        </is>
      </c>
      <c r="B1657" t="inlineStr">
        <is>
          <t>Lips (01245)</t>
        </is>
      </c>
      <c r="C1657" t="inlineStr">
        <is>
          <t>Kylie Plumping Gloss (00006105)</t>
        </is>
      </c>
      <c r="D1657" s="1" t="n">
        <v>4064941078081</v>
      </c>
      <c r="E1657" t="inlineStr">
        <is>
          <t>KJ MU PLMP GLS LG3.22ml 343ROC PLUMPG IV</t>
        </is>
      </c>
      <c r="F1657" t="inlineStr">
        <is>
          <t>P_US_ULTA</t>
        </is>
      </c>
      <c r="G1657" t="inlineStr">
        <is>
          <t>CurrentWorkingView</t>
        </is>
      </c>
      <c r="H1657" t="inlineStr">
        <is>
          <t>Reasonability Adjustment</t>
        </is>
      </c>
    </row>
    <row r="1658">
      <c r="A1658" t="inlineStr">
        <is>
          <t>Kylie Makeup</t>
        </is>
      </c>
      <c r="B1658" t="inlineStr">
        <is>
          <t>Lips (01245)</t>
        </is>
      </c>
      <c r="C1658" t="inlineStr">
        <is>
          <t>Kylie Plumping Gloss (00006105)</t>
        </is>
      </c>
      <c r="D1658" s="1" t="n">
        <v>4064941078081</v>
      </c>
      <c r="E1658" t="inlineStr">
        <is>
          <t>KJ MU PLMP GLS LG3.22ml 343ROC PLUMPG IV</t>
        </is>
      </c>
      <c r="F1658" t="inlineStr">
        <is>
          <t>P_US_ULTA</t>
        </is>
      </c>
      <c r="G1658" t="inlineStr">
        <is>
          <t>CurrentWorkingView</t>
        </is>
      </c>
      <c r="H1658" t="inlineStr">
        <is>
          <t>Total Demand Assumption</t>
        </is>
      </c>
    </row>
    <row r="1659">
      <c r="A1659" t="inlineStr">
        <is>
          <t>Kylie Makeup</t>
        </is>
      </c>
      <c r="B1659" t="inlineStr">
        <is>
          <t>Lips (01245)</t>
        </is>
      </c>
      <c r="C1659" t="inlineStr">
        <is>
          <t>Kylie Plumping Gloss (00006105)</t>
        </is>
      </c>
      <c r="D1659" s="1" t="n">
        <v>4064941078081</v>
      </c>
      <c r="E1659" t="inlineStr">
        <is>
          <t>KJ MU PLMP GLS LG3.22ml 343ROC PLUMPG IV</t>
        </is>
      </c>
      <c r="F1659" t="inlineStr">
        <is>
          <t>P_US_ULTA</t>
        </is>
      </c>
      <c r="G1659" t="inlineStr">
        <is>
          <t>CurrentWorkingView</t>
        </is>
      </c>
      <c r="H1659" t="inlineStr">
        <is>
          <t>Consensus - Final</t>
        </is>
      </c>
      <c r="I1659" t="n">
        <v>1002</v>
      </c>
      <c r="J1659" t="n">
        <v>412</v>
      </c>
      <c r="K1659" t="n">
        <v>593</v>
      </c>
      <c r="L1659" t="n">
        <v>456</v>
      </c>
      <c r="M1659" t="n">
        <v>2049</v>
      </c>
      <c r="N1659" t="n">
        <v>1337</v>
      </c>
      <c r="O1659" t="n">
        <v>496</v>
      </c>
      <c r="P1659" t="n">
        <v>460</v>
      </c>
      <c r="Q1659" t="n">
        <v>456</v>
      </c>
      <c r="R1659" t="n">
        <v>455</v>
      </c>
      <c r="S1659" t="n">
        <v>457</v>
      </c>
      <c r="T1659" t="n">
        <v>456</v>
      </c>
    </row>
    <row r="1660">
      <c r="A1660" t="inlineStr">
        <is>
          <t>Kylie Makeup</t>
        </is>
      </c>
      <c r="B1660" t="inlineStr">
        <is>
          <t>Lips (01245)</t>
        </is>
      </c>
      <c r="C1660" t="inlineStr">
        <is>
          <t>Kylie Plumping Gloss (00006105)</t>
        </is>
      </c>
      <c r="D1660" s="1" t="n">
        <v>4064941078081</v>
      </c>
      <c r="E1660" t="inlineStr">
        <is>
          <t>KJ MU PLMP GLS LG3.22ml 343ROC PLUMPG IV</t>
        </is>
      </c>
      <c r="F1660" t="inlineStr">
        <is>
          <t>P_US_ULTA</t>
        </is>
      </c>
      <c r="G1660" t="inlineStr">
        <is>
          <t>CurrentWorkingView</t>
        </is>
      </c>
      <c r="H1660" t="inlineStr">
        <is>
          <t>Supply Cuts</t>
        </is>
      </c>
    </row>
    <row r="1661">
      <c r="A1661" t="inlineStr">
        <is>
          <t>Kylie Makeup</t>
        </is>
      </c>
      <c r="B1661" t="inlineStr">
        <is>
          <t>Lips (01245)</t>
        </is>
      </c>
      <c r="C1661" t="inlineStr">
        <is>
          <t>Kylie Plumping Gloss (00006105)</t>
        </is>
      </c>
      <c r="D1661" s="1" t="n">
        <v>4064941078081</v>
      </c>
      <c r="E1661" t="inlineStr">
        <is>
          <t>KJ MU PLMP GLS LG3.22ml 343ROC PLUMPG IV</t>
        </is>
      </c>
      <c r="F1661" t="inlineStr">
        <is>
          <t>P_US_ULTA</t>
        </is>
      </c>
      <c r="G1661" t="inlineStr">
        <is>
          <t>Month-2026.M09.W38</t>
        </is>
      </c>
      <c r="H1661" t="inlineStr">
        <is>
          <t>Consensus - Final LY M</t>
        </is>
      </c>
      <c r="I1661" t="n">
        <v>1598</v>
      </c>
      <c r="J1661" t="n">
        <v>667</v>
      </c>
      <c r="K1661" t="n">
        <v>571</v>
      </c>
      <c r="L1661" t="n">
        <v>1262</v>
      </c>
      <c r="M1661" t="n">
        <v>1773</v>
      </c>
      <c r="N1661" t="n">
        <v>971</v>
      </c>
      <c r="O1661" t="n">
        <v>769</v>
      </c>
      <c r="P1661" t="n">
        <v>309</v>
      </c>
      <c r="Q1661" t="n">
        <v>1155</v>
      </c>
      <c r="R1661" t="n">
        <v>574</v>
      </c>
      <c r="S1661" t="n">
        <v>834</v>
      </c>
      <c r="T1661" t="n">
        <v>711</v>
      </c>
    </row>
    <row r="1662">
      <c r="A1662" t="inlineStr">
        <is>
          <t>Kylie Makeup</t>
        </is>
      </c>
      <c r="B1662" t="inlineStr">
        <is>
          <t>Lips (01245)</t>
        </is>
      </c>
      <c r="C1662" t="inlineStr">
        <is>
          <t>Kylie Plumping Gloss (00006105)</t>
        </is>
      </c>
      <c r="D1662" s="1" t="n">
        <v>4064941078081</v>
      </c>
      <c r="E1662" t="inlineStr">
        <is>
          <t>KJ MU PLMP GLS LG3.22ml 343ROC PLUMPG IV</t>
        </is>
      </c>
      <c r="F1662" t="inlineStr">
        <is>
          <t>P_US_ULTA</t>
        </is>
      </c>
      <c r="G1662" t="inlineStr">
        <is>
          <t>Month-2026.M09.W38</t>
        </is>
      </c>
      <c r="H1662" t="inlineStr">
        <is>
          <t>System FC - Final</t>
        </is>
      </c>
      <c r="I1662" t="n">
        <v>1002</v>
      </c>
      <c r="J1662" t="n">
        <v>412</v>
      </c>
      <c r="K1662" t="n">
        <v>724</v>
      </c>
      <c r="L1662" t="n">
        <v>341</v>
      </c>
      <c r="M1662" t="n">
        <v>1680</v>
      </c>
      <c r="N1662" t="n">
        <v>1063</v>
      </c>
      <c r="O1662" t="n">
        <v>340</v>
      </c>
      <c r="P1662" t="n">
        <v>340</v>
      </c>
      <c r="Q1662" t="n">
        <v>340</v>
      </c>
      <c r="R1662" t="n">
        <v>343</v>
      </c>
      <c r="S1662" t="n">
        <v>341</v>
      </c>
      <c r="T1662" t="n">
        <v>489</v>
      </c>
    </row>
    <row r="1663">
      <c r="A1663" t="inlineStr">
        <is>
          <t>Kylie Makeup</t>
        </is>
      </c>
      <c r="B1663" t="inlineStr">
        <is>
          <t>Lips (01245)</t>
        </is>
      </c>
      <c r="C1663" t="inlineStr">
        <is>
          <t>Kylie Plumping Gloss (00006105)</t>
        </is>
      </c>
      <c r="D1663" s="1" t="n">
        <v>4064941078081</v>
      </c>
      <c r="E1663" t="inlineStr">
        <is>
          <t>KJ MU PLMP GLS LG3.22ml 343ROC PLUMPG IV</t>
        </is>
      </c>
      <c r="F1663" t="inlineStr">
        <is>
          <t>P_US_ULTA</t>
        </is>
      </c>
      <c r="G1663" t="inlineStr">
        <is>
          <t>Month-2026.M09.W38</t>
        </is>
      </c>
      <c r="H1663" t="inlineStr">
        <is>
          <t>EPOS</t>
        </is>
      </c>
      <c r="I1663" t="n">
        <v>1059</v>
      </c>
    </row>
    <row r="1664">
      <c r="A1664" t="inlineStr">
        <is>
          <t>Kylie Makeup</t>
        </is>
      </c>
      <c r="B1664" t="inlineStr">
        <is>
          <t>Lips (01245)</t>
        </is>
      </c>
      <c r="C1664" t="inlineStr">
        <is>
          <t>Kylie Plumping Gloss (00006105)</t>
        </is>
      </c>
      <c r="D1664" s="1" t="n">
        <v>4064941078081</v>
      </c>
      <c r="E1664" t="inlineStr">
        <is>
          <t>KJ MU PLMP GLS LG3.22ml 343ROC PLUMPG IV</t>
        </is>
      </c>
      <c r="F1664" t="inlineStr">
        <is>
          <t>P_US_ULTA</t>
        </is>
      </c>
      <c r="G1664" t="inlineStr">
        <is>
          <t>Month-2026.M09.W38</t>
        </is>
      </c>
      <c r="H1664" t="inlineStr">
        <is>
          <t>Reasonability Adjustment</t>
        </is>
      </c>
    </row>
    <row r="1665">
      <c r="A1665" t="inlineStr">
        <is>
          <t>Kylie Makeup</t>
        </is>
      </c>
      <c r="B1665" t="inlineStr">
        <is>
          <t>Lips (01245)</t>
        </is>
      </c>
      <c r="C1665" t="inlineStr">
        <is>
          <t>Kylie Plumping Gloss (00006105)</t>
        </is>
      </c>
      <c r="D1665" s="1" t="n">
        <v>4064941078081</v>
      </c>
      <c r="E1665" t="inlineStr">
        <is>
          <t>KJ MU PLMP GLS LG3.22ml 343ROC PLUMPG IV</t>
        </is>
      </c>
      <c r="F1665" t="inlineStr">
        <is>
          <t>P_US_ULTA</t>
        </is>
      </c>
      <c r="G1665" t="inlineStr">
        <is>
          <t>Month-2026.M09.W38</t>
        </is>
      </c>
      <c r="H1665" t="inlineStr">
        <is>
          <t>Total Demand Assumption</t>
        </is>
      </c>
    </row>
    <row r="1666">
      <c r="A1666" t="inlineStr">
        <is>
          <t>Kylie Makeup</t>
        </is>
      </c>
      <c r="B1666" t="inlineStr">
        <is>
          <t>Lips (01245)</t>
        </is>
      </c>
      <c r="C1666" t="inlineStr">
        <is>
          <t>Kylie Plumping Gloss (00006105)</t>
        </is>
      </c>
      <c r="D1666" s="1" t="n">
        <v>4064941078081</v>
      </c>
      <c r="E1666" t="inlineStr">
        <is>
          <t>KJ MU PLMP GLS LG3.22ml 343ROC PLUMPG IV</t>
        </is>
      </c>
      <c r="F1666" t="inlineStr">
        <is>
          <t>P_US_ULTA</t>
        </is>
      </c>
      <c r="G1666" t="inlineStr">
        <is>
          <t>Month-2026.M09.W38</t>
        </is>
      </c>
      <c r="H1666" t="inlineStr">
        <is>
          <t>Consensus - Final</t>
        </is>
      </c>
      <c r="I1666" t="n">
        <v>1002</v>
      </c>
      <c r="J1666" t="n">
        <v>412</v>
      </c>
      <c r="K1666" t="n">
        <v>593</v>
      </c>
      <c r="L1666" t="n">
        <v>341</v>
      </c>
      <c r="M1666" t="n">
        <v>1680</v>
      </c>
      <c r="N1666" t="n">
        <v>1063</v>
      </c>
      <c r="O1666" t="n">
        <v>340</v>
      </c>
      <c r="P1666" t="n">
        <v>340</v>
      </c>
      <c r="Q1666" t="n">
        <v>340</v>
      </c>
      <c r="R1666" t="n">
        <v>343</v>
      </c>
      <c r="S1666" t="n">
        <v>341</v>
      </c>
      <c r="T1666" t="n">
        <v>489</v>
      </c>
    </row>
    <row r="1667">
      <c r="A1667" t="inlineStr">
        <is>
          <t>Kylie Makeup</t>
        </is>
      </c>
      <c r="B1667" t="inlineStr">
        <is>
          <t>Lips (01245)</t>
        </is>
      </c>
      <c r="C1667" t="inlineStr">
        <is>
          <t>Kylie Plumping Gloss (00006105)</t>
        </is>
      </c>
      <c r="D1667" s="1" t="n">
        <v>4064941078081</v>
      </c>
      <c r="E1667" t="inlineStr">
        <is>
          <t>KJ MU PLMP GLS LG3.22ml 343ROC PLUMPG IV</t>
        </is>
      </c>
      <c r="F1667" t="inlineStr">
        <is>
          <t>P_US_ULTA</t>
        </is>
      </c>
      <c r="G1667" t="inlineStr">
        <is>
          <t>Month-2026.M09.W38</t>
        </is>
      </c>
      <c r="H1667" t="inlineStr">
        <is>
          <t>Supply Cuts</t>
        </is>
      </c>
    </row>
    <row r="1668">
      <c r="A1668" t="inlineStr">
        <is>
          <t>Kylie Makeup</t>
        </is>
      </c>
      <c r="B1668" t="inlineStr">
        <is>
          <t>Lips (01245)</t>
        </is>
      </c>
      <c r="C1668" t="inlineStr">
        <is>
          <t>Kylie Plumping Gloss (00006105)</t>
        </is>
      </c>
      <c r="D1668" s="1" t="n">
        <v>4064941078098</v>
      </c>
      <c r="E1668" t="inlineStr">
        <is>
          <t>KJ MU PLMP GLS LG3.22ml 618CHM PLUMPG IV</t>
        </is>
      </c>
      <c r="F1668" t="inlineStr">
        <is>
          <t>P_US_FG</t>
        </is>
      </c>
      <c r="G1668" t="inlineStr">
        <is>
          <t>CurrentWorkingView</t>
        </is>
      </c>
      <c r="H1668" t="inlineStr">
        <is>
          <t>Consensus - Final LY M</t>
        </is>
      </c>
      <c r="Q1668" t="n">
        <v>5</v>
      </c>
    </row>
    <row r="1669">
      <c r="A1669" t="inlineStr">
        <is>
          <t>Kylie Makeup</t>
        </is>
      </c>
      <c r="B1669" t="inlineStr">
        <is>
          <t>Lips (01245)</t>
        </is>
      </c>
      <c r="C1669" t="inlineStr">
        <is>
          <t>Kylie Plumping Gloss (00006105)</t>
        </is>
      </c>
      <c r="D1669" s="1" t="n">
        <v>4064941078098</v>
      </c>
      <c r="E1669" t="inlineStr">
        <is>
          <t>KJ MU PLMP GLS LG3.22ml 618CHM PLUMPG IV</t>
        </is>
      </c>
      <c r="F1669" t="inlineStr">
        <is>
          <t>P_US_FG</t>
        </is>
      </c>
      <c r="G1669" t="inlineStr">
        <is>
          <t>CurrentWorkingView</t>
        </is>
      </c>
      <c r="H1669" t="inlineStr">
        <is>
          <t>System FC - Final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Kylie Makeup</t>
        </is>
      </c>
      <c r="B1670" t="inlineStr">
        <is>
          <t>Lips (01245)</t>
        </is>
      </c>
      <c r="C1670" t="inlineStr">
        <is>
          <t>Kylie Plumping Gloss (00006105)</t>
        </is>
      </c>
      <c r="D1670" s="1" t="n">
        <v>4064941078098</v>
      </c>
      <c r="E1670" t="inlineStr">
        <is>
          <t>KJ MU PLMP GLS LG3.22ml 618CHM PLUMPG IV</t>
        </is>
      </c>
      <c r="F1670" t="inlineStr">
        <is>
          <t>P_US_FG</t>
        </is>
      </c>
      <c r="G1670" t="inlineStr">
        <is>
          <t>CurrentWorkingView</t>
        </is>
      </c>
      <c r="H1670" t="inlineStr">
        <is>
          <t>EPOS</t>
        </is>
      </c>
    </row>
    <row r="1671">
      <c r="A1671" t="inlineStr">
        <is>
          <t>Kylie Makeup</t>
        </is>
      </c>
      <c r="B1671" t="inlineStr">
        <is>
          <t>Lips (01245)</t>
        </is>
      </c>
      <c r="C1671" t="inlineStr">
        <is>
          <t>Kylie Plumping Gloss (00006105)</t>
        </is>
      </c>
      <c r="D1671" s="1" t="n">
        <v>4064941078098</v>
      </c>
      <c r="E1671" t="inlineStr">
        <is>
          <t>KJ MU PLMP GLS LG3.22ml 618CHM PLUMPG IV</t>
        </is>
      </c>
      <c r="F1671" t="inlineStr">
        <is>
          <t>P_US_FG</t>
        </is>
      </c>
      <c r="G1671" t="inlineStr">
        <is>
          <t>CurrentWorkingView</t>
        </is>
      </c>
      <c r="H1671" t="inlineStr">
        <is>
          <t>Reasonability Adjustment</t>
        </is>
      </c>
    </row>
    <row r="1672">
      <c r="A1672" t="inlineStr">
        <is>
          <t>Kylie Makeup</t>
        </is>
      </c>
      <c r="B1672" t="inlineStr">
        <is>
          <t>Lips (01245)</t>
        </is>
      </c>
      <c r="C1672" t="inlineStr">
        <is>
          <t>Kylie Plumping Gloss (00006105)</t>
        </is>
      </c>
      <c r="D1672" s="1" t="n">
        <v>4064941078098</v>
      </c>
      <c r="E1672" t="inlineStr">
        <is>
          <t>KJ MU PLMP GLS LG3.22ml 618CHM PLUMPG IV</t>
        </is>
      </c>
      <c r="F1672" t="inlineStr">
        <is>
          <t>P_US_FG</t>
        </is>
      </c>
      <c r="G1672" t="inlineStr">
        <is>
          <t>CurrentWorkingView</t>
        </is>
      </c>
      <c r="H1672" t="inlineStr">
        <is>
          <t>Total Demand Assumption</t>
        </is>
      </c>
    </row>
    <row r="1673">
      <c r="A1673" t="inlineStr">
        <is>
          <t>Kylie Makeup</t>
        </is>
      </c>
      <c r="B1673" t="inlineStr">
        <is>
          <t>Lips (01245)</t>
        </is>
      </c>
      <c r="C1673" t="inlineStr">
        <is>
          <t>Kylie Plumping Gloss (00006105)</t>
        </is>
      </c>
      <c r="D1673" s="1" t="n">
        <v>4064941078098</v>
      </c>
      <c r="E1673" t="inlineStr">
        <is>
          <t>KJ MU PLMP GLS LG3.22ml 618CHM PLUMPG IV</t>
        </is>
      </c>
      <c r="F1673" t="inlineStr">
        <is>
          <t>P_US_FG</t>
        </is>
      </c>
      <c r="G1673" t="inlineStr">
        <is>
          <t>CurrentWorkingView</t>
        </is>
      </c>
      <c r="H1673" t="inlineStr">
        <is>
          <t>Consensus - Final</t>
        </is>
      </c>
      <c r="K1673" t="n">
        <v>0</v>
      </c>
    </row>
    <row r="1674">
      <c r="A1674" t="inlineStr">
        <is>
          <t>Kylie Makeup</t>
        </is>
      </c>
      <c r="B1674" t="inlineStr">
        <is>
          <t>Lips (01245)</t>
        </is>
      </c>
      <c r="C1674" t="inlineStr">
        <is>
          <t>Kylie Plumping Gloss (00006105)</t>
        </is>
      </c>
      <c r="D1674" s="1" t="n">
        <v>4064941078098</v>
      </c>
      <c r="E1674" t="inlineStr">
        <is>
          <t>KJ MU PLMP GLS LG3.22ml 618CHM PLUMPG IV</t>
        </is>
      </c>
      <c r="F1674" t="inlineStr">
        <is>
          <t>P_US_FG</t>
        </is>
      </c>
      <c r="G1674" t="inlineStr">
        <is>
          <t>CurrentWorkingView</t>
        </is>
      </c>
      <c r="H1674" t="inlineStr">
        <is>
          <t>Supply Cuts</t>
        </is>
      </c>
    </row>
    <row r="1675">
      <c r="A1675" t="inlineStr">
        <is>
          <t>Kylie Makeup</t>
        </is>
      </c>
      <c r="B1675" t="inlineStr">
        <is>
          <t>Lips (01245)</t>
        </is>
      </c>
      <c r="C1675" t="inlineStr">
        <is>
          <t>Kylie Plumping Gloss (00006105)</t>
        </is>
      </c>
      <c r="D1675" s="1" t="n">
        <v>4064941078098</v>
      </c>
      <c r="E1675" t="inlineStr">
        <is>
          <t>KJ MU PLMP GLS LG3.22ml 618CHM PLUMPG IV</t>
        </is>
      </c>
      <c r="F1675" t="inlineStr">
        <is>
          <t>P_US_FG</t>
        </is>
      </c>
      <c r="G1675" t="inlineStr">
        <is>
          <t>Month-2026.M09.W38</t>
        </is>
      </c>
      <c r="H1675" t="inlineStr">
        <is>
          <t>Consensus - Final LY M</t>
        </is>
      </c>
      <c r="Q1675" t="n">
        <v>5</v>
      </c>
    </row>
    <row r="1676">
      <c r="A1676" t="inlineStr">
        <is>
          <t>Kylie Makeup</t>
        </is>
      </c>
      <c r="B1676" t="inlineStr">
        <is>
          <t>Lips (01245)</t>
        </is>
      </c>
      <c r="C1676" t="inlineStr">
        <is>
          <t>Kylie Plumping Gloss (00006105)</t>
        </is>
      </c>
      <c r="D1676" s="1" t="n">
        <v>4064941078098</v>
      </c>
      <c r="E1676" t="inlineStr">
        <is>
          <t>KJ MU PLMP GLS LG3.22ml 618CHM PLUMPG IV</t>
        </is>
      </c>
      <c r="F1676" t="inlineStr">
        <is>
          <t>P_US_FG</t>
        </is>
      </c>
      <c r="G1676" t="inlineStr">
        <is>
          <t>Month-2026.M09.W38</t>
        </is>
      </c>
      <c r="H1676" t="inlineStr">
        <is>
          <t>System FC - Final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inlineStr">
        <is>
          <t>Kylie Makeup</t>
        </is>
      </c>
      <c r="B1677" t="inlineStr">
        <is>
          <t>Lips (01245)</t>
        </is>
      </c>
      <c r="C1677" t="inlineStr">
        <is>
          <t>Kylie Plumping Gloss (00006105)</t>
        </is>
      </c>
      <c r="D1677" s="1" t="n">
        <v>4064941078098</v>
      </c>
      <c r="E1677" t="inlineStr">
        <is>
          <t>KJ MU PLMP GLS LG3.22ml 618CHM PLUMPG IV</t>
        </is>
      </c>
      <c r="F1677" t="inlineStr">
        <is>
          <t>P_US_FG</t>
        </is>
      </c>
      <c r="G1677" t="inlineStr">
        <is>
          <t>Month-2026.M09.W38</t>
        </is>
      </c>
      <c r="H1677" t="inlineStr">
        <is>
          <t>EPOS</t>
        </is>
      </c>
    </row>
    <row r="1678">
      <c r="A1678" t="inlineStr">
        <is>
          <t>Kylie Makeup</t>
        </is>
      </c>
      <c r="B1678" t="inlineStr">
        <is>
          <t>Lips (01245)</t>
        </is>
      </c>
      <c r="C1678" t="inlineStr">
        <is>
          <t>Kylie Plumping Gloss (00006105)</t>
        </is>
      </c>
      <c r="D1678" s="1" t="n">
        <v>4064941078098</v>
      </c>
      <c r="E1678" t="inlineStr">
        <is>
          <t>KJ MU PLMP GLS LG3.22ml 618CHM PLUMPG IV</t>
        </is>
      </c>
      <c r="F1678" t="inlineStr">
        <is>
          <t>P_US_FG</t>
        </is>
      </c>
      <c r="G1678" t="inlineStr">
        <is>
          <t>Month-2026.M09.W38</t>
        </is>
      </c>
      <c r="H1678" t="inlineStr">
        <is>
          <t>Reasonability Adjustment</t>
        </is>
      </c>
    </row>
    <row r="1679">
      <c r="A1679" t="inlineStr">
        <is>
          <t>Kylie Makeup</t>
        </is>
      </c>
      <c r="B1679" t="inlineStr">
        <is>
          <t>Lips (01245)</t>
        </is>
      </c>
      <c r="C1679" t="inlineStr">
        <is>
          <t>Kylie Plumping Gloss (00006105)</t>
        </is>
      </c>
      <c r="D1679" s="1" t="n">
        <v>4064941078098</v>
      </c>
      <c r="E1679" t="inlineStr">
        <is>
          <t>KJ MU PLMP GLS LG3.22ml 618CHM PLUMPG IV</t>
        </is>
      </c>
      <c r="F1679" t="inlineStr">
        <is>
          <t>P_US_FG</t>
        </is>
      </c>
      <c r="G1679" t="inlineStr">
        <is>
          <t>Month-2026.M09.W38</t>
        </is>
      </c>
      <c r="H1679" t="inlineStr">
        <is>
          <t>Total Demand Assumption</t>
        </is>
      </c>
    </row>
    <row r="1680">
      <c r="A1680" t="inlineStr">
        <is>
          <t>Kylie Makeup</t>
        </is>
      </c>
      <c r="B1680" t="inlineStr">
        <is>
          <t>Lips (01245)</t>
        </is>
      </c>
      <c r="C1680" t="inlineStr">
        <is>
          <t>Kylie Plumping Gloss (00006105)</t>
        </is>
      </c>
      <c r="D1680" s="1" t="n">
        <v>4064941078098</v>
      </c>
      <c r="E1680" t="inlineStr">
        <is>
          <t>KJ MU PLMP GLS LG3.22ml 618CHM PLUMPG IV</t>
        </is>
      </c>
      <c r="F1680" t="inlineStr">
        <is>
          <t>P_US_FG</t>
        </is>
      </c>
      <c r="G1680" t="inlineStr">
        <is>
          <t>Month-2026.M09.W38</t>
        </is>
      </c>
      <c r="H1680" t="inlineStr">
        <is>
          <t>Consensus - Final</t>
        </is>
      </c>
      <c r="K1680" t="n">
        <v>0</v>
      </c>
    </row>
    <row r="1681">
      <c r="A1681" t="inlineStr">
        <is>
          <t>Kylie Makeup</t>
        </is>
      </c>
      <c r="B1681" t="inlineStr">
        <is>
          <t>Lips (01245)</t>
        </is>
      </c>
      <c r="C1681" t="inlineStr">
        <is>
          <t>Kylie Plumping Gloss (00006105)</t>
        </is>
      </c>
      <c r="D1681" s="1" t="n">
        <v>4064941078098</v>
      </c>
      <c r="E1681" t="inlineStr">
        <is>
          <t>KJ MU PLMP GLS LG3.22ml 618CHM PLUMPG IV</t>
        </is>
      </c>
      <c r="F1681" t="inlineStr">
        <is>
          <t>P_US_FG</t>
        </is>
      </c>
      <c r="G1681" t="inlineStr">
        <is>
          <t>Month-2026.M09.W38</t>
        </is>
      </c>
      <c r="H1681" t="inlineStr">
        <is>
          <t>Supply Cuts</t>
        </is>
      </c>
    </row>
    <row r="1682">
      <c r="A1682" t="inlineStr">
        <is>
          <t>Kylie Makeup</t>
        </is>
      </c>
      <c r="B1682" t="inlineStr">
        <is>
          <t>Lips (01245)</t>
        </is>
      </c>
      <c r="C1682" t="inlineStr">
        <is>
          <t>Kylie Plumping Gloss (00006105)</t>
        </is>
      </c>
      <c r="D1682" s="1" t="n">
        <v>4064941078098</v>
      </c>
      <c r="E1682" t="inlineStr">
        <is>
          <t>KJ MU PLMP GLS LG3.22ml 618CHM PLUMPG IV</t>
        </is>
      </c>
      <c r="F1682" t="inlineStr">
        <is>
          <t>P_US_ULTA</t>
        </is>
      </c>
      <c r="G1682" t="inlineStr">
        <is>
          <t>CurrentWorkingView</t>
        </is>
      </c>
      <c r="H1682" t="inlineStr">
        <is>
          <t>Consensus - Final LY M</t>
        </is>
      </c>
      <c r="I1682" t="n">
        <v>1410</v>
      </c>
      <c r="J1682" t="n">
        <v>738</v>
      </c>
      <c r="K1682" t="n">
        <v>631</v>
      </c>
      <c r="L1682" t="n">
        <v>1119</v>
      </c>
      <c r="M1682" t="n">
        <v>1604</v>
      </c>
      <c r="N1682" t="n">
        <v>1211</v>
      </c>
      <c r="O1682" t="n">
        <v>591</v>
      </c>
      <c r="P1682" t="n">
        <v>260</v>
      </c>
      <c r="Q1682" t="n">
        <v>766</v>
      </c>
      <c r="R1682" t="n">
        <v>691</v>
      </c>
      <c r="S1682" t="n">
        <v>673</v>
      </c>
      <c r="T1682" t="n">
        <v>718</v>
      </c>
    </row>
    <row r="1683">
      <c r="A1683" t="inlineStr">
        <is>
          <t>Kylie Makeup</t>
        </is>
      </c>
      <c r="B1683" t="inlineStr">
        <is>
          <t>Lips (01245)</t>
        </is>
      </c>
      <c r="C1683" t="inlineStr">
        <is>
          <t>Kylie Plumping Gloss (00006105)</t>
        </is>
      </c>
      <c r="D1683" s="1" t="n">
        <v>4064941078098</v>
      </c>
      <c r="E1683" t="inlineStr">
        <is>
          <t>KJ MU PLMP GLS LG3.22ml 618CHM PLUMPG IV</t>
        </is>
      </c>
      <c r="F1683" t="inlineStr">
        <is>
          <t>P_US_ULTA</t>
        </is>
      </c>
      <c r="G1683" t="inlineStr">
        <is>
          <t>CurrentWorkingView</t>
        </is>
      </c>
      <c r="H1683" t="inlineStr">
        <is>
          <t>System FC - Final</t>
        </is>
      </c>
      <c r="I1683" t="n">
        <v>994</v>
      </c>
      <c r="J1683" t="n">
        <v>343</v>
      </c>
      <c r="K1683" t="n">
        <v>649</v>
      </c>
      <c r="L1683" t="n">
        <v>212</v>
      </c>
      <c r="M1683" t="n">
        <v>952</v>
      </c>
      <c r="N1683" t="n">
        <v>620</v>
      </c>
      <c r="O1683" t="n">
        <v>230</v>
      </c>
      <c r="P1683" t="n">
        <v>212</v>
      </c>
      <c r="Q1683" t="n">
        <v>212</v>
      </c>
      <c r="R1683" t="n">
        <v>213</v>
      </c>
      <c r="S1683" t="n">
        <v>213</v>
      </c>
      <c r="T1683" t="n">
        <v>213</v>
      </c>
    </row>
    <row r="1684">
      <c r="A1684" t="inlineStr">
        <is>
          <t>Kylie Makeup</t>
        </is>
      </c>
      <c r="B1684" t="inlineStr">
        <is>
          <t>Lips (01245)</t>
        </is>
      </c>
      <c r="C1684" t="inlineStr">
        <is>
          <t>Kylie Plumping Gloss (00006105)</t>
        </is>
      </c>
      <c r="D1684" s="1" t="n">
        <v>4064941078098</v>
      </c>
      <c r="E1684" t="inlineStr">
        <is>
          <t>KJ MU PLMP GLS LG3.22ml 618CHM PLUMPG IV</t>
        </is>
      </c>
      <c r="F1684" t="inlineStr">
        <is>
          <t>P_US_ULTA</t>
        </is>
      </c>
      <c r="G1684" t="inlineStr">
        <is>
          <t>CurrentWorkingView</t>
        </is>
      </c>
      <c r="H1684" t="inlineStr">
        <is>
          <t>EPOS</t>
        </is>
      </c>
      <c r="I1684" t="n">
        <v>943</v>
      </c>
    </row>
    <row r="1685">
      <c r="A1685" t="inlineStr">
        <is>
          <t>Kylie Makeup</t>
        </is>
      </c>
      <c r="B1685" t="inlineStr">
        <is>
          <t>Lips (01245)</t>
        </is>
      </c>
      <c r="C1685" t="inlineStr">
        <is>
          <t>Kylie Plumping Gloss (00006105)</t>
        </is>
      </c>
      <c r="D1685" s="1" t="n">
        <v>4064941078098</v>
      </c>
      <c r="E1685" t="inlineStr">
        <is>
          <t>KJ MU PLMP GLS LG3.22ml 618CHM PLUMPG IV</t>
        </is>
      </c>
      <c r="F1685" t="inlineStr">
        <is>
          <t>P_US_ULTA</t>
        </is>
      </c>
      <c r="G1685" t="inlineStr">
        <is>
          <t>CurrentWorkingView</t>
        </is>
      </c>
      <c r="H1685" t="inlineStr">
        <is>
          <t>Reasonability Adjustment</t>
        </is>
      </c>
    </row>
    <row r="1686">
      <c r="A1686" t="inlineStr">
        <is>
          <t>Kylie Makeup</t>
        </is>
      </c>
      <c r="B1686" t="inlineStr">
        <is>
          <t>Lips (01245)</t>
        </is>
      </c>
      <c r="C1686" t="inlineStr">
        <is>
          <t>Kylie Plumping Gloss (00006105)</t>
        </is>
      </c>
      <c r="D1686" s="1" t="n">
        <v>4064941078098</v>
      </c>
      <c r="E1686" t="inlineStr">
        <is>
          <t>KJ MU PLMP GLS LG3.22ml 618CHM PLUMPG IV</t>
        </is>
      </c>
      <c r="F1686" t="inlineStr">
        <is>
          <t>P_US_ULTA</t>
        </is>
      </c>
      <c r="G1686" t="inlineStr">
        <is>
          <t>CurrentWorkingView</t>
        </is>
      </c>
      <c r="H1686" t="inlineStr">
        <is>
          <t>Total Demand Assumption</t>
        </is>
      </c>
      <c r="J1686" t="n">
        <v>-417</v>
      </c>
    </row>
    <row r="1687">
      <c r="A1687" t="inlineStr">
        <is>
          <t>Kylie Makeup</t>
        </is>
      </c>
      <c r="B1687" t="inlineStr">
        <is>
          <t>Lips (01245)</t>
        </is>
      </c>
      <c r="C1687" t="inlineStr">
        <is>
          <t>Kylie Plumping Gloss (00006105)</t>
        </is>
      </c>
      <c r="D1687" s="1" t="n">
        <v>4064941078098</v>
      </c>
      <c r="E1687" t="inlineStr">
        <is>
          <t>KJ MU PLMP GLS LG3.22ml 618CHM PLUMPG IV</t>
        </is>
      </c>
      <c r="F1687" t="inlineStr">
        <is>
          <t>P_US_ULTA</t>
        </is>
      </c>
      <c r="G1687" t="inlineStr">
        <is>
          <t>CurrentWorkingView</t>
        </is>
      </c>
      <c r="H1687" t="inlineStr">
        <is>
          <t>Consensus - Final</t>
        </is>
      </c>
      <c r="I1687" t="n">
        <v>994</v>
      </c>
      <c r="J1687" t="n">
        <v>343</v>
      </c>
      <c r="K1687" t="n">
        <v>649</v>
      </c>
      <c r="L1687" t="n">
        <v>212</v>
      </c>
      <c r="M1687" t="n">
        <v>952</v>
      </c>
      <c r="N1687" t="n">
        <v>620</v>
      </c>
      <c r="O1687" t="n">
        <v>230</v>
      </c>
      <c r="P1687" t="n">
        <v>212</v>
      </c>
      <c r="Q1687" t="n">
        <v>212</v>
      </c>
      <c r="R1687" t="n">
        <v>213</v>
      </c>
      <c r="S1687" t="n">
        <v>213</v>
      </c>
      <c r="T1687" t="n">
        <v>213</v>
      </c>
    </row>
    <row r="1688">
      <c r="A1688" t="inlineStr">
        <is>
          <t>Kylie Makeup</t>
        </is>
      </c>
      <c r="B1688" t="inlineStr">
        <is>
          <t>Lips (01245)</t>
        </is>
      </c>
      <c r="C1688" t="inlineStr">
        <is>
          <t>Kylie Plumping Gloss (00006105)</t>
        </is>
      </c>
      <c r="D1688" s="1" t="n">
        <v>4064941078098</v>
      </c>
      <c r="E1688" t="inlineStr">
        <is>
          <t>KJ MU PLMP GLS LG3.22ml 618CHM PLUMPG IV</t>
        </is>
      </c>
      <c r="F1688" t="inlineStr">
        <is>
          <t>P_US_ULTA</t>
        </is>
      </c>
      <c r="G1688" t="inlineStr">
        <is>
          <t>CurrentWorkingView</t>
        </is>
      </c>
      <c r="H1688" t="inlineStr">
        <is>
          <t>Supply Cuts</t>
        </is>
      </c>
    </row>
    <row r="1689">
      <c r="A1689" t="inlineStr">
        <is>
          <t>Kylie Makeup</t>
        </is>
      </c>
      <c r="B1689" t="inlineStr">
        <is>
          <t>Lips (01245)</t>
        </is>
      </c>
      <c r="C1689" t="inlineStr">
        <is>
          <t>Kylie Plumping Gloss (00006105)</t>
        </is>
      </c>
      <c r="D1689" s="1" t="n">
        <v>4064941078098</v>
      </c>
      <c r="E1689" t="inlineStr">
        <is>
          <t>KJ MU PLMP GLS LG3.22ml 618CHM PLUMPG IV</t>
        </is>
      </c>
      <c r="F1689" t="inlineStr">
        <is>
          <t>P_US_ULTA</t>
        </is>
      </c>
      <c r="G1689" t="inlineStr">
        <is>
          <t>Month-2026.M09.W38</t>
        </is>
      </c>
      <c r="H1689" t="inlineStr">
        <is>
          <t>Consensus - Final LY M</t>
        </is>
      </c>
      <c r="I1689" t="n">
        <v>1410</v>
      </c>
      <c r="J1689" t="n">
        <v>738</v>
      </c>
      <c r="K1689" t="n">
        <v>631</v>
      </c>
      <c r="L1689" t="n">
        <v>1119</v>
      </c>
      <c r="M1689" t="n">
        <v>1604</v>
      </c>
      <c r="N1689" t="n">
        <v>1211</v>
      </c>
      <c r="O1689" t="n">
        <v>591</v>
      </c>
      <c r="P1689" t="n">
        <v>260</v>
      </c>
      <c r="Q1689" t="n">
        <v>766</v>
      </c>
      <c r="R1689" t="n">
        <v>691</v>
      </c>
      <c r="S1689" t="n">
        <v>673</v>
      </c>
      <c r="T1689" t="n">
        <v>718</v>
      </c>
    </row>
    <row r="1690">
      <c r="A1690" t="inlineStr">
        <is>
          <t>Kylie Makeup</t>
        </is>
      </c>
      <c r="B1690" t="inlineStr">
        <is>
          <t>Lips (01245)</t>
        </is>
      </c>
      <c r="C1690" t="inlineStr">
        <is>
          <t>Kylie Plumping Gloss (00006105)</t>
        </is>
      </c>
      <c r="D1690" s="1" t="n">
        <v>4064941078098</v>
      </c>
      <c r="E1690" t="inlineStr">
        <is>
          <t>KJ MU PLMP GLS LG3.22ml 618CHM PLUMPG IV</t>
        </is>
      </c>
      <c r="F1690" t="inlineStr">
        <is>
          <t>P_US_ULTA</t>
        </is>
      </c>
      <c r="G1690" t="inlineStr">
        <is>
          <t>Month-2026.M09.W38</t>
        </is>
      </c>
      <c r="H1690" t="inlineStr">
        <is>
          <t>System FC - Final</t>
        </is>
      </c>
      <c r="I1690" t="n">
        <v>994</v>
      </c>
      <c r="J1690" t="n">
        <v>343</v>
      </c>
      <c r="K1690" t="n">
        <v>765</v>
      </c>
      <c r="L1690" t="n">
        <v>300</v>
      </c>
      <c r="M1690" t="n">
        <v>1482</v>
      </c>
      <c r="N1690" t="n">
        <v>939</v>
      </c>
      <c r="O1690" t="n">
        <v>301</v>
      </c>
      <c r="P1690" t="n">
        <v>300</v>
      </c>
      <c r="Q1690" t="n">
        <v>301</v>
      </c>
      <c r="R1690" t="n">
        <v>300</v>
      </c>
      <c r="S1690" t="n">
        <v>301</v>
      </c>
      <c r="T1690" t="n">
        <v>433</v>
      </c>
    </row>
    <row r="1691">
      <c r="A1691" t="inlineStr">
        <is>
          <t>Kylie Makeup</t>
        </is>
      </c>
      <c r="B1691" t="inlineStr">
        <is>
          <t>Lips (01245)</t>
        </is>
      </c>
      <c r="C1691" t="inlineStr">
        <is>
          <t>Kylie Plumping Gloss (00006105)</t>
        </is>
      </c>
      <c r="D1691" s="1" t="n">
        <v>4064941078098</v>
      </c>
      <c r="E1691" t="inlineStr">
        <is>
          <t>KJ MU PLMP GLS LG3.22ml 618CHM PLUMPG IV</t>
        </is>
      </c>
      <c r="F1691" t="inlineStr">
        <is>
          <t>P_US_ULTA</t>
        </is>
      </c>
      <c r="G1691" t="inlineStr">
        <is>
          <t>Month-2026.M09.W38</t>
        </is>
      </c>
      <c r="H1691" t="inlineStr">
        <is>
          <t>EPOS</t>
        </is>
      </c>
      <c r="I1691" t="n">
        <v>943</v>
      </c>
    </row>
    <row r="1692">
      <c r="A1692" t="inlineStr">
        <is>
          <t>Kylie Makeup</t>
        </is>
      </c>
      <c r="B1692" t="inlineStr">
        <is>
          <t>Lips (01245)</t>
        </is>
      </c>
      <c r="C1692" t="inlineStr">
        <is>
          <t>Kylie Plumping Gloss (00006105)</t>
        </is>
      </c>
      <c r="D1692" s="1" t="n">
        <v>4064941078098</v>
      </c>
      <c r="E1692" t="inlineStr">
        <is>
          <t>KJ MU PLMP GLS LG3.22ml 618CHM PLUMPG IV</t>
        </is>
      </c>
      <c r="F1692" t="inlineStr">
        <is>
          <t>P_US_ULTA</t>
        </is>
      </c>
      <c r="G1692" t="inlineStr">
        <is>
          <t>Month-2026.M09.W38</t>
        </is>
      </c>
      <c r="H1692" t="inlineStr">
        <is>
          <t>Reasonability Adjustment</t>
        </is>
      </c>
    </row>
    <row r="1693">
      <c r="A1693" t="inlineStr">
        <is>
          <t>Kylie Makeup</t>
        </is>
      </c>
      <c r="B1693" t="inlineStr">
        <is>
          <t>Lips (01245)</t>
        </is>
      </c>
      <c r="C1693" t="inlineStr">
        <is>
          <t>Kylie Plumping Gloss (00006105)</t>
        </is>
      </c>
      <c r="D1693" s="1" t="n">
        <v>4064941078098</v>
      </c>
      <c r="E1693" t="inlineStr">
        <is>
          <t>KJ MU PLMP GLS LG3.22ml 618CHM PLUMPG IV</t>
        </is>
      </c>
      <c r="F1693" t="inlineStr">
        <is>
          <t>P_US_ULTA</t>
        </is>
      </c>
      <c r="G1693" t="inlineStr">
        <is>
          <t>Month-2026.M09.W38</t>
        </is>
      </c>
      <c r="H1693" t="inlineStr">
        <is>
          <t>Total Demand Assumption</t>
        </is>
      </c>
      <c r="J1693" t="n">
        <v>-417</v>
      </c>
    </row>
    <row r="1694">
      <c r="A1694" t="inlineStr">
        <is>
          <t>Kylie Makeup</t>
        </is>
      </c>
      <c r="B1694" t="inlineStr">
        <is>
          <t>Lips (01245)</t>
        </is>
      </c>
      <c r="C1694" t="inlineStr">
        <is>
          <t>Kylie Plumping Gloss (00006105)</t>
        </is>
      </c>
      <c r="D1694" s="1" t="n">
        <v>4064941078098</v>
      </c>
      <c r="E1694" t="inlineStr">
        <is>
          <t>KJ MU PLMP GLS LG3.22ml 618CHM PLUMPG IV</t>
        </is>
      </c>
      <c r="F1694" t="inlineStr">
        <is>
          <t>P_US_ULTA</t>
        </is>
      </c>
      <c r="G1694" t="inlineStr">
        <is>
          <t>Month-2026.M09.W38</t>
        </is>
      </c>
      <c r="H1694" t="inlineStr">
        <is>
          <t>Consensus - Final</t>
        </is>
      </c>
      <c r="I1694" t="n">
        <v>994</v>
      </c>
      <c r="J1694" t="n">
        <v>343</v>
      </c>
      <c r="K1694" t="n">
        <v>649</v>
      </c>
      <c r="L1694" t="n">
        <v>300</v>
      </c>
      <c r="M1694" t="n">
        <v>1482</v>
      </c>
      <c r="N1694" t="n">
        <v>939</v>
      </c>
      <c r="O1694" t="n">
        <v>301</v>
      </c>
      <c r="P1694" t="n">
        <v>300</v>
      </c>
      <c r="Q1694" t="n">
        <v>301</v>
      </c>
      <c r="R1694" t="n">
        <v>300</v>
      </c>
      <c r="S1694" t="n">
        <v>301</v>
      </c>
      <c r="T1694" t="n">
        <v>433</v>
      </c>
    </row>
    <row r="1695">
      <c r="A1695" t="inlineStr">
        <is>
          <t>Kylie Makeup</t>
        </is>
      </c>
      <c r="B1695" t="inlineStr">
        <is>
          <t>Lips (01245)</t>
        </is>
      </c>
      <c r="C1695" t="inlineStr">
        <is>
          <t>Kylie Plumping Gloss (00006105)</t>
        </is>
      </c>
      <c r="D1695" s="1" t="n">
        <v>4064941078098</v>
      </c>
      <c r="E1695" t="inlineStr">
        <is>
          <t>KJ MU PLMP GLS LG3.22ml 618CHM PLUMPG IV</t>
        </is>
      </c>
      <c r="F1695" t="inlineStr">
        <is>
          <t>P_US_ULTA</t>
        </is>
      </c>
      <c r="G1695" t="inlineStr">
        <is>
          <t>Month-2026.M09.W38</t>
        </is>
      </c>
      <c r="H1695" t="inlineStr">
        <is>
          <t>Supply Cuts</t>
        </is>
      </c>
    </row>
    <row r="1696">
      <c r="A1696" t="inlineStr">
        <is>
          <t>Kylie Makeup</t>
        </is>
      </c>
      <c r="B1696" t="inlineStr">
        <is>
          <t>Lips (01245)</t>
        </is>
      </c>
      <c r="C1696" t="inlineStr">
        <is>
          <t>Kylie Tinted butter balm (00006700)</t>
        </is>
      </c>
      <c r="D1696" s="1" t="n">
        <v>4064941088790</v>
      </c>
      <c r="E1696" t="inlineStr">
        <is>
          <t>KJ MU TNT BB LCAREM 2.4G SHES LVLY619 IV</t>
        </is>
      </c>
      <c r="F1696" t="inlineStr">
        <is>
          <t>P_US_ALL_OTHERS</t>
        </is>
      </c>
      <c r="G1696" t="inlineStr">
        <is>
          <t>CurrentWorkingView</t>
        </is>
      </c>
      <c r="H1696" t="inlineStr">
        <is>
          <t>Consensus - Final LY M</t>
        </is>
      </c>
      <c r="I1696" t="n">
        <v>108</v>
      </c>
      <c r="J1696" t="n">
        <v>104</v>
      </c>
      <c r="K1696" t="n">
        <v>199</v>
      </c>
      <c r="L1696" t="n">
        <v>64</v>
      </c>
      <c r="M1696" t="n">
        <v>64</v>
      </c>
      <c r="N1696" t="n">
        <v>88</v>
      </c>
      <c r="O1696" t="n">
        <v>48</v>
      </c>
      <c r="P1696" t="n">
        <v>127</v>
      </c>
      <c r="Q1696" t="n">
        <v>64</v>
      </c>
      <c r="R1696" t="n">
        <v>53</v>
      </c>
      <c r="S1696" t="n">
        <v>66</v>
      </c>
      <c r="T1696" t="n">
        <v>32</v>
      </c>
    </row>
    <row r="1697">
      <c r="A1697" t="inlineStr">
        <is>
          <t>Kylie Makeup</t>
        </is>
      </c>
      <c r="B1697" t="inlineStr">
        <is>
          <t>Lips (01245)</t>
        </is>
      </c>
      <c r="C1697" t="inlineStr">
        <is>
          <t>Kylie Tinted butter balm (00006700)</t>
        </is>
      </c>
      <c r="D1697" s="1" t="n">
        <v>4064941088790</v>
      </c>
      <c r="E1697" t="inlineStr">
        <is>
          <t>KJ MU TNT BB LCAREM 2.4G SHES LVLY619 IV</t>
        </is>
      </c>
      <c r="F1697" t="inlineStr">
        <is>
          <t>P_US_ALL_OTHERS</t>
        </is>
      </c>
      <c r="G1697" t="inlineStr">
        <is>
          <t>CurrentWorkingView</t>
        </is>
      </c>
      <c r="H1697" t="inlineStr">
        <is>
          <t>System FC - Final</t>
        </is>
      </c>
      <c r="I1697" t="n">
        <v>57</v>
      </c>
      <c r="J1697" t="n">
        <v>165</v>
      </c>
      <c r="K1697" t="n">
        <v>74</v>
      </c>
      <c r="L1697" t="n">
        <v>163</v>
      </c>
      <c r="M1697" t="n">
        <v>102</v>
      </c>
      <c r="N1697" t="n">
        <v>119</v>
      </c>
      <c r="O1697" t="n">
        <v>129</v>
      </c>
      <c r="P1697" t="n">
        <v>180</v>
      </c>
      <c r="Q1697" t="n">
        <v>160</v>
      </c>
      <c r="R1697" t="n">
        <v>129</v>
      </c>
      <c r="S1697" t="n">
        <v>147</v>
      </c>
      <c r="T1697" t="n">
        <v>132</v>
      </c>
    </row>
    <row r="1698">
      <c r="A1698" t="inlineStr">
        <is>
          <t>Kylie Makeup</t>
        </is>
      </c>
      <c r="B1698" t="inlineStr">
        <is>
          <t>Lips (01245)</t>
        </is>
      </c>
      <c r="C1698" t="inlineStr">
        <is>
          <t>Kylie Tinted butter balm (00006700)</t>
        </is>
      </c>
      <c r="D1698" s="1" t="n">
        <v>4064941088790</v>
      </c>
      <c r="E1698" t="inlineStr">
        <is>
          <t>KJ MU TNT BB LCAREM 2.4G SHES LVLY619 IV</t>
        </is>
      </c>
      <c r="F1698" t="inlineStr">
        <is>
          <t>P_US_ALL_OTHERS</t>
        </is>
      </c>
      <c r="G1698" t="inlineStr">
        <is>
          <t>CurrentWorkingView</t>
        </is>
      </c>
      <c r="H1698" t="inlineStr">
        <is>
          <t>EPOS</t>
        </is>
      </c>
      <c r="I1698" t="n">
        <v>155</v>
      </c>
    </row>
    <row r="1699">
      <c r="A1699" t="inlineStr">
        <is>
          <t>Kylie Makeup</t>
        </is>
      </c>
      <c r="B1699" t="inlineStr">
        <is>
          <t>Lips (01245)</t>
        </is>
      </c>
      <c r="C1699" t="inlineStr">
        <is>
          <t>Kylie Tinted butter balm (00006700)</t>
        </is>
      </c>
      <c r="D1699" s="1" t="n">
        <v>4064941088790</v>
      </c>
      <c r="E1699" t="inlineStr">
        <is>
          <t>KJ MU TNT BB LCAREM 2.4G SHES LVLY619 IV</t>
        </is>
      </c>
      <c r="F1699" t="inlineStr">
        <is>
          <t>P_US_ALL_OTHERS</t>
        </is>
      </c>
      <c r="G1699" t="inlineStr">
        <is>
          <t>CurrentWorkingView</t>
        </is>
      </c>
      <c r="H1699" t="inlineStr">
        <is>
          <t>Reasonability Adjustment</t>
        </is>
      </c>
    </row>
    <row r="1700">
      <c r="A1700" t="inlineStr">
        <is>
          <t>Kylie Makeup</t>
        </is>
      </c>
      <c r="B1700" t="inlineStr">
        <is>
          <t>Lips (01245)</t>
        </is>
      </c>
      <c r="C1700" t="inlineStr">
        <is>
          <t>Kylie Tinted butter balm (00006700)</t>
        </is>
      </c>
      <c r="D1700" s="1" t="n">
        <v>4064941088790</v>
      </c>
      <c r="E1700" t="inlineStr">
        <is>
          <t>KJ MU TNT BB LCAREM 2.4G SHES LVLY619 IV</t>
        </is>
      </c>
      <c r="F1700" t="inlineStr">
        <is>
          <t>P_US_ALL_OTHERS</t>
        </is>
      </c>
      <c r="G1700" t="inlineStr">
        <is>
          <t>CurrentWorkingView</t>
        </is>
      </c>
      <c r="H1700" t="inlineStr">
        <is>
          <t>Total Demand Assumption</t>
        </is>
      </c>
    </row>
    <row r="1701">
      <c r="A1701" t="inlineStr">
        <is>
          <t>Kylie Makeup</t>
        </is>
      </c>
      <c r="B1701" t="inlineStr">
        <is>
          <t>Lips (01245)</t>
        </is>
      </c>
      <c r="C1701" t="inlineStr">
        <is>
          <t>Kylie Tinted butter balm (00006700)</t>
        </is>
      </c>
      <c r="D1701" s="1" t="n">
        <v>4064941088790</v>
      </c>
      <c r="E1701" t="inlineStr">
        <is>
          <t>KJ MU TNT BB LCAREM 2.4G SHES LVLY619 IV</t>
        </is>
      </c>
      <c r="F1701" t="inlineStr">
        <is>
          <t>P_US_ALL_OTHERS</t>
        </is>
      </c>
      <c r="G1701" t="inlineStr">
        <is>
          <t>CurrentWorkingView</t>
        </is>
      </c>
      <c r="H1701" t="inlineStr">
        <is>
          <t>Consensus - Final</t>
        </is>
      </c>
      <c r="I1701" t="n">
        <v>57</v>
      </c>
      <c r="J1701" t="n">
        <v>165</v>
      </c>
      <c r="K1701" t="n">
        <v>82.7610619469026</v>
      </c>
      <c r="L1701" t="n">
        <v>163</v>
      </c>
      <c r="M1701" t="n">
        <v>102</v>
      </c>
      <c r="N1701" t="n">
        <v>119</v>
      </c>
      <c r="O1701" t="n">
        <v>129</v>
      </c>
      <c r="P1701" t="n">
        <v>180</v>
      </c>
      <c r="Q1701" t="n">
        <v>160</v>
      </c>
      <c r="R1701" t="n">
        <v>129</v>
      </c>
      <c r="S1701" t="n">
        <v>147</v>
      </c>
      <c r="T1701" t="n">
        <v>132</v>
      </c>
    </row>
    <row r="1702">
      <c r="A1702" t="inlineStr">
        <is>
          <t>Kylie Makeup</t>
        </is>
      </c>
      <c r="B1702" t="inlineStr">
        <is>
          <t>Lips (01245)</t>
        </is>
      </c>
      <c r="C1702" t="inlineStr">
        <is>
          <t>Kylie Tinted butter balm (00006700)</t>
        </is>
      </c>
      <c r="D1702" s="1" t="n">
        <v>4064941088790</v>
      </c>
      <c r="E1702" t="inlineStr">
        <is>
          <t>KJ MU TNT BB LCAREM 2.4G SHES LVLY619 IV</t>
        </is>
      </c>
      <c r="F1702" t="inlineStr">
        <is>
          <t>P_US_ALL_OTHERS</t>
        </is>
      </c>
      <c r="G1702" t="inlineStr">
        <is>
          <t>CurrentWorkingView</t>
        </is>
      </c>
      <c r="H1702" t="inlineStr">
        <is>
          <t>Supply Cuts</t>
        </is>
      </c>
    </row>
    <row r="1703">
      <c r="A1703" t="inlineStr">
        <is>
          <t>Kylie Makeup</t>
        </is>
      </c>
      <c r="B1703" t="inlineStr">
        <is>
          <t>Lips (01245)</t>
        </is>
      </c>
      <c r="C1703" t="inlineStr">
        <is>
          <t>Kylie Tinted butter balm (00006700)</t>
        </is>
      </c>
      <c r="D1703" s="1" t="n">
        <v>4064941088790</v>
      </c>
      <c r="E1703" t="inlineStr">
        <is>
          <t>KJ MU TNT BB LCAREM 2.4G SHES LVLY619 IV</t>
        </is>
      </c>
      <c r="F1703" t="inlineStr">
        <is>
          <t>P_US_ALL_OTHERS</t>
        </is>
      </c>
      <c r="G1703" t="inlineStr">
        <is>
          <t>Month-2026.M09.W38</t>
        </is>
      </c>
      <c r="H1703" t="inlineStr">
        <is>
          <t>Consensus - Final LY M</t>
        </is>
      </c>
      <c r="I1703" t="n">
        <v>108</v>
      </c>
      <c r="J1703" t="n">
        <v>104</v>
      </c>
      <c r="K1703" t="n">
        <v>199</v>
      </c>
      <c r="L1703" t="n">
        <v>64</v>
      </c>
      <c r="M1703" t="n">
        <v>64</v>
      </c>
      <c r="N1703" t="n">
        <v>88</v>
      </c>
      <c r="O1703" t="n">
        <v>48</v>
      </c>
      <c r="P1703" t="n">
        <v>127</v>
      </c>
      <c r="Q1703" t="n">
        <v>64</v>
      </c>
      <c r="R1703" t="n">
        <v>53</v>
      </c>
      <c r="S1703" t="n">
        <v>66</v>
      </c>
      <c r="T1703" t="n">
        <v>32</v>
      </c>
    </row>
    <row r="1704">
      <c r="A1704" t="inlineStr">
        <is>
          <t>Kylie Makeup</t>
        </is>
      </c>
      <c r="B1704" t="inlineStr">
        <is>
          <t>Lips (01245)</t>
        </is>
      </c>
      <c r="C1704" t="inlineStr">
        <is>
          <t>Kylie Tinted butter balm (00006700)</t>
        </is>
      </c>
      <c r="D1704" s="1" t="n">
        <v>4064941088790</v>
      </c>
      <c r="E1704" t="inlineStr">
        <is>
          <t>KJ MU TNT BB LCAREM 2.4G SHES LVLY619 IV</t>
        </is>
      </c>
      <c r="F1704" t="inlineStr">
        <is>
          <t>P_US_ALL_OTHERS</t>
        </is>
      </c>
      <c r="G1704" t="inlineStr">
        <is>
          <t>Month-2026.M09.W38</t>
        </is>
      </c>
      <c r="H1704" t="inlineStr">
        <is>
          <t>System FC - Final</t>
        </is>
      </c>
      <c r="I1704" t="n">
        <v>57</v>
      </c>
      <c r="J1704" t="n">
        <v>165</v>
      </c>
      <c r="K1704" t="n">
        <v>93</v>
      </c>
      <c r="L1704" t="n">
        <v>83</v>
      </c>
      <c r="M1704" t="n">
        <v>90</v>
      </c>
      <c r="N1704" t="n">
        <v>98</v>
      </c>
      <c r="O1704" t="n">
        <v>84</v>
      </c>
      <c r="P1704" t="n">
        <v>108</v>
      </c>
      <c r="Q1704" t="n">
        <v>71</v>
      </c>
      <c r="R1704" t="n">
        <v>133</v>
      </c>
      <c r="S1704" t="n">
        <v>173</v>
      </c>
      <c r="T1704" t="n">
        <v>189</v>
      </c>
    </row>
    <row r="1705">
      <c r="A1705" t="inlineStr">
        <is>
          <t>Kylie Makeup</t>
        </is>
      </c>
      <c r="B1705" t="inlineStr">
        <is>
          <t>Lips (01245)</t>
        </is>
      </c>
      <c r="C1705" t="inlineStr">
        <is>
          <t>Kylie Tinted butter balm (00006700)</t>
        </is>
      </c>
      <c r="D1705" s="1" t="n">
        <v>4064941088790</v>
      </c>
      <c r="E1705" t="inlineStr">
        <is>
          <t>KJ MU TNT BB LCAREM 2.4G SHES LVLY619 IV</t>
        </is>
      </c>
      <c r="F1705" t="inlineStr">
        <is>
          <t>P_US_ALL_OTHERS</t>
        </is>
      </c>
      <c r="G1705" t="inlineStr">
        <is>
          <t>Month-2026.M09.W38</t>
        </is>
      </c>
      <c r="H1705" t="inlineStr">
        <is>
          <t>EPOS</t>
        </is>
      </c>
      <c r="I1705" t="n">
        <v>155</v>
      </c>
    </row>
    <row r="1706">
      <c r="A1706" t="inlineStr">
        <is>
          <t>Kylie Makeup</t>
        </is>
      </c>
      <c r="B1706" t="inlineStr">
        <is>
          <t>Lips (01245)</t>
        </is>
      </c>
      <c r="C1706" t="inlineStr">
        <is>
          <t>Kylie Tinted butter balm (00006700)</t>
        </is>
      </c>
      <c r="D1706" s="1" t="n">
        <v>4064941088790</v>
      </c>
      <c r="E1706" t="inlineStr">
        <is>
          <t>KJ MU TNT BB LCAREM 2.4G SHES LVLY619 IV</t>
        </is>
      </c>
      <c r="F1706" t="inlineStr">
        <is>
          <t>P_US_ALL_OTHERS</t>
        </is>
      </c>
      <c r="G1706" t="inlineStr">
        <is>
          <t>Month-2026.M09.W38</t>
        </is>
      </c>
      <c r="H1706" t="inlineStr">
        <is>
          <t>Reasonability Adjustment</t>
        </is>
      </c>
    </row>
    <row r="1707">
      <c r="A1707" t="inlineStr">
        <is>
          <t>Kylie Makeup</t>
        </is>
      </c>
      <c r="B1707" t="inlineStr">
        <is>
          <t>Lips (01245)</t>
        </is>
      </c>
      <c r="C1707" t="inlineStr">
        <is>
          <t>Kylie Tinted butter balm (00006700)</t>
        </is>
      </c>
      <c r="D1707" s="1" t="n">
        <v>4064941088790</v>
      </c>
      <c r="E1707" t="inlineStr">
        <is>
          <t>KJ MU TNT BB LCAREM 2.4G SHES LVLY619 IV</t>
        </is>
      </c>
      <c r="F1707" t="inlineStr">
        <is>
          <t>P_US_ALL_OTHERS</t>
        </is>
      </c>
      <c r="G1707" t="inlineStr">
        <is>
          <t>Month-2026.M09.W38</t>
        </is>
      </c>
      <c r="H1707" t="inlineStr">
        <is>
          <t>Total Demand Assumption</t>
        </is>
      </c>
    </row>
    <row r="1708">
      <c r="A1708" t="inlineStr">
        <is>
          <t>Kylie Makeup</t>
        </is>
      </c>
      <c r="B1708" t="inlineStr">
        <is>
          <t>Lips (01245)</t>
        </is>
      </c>
      <c r="C1708" t="inlineStr">
        <is>
          <t>Kylie Tinted butter balm (00006700)</t>
        </is>
      </c>
      <c r="D1708" s="1" t="n">
        <v>4064941088790</v>
      </c>
      <c r="E1708" t="inlineStr">
        <is>
          <t>KJ MU TNT BB LCAREM 2.4G SHES LVLY619 IV</t>
        </is>
      </c>
      <c r="F1708" t="inlineStr">
        <is>
          <t>P_US_ALL_OTHERS</t>
        </is>
      </c>
      <c r="G1708" t="inlineStr">
        <is>
          <t>Month-2026.M09.W38</t>
        </is>
      </c>
      <c r="H1708" t="inlineStr">
        <is>
          <t>Consensus - Final</t>
        </is>
      </c>
      <c r="I1708" t="n">
        <v>57</v>
      </c>
      <c r="J1708" t="n">
        <v>165</v>
      </c>
      <c r="K1708" t="n">
        <v>82.7610619469026</v>
      </c>
      <c r="L1708" t="n">
        <v>83</v>
      </c>
      <c r="M1708" t="n">
        <v>90</v>
      </c>
      <c r="N1708" t="n">
        <v>98</v>
      </c>
      <c r="O1708" t="n">
        <v>84</v>
      </c>
      <c r="P1708" t="n">
        <v>108</v>
      </c>
      <c r="Q1708" t="n">
        <v>71</v>
      </c>
      <c r="R1708" t="n">
        <v>133</v>
      </c>
      <c r="S1708" t="n">
        <v>173</v>
      </c>
      <c r="T1708" t="n">
        <v>189</v>
      </c>
    </row>
    <row r="1709">
      <c r="A1709" t="inlineStr">
        <is>
          <t>Kylie Makeup</t>
        </is>
      </c>
      <c r="B1709" t="inlineStr">
        <is>
          <t>Lips (01245)</t>
        </is>
      </c>
      <c r="C1709" t="inlineStr">
        <is>
          <t>Kylie Tinted butter balm (00006700)</t>
        </is>
      </c>
      <c r="D1709" s="1" t="n">
        <v>4064941088790</v>
      </c>
      <c r="E1709" t="inlineStr">
        <is>
          <t>KJ MU TNT BB LCAREM 2.4G SHES LVLY619 IV</t>
        </is>
      </c>
      <c r="F1709" t="inlineStr">
        <is>
          <t>P_US_ALL_OTHERS</t>
        </is>
      </c>
      <c r="G1709" t="inlineStr">
        <is>
          <t>Month-2026.M09.W38</t>
        </is>
      </c>
      <c r="H1709" t="inlineStr">
        <is>
          <t>Supply Cuts</t>
        </is>
      </c>
    </row>
    <row r="1710">
      <c r="A1710" t="inlineStr">
        <is>
          <t>Kylie Makeup</t>
        </is>
      </c>
      <c r="B1710" t="inlineStr">
        <is>
          <t>Lips (01245)</t>
        </is>
      </c>
      <c r="C1710" t="inlineStr">
        <is>
          <t>Kylie Tinted butter balm (00006700)</t>
        </is>
      </c>
      <c r="D1710" s="1" t="n">
        <v>4064941088790</v>
      </c>
      <c r="E1710" t="inlineStr">
        <is>
          <t>KJ MU TNT BB LCAREM 2.4G SHES LVLY619 IV</t>
        </is>
      </c>
      <c r="F1710" t="inlineStr">
        <is>
          <t>P_US_FG</t>
        </is>
      </c>
      <c r="G1710" t="inlineStr">
        <is>
          <t>CurrentWorkingView</t>
        </is>
      </c>
      <c r="H1710" t="inlineStr">
        <is>
          <t>Consensus - Final LY M</t>
        </is>
      </c>
      <c r="L1710" t="n">
        <v>3</v>
      </c>
      <c r="Q1710" t="n">
        <v>1</v>
      </c>
    </row>
    <row r="1711">
      <c r="A1711" t="inlineStr">
        <is>
          <t>Kylie Makeup</t>
        </is>
      </c>
      <c r="B1711" t="inlineStr">
        <is>
          <t>Lips (01245)</t>
        </is>
      </c>
      <c r="C1711" t="inlineStr">
        <is>
          <t>Kylie Tinted butter balm (00006700)</t>
        </is>
      </c>
      <c r="D1711" s="1" t="n">
        <v>4064941088790</v>
      </c>
      <c r="E1711" t="inlineStr">
        <is>
          <t>KJ MU TNT BB LCAREM 2.4G SHES LVLY619 IV</t>
        </is>
      </c>
      <c r="F1711" t="inlineStr">
        <is>
          <t>P_US_FG</t>
        </is>
      </c>
      <c r="G1711" t="inlineStr">
        <is>
          <t>CurrentWorkingView</t>
        </is>
      </c>
      <c r="H1711" t="inlineStr">
        <is>
          <t>System FC - Final</t>
        </is>
      </c>
      <c r="K1711" t="n">
        <v>0</v>
      </c>
      <c r="L1711" t="n">
        <v>5</v>
      </c>
      <c r="M1711" t="n">
        <v>4</v>
      </c>
      <c r="N1711" t="n">
        <v>4</v>
      </c>
      <c r="O1711" t="n">
        <v>0</v>
      </c>
      <c r="P1711" t="n">
        <v>0</v>
      </c>
      <c r="Q1711" t="n">
        <v>0</v>
      </c>
      <c r="R1711" t="n">
        <v>4</v>
      </c>
      <c r="S1711" t="n">
        <v>0</v>
      </c>
      <c r="T1711" t="n">
        <v>4</v>
      </c>
    </row>
    <row r="1712">
      <c r="A1712" t="inlineStr">
        <is>
          <t>Kylie Makeup</t>
        </is>
      </c>
      <c r="B1712" t="inlineStr">
        <is>
          <t>Lips (01245)</t>
        </is>
      </c>
      <c r="C1712" t="inlineStr">
        <is>
          <t>Kylie Tinted butter balm (00006700)</t>
        </is>
      </c>
      <c r="D1712" s="1" t="n">
        <v>4064941088790</v>
      </c>
      <c r="E1712" t="inlineStr">
        <is>
          <t>KJ MU TNT BB LCAREM 2.4G SHES LVLY619 IV</t>
        </is>
      </c>
      <c r="F1712" t="inlineStr">
        <is>
          <t>P_US_FG</t>
        </is>
      </c>
      <c r="G1712" t="inlineStr">
        <is>
          <t>CurrentWorkingView</t>
        </is>
      </c>
      <c r="H1712" t="inlineStr">
        <is>
          <t>EPOS</t>
        </is>
      </c>
    </row>
    <row r="1713">
      <c r="A1713" t="inlineStr">
        <is>
          <t>Kylie Makeup</t>
        </is>
      </c>
      <c r="B1713" t="inlineStr">
        <is>
          <t>Lips (01245)</t>
        </is>
      </c>
      <c r="C1713" t="inlineStr">
        <is>
          <t>Kylie Tinted butter balm (00006700)</t>
        </is>
      </c>
      <c r="D1713" s="1" t="n">
        <v>4064941088790</v>
      </c>
      <c r="E1713" t="inlineStr">
        <is>
          <t>KJ MU TNT BB LCAREM 2.4G SHES LVLY619 IV</t>
        </is>
      </c>
      <c r="F1713" t="inlineStr">
        <is>
          <t>P_US_FG</t>
        </is>
      </c>
      <c r="G1713" t="inlineStr">
        <is>
          <t>CurrentWorkingView</t>
        </is>
      </c>
      <c r="H1713" t="inlineStr">
        <is>
          <t>Reasonability Adjustment</t>
        </is>
      </c>
    </row>
    <row r="1714">
      <c r="A1714" t="inlineStr">
        <is>
          <t>Kylie Makeup</t>
        </is>
      </c>
      <c r="B1714" t="inlineStr">
        <is>
          <t>Lips (01245)</t>
        </is>
      </c>
      <c r="C1714" t="inlineStr">
        <is>
          <t>Kylie Tinted butter balm (00006700)</t>
        </is>
      </c>
      <c r="D1714" s="1" t="n">
        <v>4064941088790</v>
      </c>
      <c r="E1714" t="inlineStr">
        <is>
          <t>KJ MU TNT BB LCAREM 2.4G SHES LVLY619 IV</t>
        </is>
      </c>
      <c r="F1714" t="inlineStr">
        <is>
          <t>P_US_FG</t>
        </is>
      </c>
      <c r="G1714" t="inlineStr">
        <is>
          <t>CurrentWorkingView</t>
        </is>
      </c>
      <c r="H1714" t="inlineStr">
        <is>
          <t>Total Demand Assumption</t>
        </is>
      </c>
    </row>
    <row r="1715">
      <c r="A1715" t="inlineStr">
        <is>
          <t>Kylie Makeup</t>
        </is>
      </c>
      <c r="B1715" t="inlineStr">
        <is>
          <t>Lips (01245)</t>
        </is>
      </c>
      <c r="C1715" t="inlineStr">
        <is>
          <t>Kylie Tinted butter balm (00006700)</t>
        </is>
      </c>
      <c r="D1715" s="1" t="n">
        <v>4064941088790</v>
      </c>
      <c r="E1715" t="inlineStr">
        <is>
          <t>KJ MU TNT BB LCAREM 2.4G SHES LVLY619 IV</t>
        </is>
      </c>
      <c r="F1715" t="inlineStr">
        <is>
          <t>P_US_FG</t>
        </is>
      </c>
      <c r="G1715" t="inlineStr">
        <is>
          <t>CurrentWorkingView</t>
        </is>
      </c>
      <c r="H1715" t="inlineStr">
        <is>
          <t>Consensus - Final</t>
        </is>
      </c>
      <c r="K1715" t="n">
        <v>0</v>
      </c>
    </row>
    <row r="1716">
      <c r="A1716" t="inlineStr">
        <is>
          <t>Kylie Makeup</t>
        </is>
      </c>
      <c r="B1716" t="inlineStr">
        <is>
          <t>Lips (01245)</t>
        </is>
      </c>
      <c r="C1716" t="inlineStr">
        <is>
          <t>Kylie Tinted butter balm (00006700)</t>
        </is>
      </c>
      <c r="D1716" s="1" t="n">
        <v>4064941088790</v>
      </c>
      <c r="E1716" t="inlineStr">
        <is>
          <t>KJ MU TNT BB LCAREM 2.4G SHES LVLY619 IV</t>
        </is>
      </c>
      <c r="F1716" t="inlineStr">
        <is>
          <t>P_US_FG</t>
        </is>
      </c>
      <c r="G1716" t="inlineStr">
        <is>
          <t>CurrentWorkingView</t>
        </is>
      </c>
      <c r="H1716" t="inlineStr">
        <is>
          <t>Supply Cuts</t>
        </is>
      </c>
    </row>
    <row r="1717">
      <c r="A1717" t="inlineStr">
        <is>
          <t>Kylie Makeup</t>
        </is>
      </c>
      <c r="B1717" t="inlineStr">
        <is>
          <t>Lips (01245)</t>
        </is>
      </c>
      <c r="C1717" t="inlineStr">
        <is>
          <t>Kylie Tinted butter balm (00006700)</t>
        </is>
      </c>
      <c r="D1717" s="1" t="n">
        <v>4064941088790</v>
      </c>
      <c r="E1717" t="inlineStr">
        <is>
          <t>KJ MU TNT BB LCAREM 2.4G SHES LVLY619 IV</t>
        </is>
      </c>
      <c r="F1717" t="inlineStr">
        <is>
          <t>P_US_FG</t>
        </is>
      </c>
      <c r="G1717" t="inlineStr">
        <is>
          <t>Month-2026.M09.W38</t>
        </is>
      </c>
      <c r="H1717" t="inlineStr">
        <is>
          <t>Consensus - Final LY M</t>
        </is>
      </c>
      <c r="L1717" t="n">
        <v>3</v>
      </c>
      <c r="Q1717" t="n">
        <v>1</v>
      </c>
    </row>
    <row r="1718">
      <c r="A1718" t="inlineStr">
        <is>
          <t>Kylie Makeup</t>
        </is>
      </c>
      <c r="B1718" t="inlineStr">
        <is>
          <t>Lips (01245)</t>
        </is>
      </c>
      <c r="C1718" t="inlineStr">
        <is>
          <t>Kylie Tinted butter balm (00006700)</t>
        </is>
      </c>
      <c r="D1718" s="1" t="n">
        <v>4064941088790</v>
      </c>
      <c r="E1718" t="inlineStr">
        <is>
          <t>KJ MU TNT BB LCAREM 2.4G SHES LVLY619 IV</t>
        </is>
      </c>
      <c r="F1718" t="inlineStr">
        <is>
          <t>P_US_FG</t>
        </is>
      </c>
      <c r="G1718" t="inlineStr">
        <is>
          <t>Month-2026.M09.W38</t>
        </is>
      </c>
      <c r="H1718" t="inlineStr">
        <is>
          <t>System FC - Final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inlineStr">
        <is>
          <t>Kylie Makeup</t>
        </is>
      </c>
      <c r="B1719" t="inlineStr">
        <is>
          <t>Lips (01245)</t>
        </is>
      </c>
      <c r="C1719" t="inlineStr">
        <is>
          <t>Kylie Tinted butter balm (00006700)</t>
        </is>
      </c>
      <c r="D1719" s="1" t="n">
        <v>4064941088790</v>
      </c>
      <c r="E1719" t="inlineStr">
        <is>
          <t>KJ MU TNT BB LCAREM 2.4G SHES LVLY619 IV</t>
        </is>
      </c>
      <c r="F1719" t="inlineStr">
        <is>
          <t>P_US_FG</t>
        </is>
      </c>
      <c r="G1719" t="inlineStr">
        <is>
          <t>Month-2026.M09.W38</t>
        </is>
      </c>
      <c r="H1719" t="inlineStr">
        <is>
          <t>EPOS</t>
        </is>
      </c>
    </row>
    <row r="1720">
      <c r="A1720" t="inlineStr">
        <is>
          <t>Kylie Makeup</t>
        </is>
      </c>
      <c r="B1720" t="inlineStr">
        <is>
          <t>Lips (01245)</t>
        </is>
      </c>
      <c r="C1720" t="inlineStr">
        <is>
          <t>Kylie Tinted butter balm (00006700)</t>
        </is>
      </c>
      <c r="D1720" s="1" t="n">
        <v>4064941088790</v>
      </c>
      <c r="E1720" t="inlineStr">
        <is>
          <t>KJ MU TNT BB LCAREM 2.4G SHES LVLY619 IV</t>
        </is>
      </c>
      <c r="F1720" t="inlineStr">
        <is>
          <t>P_US_FG</t>
        </is>
      </c>
      <c r="G1720" t="inlineStr">
        <is>
          <t>Month-2026.M09.W38</t>
        </is>
      </c>
      <c r="H1720" t="inlineStr">
        <is>
          <t>Reasonability Adjustment</t>
        </is>
      </c>
    </row>
    <row r="1721">
      <c r="A1721" t="inlineStr">
        <is>
          <t>Kylie Makeup</t>
        </is>
      </c>
      <c r="B1721" t="inlineStr">
        <is>
          <t>Lips (01245)</t>
        </is>
      </c>
      <c r="C1721" t="inlineStr">
        <is>
          <t>Kylie Tinted butter balm (00006700)</t>
        </is>
      </c>
      <c r="D1721" s="1" t="n">
        <v>4064941088790</v>
      </c>
      <c r="E1721" t="inlineStr">
        <is>
          <t>KJ MU TNT BB LCAREM 2.4G SHES LVLY619 IV</t>
        </is>
      </c>
      <c r="F1721" t="inlineStr">
        <is>
          <t>P_US_FG</t>
        </is>
      </c>
      <c r="G1721" t="inlineStr">
        <is>
          <t>Month-2026.M09.W38</t>
        </is>
      </c>
      <c r="H1721" t="inlineStr">
        <is>
          <t>Total Demand Assumption</t>
        </is>
      </c>
    </row>
    <row r="1722">
      <c r="A1722" t="inlineStr">
        <is>
          <t>Kylie Makeup</t>
        </is>
      </c>
      <c r="B1722" t="inlineStr">
        <is>
          <t>Lips (01245)</t>
        </is>
      </c>
      <c r="C1722" t="inlineStr">
        <is>
          <t>Kylie Tinted butter balm (00006700)</t>
        </is>
      </c>
      <c r="D1722" s="1" t="n">
        <v>4064941088790</v>
      </c>
      <c r="E1722" t="inlineStr">
        <is>
          <t>KJ MU TNT BB LCAREM 2.4G SHES LVLY619 IV</t>
        </is>
      </c>
      <c r="F1722" t="inlineStr">
        <is>
          <t>P_US_FG</t>
        </is>
      </c>
      <c r="G1722" t="inlineStr">
        <is>
          <t>Month-2026.M09.W38</t>
        </is>
      </c>
      <c r="H1722" t="inlineStr">
        <is>
          <t>Consensus - Final</t>
        </is>
      </c>
      <c r="K1722" t="n">
        <v>0</v>
      </c>
    </row>
    <row r="1723">
      <c r="A1723" t="inlineStr">
        <is>
          <t>Kylie Makeup</t>
        </is>
      </c>
      <c r="B1723" t="inlineStr">
        <is>
          <t>Lips (01245)</t>
        </is>
      </c>
      <c r="C1723" t="inlineStr">
        <is>
          <t>Kylie Tinted butter balm (00006700)</t>
        </is>
      </c>
      <c r="D1723" s="1" t="n">
        <v>4064941088790</v>
      </c>
      <c r="E1723" t="inlineStr">
        <is>
          <t>KJ MU TNT BB LCAREM 2.4G SHES LVLY619 IV</t>
        </is>
      </c>
      <c r="F1723" t="inlineStr">
        <is>
          <t>P_US_FG</t>
        </is>
      </c>
      <c r="G1723" t="inlineStr">
        <is>
          <t>Month-2026.M09.W38</t>
        </is>
      </c>
      <c r="H1723" t="inlineStr">
        <is>
          <t>Supply Cuts</t>
        </is>
      </c>
    </row>
    <row r="1724">
      <c r="A1724" t="inlineStr">
        <is>
          <t>Kylie Makeup</t>
        </is>
      </c>
      <c r="B1724" t="inlineStr">
        <is>
          <t>Lips (01245)</t>
        </is>
      </c>
      <c r="C1724" t="inlineStr">
        <is>
          <t>Kylie Tinted butter balm (00006700)</t>
        </is>
      </c>
      <c r="D1724" s="1" t="n">
        <v>4064941088790</v>
      </c>
      <c r="E1724" t="inlineStr">
        <is>
          <t>KJ MU TNT BB LCAREM 2.4G SHES LVLY619 IV</t>
        </is>
      </c>
      <c r="F1724" t="inlineStr">
        <is>
          <t>P_US_ULTA</t>
        </is>
      </c>
      <c r="G1724" t="inlineStr">
        <is>
          <t>CurrentWorkingView</t>
        </is>
      </c>
      <c r="H1724" t="inlineStr">
        <is>
          <t>Consensus - Final LY M</t>
        </is>
      </c>
      <c r="I1724" t="n">
        <v>5558</v>
      </c>
      <c r="J1724" t="n">
        <v>1389</v>
      </c>
      <c r="K1724" t="n">
        <v>1123</v>
      </c>
      <c r="L1724" t="n">
        <v>1384</v>
      </c>
      <c r="M1724" t="n">
        <v>1009</v>
      </c>
      <c r="N1724" t="n">
        <v>465</v>
      </c>
      <c r="O1724" t="n">
        <v>733</v>
      </c>
      <c r="P1724" t="n">
        <v>827</v>
      </c>
      <c r="Q1724" t="n">
        <v>1107</v>
      </c>
      <c r="R1724" t="n">
        <v>278</v>
      </c>
      <c r="S1724" t="n">
        <v>658</v>
      </c>
      <c r="T1724" t="n">
        <v>555</v>
      </c>
    </row>
    <row r="1725">
      <c r="A1725" t="inlineStr">
        <is>
          <t>Kylie Makeup</t>
        </is>
      </c>
      <c r="B1725" t="inlineStr">
        <is>
          <t>Lips (01245)</t>
        </is>
      </c>
      <c r="C1725" t="inlineStr">
        <is>
          <t>Kylie Tinted butter balm (00006700)</t>
        </is>
      </c>
      <c r="D1725" s="1" t="n">
        <v>4064941088790</v>
      </c>
      <c r="E1725" t="inlineStr">
        <is>
          <t>KJ MU TNT BB LCAREM 2.4G SHES LVLY619 IV</t>
        </is>
      </c>
      <c r="F1725" t="inlineStr">
        <is>
          <t>P_US_ULTA</t>
        </is>
      </c>
      <c r="G1725" t="inlineStr">
        <is>
          <t>CurrentWorkingView</t>
        </is>
      </c>
      <c r="H1725" t="inlineStr">
        <is>
          <t>System FC - Final</t>
        </is>
      </c>
      <c r="I1725" t="n">
        <v>542</v>
      </c>
      <c r="J1725" t="n">
        <v>493</v>
      </c>
      <c r="K1725" t="n">
        <v>627</v>
      </c>
      <c r="L1725" t="n">
        <v>863</v>
      </c>
      <c r="M1725" t="n">
        <v>822</v>
      </c>
      <c r="N1725" t="n">
        <v>199</v>
      </c>
      <c r="O1725" t="n">
        <v>199</v>
      </c>
      <c r="P1725" t="n">
        <v>200</v>
      </c>
      <c r="Q1725" t="n">
        <v>208</v>
      </c>
      <c r="R1725" t="n">
        <v>197</v>
      </c>
      <c r="S1725" t="n">
        <v>199</v>
      </c>
      <c r="T1725" t="n">
        <v>198</v>
      </c>
    </row>
    <row r="1726">
      <c r="A1726" t="inlineStr">
        <is>
          <t>Kylie Makeup</t>
        </is>
      </c>
      <c r="B1726" t="inlineStr">
        <is>
          <t>Lips (01245)</t>
        </is>
      </c>
      <c r="C1726" t="inlineStr">
        <is>
          <t>Kylie Tinted butter balm (00006700)</t>
        </is>
      </c>
      <c r="D1726" s="1" t="n">
        <v>4064941088790</v>
      </c>
      <c r="E1726" t="inlineStr">
        <is>
          <t>KJ MU TNT BB LCAREM 2.4G SHES LVLY619 IV</t>
        </is>
      </c>
      <c r="F1726" t="inlineStr">
        <is>
          <t>P_US_ULTA</t>
        </is>
      </c>
      <c r="G1726" t="inlineStr">
        <is>
          <t>CurrentWorkingView</t>
        </is>
      </c>
      <c r="H1726" t="inlineStr">
        <is>
          <t>EPOS</t>
        </is>
      </c>
      <c r="I1726" t="n">
        <v>460</v>
      </c>
    </row>
    <row r="1727">
      <c r="A1727" t="inlineStr">
        <is>
          <t>Kylie Makeup</t>
        </is>
      </c>
      <c r="B1727" t="inlineStr">
        <is>
          <t>Lips (01245)</t>
        </is>
      </c>
      <c r="C1727" t="inlineStr">
        <is>
          <t>Kylie Tinted butter balm (00006700)</t>
        </is>
      </c>
      <c r="D1727" s="1" t="n">
        <v>4064941088790</v>
      </c>
      <c r="E1727" t="inlineStr">
        <is>
          <t>KJ MU TNT BB LCAREM 2.4G SHES LVLY619 IV</t>
        </is>
      </c>
      <c r="F1727" t="inlineStr">
        <is>
          <t>P_US_ULTA</t>
        </is>
      </c>
      <c r="G1727" t="inlineStr">
        <is>
          <t>CurrentWorkingView</t>
        </is>
      </c>
      <c r="H1727" t="inlineStr">
        <is>
          <t>Reasonability Adjustment</t>
        </is>
      </c>
    </row>
    <row r="1728">
      <c r="A1728" t="inlineStr">
        <is>
          <t>Kylie Makeup</t>
        </is>
      </c>
      <c r="B1728" t="inlineStr">
        <is>
          <t>Lips (01245)</t>
        </is>
      </c>
      <c r="C1728" t="inlineStr">
        <is>
          <t>Kylie Tinted butter balm (00006700)</t>
        </is>
      </c>
      <c r="D1728" s="1" t="n">
        <v>4064941088790</v>
      </c>
      <c r="E1728" t="inlineStr">
        <is>
          <t>KJ MU TNT BB LCAREM 2.4G SHES LVLY619 IV</t>
        </is>
      </c>
      <c r="F1728" t="inlineStr">
        <is>
          <t>P_US_ULTA</t>
        </is>
      </c>
      <c r="G1728" t="inlineStr">
        <is>
          <t>CurrentWorkingView</t>
        </is>
      </c>
      <c r="H1728" t="inlineStr">
        <is>
          <t>Total Demand Assumption</t>
        </is>
      </c>
      <c r="I1728" t="n">
        <v>-2980</v>
      </c>
    </row>
    <row r="1729">
      <c r="A1729" t="inlineStr">
        <is>
          <t>Kylie Makeup</t>
        </is>
      </c>
      <c r="B1729" t="inlineStr">
        <is>
          <t>Lips (01245)</t>
        </is>
      </c>
      <c r="C1729" t="inlineStr">
        <is>
          <t>Kylie Tinted butter balm (00006700)</t>
        </is>
      </c>
      <c r="D1729" s="1" t="n">
        <v>4064941088790</v>
      </c>
      <c r="E1729" t="inlineStr">
        <is>
          <t>KJ MU TNT BB LCAREM 2.4G SHES LVLY619 IV</t>
        </is>
      </c>
      <c r="F1729" t="inlineStr">
        <is>
          <t>P_US_ULTA</t>
        </is>
      </c>
      <c r="G1729" t="inlineStr">
        <is>
          <t>CurrentWorkingView</t>
        </is>
      </c>
      <c r="H1729" t="inlineStr">
        <is>
          <t>Consensus - Final</t>
        </is>
      </c>
      <c r="I1729" t="n">
        <v>542</v>
      </c>
      <c r="J1729" t="n">
        <v>493</v>
      </c>
      <c r="K1729" t="n">
        <v>629.2389380530969</v>
      </c>
      <c r="L1729" t="n">
        <v>863</v>
      </c>
      <c r="M1729" t="n">
        <v>822</v>
      </c>
      <c r="N1729" t="n">
        <v>199</v>
      </c>
      <c r="O1729" t="n">
        <v>199</v>
      </c>
      <c r="P1729" t="n">
        <v>200</v>
      </c>
      <c r="Q1729" t="n">
        <v>208</v>
      </c>
      <c r="R1729" t="n">
        <v>197</v>
      </c>
      <c r="S1729" t="n">
        <v>199</v>
      </c>
      <c r="T1729" t="n">
        <v>198</v>
      </c>
    </row>
    <row r="1730">
      <c r="A1730" t="inlineStr">
        <is>
          <t>Kylie Makeup</t>
        </is>
      </c>
      <c r="B1730" t="inlineStr">
        <is>
          <t>Lips (01245)</t>
        </is>
      </c>
      <c r="C1730" t="inlineStr">
        <is>
          <t>Kylie Tinted butter balm (00006700)</t>
        </is>
      </c>
      <c r="D1730" s="1" t="n">
        <v>4064941088790</v>
      </c>
      <c r="E1730" t="inlineStr">
        <is>
          <t>KJ MU TNT BB LCAREM 2.4G SHES LVLY619 IV</t>
        </is>
      </c>
      <c r="F1730" t="inlineStr">
        <is>
          <t>P_US_ULTA</t>
        </is>
      </c>
      <c r="G1730" t="inlineStr">
        <is>
          <t>CurrentWorkingView</t>
        </is>
      </c>
      <c r="H1730" t="inlineStr">
        <is>
          <t>Supply Cuts</t>
        </is>
      </c>
    </row>
    <row r="1731">
      <c r="A1731" t="inlineStr">
        <is>
          <t>Kylie Makeup</t>
        </is>
      </c>
      <c r="B1731" t="inlineStr">
        <is>
          <t>Lips (01245)</t>
        </is>
      </c>
      <c r="C1731" t="inlineStr">
        <is>
          <t>Kylie Tinted butter balm (00006700)</t>
        </is>
      </c>
      <c r="D1731" s="1" t="n">
        <v>4064941088790</v>
      </c>
      <c r="E1731" t="inlineStr">
        <is>
          <t>KJ MU TNT BB LCAREM 2.4G SHES LVLY619 IV</t>
        </is>
      </c>
      <c r="F1731" t="inlineStr">
        <is>
          <t>P_US_ULTA</t>
        </is>
      </c>
      <c r="G1731" t="inlineStr">
        <is>
          <t>Month-2026.M09.W38</t>
        </is>
      </c>
      <c r="H1731" t="inlineStr">
        <is>
          <t>Consensus - Final LY M</t>
        </is>
      </c>
      <c r="I1731" t="n">
        <v>5558</v>
      </c>
      <c r="J1731" t="n">
        <v>1389</v>
      </c>
      <c r="K1731" t="n">
        <v>1123</v>
      </c>
      <c r="L1731" t="n">
        <v>1384</v>
      </c>
      <c r="M1731" t="n">
        <v>1009</v>
      </c>
      <c r="N1731" t="n">
        <v>465</v>
      </c>
      <c r="O1731" t="n">
        <v>733</v>
      </c>
      <c r="P1731" t="n">
        <v>827</v>
      </c>
      <c r="Q1731" t="n">
        <v>1107</v>
      </c>
      <c r="R1731" t="n">
        <v>278</v>
      </c>
      <c r="S1731" t="n">
        <v>658</v>
      </c>
      <c r="T1731" t="n">
        <v>555</v>
      </c>
    </row>
    <row r="1732">
      <c r="A1732" t="inlineStr">
        <is>
          <t>Kylie Makeup</t>
        </is>
      </c>
      <c r="B1732" t="inlineStr">
        <is>
          <t>Lips (01245)</t>
        </is>
      </c>
      <c r="C1732" t="inlineStr">
        <is>
          <t>Kylie Tinted butter balm (00006700)</t>
        </is>
      </c>
      <c r="D1732" s="1" t="n">
        <v>4064941088790</v>
      </c>
      <c r="E1732" t="inlineStr">
        <is>
          <t>KJ MU TNT BB LCAREM 2.4G SHES LVLY619 IV</t>
        </is>
      </c>
      <c r="F1732" t="inlineStr">
        <is>
          <t>P_US_ULTA</t>
        </is>
      </c>
      <c r="G1732" t="inlineStr">
        <is>
          <t>Month-2026.M09.W38</t>
        </is>
      </c>
      <c r="H1732" t="inlineStr">
        <is>
          <t>System FC - Final</t>
        </is>
      </c>
      <c r="I1732" t="n">
        <v>542</v>
      </c>
      <c r="J1732" t="n">
        <v>493</v>
      </c>
      <c r="K1732" t="n">
        <v>712</v>
      </c>
      <c r="L1732" t="n">
        <v>784</v>
      </c>
      <c r="M1732" t="n">
        <v>1174</v>
      </c>
      <c r="N1732" t="n">
        <v>403</v>
      </c>
      <c r="O1732" t="n">
        <v>292</v>
      </c>
      <c r="P1732" t="n">
        <v>624</v>
      </c>
      <c r="Q1732" t="n">
        <v>456</v>
      </c>
      <c r="R1732" t="n">
        <v>197</v>
      </c>
      <c r="S1732" t="n">
        <v>319</v>
      </c>
      <c r="T1732" t="n">
        <v>198</v>
      </c>
    </row>
    <row r="1733">
      <c r="A1733" t="inlineStr">
        <is>
          <t>Kylie Makeup</t>
        </is>
      </c>
      <c r="B1733" t="inlineStr">
        <is>
          <t>Lips (01245)</t>
        </is>
      </c>
      <c r="C1733" t="inlineStr">
        <is>
          <t>Kylie Tinted butter balm (00006700)</t>
        </is>
      </c>
      <c r="D1733" s="1" t="n">
        <v>4064941088790</v>
      </c>
      <c r="E1733" t="inlineStr">
        <is>
          <t>KJ MU TNT BB LCAREM 2.4G SHES LVLY619 IV</t>
        </is>
      </c>
      <c r="F1733" t="inlineStr">
        <is>
          <t>P_US_ULTA</t>
        </is>
      </c>
      <c r="G1733" t="inlineStr">
        <is>
          <t>Month-2026.M09.W38</t>
        </is>
      </c>
      <c r="H1733" t="inlineStr">
        <is>
          <t>EPOS</t>
        </is>
      </c>
      <c r="I1733" t="n">
        <v>460</v>
      </c>
    </row>
    <row r="1734">
      <c r="A1734" t="inlineStr">
        <is>
          <t>Kylie Makeup</t>
        </is>
      </c>
      <c r="B1734" t="inlineStr">
        <is>
          <t>Lips (01245)</t>
        </is>
      </c>
      <c r="C1734" t="inlineStr">
        <is>
          <t>Kylie Tinted butter balm (00006700)</t>
        </is>
      </c>
      <c r="D1734" s="1" t="n">
        <v>4064941088790</v>
      </c>
      <c r="E1734" t="inlineStr">
        <is>
          <t>KJ MU TNT BB LCAREM 2.4G SHES LVLY619 IV</t>
        </is>
      </c>
      <c r="F1734" t="inlineStr">
        <is>
          <t>P_US_ULTA</t>
        </is>
      </c>
      <c r="G1734" t="inlineStr">
        <is>
          <t>Month-2026.M09.W38</t>
        </is>
      </c>
      <c r="H1734" t="inlineStr">
        <is>
          <t>Reasonability Adjustment</t>
        </is>
      </c>
    </row>
    <row r="1735">
      <c r="A1735" t="inlineStr">
        <is>
          <t>Kylie Makeup</t>
        </is>
      </c>
      <c r="B1735" t="inlineStr">
        <is>
          <t>Lips (01245)</t>
        </is>
      </c>
      <c r="C1735" t="inlineStr">
        <is>
          <t>Kylie Tinted butter balm (00006700)</t>
        </is>
      </c>
      <c r="D1735" s="1" t="n">
        <v>4064941088790</v>
      </c>
      <c r="E1735" t="inlineStr">
        <is>
          <t>KJ MU TNT BB LCAREM 2.4G SHES LVLY619 IV</t>
        </is>
      </c>
      <c r="F1735" t="inlineStr">
        <is>
          <t>P_US_ULTA</t>
        </is>
      </c>
      <c r="G1735" t="inlineStr">
        <is>
          <t>Month-2026.M09.W38</t>
        </is>
      </c>
      <c r="H1735" t="inlineStr">
        <is>
          <t>Total Demand Assumption</t>
        </is>
      </c>
      <c r="I1735" t="n">
        <v>-2980</v>
      </c>
    </row>
    <row r="1736">
      <c r="A1736" t="inlineStr">
        <is>
          <t>Kylie Makeup</t>
        </is>
      </c>
      <c r="B1736" t="inlineStr">
        <is>
          <t>Lips (01245)</t>
        </is>
      </c>
      <c r="C1736" t="inlineStr">
        <is>
          <t>Kylie Tinted butter balm (00006700)</t>
        </is>
      </c>
      <c r="D1736" s="1" t="n">
        <v>4064941088790</v>
      </c>
      <c r="E1736" t="inlineStr">
        <is>
          <t>KJ MU TNT BB LCAREM 2.4G SHES LVLY619 IV</t>
        </is>
      </c>
      <c r="F1736" t="inlineStr">
        <is>
          <t>P_US_ULTA</t>
        </is>
      </c>
      <c r="G1736" t="inlineStr">
        <is>
          <t>Month-2026.M09.W38</t>
        </is>
      </c>
      <c r="H1736" t="inlineStr">
        <is>
          <t>Consensus - Final</t>
        </is>
      </c>
      <c r="I1736" t="n">
        <v>542</v>
      </c>
      <c r="J1736" t="n">
        <v>493</v>
      </c>
      <c r="K1736" t="n">
        <v>629.2389380530969</v>
      </c>
      <c r="L1736" t="n">
        <v>784</v>
      </c>
      <c r="M1736" t="n">
        <v>1174</v>
      </c>
      <c r="N1736" t="n">
        <v>403</v>
      </c>
      <c r="O1736" t="n">
        <v>292</v>
      </c>
      <c r="P1736" t="n">
        <v>624</v>
      </c>
      <c r="Q1736" t="n">
        <v>456</v>
      </c>
      <c r="R1736" t="n">
        <v>197</v>
      </c>
      <c r="S1736" t="n">
        <v>319</v>
      </c>
      <c r="T1736" t="n">
        <v>198</v>
      </c>
    </row>
    <row r="1737">
      <c r="A1737" t="inlineStr">
        <is>
          <t>Kylie Makeup</t>
        </is>
      </c>
      <c r="B1737" t="inlineStr">
        <is>
          <t>Lips (01245)</t>
        </is>
      </c>
      <c r="C1737" t="inlineStr">
        <is>
          <t>Kylie Tinted butter balm (00006700)</t>
        </is>
      </c>
      <c r="D1737" s="1" t="n">
        <v>4064941088790</v>
      </c>
      <c r="E1737" t="inlineStr">
        <is>
          <t>KJ MU TNT BB LCAREM 2.4G SHES LVLY619 IV</t>
        </is>
      </c>
      <c r="F1737" t="inlineStr">
        <is>
          <t>P_US_ULTA</t>
        </is>
      </c>
      <c r="G1737" t="inlineStr">
        <is>
          <t>Month-2026.M09.W38</t>
        </is>
      </c>
      <c r="H1737" t="inlineStr">
        <is>
          <t>Supply Cuts</t>
        </is>
      </c>
    </row>
    <row r="1738">
      <c r="A1738" t="inlineStr">
        <is>
          <t>Kylie Makeup</t>
        </is>
      </c>
      <c r="B1738" t="inlineStr">
        <is>
          <t>Lips (01245)</t>
        </is>
      </c>
      <c r="C1738" t="inlineStr">
        <is>
          <t>Kylie Tinted butter balm (00006700)</t>
        </is>
      </c>
      <c r="D1738" s="1" t="n">
        <v>4064941088844</v>
      </c>
      <c r="E1738" t="inlineStr">
        <is>
          <t>KJ MU TNT BB LCAREM 2.4G PNKMUPAT 338 IV</t>
        </is>
      </c>
      <c r="F1738" t="inlineStr">
        <is>
          <t>P_US_ALL_OTHERS</t>
        </is>
      </c>
      <c r="G1738" t="inlineStr">
        <is>
          <t>CurrentWorkingView</t>
        </is>
      </c>
      <c r="H1738" t="inlineStr">
        <is>
          <t>Consensus - Final LY M</t>
        </is>
      </c>
      <c r="I1738" t="n">
        <v>241</v>
      </c>
      <c r="J1738" t="n">
        <v>80</v>
      </c>
      <c r="K1738" t="n">
        <v>234</v>
      </c>
      <c r="L1738" t="n">
        <v>105</v>
      </c>
      <c r="M1738" t="n">
        <v>50</v>
      </c>
      <c r="N1738" t="n">
        <v>93</v>
      </c>
      <c r="O1738" t="n">
        <v>39</v>
      </c>
      <c r="P1738" t="n">
        <v>141</v>
      </c>
      <c r="Q1738" t="n">
        <v>57</v>
      </c>
      <c r="R1738" t="n">
        <v>81</v>
      </c>
      <c r="S1738" t="n">
        <v>67</v>
      </c>
      <c r="T1738" t="n">
        <v>37</v>
      </c>
    </row>
    <row r="1739">
      <c r="A1739" t="inlineStr">
        <is>
          <t>Kylie Makeup</t>
        </is>
      </c>
      <c r="B1739" t="inlineStr">
        <is>
          <t>Lips (01245)</t>
        </is>
      </c>
      <c r="C1739" t="inlineStr">
        <is>
          <t>Kylie Tinted butter balm (00006700)</t>
        </is>
      </c>
      <c r="D1739" s="1" t="n">
        <v>4064941088844</v>
      </c>
      <c r="E1739" t="inlineStr">
        <is>
          <t>KJ MU TNT BB LCAREM 2.4G PNKMUPAT 338 IV</t>
        </is>
      </c>
      <c r="F1739" t="inlineStr">
        <is>
          <t>P_US_ALL_OTHERS</t>
        </is>
      </c>
      <c r="G1739" t="inlineStr">
        <is>
          <t>CurrentWorkingView</t>
        </is>
      </c>
      <c r="H1739" t="inlineStr">
        <is>
          <t>System FC - Final</t>
        </is>
      </c>
      <c r="I1739" t="n">
        <v>60</v>
      </c>
      <c r="J1739" t="n">
        <v>166</v>
      </c>
      <c r="K1739" t="n">
        <v>69</v>
      </c>
      <c r="L1739" t="n">
        <v>200</v>
      </c>
      <c r="M1739" t="n">
        <v>138</v>
      </c>
      <c r="N1739" t="n">
        <v>150</v>
      </c>
      <c r="O1739" t="n">
        <v>150</v>
      </c>
      <c r="P1739" t="n">
        <v>200</v>
      </c>
      <c r="Q1739" t="n">
        <v>199</v>
      </c>
      <c r="R1739" t="n">
        <v>163</v>
      </c>
      <c r="S1739" t="n">
        <v>177</v>
      </c>
      <c r="T1739" t="n">
        <v>171</v>
      </c>
    </row>
    <row r="1740">
      <c r="A1740" t="inlineStr">
        <is>
          <t>Kylie Makeup</t>
        </is>
      </c>
      <c r="B1740" t="inlineStr">
        <is>
          <t>Lips (01245)</t>
        </is>
      </c>
      <c r="C1740" t="inlineStr">
        <is>
          <t>Kylie Tinted butter balm (00006700)</t>
        </is>
      </c>
      <c r="D1740" s="1" t="n">
        <v>4064941088844</v>
      </c>
      <c r="E1740" t="inlineStr">
        <is>
          <t>KJ MU TNT BB LCAREM 2.4G PNKMUPAT 338 IV</t>
        </is>
      </c>
      <c r="F1740" t="inlineStr">
        <is>
          <t>P_US_ALL_OTHERS</t>
        </is>
      </c>
      <c r="G1740" t="inlineStr">
        <is>
          <t>CurrentWorkingView</t>
        </is>
      </c>
      <c r="H1740" t="inlineStr">
        <is>
          <t>EPOS</t>
        </is>
      </c>
      <c r="I1740" t="n">
        <v>98</v>
      </c>
    </row>
    <row r="1741">
      <c r="A1741" t="inlineStr">
        <is>
          <t>Kylie Makeup</t>
        </is>
      </c>
      <c r="B1741" t="inlineStr">
        <is>
          <t>Lips (01245)</t>
        </is>
      </c>
      <c r="C1741" t="inlineStr">
        <is>
          <t>Kylie Tinted butter balm (00006700)</t>
        </is>
      </c>
      <c r="D1741" s="1" t="n">
        <v>4064941088844</v>
      </c>
      <c r="E1741" t="inlineStr">
        <is>
          <t>KJ MU TNT BB LCAREM 2.4G PNKMUPAT 338 IV</t>
        </is>
      </c>
      <c r="F1741" t="inlineStr">
        <is>
          <t>P_US_ALL_OTHERS</t>
        </is>
      </c>
      <c r="G1741" t="inlineStr">
        <is>
          <t>CurrentWorkingView</t>
        </is>
      </c>
      <c r="H1741" t="inlineStr">
        <is>
          <t>Reasonability Adjustment</t>
        </is>
      </c>
      <c r="S1741" t="n">
        <v>-114</v>
      </c>
      <c r="T1741" t="n">
        <v>-127</v>
      </c>
    </row>
    <row r="1742">
      <c r="A1742" t="inlineStr">
        <is>
          <t>Kylie Makeup</t>
        </is>
      </c>
      <c r="B1742" t="inlineStr">
        <is>
          <t>Lips (01245)</t>
        </is>
      </c>
      <c r="C1742" t="inlineStr">
        <is>
          <t>Kylie Tinted butter balm (00006700)</t>
        </is>
      </c>
      <c r="D1742" s="1" t="n">
        <v>4064941088844</v>
      </c>
      <c r="E1742" t="inlineStr">
        <is>
          <t>KJ MU TNT BB LCAREM 2.4G PNKMUPAT 338 IV</t>
        </is>
      </c>
      <c r="F1742" t="inlineStr">
        <is>
          <t>P_US_ALL_OTHERS</t>
        </is>
      </c>
      <c r="G1742" t="inlineStr">
        <is>
          <t>CurrentWorkingView</t>
        </is>
      </c>
      <c r="H1742" t="inlineStr">
        <is>
          <t>Total Demand Assumption</t>
        </is>
      </c>
    </row>
    <row r="1743">
      <c r="A1743" t="inlineStr">
        <is>
          <t>Kylie Makeup</t>
        </is>
      </c>
      <c r="B1743" t="inlineStr">
        <is>
          <t>Lips (01245)</t>
        </is>
      </c>
      <c r="C1743" t="inlineStr">
        <is>
          <t>Kylie Tinted butter balm (00006700)</t>
        </is>
      </c>
      <c r="D1743" s="1" t="n">
        <v>4064941088844</v>
      </c>
      <c r="E1743" t="inlineStr">
        <is>
          <t>KJ MU TNT BB LCAREM 2.4G PNKMUPAT 338 IV</t>
        </is>
      </c>
      <c r="F1743" t="inlineStr">
        <is>
          <t>P_US_ALL_OTHERS</t>
        </is>
      </c>
      <c r="G1743" t="inlineStr">
        <is>
          <t>CurrentWorkingView</t>
        </is>
      </c>
      <c r="H1743" t="inlineStr">
        <is>
          <t>Consensus - Final</t>
        </is>
      </c>
      <c r="I1743" t="n">
        <v>60</v>
      </c>
      <c r="J1743" t="n">
        <v>166</v>
      </c>
      <c r="K1743" t="n">
        <v>68.7480519480519</v>
      </c>
      <c r="L1743" t="n">
        <v>200</v>
      </c>
      <c r="M1743" t="n">
        <v>138</v>
      </c>
      <c r="N1743" t="n">
        <v>150</v>
      </c>
      <c r="O1743" t="n">
        <v>150</v>
      </c>
      <c r="P1743" t="n">
        <v>200</v>
      </c>
      <c r="Q1743" t="n">
        <v>199</v>
      </c>
      <c r="R1743" t="n">
        <v>163</v>
      </c>
      <c r="S1743" t="n">
        <v>63</v>
      </c>
      <c r="T1743" t="n">
        <v>44</v>
      </c>
    </row>
    <row r="1744">
      <c r="A1744" t="inlineStr">
        <is>
          <t>Kylie Makeup</t>
        </is>
      </c>
      <c r="B1744" t="inlineStr">
        <is>
          <t>Lips (01245)</t>
        </is>
      </c>
      <c r="C1744" t="inlineStr">
        <is>
          <t>Kylie Tinted butter balm (00006700)</t>
        </is>
      </c>
      <c r="D1744" s="1" t="n">
        <v>4064941088844</v>
      </c>
      <c r="E1744" t="inlineStr">
        <is>
          <t>KJ MU TNT BB LCAREM 2.4G PNKMUPAT 338 IV</t>
        </is>
      </c>
      <c r="F1744" t="inlineStr">
        <is>
          <t>P_US_ALL_OTHERS</t>
        </is>
      </c>
      <c r="G1744" t="inlineStr">
        <is>
          <t>CurrentWorkingView</t>
        </is>
      </c>
      <c r="H1744" t="inlineStr">
        <is>
          <t>Supply Cuts</t>
        </is>
      </c>
    </row>
    <row r="1745">
      <c r="A1745" t="inlineStr">
        <is>
          <t>Kylie Makeup</t>
        </is>
      </c>
      <c r="B1745" t="inlineStr">
        <is>
          <t>Lips (01245)</t>
        </is>
      </c>
      <c r="C1745" t="inlineStr">
        <is>
          <t>Kylie Tinted butter balm (00006700)</t>
        </is>
      </c>
      <c r="D1745" s="1" t="n">
        <v>4064941088844</v>
      </c>
      <c r="E1745" t="inlineStr">
        <is>
          <t>KJ MU TNT BB LCAREM 2.4G PNKMUPAT 338 IV</t>
        </is>
      </c>
      <c r="F1745" t="inlineStr">
        <is>
          <t>P_US_ALL_OTHERS</t>
        </is>
      </c>
      <c r="G1745" t="inlineStr">
        <is>
          <t>Month-2026.M09.W38</t>
        </is>
      </c>
      <c r="H1745" t="inlineStr">
        <is>
          <t>Consensus - Final LY M</t>
        </is>
      </c>
      <c r="I1745" t="n">
        <v>241</v>
      </c>
      <c r="J1745" t="n">
        <v>80</v>
      </c>
      <c r="K1745" t="n">
        <v>234</v>
      </c>
      <c r="L1745" t="n">
        <v>105</v>
      </c>
      <c r="M1745" t="n">
        <v>50</v>
      </c>
      <c r="N1745" t="n">
        <v>93</v>
      </c>
      <c r="O1745" t="n">
        <v>39</v>
      </c>
      <c r="P1745" t="n">
        <v>141</v>
      </c>
      <c r="Q1745" t="n">
        <v>57</v>
      </c>
      <c r="R1745" t="n">
        <v>81</v>
      </c>
      <c r="S1745" t="n">
        <v>67</v>
      </c>
      <c r="T1745" t="n">
        <v>37</v>
      </c>
    </row>
    <row r="1746">
      <c r="A1746" t="inlineStr">
        <is>
          <t>Kylie Makeup</t>
        </is>
      </c>
      <c r="B1746" t="inlineStr">
        <is>
          <t>Lips (01245)</t>
        </is>
      </c>
      <c r="C1746" t="inlineStr">
        <is>
          <t>Kylie Tinted butter balm (00006700)</t>
        </is>
      </c>
      <c r="D1746" s="1" t="n">
        <v>4064941088844</v>
      </c>
      <c r="E1746" t="inlineStr">
        <is>
          <t>KJ MU TNT BB LCAREM 2.4G PNKMUPAT 338 IV</t>
        </is>
      </c>
      <c r="F1746" t="inlineStr">
        <is>
          <t>P_US_ALL_OTHERS</t>
        </is>
      </c>
      <c r="G1746" t="inlineStr">
        <is>
          <t>Month-2026.M09.W38</t>
        </is>
      </c>
      <c r="H1746" t="inlineStr">
        <is>
          <t>System FC - Final</t>
        </is>
      </c>
      <c r="I1746" t="n">
        <v>60</v>
      </c>
      <c r="J1746" t="n">
        <v>166</v>
      </c>
      <c r="K1746" t="n">
        <v>89</v>
      </c>
      <c r="L1746" t="n">
        <v>88</v>
      </c>
      <c r="M1746" t="n">
        <v>86</v>
      </c>
      <c r="N1746" t="n">
        <v>107</v>
      </c>
      <c r="O1746" t="n">
        <v>93</v>
      </c>
      <c r="P1746" t="n">
        <v>112</v>
      </c>
      <c r="Q1746" t="n">
        <v>62</v>
      </c>
      <c r="R1746" t="n">
        <v>112</v>
      </c>
      <c r="S1746" t="n">
        <v>173</v>
      </c>
      <c r="T1746" t="n">
        <v>197</v>
      </c>
    </row>
    <row r="1747">
      <c r="A1747" t="inlineStr">
        <is>
          <t>Kylie Makeup</t>
        </is>
      </c>
      <c r="B1747" t="inlineStr">
        <is>
          <t>Lips (01245)</t>
        </is>
      </c>
      <c r="C1747" t="inlineStr">
        <is>
          <t>Kylie Tinted butter balm (00006700)</t>
        </is>
      </c>
      <c r="D1747" s="1" t="n">
        <v>4064941088844</v>
      </c>
      <c r="E1747" t="inlineStr">
        <is>
          <t>KJ MU TNT BB LCAREM 2.4G PNKMUPAT 338 IV</t>
        </is>
      </c>
      <c r="F1747" t="inlineStr">
        <is>
          <t>P_US_ALL_OTHERS</t>
        </is>
      </c>
      <c r="G1747" t="inlineStr">
        <is>
          <t>Month-2026.M09.W38</t>
        </is>
      </c>
      <c r="H1747" t="inlineStr">
        <is>
          <t>EPOS</t>
        </is>
      </c>
      <c r="I1747" t="n">
        <v>98</v>
      </c>
    </row>
    <row r="1748">
      <c r="A1748" t="inlineStr">
        <is>
          <t>Kylie Makeup</t>
        </is>
      </c>
      <c r="B1748" t="inlineStr">
        <is>
          <t>Lips (01245)</t>
        </is>
      </c>
      <c r="C1748" t="inlineStr">
        <is>
          <t>Kylie Tinted butter balm (00006700)</t>
        </is>
      </c>
      <c r="D1748" s="1" t="n">
        <v>4064941088844</v>
      </c>
      <c r="E1748" t="inlineStr">
        <is>
          <t>KJ MU TNT BB LCAREM 2.4G PNKMUPAT 338 IV</t>
        </is>
      </c>
      <c r="F1748" t="inlineStr">
        <is>
          <t>P_US_ALL_OTHERS</t>
        </is>
      </c>
      <c r="G1748" t="inlineStr">
        <is>
          <t>Month-2026.M09.W38</t>
        </is>
      </c>
      <c r="H1748" t="inlineStr">
        <is>
          <t>Reasonability Adjustment</t>
        </is>
      </c>
      <c r="S1748" t="n">
        <v>-114</v>
      </c>
      <c r="T1748" t="n">
        <v>-127</v>
      </c>
    </row>
    <row r="1749">
      <c r="A1749" t="inlineStr">
        <is>
          <t>Kylie Makeup</t>
        </is>
      </c>
      <c r="B1749" t="inlineStr">
        <is>
          <t>Lips (01245)</t>
        </is>
      </c>
      <c r="C1749" t="inlineStr">
        <is>
          <t>Kylie Tinted butter balm (00006700)</t>
        </is>
      </c>
      <c r="D1749" s="1" t="n">
        <v>4064941088844</v>
      </c>
      <c r="E1749" t="inlineStr">
        <is>
          <t>KJ MU TNT BB LCAREM 2.4G PNKMUPAT 338 IV</t>
        </is>
      </c>
      <c r="F1749" t="inlineStr">
        <is>
          <t>P_US_ALL_OTHERS</t>
        </is>
      </c>
      <c r="G1749" t="inlineStr">
        <is>
          <t>Month-2026.M09.W38</t>
        </is>
      </c>
      <c r="H1749" t="inlineStr">
        <is>
          <t>Total Demand Assumption</t>
        </is>
      </c>
    </row>
    <row r="1750">
      <c r="A1750" t="inlineStr">
        <is>
          <t>Kylie Makeup</t>
        </is>
      </c>
      <c r="B1750" t="inlineStr">
        <is>
          <t>Lips (01245)</t>
        </is>
      </c>
      <c r="C1750" t="inlineStr">
        <is>
          <t>Kylie Tinted butter balm (00006700)</t>
        </is>
      </c>
      <c r="D1750" s="1" t="n">
        <v>4064941088844</v>
      </c>
      <c r="E1750" t="inlineStr">
        <is>
          <t>KJ MU TNT BB LCAREM 2.4G PNKMUPAT 338 IV</t>
        </is>
      </c>
      <c r="F1750" t="inlineStr">
        <is>
          <t>P_US_ALL_OTHERS</t>
        </is>
      </c>
      <c r="G1750" t="inlineStr">
        <is>
          <t>Month-2026.M09.W38</t>
        </is>
      </c>
      <c r="H1750" t="inlineStr">
        <is>
          <t>Consensus - Final</t>
        </is>
      </c>
      <c r="I1750" t="n">
        <v>60</v>
      </c>
      <c r="J1750" t="n">
        <v>166</v>
      </c>
      <c r="K1750" t="n">
        <v>68.7480519480519</v>
      </c>
      <c r="L1750" t="n">
        <v>88</v>
      </c>
      <c r="M1750" t="n">
        <v>86</v>
      </c>
      <c r="N1750" t="n">
        <v>107</v>
      </c>
      <c r="O1750" t="n">
        <v>93</v>
      </c>
      <c r="P1750" t="n">
        <v>112</v>
      </c>
      <c r="Q1750" t="n">
        <v>62</v>
      </c>
      <c r="R1750" t="n">
        <v>112</v>
      </c>
      <c r="S1750" t="n">
        <v>59</v>
      </c>
      <c r="T1750" t="n">
        <v>70</v>
      </c>
    </row>
    <row r="1751">
      <c r="A1751" t="inlineStr">
        <is>
          <t>Kylie Makeup</t>
        </is>
      </c>
      <c r="B1751" t="inlineStr">
        <is>
          <t>Lips (01245)</t>
        </is>
      </c>
      <c r="C1751" t="inlineStr">
        <is>
          <t>Kylie Tinted butter balm (00006700)</t>
        </is>
      </c>
      <c r="D1751" s="1" t="n">
        <v>4064941088844</v>
      </c>
      <c r="E1751" t="inlineStr">
        <is>
          <t>KJ MU TNT BB LCAREM 2.4G PNKMUPAT 338 IV</t>
        </is>
      </c>
      <c r="F1751" t="inlineStr">
        <is>
          <t>P_US_ALL_OTHERS</t>
        </is>
      </c>
      <c r="G1751" t="inlineStr">
        <is>
          <t>Month-2026.M09.W38</t>
        </is>
      </c>
      <c r="H1751" t="inlineStr">
        <is>
          <t>Supply Cuts</t>
        </is>
      </c>
    </row>
    <row r="1752">
      <c r="A1752" t="inlineStr">
        <is>
          <t>Kylie Makeup</t>
        </is>
      </c>
      <c r="B1752" t="inlineStr">
        <is>
          <t>Lips (01245)</t>
        </is>
      </c>
      <c r="C1752" t="inlineStr">
        <is>
          <t>Kylie Tinted butter balm (00006700)</t>
        </is>
      </c>
      <c r="D1752" s="1" t="n">
        <v>4064941088844</v>
      </c>
      <c r="E1752" t="inlineStr">
        <is>
          <t>KJ MU TNT BB LCAREM 2.4G PNKMUPAT 338 IV</t>
        </is>
      </c>
      <c r="F1752" t="inlineStr">
        <is>
          <t>P_US_FG</t>
        </is>
      </c>
      <c r="G1752" t="inlineStr">
        <is>
          <t>CurrentWorkingView</t>
        </is>
      </c>
      <c r="H1752" t="inlineStr">
        <is>
          <t>Consensus - Final LY M</t>
        </is>
      </c>
      <c r="I1752" t="n">
        <v>40</v>
      </c>
      <c r="L1752" t="n">
        <v>3</v>
      </c>
      <c r="Q1752" t="n">
        <v>1</v>
      </c>
      <c r="S1752" t="n">
        <v>40</v>
      </c>
    </row>
    <row r="1753">
      <c r="A1753" t="inlineStr">
        <is>
          <t>Kylie Makeup</t>
        </is>
      </c>
      <c r="B1753" t="inlineStr">
        <is>
          <t>Lips (01245)</t>
        </is>
      </c>
      <c r="C1753" t="inlineStr">
        <is>
          <t>Kylie Tinted butter balm (00006700)</t>
        </is>
      </c>
      <c r="D1753" s="1" t="n">
        <v>4064941088844</v>
      </c>
      <c r="E1753" t="inlineStr">
        <is>
          <t>KJ MU TNT BB LCAREM 2.4G PNKMUPAT 338 IV</t>
        </is>
      </c>
      <c r="F1753" t="inlineStr">
        <is>
          <t>P_US_FG</t>
        </is>
      </c>
      <c r="G1753" t="inlineStr">
        <is>
          <t>CurrentWorkingView</t>
        </is>
      </c>
      <c r="H1753" t="inlineStr">
        <is>
          <t>System FC - Final</t>
        </is>
      </c>
      <c r="K1753" t="n">
        <v>13</v>
      </c>
      <c r="L1753" t="n">
        <v>5</v>
      </c>
      <c r="M1753" t="n">
        <v>11</v>
      </c>
      <c r="N1753" t="n">
        <v>8</v>
      </c>
      <c r="O1753" t="n">
        <v>9</v>
      </c>
      <c r="P1753" t="n">
        <v>4</v>
      </c>
      <c r="Q1753" t="n">
        <v>18</v>
      </c>
      <c r="R1753" t="n">
        <v>0</v>
      </c>
      <c r="S1753" t="n">
        <v>13</v>
      </c>
      <c r="T1753" t="n">
        <v>5</v>
      </c>
    </row>
    <row r="1754">
      <c r="A1754" t="inlineStr">
        <is>
          <t>Kylie Makeup</t>
        </is>
      </c>
      <c r="B1754" t="inlineStr">
        <is>
          <t>Lips (01245)</t>
        </is>
      </c>
      <c r="C1754" t="inlineStr">
        <is>
          <t>Kylie Tinted butter balm (00006700)</t>
        </is>
      </c>
      <c r="D1754" s="1" t="n">
        <v>4064941088844</v>
      </c>
      <c r="E1754" t="inlineStr">
        <is>
          <t>KJ MU TNT BB LCAREM 2.4G PNKMUPAT 338 IV</t>
        </is>
      </c>
      <c r="F1754" t="inlineStr">
        <is>
          <t>P_US_FG</t>
        </is>
      </c>
      <c r="G1754" t="inlineStr">
        <is>
          <t>CurrentWorkingView</t>
        </is>
      </c>
      <c r="H1754" t="inlineStr">
        <is>
          <t>EPOS</t>
        </is>
      </c>
    </row>
    <row r="1755">
      <c r="A1755" t="inlineStr">
        <is>
          <t>Kylie Makeup</t>
        </is>
      </c>
      <c r="B1755" t="inlineStr">
        <is>
          <t>Lips (01245)</t>
        </is>
      </c>
      <c r="C1755" t="inlineStr">
        <is>
          <t>Kylie Tinted butter balm (00006700)</t>
        </is>
      </c>
      <c r="D1755" s="1" t="n">
        <v>4064941088844</v>
      </c>
      <c r="E1755" t="inlineStr">
        <is>
          <t>KJ MU TNT BB LCAREM 2.4G PNKMUPAT 338 IV</t>
        </is>
      </c>
      <c r="F1755" t="inlineStr">
        <is>
          <t>P_US_FG</t>
        </is>
      </c>
      <c r="G1755" t="inlineStr">
        <is>
          <t>CurrentWorkingView</t>
        </is>
      </c>
      <c r="H1755" t="inlineStr">
        <is>
          <t>Reasonability Adjustment</t>
        </is>
      </c>
    </row>
    <row r="1756">
      <c r="A1756" t="inlineStr">
        <is>
          <t>Kylie Makeup</t>
        </is>
      </c>
      <c r="B1756" t="inlineStr">
        <is>
          <t>Lips (01245)</t>
        </is>
      </c>
      <c r="C1756" t="inlineStr">
        <is>
          <t>Kylie Tinted butter balm (00006700)</t>
        </is>
      </c>
      <c r="D1756" s="1" t="n">
        <v>4064941088844</v>
      </c>
      <c r="E1756" t="inlineStr">
        <is>
          <t>KJ MU TNT BB LCAREM 2.4G PNKMUPAT 338 IV</t>
        </is>
      </c>
      <c r="F1756" t="inlineStr">
        <is>
          <t>P_US_FG</t>
        </is>
      </c>
      <c r="G1756" t="inlineStr">
        <is>
          <t>CurrentWorkingView</t>
        </is>
      </c>
      <c r="H1756" t="inlineStr">
        <is>
          <t>Total Demand Assumption</t>
        </is>
      </c>
    </row>
    <row r="1757">
      <c r="A1757" t="inlineStr">
        <is>
          <t>Kylie Makeup</t>
        </is>
      </c>
      <c r="B1757" t="inlineStr">
        <is>
          <t>Lips (01245)</t>
        </is>
      </c>
      <c r="C1757" t="inlineStr">
        <is>
          <t>Kylie Tinted butter balm (00006700)</t>
        </is>
      </c>
      <c r="D1757" s="1" t="n">
        <v>4064941088844</v>
      </c>
      <c r="E1757" t="inlineStr">
        <is>
          <t>KJ MU TNT BB LCAREM 2.4G PNKMUPAT 338 IV</t>
        </is>
      </c>
      <c r="F1757" t="inlineStr">
        <is>
          <t>P_US_FG</t>
        </is>
      </c>
      <c r="G1757" t="inlineStr">
        <is>
          <t>CurrentWorkingView</t>
        </is>
      </c>
      <c r="H1757" t="inlineStr">
        <is>
          <t>Consensus - Final</t>
        </is>
      </c>
      <c r="K1757" t="n">
        <v>0</v>
      </c>
    </row>
    <row r="1758">
      <c r="A1758" t="inlineStr">
        <is>
          <t>Kylie Makeup</t>
        </is>
      </c>
      <c r="B1758" t="inlineStr">
        <is>
          <t>Lips (01245)</t>
        </is>
      </c>
      <c r="C1758" t="inlineStr">
        <is>
          <t>Kylie Tinted butter balm (00006700)</t>
        </is>
      </c>
      <c r="D1758" s="1" t="n">
        <v>4064941088844</v>
      </c>
      <c r="E1758" t="inlineStr">
        <is>
          <t>KJ MU TNT BB LCAREM 2.4G PNKMUPAT 338 IV</t>
        </is>
      </c>
      <c r="F1758" t="inlineStr">
        <is>
          <t>P_US_FG</t>
        </is>
      </c>
      <c r="G1758" t="inlineStr">
        <is>
          <t>CurrentWorkingView</t>
        </is>
      </c>
      <c r="H1758" t="inlineStr">
        <is>
          <t>Supply Cuts</t>
        </is>
      </c>
    </row>
    <row r="1759">
      <c r="A1759" t="inlineStr">
        <is>
          <t>Kylie Makeup</t>
        </is>
      </c>
      <c r="B1759" t="inlineStr">
        <is>
          <t>Lips (01245)</t>
        </is>
      </c>
      <c r="C1759" t="inlineStr">
        <is>
          <t>Kylie Tinted butter balm (00006700)</t>
        </is>
      </c>
      <c r="D1759" s="1" t="n">
        <v>4064941088844</v>
      </c>
      <c r="E1759" t="inlineStr">
        <is>
          <t>KJ MU TNT BB LCAREM 2.4G PNKMUPAT 338 IV</t>
        </is>
      </c>
      <c r="F1759" t="inlineStr">
        <is>
          <t>P_US_FG</t>
        </is>
      </c>
      <c r="G1759" t="inlineStr">
        <is>
          <t>Month-2026.M09.W38</t>
        </is>
      </c>
      <c r="H1759" t="inlineStr">
        <is>
          <t>Consensus - Final LY M</t>
        </is>
      </c>
      <c r="I1759" t="n">
        <v>40</v>
      </c>
      <c r="L1759" t="n">
        <v>3</v>
      </c>
      <c r="Q1759" t="n">
        <v>1</v>
      </c>
      <c r="S1759" t="n">
        <v>40</v>
      </c>
    </row>
    <row r="1760">
      <c r="A1760" t="inlineStr">
        <is>
          <t>Kylie Makeup</t>
        </is>
      </c>
      <c r="B1760" t="inlineStr">
        <is>
          <t>Lips (01245)</t>
        </is>
      </c>
      <c r="C1760" t="inlineStr">
        <is>
          <t>Kylie Tinted butter balm (00006700)</t>
        </is>
      </c>
      <c r="D1760" s="1" t="n">
        <v>4064941088844</v>
      </c>
      <c r="E1760" t="inlineStr">
        <is>
          <t>KJ MU TNT BB LCAREM 2.4G PNKMUPAT 338 IV</t>
        </is>
      </c>
      <c r="F1760" t="inlineStr">
        <is>
          <t>P_US_FG</t>
        </is>
      </c>
      <c r="G1760" t="inlineStr">
        <is>
          <t>Month-2026.M09.W38</t>
        </is>
      </c>
      <c r="H1760" t="inlineStr">
        <is>
          <t>System FC - Final</t>
        </is>
      </c>
      <c r="K1760" t="n">
        <v>19</v>
      </c>
      <c r="L1760" t="n">
        <v>5</v>
      </c>
      <c r="M1760" t="n">
        <v>12</v>
      </c>
      <c r="N1760" t="n">
        <v>8</v>
      </c>
      <c r="O1760" t="n">
        <v>9</v>
      </c>
      <c r="P1760" t="n">
        <v>4</v>
      </c>
      <c r="Q1760" t="n">
        <v>18</v>
      </c>
      <c r="R1760" t="n">
        <v>0</v>
      </c>
      <c r="S1760" t="n">
        <v>13</v>
      </c>
      <c r="T1760" t="n">
        <v>16</v>
      </c>
    </row>
    <row r="1761">
      <c r="A1761" t="inlineStr">
        <is>
          <t>Kylie Makeup</t>
        </is>
      </c>
      <c r="B1761" t="inlineStr">
        <is>
          <t>Lips (01245)</t>
        </is>
      </c>
      <c r="C1761" t="inlineStr">
        <is>
          <t>Kylie Tinted butter balm (00006700)</t>
        </is>
      </c>
      <c r="D1761" s="1" t="n">
        <v>4064941088844</v>
      </c>
      <c r="E1761" t="inlineStr">
        <is>
          <t>KJ MU TNT BB LCAREM 2.4G PNKMUPAT 338 IV</t>
        </is>
      </c>
      <c r="F1761" t="inlineStr">
        <is>
          <t>P_US_FG</t>
        </is>
      </c>
      <c r="G1761" t="inlineStr">
        <is>
          <t>Month-2026.M09.W38</t>
        </is>
      </c>
      <c r="H1761" t="inlineStr">
        <is>
          <t>EPOS</t>
        </is>
      </c>
    </row>
    <row r="1762">
      <c r="A1762" t="inlineStr">
        <is>
          <t>Kylie Makeup</t>
        </is>
      </c>
      <c r="B1762" t="inlineStr">
        <is>
          <t>Lips (01245)</t>
        </is>
      </c>
      <c r="C1762" t="inlineStr">
        <is>
          <t>Kylie Tinted butter balm (00006700)</t>
        </is>
      </c>
      <c r="D1762" s="1" t="n">
        <v>4064941088844</v>
      </c>
      <c r="E1762" t="inlineStr">
        <is>
          <t>KJ MU TNT BB LCAREM 2.4G PNKMUPAT 338 IV</t>
        </is>
      </c>
      <c r="F1762" t="inlineStr">
        <is>
          <t>P_US_FG</t>
        </is>
      </c>
      <c r="G1762" t="inlineStr">
        <is>
          <t>Month-2026.M09.W38</t>
        </is>
      </c>
      <c r="H1762" t="inlineStr">
        <is>
          <t>Reasonability Adjustment</t>
        </is>
      </c>
    </row>
    <row r="1763">
      <c r="A1763" t="inlineStr">
        <is>
          <t>Kylie Makeup</t>
        </is>
      </c>
      <c r="B1763" t="inlineStr">
        <is>
          <t>Lips (01245)</t>
        </is>
      </c>
      <c r="C1763" t="inlineStr">
        <is>
          <t>Kylie Tinted butter balm (00006700)</t>
        </is>
      </c>
      <c r="D1763" s="1" t="n">
        <v>4064941088844</v>
      </c>
      <c r="E1763" t="inlineStr">
        <is>
          <t>KJ MU TNT BB LCAREM 2.4G PNKMUPAT 338 IV</t>
        </is>
      </c>
      <c r="F1763" t="inlineStr">
        <is>
          <t>P_US_FG</t>
        </is>
      </c>
      <c r="G1763" t="inlineStr">
        <is>
          <t>Month-2026.M09.W38</t>
        </is>
      </c>
      <c r="H1763" t="inlineStr">
        <is>
          <t>Total Demand Assumption</t>
        </is>
      </c>
    </row>
    <row r="1764">
      <c r="A1764" t="inlineStr">
        <is>
          <t>Kylie Makeup</t>
        </is>
      </c>
      <c r="B1764" t="inlineStr">
        <is>
          <t>Lips (01245)</t>
        </is>
      </c>
      <c r="C1764" t="inlineStr">
        <is>
          <t>Kylie Tinted butter balm (00006700)</t>
        </is>
      </c>
      <c r="D1764" s="1" t="n">
        <v>4064941088844</v>
      </c>
      <c r="E1764" t="inlineStr">
        <is>
          <t>KJ MU TNT BB LCAREM 2.4G PNKMUPAT 338 IV</t>
        </is>
      </c>
      <c r="F1764" t="inlineStr">
        <is>
          <t>P_US_FG</t>
        </is>
      </c>
      <c r="G1764" t="inlineStr">
        <is>
          <t>Month-2026.M09.W38</t>
        </is>
      </c>
      <c r="H1764" t="inlineStr">
        <is>
          <t>Consensus - Final</t>
        </is>
      </c>
      <c r="K1764" t="n">
        <v>0</v>
      </c>
    </row>
    <row r="1765">
      <c r="A1765" t="inlineStr">
        <is>
          <t>Kylie Makeup</t>
        </is>
      </c>
      <c r="B1765" t="inlineStr">
        <is>
          <t>Lips (01245)</t>
        </is>
      </c>
      <c r="C1765" t="inlineStr">
        <is>
          <t>Kylie Tinted butter balm (00006700)</t>
        </is>
      </c>
      <c r="D1765" s="1" t="n">
        <v>4064941088844</v>
      </c>
      <c r="E1765" t="inlineStr">
        <is>
          <t>KJ MU TNT BB LCAREM 2.4G PNKMUPAT 338 IV</t>
        </is>
      </c>
      <c r="F1765" t="inlineStr">
        <is>
          <t>P_US_FG</t>
        </is>
      </c>
      <c r="G1765" t="inlineStr">
        <is>
          <t>Month-2026.M09.W38</t>
        </is>
      </c>
      <c r="H1765" t="inlineStr">
        <is>
          <t>Supply Cuts</t>
        </is>
      </c>
    </row>
    <row r="1766">
      <c r="A1766" t="inlineStr">
        <is>
          <t>Kylie Makeup</t>
        </is>
      </c>
      <c r="B1766" t="inlineStr">
        <is>
          <t>Lips (01245)</t>
        </is>
      </c>
      <c r="C1766" t="inlineStr">
        <is>
          <t>Kylie Tinted butter balm (00006700)</t>
        </is>
      </c>
      <c r="D1766" s="1" t="n">
        <v>4064941088844</v>
      </c>
      <c r="E1766" t="inlineStr">
        <is>
          <t>KJ MU TNT BB LCAREM 2.4G PNKMUPAT 338 IV</t>
        </is>
      </c>
      <c r="F1766" t="inlineStr">
        <is>
          <t>P_US_ULTA</t>
        </is>
      </c>
      <c r="G1766" t="inlineStr">
        <is>
          <t>CurrentWorkingView</t>
        </is>
      </c>
      <c r="H1766" t="inlineStr">
        <is>
          <t>Consensus - Final LY M</t>
        </is>
      </c>
      <c r="I1766" t="n">
        <v>3315</v>
      </c>
      <c r="J1766" t="n">
        <v>4652</v>
      </c>
      <c r="K1766" t="n">
        <v>1567</v>
      </c>
      <c r="L1766" t="n">
        <v>1311</v>
      </c>
      <c r="M1766" t="n">
        <v>1483</v>
      </c>
      <c r="N1766" t="n">
        <v>994</v>
      </c>
      <c r="O1766" t="n">
        <v>725</v>
      </c>
      <c r="P1766" t="n">
        <v>1101</v>
      </c>
      <c r="Q1766" t="n">
        <v>443</v>
      </c>
      <c r="R1766" t="n">
        <v>171</v>
      </c>
      <c r="S1766" t="n">
        <v>472</v>
      </c>
      <c r="T1766" t="n">
        <v>479</v>
      </c>
    </row>
    <row r="1767">
      <c r="A1767" t="inlineStr">
        <is>
          <t>Kylie Makeup</t>
        </is>
      </c>
      <c r="B1767" t="inlineStr">
        <is>
          <t>Lips (01245)</t>
        </is>
      </c>
      <c r="C1767" t="inlineStr">
        <is>
          <t>Kylie Tinted butter balm (00006700)</t>
        </is>
      </c>
      <c r="D1767" s="1" t="n">
        <v>4064941088844</v>
      </c>
      <c r="E1767" t="inlineStr">
        <is>
          <t>KJ MU TNT BB LCAREM 2.4G PNKMUPAT 338 IV</t>
        </is>
      </c>
      <c r="F1767" t="inlineStr">
        <is>
          <t>P_US_ULTA</t>
        </is>
      </c>
      <c r="G1767" t="inlineStr">
        <is>
          <t>CurrentWorkingView</t>
        </is>
      </c>
      <c r="H1767" t="inlineStr">
        <is>
          <t>System FC - Final</t>
        </is>
      </c>
      <c r="I1767" t="n">
        <v>461</v>
      </c>
      <c r="J1767" t="n">
        <v>407</v>
      </c>
      <c r="K1767" t="n">
        <v>882</v>
      </c>
      <c r="L1767" t="n">
        <v>1448</v>
      </c>
      <c r="M1767" t="n">
        <v>1182</v>
      </c>
      <c r="N1767" t="n">
        <v>1868</v>
      </c>
      <c r="O1767" t="n">
        <v>443</v>
      </c>
      <c r="P1767" t="n">
        <v>1224</v>
      </c>
      <c r="Q1767" t="n">
        <v>1550</v>
      </c>
      <c r="R1767" t="n">
        <v>365</v>
      </c>
      <c r="S1767" t="n">
        <v>1315</v>
      </c>
      <c r="T1767" t="n">
        <v>1131</v>
      </c>
    </row>
    <row r="1768">
      <c r="A1768" t="inlineStr">
        <is>
          <t>Kylie Makeup</t>
        </is>
      </c>
      <c r="B1768" t="inlineStr">
        <is>
          <t>Lips (01245)</t>
        </is>
      </c>
      <c r="C1768" t="inlineStr">
        <is>
          <t>Kylie Tinted butter balm (00006700)</t>
        </is>
      </c>
      <c r="D1768" s="1" t="n">
        <v>4064941088844</v>
      </c>
      <c r="E1768" t="inlineStr">
        <is>
          <t>KJ MU TNT BB LCAREM 2.4G PNKMUPAT 338 IV</t>
        </is>
      </c>
      <c r="F1768" t="inlineStr">
        <is>
          <t>P_US_ULTA</t>
        </is>
      </c>
      <c r="G1768" t="inlineStr">
        <is>
          <t>CurrentWorkingView</t>
        </is>
      </c>
      <c r="H1768" t="inlineStr">
        <is>
          <t>EPOS</t>
        </is>
      </c>
      <c r="I1768" t="n">
        <v>509</v>
      </c>
    </row>
    <row r="1769">
      <c r="A1769" t="inlineStr">
        <is>
          <t>Kylie Makeup</t>
        </is>
      </c>
      <c r="B1769" t="inlineStr">
        <is>
          <t>Lips (01245)</t>
        </is>
      </c>
      <c r="C1769" t="inlineStr">
        <is>
          <t>Kylie Tinted butter balm (00006700)</t>
        </is>
      </c>
      <c r="D1769" s="1" t="n">
        <v>4064941088844</v>
      </c>
      <c r="E1769" t="inlineStr">
        <is>
          <t>KJ MU TNT BB LCAREM 2.4G PNKMUPAT 338 IV</t>
        </is>
      </c>
      <c r="F1769" t="inlineStr">
        <is>
          <t>P_US_ULTA</t>
        </is>
      </c>
      <c r="G1769" t="inlineStr">
        <is>
          <t>CurrentWorkingView</t>
        </is>
      </c>
      <c r="H1769" t="inlineStr">
        <is>
          <t>Reasonability Adjustment</t>
        </is>
      </c>
      <c r="S1769" t="n">
        <v>-915</v>
      </c>
      <c r="T1769" t="n">
        <v>-817</v>
      </c>
    </row>
    <row r="1770">
      <c r="A1770" t="inlineStr">
        <is>
          <t>Kylie Makeup</t>
        </is>
      </c>
      <c r="B1770" t="inlineStr">
        <is>
          <t>Lips (01245)</t>
        </is>
      </c>
      <c r="C1770" t="inlineStr">
        <is>
          <t>Kylie Tinted butter balm (00006700)</t>
        </is>
      </c>
      <c r="D1770" s="1" t="n">
        <v>4064941088844</v>
      </c>
      <c r="E1770" t="inlineStr">
        <is>
          <t>KJ MU TNT BB LCAREM 2.4G PNKMUPAT 338 IV</t>
        </is>
      </c>
      <c r="F1770" t="inlineStr">
        <is>
          <t>P_US_ULTA</t>
        </is>
      </c>
      <c r="G1770" t="inlineStr">
        <is>
          <t>CurrentWorkingView</t>
        </is>
      </c>
      <c r="H1770" t="inlineStr">
        <is>
          <t>Total Demand Assumption</t>
        </is>
      </c>
    </row>
    <row r="1771">
      <c r="A1771" t="inlineStr">
        <is>
          <t>Kylie Makeup</t>
        </is>
      </c>
      <c r="B1771" t="inlineStr">
        <is>
          <t>Lips (01245)</t>
        </is>
      </c>
      <c r="C1771" t="inlineStr">
        <is>
          <t>Kylie Tinted butter balm (00006700)</t>
        </is>
      </c>
      <c r="D1771" s="1" t="n">
        <v>4064941088844</v>
      </c>
      <c r="E1771" t="inlineStr">
        <is>
          <t>KJ MU TNT BB LCAREM 2.4G PNKMUPAT 338 IV</t>
        </is>
      </c>
      <c r="F1771" t="inlineStr">
        <is>
          <t>P_US_ULTA</t>
        </is>
      </c>
      <c r="G1771" t="inlineStr">
        <is>
          <t>CurrentWorkingView</t>
        </is>
      </c>
      <c r="H1771" t="inlineStr">
        <is>
          <t>Consensus - Final</t>
        </is>
      </c>
      <c r="I1771" t="n">
        <v>461</v>
      </c>
      <c r="J1771" t="n">
        <v>407</v>
      </c>
      <c r="K1771" t="n">
        <v>894.251948051948</v>
      </c>
      <c r="L1771" t="n">
        <v>1448</v>
      </c>
      <c r="M1771" t="n">
        <v>1182</v>
      </c>
      <c r="N1771" t="n">
        <v>1868</v>
      </c>
      <c r="O1771" t="n">
        <v>443</v>
      </c>
      <c r="P1771" t="n">
        <v>1224</v>
      </c>
      <c r="Q1771" t="n">
        <v>1550</v>
      </c>
      <c r="R1771" t="n">
        <v>365</v>
      </c>
      <c r="S1771" t="n">
        <v>400</v>
      </c>
      <c r="T1771" t="n">
        <v>314</v>
      </c>
    </row>
    <row r="1772">
      <c r="A1772" t="inlineStr">
        <is>
          <t>Kylie Makeup</t>
        </is>
      </c>
      <c r="B1772" t="inlineStr">
        <is>
          <t>Lips (01245)</t>
        </is>
      </c>
      <c r="C1772" t="inlineStr">
        <is>
          <t>Kylie Tinted butter balm (00006700)</t>
        </is>
      </c>
      <c r="D1772" s="1" t="n">
        <v>4064941088844</v>
      </c>
      <c r="E1772" t="inlineStr">
        <is>
          <t>KJ MU TNT BB LCAREM 2.4G PNKMUPAT 338 IV</t>
        </is>
      </c>
      <c r="F1772" t="inlineStr">
        <is>
          <t>P_US_ULTA</t>
        </is>
      </c>
      <c r="G1772" t="inlineStr">
        <is>
          <t>CurrentWorkingView</t>
        </is>
      </c>
      <c r="H1772" t="inlineStr">
        <is>
          <t>Supply Cuts</t>
        </is>
      </c>
    </row>
    <row r="1773">
      <c r="A1773" t="inlineStr">
        <is>
          <t>Kylie Makeup</t>
        </is>
      </c>
      <c r="B1773" t="inlineStr">
        <is>
          <t>Lips (01245)</t>
        </is>
      </c>
      <c r="C1773" t="inlineStr">
        <is>
          <t>Kylie Tinted butter balm (00006700)</t>
        </is>
      </c>
      <c r="D1773" s="1" t="n">
        <v>4064941088844</v>
      </c>
      <c r="E1773" t="inlineStr">
        <is>
          <t>KJ MU TNT BB LCAREM 2.4G PNKMUPAT 338 IV</t>
        </is>
      </c>
      <c r="F1773" t="inlineStr">
        <is>
          <t>P_US_ULTA</t>
        </is>
      </c>
      <c r="G1773" t="inlineStr">
        <is>
          <t>Month-2026.M09.W38</t>
        </is>
      </c>
      <c r="H1773" t="inlineStr">
        <is>
          <t>Consensus - Final LY M</t>
        </is>
      </c>
      <c r="I1773" t="n">
        <v>3315</v>
      </c>
      <c r="J1773" t="n">
        <v>4652</v>
      </c>
      <c r="K1773" t="n">
        <v>1567</v>
      </c>
      <c r="L1773" t="n">
        <v>1311</v>
      </c>
      <c r="M1773" t="n">
        <v>1483</v>
      </c>
      <c r="N1773" t="n">
        <v>994</v>
      </c>
      <c r="O1773" t="n">
        <v>725</v>
      </c>
      <c r="P1773" t="n">
        <v>1101</v>
      </c>
      <c r="Q1773" t="n">
        <v>443</v>
      </c>
      <c r="R1773" t="n">
        <v>171</v>
      </c>
      <c r="S1773" t="n">
        <v>472</v>
      </c>
      <c r="T1773" t="n">
        <v>479</v>
      </c>
    </row>
    <row r="1774">
      <c r="A1774" t="inlineStr">
        <is>
          <t>Kylie Makeup</t>
        </is>
      </c>
      <c r="B1774" t="inlineStr">
        <is>
          <t>Lips (01245)</t>
        </is>
      </c>
      <c r="C1774" t="inlineStr">
        <is>
          <t>Kylie Tinted butter balm (00006700)</t>
        </is>
      </c>
      <c r="D1774" s="1" t="n">
        <v>4064941088844</v>
      </c>
      <c r="E1774" t="inlineStr">
        <is>
          <t>KJ MU TNT BB LCAREM 2.4G PNKMUPAT 338 IV</t>
        </is>
      </c>
      <c r="F1774" t="inlineStr">
        <is>
          <t>P_US_ULTA</t>
        </is>
      </c>
      <c r="G1774" t="inlineStr">
        <is>
          <t>Month-2026.M09.W38</t>
        </is>
      </c>
      <c r="H1774" t="inlineStr">
        <is>
          <t>System FC - Final</t>
        </is>
      </c>
      <c r="I1774" t="n">
        <v>461</v>
      </c>
      <c r="J1774" t="n">
        <v>407</v>
      </c>
      <c r="K1774" t="n">
        <v>1224</v>
      </c>
      <c r="L1774" t="n">
        <v>1723</v>
      </c>
      <c r="M1774" t="n">
        <v>746</v>
      </c>
      <c r="N1774" t="n">
        <v>788</v>
      </c>
      <c r="O1774" t="n">
        <v>926</v>
      </c>
      <c r="P1774" t="n">
        <v>1140</v>
      </c>
      <c r="Q1774" t="n">
        <v>682</v>
      </c>
      <c r="R1774" t="n">
        <v>656</v>
      </c>
      <c r="S1774" t="n">
        <v>1395</v>
      </c>
      <c r="T1774" t="n">
        <v>1263</v>
      </c>
    </row>
    <row r="1775">
      <c r="A1775" t="inlineStr">
        <is>
          <t>Kylie Makeup</t>
        </is>
      </c>
      <c r="B1775" t="inlineStr">
        <is>
          <t>Lips (01245)</t>
        </is>
      </c>
      <c r="C1775" t="inlineStr">
        <is>
          <t>Kylie Tinted butter balm (00006700)</t>
        </is>
      </c>
      <c r="D1775" s="1" t="n">
        <v>4064941088844</v>
      </c>
      <c r="E1775" t="inlineStr">
        <is>
          <t>KJ MU TNT BB LCAREM 2.4G PNKMUPAT 338 IV</t>
        </is>
      </c>
      <c r="F1775" t="inlineStr">
        <is>
          <t>P_US_ULTA</t>
        </is>
      </c>
      <c r="G1775" t="inlineStr">
        <is>
          <t>Month-2026.M09.W38</t>
        </is>
      </c>
      <c r="H1775" t="inlineStr">
        <is>
          <t>EPOS</t>
        </is>
      </c>
      <c r="I1775" t="n">
        <v>509</v>
      </c>
    </row>
    <row r="1776">
      <c r="A1776" t="inlineStr">
        <is>
          <t>Kylie Makeup</t>
        </is>
      </c>
      <c r="B1776" t="inlineStr">
        <is>
          <t>Lips (01245)</t>
        </is>
      </c>
      <c r="C1776" t="inlineStr">
        <is>
          <t>Kylie Tinted butter balm (00006700)</t>
        </is>
      </c>
      <c r="D1776" s="1" t="n">
        <v>4064941088844</v>
      </c>
      <c r="E1776" t="inlineStr">
        <is>
          <t>KJ MU TNT BB LCAREM 2.4G PNKMUPAT 338 IV</t>
        </is>
      </c>
      <c r="F1776" t="inlineStr">
        <is>
          <t>P_US_ULTA</t>
        </is>
      </c>
      <c r="G1776" t="inlineStr">
        <is>
          <t>Month-2026.M09.W38</t>
        </is>
      </c>
      <c r="H1776" t="inlineStr">
        <is>
          <t>Reasonability Adjustment</t>
        </is>
      </c>
      <c r="S1776" t="n">
        <v>-915</v>
      </c>
      <c r="T1776" t="n">
        <v>-817</v>
      </c>
    </row>
    <row r="1777">
      <c r="A1777" t="inlineStr">
        <is>
          <t>Kylie Makeup</t>
        </is>
      </c>
      <c r="B1777" t="inlineStr">
        <is>
          <t>Lips (01245)</t>
        </is>
      </c>
      <c r="C1777" t="inlineStr">
        <is>
          <t>Kylie Tinted butter balm (00006700)</t>
        </is>
      </c>
      <c r="D1777" s="1" t="n">
        <v>4064941088844</v>
      </c>
      <c r="E1777" t="inlineStr">
        <is>
          <t>KJ MU TNT BB LCAREM 2.4G PNKMUPAT 338 IV</t>
        </is>
      </c>
      <c r="F1777" t="inlineStr">
        <is>
          <t>P_US_ULTA</t>
        </is>
      </c>
      <c r="G1777" t="inlineStr">
        <is>
          <t>Month-2026.M09.W38</t>
        </is>
      </c>
      <c r="H1777" t="inlineStr">
        <is>
          <t>Total Demand Assumption</t>
        </is>
      </c>
    </row>
    <row r="1778">
      <c r="A1778" t="inlineStr">
        <is>
          <t>Kylie Makeup</t>
        </is>
      </c>
      <c r="B1778" t="inlineStr">
        <is>
          <t>Lips (01245)</t>
        </is>
      </c>
      <c r="C1778" t="inlineStr">
        <is>
          <t>Kylie Tinted butter balm (00006700)</t>
        </is>
      </c>
      <c r="D1778" s="1" t="n">
        <v>4064941088844</v>
      </c>
      <c r="E1778" t="inlineStr">
        <is>
          <t>KJ MU TNT BB LCAREM 2.4G PNKMUPAT 338 IV</t>
        </is>
      </c>
      <c r="F1778" t="inlineStr">
        <is>
          <t>P_US_ULTA</t>
        </is>
      </c>
      <c r="G1778" t="inlineStr">
        <is>
          <t>Month-2026.M09.W38</t>
        </is>
      </c>
      <c r="H1778" t="inlineStr">
        <is>
          <t>Consensus - Final</t>
        </is>
      </c>
      <c r="I1778" t="n">
        <v>461</v>
      </c>
      <c r="J1778" t="n">
        <v>407</v>
      </c>
      <c r="K1778" t="n">
        <v>894.251948051948</v>
      </c>
      <c r="L1778" t="n">
        <v>1723</v>
      </c>
      <c r="M1778" t="n">
        <v>746</v>
      </c>
      <c r="N1778" t="n">
        <v>788</v>
      </c>
      <c r="O1778" t="n">
        <v>926</v>
      </c>
      <c r="P1778" t="n">
        <v>1140</v>
      </c>
      <c r="Q1778" t="n">
        <v>682</v>
      </c>
      <c r="R1778" t="n">
        <v>656</v>
      </c>
      <c r="S1778" t="n">
        <v>480</v>
      </c>
      <c r="T1778" t="n">
        <v>446</v>
      </c>
    </row>
    <row r="1779">
      <c r="A1779" t="inlineStr">
        <is>
          <t>Kylie Makeup</t>
        </is>
      </c>
      <c r="B1779" t="inlineStr">
        <is>
          <t>Lips (01245)</t>
        </is>
      </c>
      <c r="C1779" t="inlineStr">
        <is>
          <t>Kylie Tinted butter balm (00006700)</t>
        </is>
      </c>
      <c r="D1779" s="1" t="n">
        <v>4064941088844</v>
      </c>
      <c r="E1779" t="inlineStr">
        <is>
          <t>KJ MU TNT BB LCAREM 2.4G PNKMUPAT 338 IV</t>
        </is>
      </c>
      <c r="F1779" t="inlineStr">
        <is>
          <t>P_US_ULTA</t>
        </is>
      </c>
      <c r="G1779" t="inlineStr">
        <is>
          <t>Month-2026.M09.W38</t>
        </is>
      </c>
      <c r="H1779" t="inlineStr">
        <is>
          <t>Supply Cuts</t>
        </is>
      </c>
    </row>
    <row r="1780">
      <c r="A1780" t="inlineStr">
        <is>
          <t>Kylie Makeup</t>
        </is>
      </c>
      <c r="B1780" t="inlineStr">
        <is>
          <t>Collection (01319)</t>
        </is>
      </c>
      <c r="C1780" t="inlineStr">
        <is>
          <t>Kylie Summer (00006440)</t>
        </is>
      </c>
      <c r="D1780" s="1" t="n">
        <v>4064941091400</v>
      </c>
      <c r="E1780" t="inlineStr">
        <is>
          <t>KJ MU SUMMER LG 15 ML UNDRESTIMATD002 IV</t>
        </is>
      </c>
      <c r="F1780" t="inlineStr">
        <is>
          <t>P_US_FG</t>
        </is>
      </c>
      <c r="G1780" t="inlineStr">
        <is>
          <t>CurrentWorkingView</t>
        </is>
      </c>
      <c r="H1780" t="inlineStr">
        <is>
          <t>Consensus - Final LY M</t>
        </is>
      </c>
      <c r="J1780" t="n">
        <v>3</v>
      </c>
      <c r="L1780" t="n">
        <v>30</v>
      </c>
      <c r="Q1780" t="n">
        <v>1</v>
      </c>
    </row>
    <row r="1781">
      <c r="A1781" t="inlineStr">
        <is>
          <t>Kylie Makeup</t>
        </is>
      </c>
      <c r="B1781" t="inlineStr">
        <is>
          <t>Collection (01319)</t>
        </is>
      </c>
      <c r="C1781" t="inlineStr">
        <is>
          <t>Kylie Summer (00006440)</t>
        </is>
      </c>
      <c r="D1781" s="1" t="n">
        <v>4064941091400</v>
      </c>
      <c r="E1781" t="inlineStr">
        <is>
          <t>KJ MU SUMMER LG 15 ML UNDRESTIMATD002 IV</t>
        </is>
      </c>
      <c r="F1781" t="inlineStr">
        <is>
          <t>P_US_FG</t>
        </is>
      </c>
      <c r="G1781" t="inlineStr">
        <is>
          <t>CurrentWorkingView</t>
        </is>
      </c>
      <c r="H1781" t="inlineStr">
        <is>
          <t>System FC - Final</t>
        </is>
      </c>
      <c r="K1781" t="n">
        <v>2</v>
      </c>
      <c r="L1781" t="n">
        <v>5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Kylie Makeup</t>
        </is>
      </c>
      <c r="B1782" t="inlineStr">
        <is>
          <t>Collection (01319)</t>
        </is>
      </c>
      <c r="C1782" t="inlineStr">
        <is>
          <t>Kylie Summer (00006440)</t>
        </is>
      </c>
      <c r="D1782" s="1" t="n">
        <v>4064941091400</v>
      </c>
      <c r="E1782" t="inlineStr">
        <is>
          <t>KJ MU SUMMER LG 15 ML UNDRESTIMATD002 IV</t>
        </is>
      </c>
      <c r="F1782" t="inlineStr">
        <is>
          <t>P_US_FG</t>
        </is>
      </c>
      <c r="G1782" t="inlineStr">
        <is>
          <t>CurrentWorkingView</t>
        </is>
      </c>
      <c r="H1782" t="inlineStr">
        <is>
          <t>EPOS</t>
        </is>
      </c>
    </row>
    <row r="1783">
      <c r="A1783" t="inlineStr">
        <is>
          <t>Kylie Makeup</t>
        </is>
      </c>
      <c r="B1783" t="inlineStr">
        <is>
          <t>Collection (01319)</t>
        </is>
      </c>
      <c r="C1783" t="inlineStr">
        <is>
          <t>Kylie Summer (00006440)</t>
        </is>
      </c>
      <c r="D1783" s="1" t="n">
        <v>4064941091400</v>
      </c>
      <c r="E1783" t="inlineStr">
        <is>
          <t>KJ MU SUMMER LG 15 ML UNDRESTIMATD002 IV</t>
        </is>
      </c>
      <c r="F1783" t="inlineStr">
        <is>
          <t>P_US_FG</t>
        </is>
      </c>
      <c r="G1783" t="inlineStr">
        <is>
          <t>CurrentWorkingView</t>
        </is>
      </c>
      <c r="H1783" t="inlineStr">
        <is>
          <t>Reasonability Adjustment</t>
        </is>
      </c>
    </row>
    <row r="1784">
      <c r="A1784" t="inlineStr">
        <is>
          <t>Kylie Makeup</t>
        </is>
      </c>
      <c r="B1784" t="inlineStr">
        <is>
          <t>Collection (01319)</t>
        </is>
      </c>
      <c r="C1784" t="inlineStr">
        <is>
          <t>Kylie Summer (00006440)</t>
        </is>
      </c>
      <c r="D1784" s="1" t="n">
        <v>4064941091400</v>
      </c>
      <c r="E1784" t="inlineStr">
        <is>
          <t>KJ MU SUMMER LG 15 ML UNDRESTIMATD002 IV</t>
        </is>
      </c>
      <c r="F1784" t="inlineStr">
        <is>
          <t>P_US_FG</t>
        </is>
      </c>
      <c r="G1784" t="inlineStr">
        <is>
          <t>CurrentWorkingView</t>
        </is>
      </c>
      <c r="H1784" t="inlineStr">
        <is>
          <t>Total Demand Assumption</t>
        </is>
      </c>
    </row>
    <row r="1785">
      <c r="A1785" t="inlineStr">
        <is>
          <t>Kylie Makeup</t>
        </is>
      </c>
      <c r="B1785" t="inlineStr">
        <is>
          <t>Collection (01319)</t>
        </is>
      </c>
      <c r="C1785" t="inlineStr">
        <is>
          <t>Kylie Summer (00006440)</t>
        </is>
      </c>
      <c r="D1785" s="1" t="n">
        <v>4064941091400</v>
      </c>
      <c r="E1785" t="inlineStr">
        <is>
          <t>KJ MU SUMMER LG 15 ML UNDRESTIMATD002 IV</t>
        </is>
      </c>
      <c r="F1785" t="inlineStr">
        <is>
          <t>P_US_FG</t>
        </is>
      </c>
      <c r="G1785" t="inlineStr">
        <is>
          <t>CurrentWorkingView</t>
        </is>
      </c>
      <c r="H1785" t="inlineStr">
        <is>
          <t>Consensus - Final</t>
        </is>
      </c>
      <c r="K1785" t="n">
        <v>0</v>
      </c>
    </row>
    <row r="1786">
      <c r="A1786" t="inlineStr">
        <is>
          <t>Kylie Makeup</t>
        </is>
      </c>
      <c r="B1786" t="inlineStr">
        <is>
          <t>Collection (01319)</t>
        </is>
      </c>
      <c r="C1786" t="inlineStr">
        <is>
          <t>Kylie Summer (00006440)</t>
        </is>
      </c>
      <c r="D1786" s="1" t="n">
        <v>4064941091400</v>
      </c>
      <c r="E1786" t="inlineStr">
        <is>
          <t>KJ MU SUMMER LG 15 ML UNDRESTIMATD002 IV</t>
        </is>
      </c>
      <c r="F1786" t="inlineStr">
        <is>
          <t>P_US_FG</t>
        </is>
      </c>
      <c r="G1786" t="inlineStr">
        <is>
          <t>CurrentWorkingView</t>
        </is>
      </c>
      <c r="H1786" t="inlineStr">
        <is>
          <t>Supply Cuts</t>
        </is>
      </c>
    </row>
    <row r="1787">
      <c r="A1787" t="inlineStr">
        <is>
          <t>Kylie Makeup</t>
        </is>
      </c>
      <c r="B1787" t="inlineStr">
        <is>
          <t>Collection (01319)</t>
        </is>
      </c>
      <c r="C1787" t="inlineStr">
        <is>
          <t>Kylie Summer (00006440)</t>
        </is>
      </c>
      <c r="D1787" s="1" t="n">
        <v>4064941091400</v>
      </c>
      <c r="E1787" t="inlineStr">
        <is>
          <t>KJ MU SUMMER LG 15 ML UNDRESTIMATD002 IV</t>
        </is>
      </c>
      <c r="F1787" t="inlineStr">
        <is>
          <t>P_US_FG</t>
        </is>
      </c>
      <c r="G1787" t="inlineStr">
        <is>
          <t>Month-2026.M09.W38</t>
        </is>
      </c>
      <c r="H1787" t="inlineStr">
        <is>
          <t>Consensus - Final LY M</t>
        </is>
      </c>
      <c r="J1787" t="n">
        <v>3</v>
      </c>
      <c r="L1787" t="n">
        <v>30</v>
      </c>
      <c r="Q1787" t="n">
        <v>1</v>
      </c>
    </row>
    <row r="1788">
      <c r="A1788" t="inlineStr">
        <is>
          <t>Kylie Makeup</t>
        </is>
      </c>
      <c r="B1788" t="inlineStr">
        <is>
          <t>Collection (01319)</t>
        </is>
      </c>
      <c r="C1788" t="inlineStr">
        <is>
          <t>Kylie Summer (00006440)</t>
        </is>
      </c>
      <c r="D1788" s="1" t="n">
        <v>4064941091400</v>
      </c>
      <c r="E1788" t="inlineStr">
        <is>
          <t>KJ MU SUMMER LG 15 ML UNDRESTIMATD002 IV</t>
        </is>
      </c>
      <c r="F1788" t="inlineStr">
        <is>
          <t>P_US_FG</t>
        </is>
      </c>
      <c r="G1788" t="inlineStr">
        <is>
          <t>Month-2026.M09.W38</t>
        </is>
      </c>
      <c r="H1788" t="inlineStr">
        <is>
          <t>System FC - Final</t>
        </is>
      </c>
      <c r="K1788" t="n">
        <v>3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</row>
    <row r="1789">
      <c r="A1789" t="inlineStr">
        <is>
          <t>Kylie Makeup</t>
        </is>
      </c>
      <c r="B1789" t="inlineStr">
        <is>
          <t>Collection (01319)</t>
        </is>
      </c>
      <c r="C1789" t="inlineStr">
        <is>
          <t>Kylie Summer (00006440)</t>
        </is>
      </c>
      <c r="D1789" s="1" t="n">
        <v>4064941091400</v>
      </c>
      <c r="E1789" t="inlineStr">
        <is>
          <t>KJ MU SUMMER LG 15 ML UNDRESTIMATD002 IV</t>
        </is>
      </c>
      <c r="F1789" t="inlineStr">
        <is>
          <t>P_US_FG</t>
        </is>
      </c>
      <c r="G1789" t="inlineStr">
        <is>
          <t>Month-2026.M09.W38</t>
        </is>
      </c>
      <c r="H1789" t="inlineStr">
        <is>
          <t>EPOS</t>
        </is>
      </c>
    </row>
    <row r="1790">
      <c r="A1790" t="inlineStr">
        <is>
          <t>Kylie Makeup</t>
        </is>
      </c>
      <c r="B1790" t="inlineStr">
        <is>
          <t>Collection (01319)</t>
        </is>
      </c>
      <c r="C1790" t="inlineStr">
        <is>
          <t>Kylie Summer (00006440)</t>
        </is>
      </c>
      <c r="D1790" s="1" t="n">
        <v>4064941091400</v>
      </c>
      <c r="E1790" t="inlineStr">
        <is>
          <t>KJ MU SUMMER LG 15 ML UNDRESTIMATD002 IV</t>
        </is>
      </c>
      <c r="F1790" t="inlineStr">
        <is>
          <t>P_US_FG</t>
        </is>
      </c>
      <c r="G1790" t="inlineStr">
        <is>
          <t>Month-2026.M09.W38</t>
        </is>
      </c>
      <c r="H1790" t="inlineStr">
        <is>
          <t>Reasonability Adjustment</t>
        </is>
      </c>
    </row>
    <row r="1791">
      <c r="A1791" t="inlineStr">
        <is>
          <t>Kylie Makeup</t>
        </is>
      </c>
      <c r="B1791" t="inlineStr">
        <is>
          <t>Collection (01319)</t>
        </is>
      </c>
      <c r="C1791" t="inlineStr">
        <is>
          <t>Kylie Summer (00006440)</t>
        </is>
      </c>
      <c r="D1791" s="1" t="n">
        <v>4064941091400</v>
      </c>
      <c r="E1791" t="inlineStr">
        <is>
          <t>KJ MU SUMMER LG 15 ML UNDRESTIMATD002 IV</t>
        </is>
      </c>
      <c r="F1791" t="inlineStr">
        <is>
          <t>P_US_FG</t>
        </is>
      </c>
      <c r="G1791" t="inlineStr">
        <is>
          <t>Month-2026.M09.W38</t>
        </is>
      </c>
      <c r="H1791" t="inlineStr">
        <is>
          <t>Total Demand Assumption</t>
        </is>
      </c>
    </row>
    <row r="1792">
      <c r="A1792" t="inlineStr">
        <is>
          <t>Kylie Makeup</t>
        </is>
      </c>
      <c r="B1792" t="inlineStr">
        <is>
          <t>Collection (01319)</t>
        </is>
      </c>
      <c r="C1792" t="inlineStr">
        <is>
          <t>Kylie Summer (00006440)</t>
        </is>
      </c>
      <c r="D1792" s="1" t="n">
        <v>4064941091400</v>
      </c>
      <c r="E1792" t="inlineStr">
        <is>
          <t>KJ MU SUMMER LG 15 ML UNDRESTIMATD002 IV</t>
        </is>
      </c>
      <c r="F1792" t="inlineStr">
        <is>
          <t>P_US_FG</t>
        </is>
      </c>
      <c r="G1792" t="inlineStr">
        <is>
          <t>Month-2026.M09.W38</t>
        </is>
      </c>
      <c r="H1792" t="inlineStr">
        <is>
          <t>Consensus - Final</t>
        </is>
      </c>
      <c r="K1792" t="n">
        <v>0</v>
      </c>
    </row>
    <row r="1793">
      <c r="A1793" t="inlineStr">
        <is>
          <t>Kylie Makeup</t>
        </is>
      </c>
      <c r="B1793" t="inlineStr">
        <is>
          <t>Collection (01319)</t>
        </is>
      </c>
      <c r="C1793" t="inlineStr">
        <is>
          <t>Kylie Summer (00006440)</t>
        </is>
      </c>
      <c r="D1793" s="1" t="n">
        <v>4064941091400</v>
      </c>
      <c r="E1793" t="inlineStr">
        <is>
          <t>KJ MU SUMMER LG 15 ML UNDRESTIMATD002 IV</t>
        </is>
      </c>
      <c r="F1793" t="inlineStr">
        <is>
          <t>P_US_FG</t>
        </is>
      </c>
      <c r="G1793" t="inlineStr">
        <is>
          <t>Month-2026.M09.W38</t>
        </is>
      </c>
      <c r="H1793" t="inlineStr">
        <is>
          <t>Supply Cuts</t>
        </is>
      </c>
    </row>
    <row r="1794">
      <c r="A1794" t="inlineStr">
        <is>
          <t>Kylie Makeup</t>
        </is>
      </c>
      <c r="B1794" t="inlineStr">
        <is>
          <t>Collection (01319)</t>
        </is>
      </c>
      <c r="C1794" t="inlineStr">
        <is>
          <t>Kylie Summer (00006440)</t>
        </is>
      </c>
      <c r="D1794" s="1" t="n">
        <v>4064941091400</v>
      </c>
      <c r="E1794" t="inlineStr">
        <is>
          <t>KJ MU SUMMER LG 15 ML UNDRESTIMATD002 IV</t>
        </is>
      </c>
      <c r="F1794" t="inlineStr">
        <is>
          <t>P_US_ULTA</t>
        </is>
      </c>
      <c r="G1794" t="inlineStr">
        <is>
          <t>CurrentWorkingView</t>
        </is>
      </c>
      <c r="H1794" t="inlineStr">
        <is>
          <t>Consensus - Final LY M</t>
        </is>
      </c>
      <c r="I1794" t="n">
        <v>8203</v>
      </c>
      <c r="J1794" t="n">
        <v>6520</v>
      </c>
      <c r="K1794" t="n">
        <v>2140</v>
      </c>
      <c r="L1794" t="n">
        <v>72</v>
      </c>
      <c r="N1794" t="n">
        <v>72</v>
      </c>
      <c r="O1794" t="n">
        <v>144</v>
      </c>
      <c r="P1794" t="n">
        <v>16</v>
      </c>
      <c r="Q1794" t="n">
        <v>402</v>
      </c>
      <c r="R1794" t="n">
        <v>437</v>
      </c>
      <c r="S1794" t="n">
        <v>403</v>
      </c>
      <c r="T1794" t="n">
        <v>505</v>
      </c>
    </row>
    <row r="1795">
      <c r="A1795" t="inlineStr">
        <is>
          <t>Kylie Makeup</t>
        </is>
      </c>
      <c r="B1795" t="inlineStr">
        <is>
          <t>Collection (01319)</t>
        </is>
      </c>
      <c r="C1795" t="inlineStr">
        <is>
          <t>Kylie Summer (00006440)</t>
        </is>
      </c>
      <c r="D1795" s="1" t="n">
        <v>4064941091400</v>
      </c>
      <c r="E1795" t="inlineStr">
        <is>
          <t>KJ MU SUMMER LG 15 ML UNDRESTIMATD002 IV</t>
        </is>
      </c>
      <c r="F1795" t="inlineStr">
        <is>
          <t>P_US_ULTA</t>
        </is>
      </c>
      <c r="G1795" t="inlineStr">
        <is>
          <t>CurrentWorkingView</t>
        </is>
      </c>
      <c r="H1795" t="inlineStr">
        <is>
          <t>System FC - Final</t>
        </is>
      </c>
      <c r="I1795" t="n">
        <v>183</v>
      </c>
      <c r="J1795" t="n">
        <v>444</v>
      </c>
      <c r="K1795" t="n">
        <v>386</v>
      </c>
      <c r="L1795" t="n">
        <v>323</v>
      </c>
      <c r="M1795" t="n">
        <v>8</v>
      </c>
      <c r="N1795" t="n">
        <v>577</v>
      </c>
      <c r="O1795" t="n">
        <v>429</v>
      </c>
      <c r="P1795" t="n">
        <v>528</v>
      </c>
      <c r="Q1795" t="n">
        <v>363</v>
      </c>
      <c r="R1795" t="n">
        <v>5</v>
      </c>
      <c r="S1795" t="n">
        <v>142</v>
      </c>
      <c r="T1795" t="n">
        <v>4</v>
      </c>
    </row>
    <row r="1796">
      <c r="A1796" t="inlineStr">
        <is>
          <t>Kylie Makeup</t>
        </is>
      </c>
      <c r="B1796" t="inlineStr">
        <is>
          <t>Collection (01319)</t>
        </is>
      </c>
      <c r="C1796" t="inlineStr">
        <is>
          <t>Kylie Summer (00006440)</t>
        </is>
      </c>
      <c r="D1796" s="1" t="n">
        <v>4064941091400</v>
      </c>
      <c r="E1796" t="inlineStr">
        <is>
          <t>KJ MU SUMMER LG 15 ML UNDRESTIMATD002 IV</t>
        </is>
      </c>
      <c r="F1796" t="inlineStr">
        <is>
          <t>P_US_ULTA</t>
        </is>
      </c>
      <c r="G1796" t="inlineStr">
        <is>
          <t>CurrentWorkingView</t>
        </is>
      </c>
      <c r="H1796" t="inlineStr">
        <is>
          <t>EPOS</t>
        </is>
      </c>
      <c r="I1796" t="n">
        <v>491</v>
      </c>
    </row>
    <row r="1797">
      <c r="A1797" t="inlineStr">
        <is>
          <t>Kylie Makeup</t>
        </is>
      </c>
      <c r="B1797" t="inlineStr">
        <is>
          <t>Collection (01319)</t>
        </is>
      </c>
      <c r="C1797" t="inlineStr">
        <is>
          <t>Kylie Summer (00006440)</t>
        </is>
      </c>
      <c r="D1797" s="1" t="n">
        <v>4064941091400</v>
      </c>
      <c r="E1797" t="inlineStr">
        <is>
          <t>KJ MU SUMMER LG 15 ML UNDRESTIMATD002 IV</t>
        </is>
      </c>
      <c r="F1797" t="inlineStr">
        <is>
          <t>P_US_ULTA</t>
        </is>
      </c>
      <c r="G1797" t="inlineStr">
        <is>
          <t>CurrentWorkingView</t>
        </is>
      </c>
      <c r="H1797" t="inlineStr">
        <is>
          <t>Reasonability Adjustment</t>
        </is>
      </c>
    </row>
    <row r="1798">
      <c r="A1798" t="inlineStr">
        <is>
          <t>Kylie Makeup</t>
        </is>
      </c>
      <c r="B1798" t="inlineStr">
        <is>
          <t>Collection (01319)</t>
        </is>
      </c>
      <c r="C1798" t="inlineStr">
        <is>
          <t>Kylie Summer (00006440)</t>
        </is>
      </c>
      <c r="D1798" s="1" t="n">
        <v>4064941091400</v>
      </c>
      <c r="E1798" t="inlineStr">
        <is>
          <t>KJ MU SUMMER LG 15 ML UNDRESTIMATD002 IV</t>
        </is>
      </c>
      <c r="F1798" t="inlineStr">
        <is>
          <t>P_US_ULTA</t>
        </is>
      </c>
      <c r="G1798" t="inlineStr">
        <is>
          <t>CurrentWorkingView</t>
        </is>
      </c>
      <c r="H1798" t="inlineStr">
        <is>
          <t>Total Demand Assumption</t>
        </is>
      </c>
      <c r="J1798" t="n">
        <v>-293</v>
      </c>
    </row>
    <row r="1799">
      <c r="A1799" t="inlineStr">
        <is>
          <t>Kylie Makeup</t>
        </is>
      </c>
      <c r="B1799" t="inlineStr">
        <is>
          <t>Collection (01319)</t>
        </is>
      </c>
      <c r="C1799" t="inlineStr">
        <is>
          <t>Kylie Summer (00006440)</t>
        </is>
      </c>
      <c r="D1799" s="1" t="n">
        <v>4064941091400</v>
      </c>
      <c r="E1799" t="inlineStr">
        <is>
          <t>KJ MU SUMMER LG 15 ML UNDRESTIMATD002 IV</t>
        </is>
      </c>
      <c r="F1799" t="inlineStr">
        <is>
          <t>P_US_ULTA</t>
        </is>
      </c>
      <c r="G1799" t="inlineStr">
        <is>
          <t>CurrentWorkingView</t>
        </is>
      </c>
      <c r="H1799" t="inlineStr">
        <is>
          <t>Consensus - Final</t>
        </is>
      </c>
      <c r="I1799" t="n">
        <v>183</v>
      </c>
      <c r="J1799" t="n">
        <v>444</v>
      </c>
      <c r="K1799" t="n">
        <v>386</v>
      </c>
      <c r="L1799" t="n">
        <v>323</v>
      </c>
      <c r="M1799" t="n">
        <v>8</v>
      </c>
      <c r="N1799" t="n">
        <v>577</v>
      </c>
      <c r="O1799" t="n">
        <v>429</v>
      </c>
      <c r="P1799" t="n">
        <v>528</v>
      </c>
      <c r="Q1799" t="n">
        <v>363</v>
      </c>
      <c r="R1799" t="n">
        <v>5</v>
      </c>
      <c r="S1799" t="n">
        <v>142</v>
      </c>
      <c r="T1799" t="n">
        <v>4</v>
      </c>
    </row>
    <row r="1800">
      <c r="A1800" t="inlineStr">
        <is>
          <t>Kylie Makeup</t>
        </is>
      </c>
      <c r="B1800" t="inlineStr">
        <is>
          <t>Collection (01319)</t>
        </is>
      </c>
      <c r="C1800" t="inlineStr">
        <is>
          <t>Kylie Summer (00006440)</t>
        </is>
      </c>
      <c r="D1800" s="1" t="n">
        <v>4064941091400</v>
      </c>
      <c r="E1800" t="inlineStr">
        <is>
          <t>KJ MU SUMMER LG 15 ML UNDRESTIMATD002 IV</t>
        </is>
      </c>
      <c r="F1800" t="inlineStr">
        <is>
          <t>P_US_ULTA</t>
        </is>
      </c>
      <c r="G1800" t="inlineStr">
        <is>
          <t>CurrentWorkingView</t>
        </is>
      </c>
      <c r="H1800" t="inlineStr">
        <is>
          <t>Supply Cuts</t>
        </is>
      </c>
    </row>
    <row r="1801">
      <c r="A1801" t="inlineStr">
        <is>
          <t>Kylie Makeup</t>
        </is>
      </c>
      <c r="B1801" t="inlineStr">
        <is>
          <t>Collection (01319)</t>
        </is>
      </c>
      <c r="C1801" t="inlineStr">
        <is>
          <t>Kylie Summer (00006440)</t>
        </is>
      </c>
      <c r="D1801" s="1" t="n">
        <v>4064941091400</v>
      </c>
      <c r="E1801" t="inlineStr">
        <is>
          <t>KJ MU SUMMER LG 15 ML UNDRESTIMATD002 IV</t>
        </is>
      </c>
      <c r="F1801" t="inlineStr">
        <is>
          <t>P_US_ULTA</t>
        </is>
      </c>
      <c r="G1801" t="inlineStr">
        <is>
          <t>Month-2026.M09.W38</t>
        </is>
      </c>
      <c r="H1801" t="inlineStr">
        <is>
          <t>Consensus - Final LY M</t>
        </is>
      </c>
      <c r="I1801" t="n">
        <v>8203</v>
      </c>
      <c r="J1801" t="n">
        <v>6520</v>
      </c>
      <c r="K1801" t="n">
        <v>2140</v>
      </c>
      <c r="L1801" t="n">
        <v>72</v>
      </c>
      <c r="N1801" t="n">
        <v>72</v>
      </c>
      <c r="O1801" t="n">
        <v>144</v>
      </c>
      <c r="P1801" t="n">
        <v>16</v>
      </c>
      <c r="Q1801" t="n">
        <v>402</v>
      </c>
      <c r="R1801" t="n">
        <v>437</v>
      </c>
      <c r="S1801" t="n">
        <v>403</v>
      </c>
      <c r="T1801" t="n">
        <v>505</v>
      </c>
    </row>
    <row r="1802">
      <c r="A1802" t="inlineStr">
        <is>
          <t>Kylie Makeup</t>
        </is>
      </c>
      <c r="B1802" t="inlineStr">
        <is>
          <t>Collection (01319)</t>
        </is>
      </c>
      <c r="C1802" t="inlineStr">
        <is>
          <t>Kylie Summer (00006440)</t>
        </is>
      </c>
      <c r="D1802" s="1" t="n">
        <v>4064941091400</v>
      </c>
      <c r="E1802" t="inlineStr">
        <is>
          <t>KJ MU SUMMER LG 15 ML UNDRESTIMATD002 IV</t>
        </is>
      </c>
      <c r="F1802" t="inlineStr">
        <is>
          <t>P_US_ULTA</t>
        </is>
      </c>
      <c r="G1802" t="inlineStr">
        <is>
          <t>Month-2026.M09.W38</t>
        </is>
      </c>
      <c r="H1802" t="inlineStr">
        <is>
          <t>System FC - Final</t>
        </is>
      </c>
      <c r="I1802" t="n">
        <v>183</v>
      </c>
      <c r="J1802" t="n">
        <v>444</v>
      </c>
      <c r="K1802" t="n">
        <v>479</v>
      </c>
      <c r="L1802" t="n">
        <v>4</v>
      </c>
      <c r="M1802" t="n">
        <v>176</v>
      </c>
      <c r="N1802" t="n">
        <v>801</v>
      </c>
      <c r="O1802" t="n">
        <v>642</v>
      </c>
      <c r="P1802" t="n">
        <v>556</v>
      </c>
      <c r="Q1802" t="n">
        <v>740</v>
      </c>
      <c r="R1802" t="n">
        <v>253</v>
      </c>
      <c r="S1802" t="n">
        <v>496</v>
      </c>
      <c r="T1802" t="n">
        <v>505</v>
      </c>
    </row>
    <row r="1803">
      <c r="A1803" t="inlineStr">
        <is>
          <t>Kylie Makeup</t>
        </is>
      </c>
      <c r="B1803" t="inlineStr">
        <is>
          <t>Collection (01319)</t>
        </is>
      </c>
      <c r="C1803" t="inlineStr">
        <is>
          <t>Kylie Summer (00006440)</t>
        </is>
      </c>
      <c r="D1803" s="1" t="n">
        <v>4064941091400</v>
      </c>
      <c r="E1803" t="inlineStr">
        <is>
          <t>KJ MU SUMMER LG 15 ML UNDRESTIMATD002 IV</t>
        </is>
      </c>
      <c r="F1803" t="inlineStr">
        <is>
          <t>P_US_ULTA</t>
        </is>
      </c>
      <c r="G1803" t="inlineStr">
        <is>
          <t>Month-2026.M09.W38</t>
        </is>
      </c>
      <c r="H1803" t="inlineStr">
        <is>
          <t>EPOS</t>
        </is>
      </c>
      <c r="I1803" t="n">
        <v>491</v>
      </c>
    </row>
    <row r="1804">
      <c r="A1804" t="inlineStr">
        <is>
          <t>Kylie Makeup</t>
        </is>
      </c>
      <c r="B1804" t="inlineStr">
        <is>
          <t>Collection (01319)</t>
        </is>
      </c>
      <c r="C1804" t="inlineStr">
        <is>
          <t>Kylie Summer (00006440)</t>
        </is>
      </c>
      <c r="D1804" s="1" t="n">
        <v>4064941091400</v>
      </c>
      <c r="E1804" t="inlineStr">
        <is>
          <t>KJ MU SUMMER LG 15 ML UNDRESTIMATD002 IV</t>
        </is>
      </c>
      <c r="F1804" t="inlineStr">
        <is>
          <t>P_US_ULTA</t>
        </is>
      </c>
      <c r="G1804" t="inlineStr">
        <is>
          <t>Month-2026.M09.W38</t>
        </is>
      </c>
      <c r="H1804" t="inlineStr">
        <is>
          <t>Reasonability Adjustment</t>
        </is>
      </c>
    </row>
    <row r="1805">
      <c r="A1805" t="inlineStr">
        <is>
          <t>Kylie Makeup</t>
        </is>
      </c>
      <c r="B1805" t="inlineStr">
        <is>
          <t>Collection (01319)</t>
        </is>
      </c>
      <c r="C1805" t="inlineStr">
        <is>
          <t>Kylie Summer (00006440)</t>
        </is>
      </c>
      <c r="D1805" s="1" t="n">
        <v>4064941091400</v>
      </c>
      <c r="E1805" t="inlineStr">
        <is>
          <t>KJ MU SUMMER LG 15 ML UNDRESTIMATD002 IV</t>
        </is>
      </c>
      <c r="F1805" t="inlineStr">
        <is>
          <t>P_US_ULTA</t>
        </is>
      </c>
      <c r="G1805" t="inlineStr">
        <is>
          <t>Month-2026.M09.W38</t>
        </is>
      </c>
      <c r="H1805" t="inlineStr">
        <is>
          <t>Total Demand Assumption</t>
        </is>
      </c>
      <c r="J1805" t="n">
        <v>-293</v>
      </c>
    </row>
    <row r="1806">
      <c r="A1806" t="inlineStr">
        <is>
          <t>Kylie Makeup</t>
        </is>
      </c>
      <c r="B1806" t="inlineStr">
        <is>
          <t>Collection (01319)</t>
        </is>
      </c>
      <c r="C1806" t="inlineStr">
        <is>
          <t>Kylie Summer (00006440)</t>
        </is>
      </c>
      <c r="D1806" s="1" t="n">
        <v>4064941091400</v>
      </c>
      <c r="E1806" t="inlineStr">
        <is>
          <t>KJ MU SUMMER LG 15 ML UNDRESTIMATD002 IV</t>
        </is>
      </c>
      <c r="F1806" t="inlineStr">
        <is>
          <t>P_US_ULTA</t>
        </is>
      </c>
      <c r="G1806" t="inlineStr">
        <is>
          <t>Month-2026.M09.W38</t>
        </is>
      </c>
      <c r="H1806" t="inlineStr">
        <is>
          <t>Consensus - Final</t>
        </is>
      </c>
      <c r="I1806" t="n">
        <v>183</v>
      </c>
      <c r="J1806" t="n">
        <v>444</v>
      </c>
      <c r="K1806" t="n">
        <v>386</v>
      </c>
      <c r="L1806" t="n">
        <v>4</v>
      </c>
      <c r="M1806" t="n">
        <v>176</v>
      </c>
      <c r="N1806" t="n">
        <v>801</v>
      </c>
      <c r="O1806" t="n">
        <v>642</v>
      </c>
      <c r="P1806" t="n">
        <v>556</v>
      </c>
      <c r="Q1806" t="n">
        <v>740</v>
      </c>
      <c r="R1806" t="n">
        <v>253</v>
      </c>
      <c r="S1806" t="n">
        <v>496</v>
      </c>
      <c r="T1806" t="n">
        <v>505</v>
      </c>
    </row>
    <row r="1807">
      <c r="A1807" t="inlineStr">
        <is>
          <t>Kylie Makeup</t>
        </is>
      </c>
      <c r="B1807" t="inlineStr">
        <is>
          <t>Collection (01319)</t>
        </is>
      </c>
      <c r="C1807" t="inlineStr">
        <is>
          <t>Kylie Summer (00006440)</t>
        </is>
      </c>
      <c r="D1807" s="1" t="n">
        <v>4064941091400</v>
      </c>
      <c r="E1807" t="inlineStr">
        <is>
          <t>KJ MU SUMMER LG 15 ML UNDRESTIMATD002 IV</t>
        </is>
      </c>
      <c r="F1807" t="inlineStr">
        <is>
          <t>P_US_ULTA</t>
        </is>
      </c>
      <c r="G1807" t="inlineStr">
        <is>
          <t>Month-2026.M09.W38</t>
        </is>
      </c>
      <c r="H1807" t="inlineStr">
        <is>
          <t>Supply Cuts</t>
        </is>
      </c>
    </row>
    <row r="1808">
      <c r="A1808" t="inlineStr">
        <is>
          <t>Kylie Makeup</t>
        </is>
      </c>
      <c r="B1808" t="inlineStr">
        <is>
          <t>Eyes (01244)</t>
        </is>
      </c>
      <c r="C1808" t="inlineStr">
        <is>
          <t>Kylie E/S Palette (00006116)</t>
        </is>
      </c>
      <c r="D1808" s="1" t="n">
        <v>4064941092797</v>
      </c>
      <c r="E1808" t="inlineStr">
        <is>
          <t>KJ MU ES PALET  16G BRONZE NUDES IV</t>
        </is>
      </c>
      <c r="F1808" t="inlineStr">
        <is>
          <t>P_US_ALL_OTHERS</t>
        </is>
      </c>
      <c r="G1808" t="inlineStr">
        <is>
          <t>CurrentWorkingView</t>
        </is>
      </c>
      <c r="H1808" t="inlineStr">
        <is>
          <t>Consensus - Final LY M</t>
        </is>
      </c>
      <c r="I1808" t="n">
        <v>237</v>
      </c>
      <c r="J1808" t="n">
        <v>131</v>
      </c>
      <c r="K1808" t="n">
        <v>302</v>
      </c>
      <c r="L1808" t="n">
        <v>301</v>
      </c>
      <c r="M1808" t="n">
        <v>2</v>
      </c>
      <c r="N1808" t="n">
        <v>167</v>
      </c>
      <c r="O1808" t="n">
        <v>480</v>
      </c>
      <c r="P1808" t="n">
        <v>257</v>
      </c>
      <c r="R1808" t="n">
        <v>471</v>
      </c>
      <c r="S1808" t="n">
        <v>1184</v>
      </c>
      <c r="T1808" t="n">
        <v>163</v>
      </c>
    </row>
    <row r="1809">
      <c r="A1809" t="inlineStr">
        <is>
          <t>Kylie Makeup</t>
        </is>
      </c>
      <c r="B1809" t="inlineStr">
        <is>
          <t>Eyes (01244)</t>
        </is>
      </c>
      <c r="C1809" t="inlineStr">
        <is>
          <t>Kylie E/S Palette (00006116)</t>
        </is>
      </c>
      <c r="D1809" s="1" t="n">
        <v>4064941092797</v>
      </c>
      <c r="E1809" t="inlineStr">
        <is>
          <t>KJ MU ES PALET  16G BRONZE NUDES IV</t>
        </is>
      </c>
      <c r="F1809" t="inlineStr">
        <is>
          <t>P_US_ALL_OTHERS</t>
        </is>
      </c>
      <c r="G1809" t="inlineStr">
        <is>
          <t>CurrentWorkingView</t>
        </is>
      </c>
      <c r="H1809" t="inlineStr">
        <is>
          <t>System FC - Final</t>
        </is>
      </c>
      <c r="I1809" t="n">
        <v>281</v>
      </c>
      <c r="J1809" t="n">
        <v>958</v>
      </c>
      <c r="K1809" t="n">
        <v>219</v>
      </c>
      <c r="L1809" t="n">
        <v>419</v>
      </c>
      <c r="M1809" t="n">
        <v>360</v>
      </c>
      <c r="N1809" t="n">
        <v>279</v>
      </c>
      <c r="O1809" t="n">
        <v>1081</v>
      </c>
      <c r="P1809" t="n">
        <v>600</v>
      </c>
      <c r="Q1809" t="n">
        <v>478</v>
      </c>
      <c r="R1809" t="n">
        <v>437</v>
      </c>
      <c r="S1809" t="n">
        <v>983</v>
      </c>
      <c r="T1809" t="n">
        <v>321</v>
      </c>
    </row>
    <row r="1810">
      <c r="A1810" t="inlineStr">
        <is>
          <t>Kylie Makeup</t>
        </is>
      </c>
      <c r="B1810" t="inlineStr">
        <is>
          <t>Eyes (01244)</t>
        </is>
      </c>
      <c r="C1810" t="inlineStr">
        <is>
          <t>Kylie E/S Palette (00006116)</t>
        </is>
      </c>
      <c r="D1810" s="1" t="n">
        <v>4064941092797</v>
      </c>
      <c r="E1810" t="inlineStr">
        <is>
          <t>KJ MU ES PALET  16G BRONZE NUDES IV</t>
        </is>
      </c>
      <c r="F1810" t="inlineStr">
        <is>
          <t>P_US_ALL_OTHERS</t>
        </is>
      </c>
      <c r="G1810" t="inlineStr">
        <is>
          <t>CurrentWorkingView</t>
        </is>
      </c>
      <c r="H1810" t="inlineStr">
        <is>
          <t>EPOS</t>
        </is>
      </c>
      <c r="I1810" t="n">
        <v>429</v>
      </c>
    </row>
    <row r="1811">
      <c r="A1811" t="inlineStr">
        <is>
          <t>Kylie Makeup</t>
        </is>
      </c>
      <c r="B1811" t="inlineStr">
        <is>
          <t>Eyes (01244)</t>
        </is>
      </c>
      <c r="C1811" t="inlineStr">
        <is>
          <t>Kylie E/S Palette (00006116)</t>
        </is>
      </c>
      <c r="D1811" s="1" t="n">
        <v>4064941092797</v>
      </c>
      <c r="E1811" t="inlineStr">
        <is>
          <t>KJ MU ES PALET  16G BRONZE NUDES IV</t>
        </is>
      </c>
      <c r="F1811" t="inlineStr">
        <is>
          <t>P_US_ALL_OTHERS</t>
        </is>
      </c>
      <c r="G1811" t="inlineStr">
        <is>
          <t>CurrentWorkingView</t>
        </is>
      </c>
      <c r="H1811" t="inlineStr">
        <is>
          <t>Reasonability Adjustment</t>
        </is>
      </c>
    </row>
    <row r="1812">
      <c r="A1812" t="inlineStr">
        <is>
          <t>Kylie Makeup</t>
        </is>
      </c>
      <c r="B1812" t="inlineStr">
        <is>
          <t>Eyes (01244)</t>
        </is>
      </c>
      <c r="C1812" t="inlineStr">
        <is>
          <t>Kylie E/S Palette (00006116)</t>
        </is>
      </c>
      <c r="D1812" s="1" t="n">
        <v>4064941092797</v>
      </c>
      <c r="E1812" t="inlineStr">
        <is>
          <t>KJ MU ES PALET  16G BRONZE NUDES IV</t>
        </is>
      </c>
      <c r="F1812" t="inlineStr">
        <is>
          <t>P_US_ALL_OTHERS</t>
        </is>
      </c>
      <c r="G1812" t="inlineStr">
        <is>
          <t>CurrentWorkingView</t>
        </is>
      </c>
      <c r="H1812" t="inlineStr">
        <is>
          <t>Total Demand Assumption</t>
        </is>
      </c>
    </row>
    <row r="1813">
      <c r="A1813" t="inlineStr">
        <is>
          <t>Kylie Makeup</t>
        </is>
      </c>
      <c r="B1813" t="inlineStr">
        <is>
          <t>Eyes (01244)</t>
        </is>
      </c>
      <c r="C1813" t="inlineStr">
        <is>
          <t>Kylie E/S Palette (00006116)</t>
        </is>
      </c>
      <c r="D1813" s="1" t="n">
        <v>4064941092797</v>
      </c>
      <c r="E1813" t="inlineStr">
        <is>
          <t>KJ MU ES PALET  16G BRONZE NUDES IV</t>
        </is>
      </c>
      <c r="F1813" t="inlineStr">
        <is>
          <t>P_US_ALL_OTHERS</t>
        </is>
      </c>
      <c r="G1813" t="inlineStr">
        <is>
          <t>CurrentWorkingView</t>
        </is>
      </c>
      <c r="H1813" t="inlineStr">
        <is>
          <t>Consensus - Final</t>
        </is>
      </c>
      <c r="I1813" t="n">
        <v>281</v>
      </c>
      <c r="J1813" t="n">
        <v>958</v>
      </c>
      <c r="K1813" t="n">
        <v>350.230769230769</v>
      </c>
      <c r="L1813" t="n">
        <v>419</v>
      </c>
      <c r="M1813" t="n">
        <v>360</v>
      </c>
      <c r="N1813" t="n">
        <v>279</v>
      </c>
      <c r="O1813" t="n">
        <v>1081</v>
      </c>
      <c r="P1813" t="n">
        <v>600</v>
      </c>
      <c r="Q1813" t="n">
        <v>478</v>
      </c>
      <c r="R1813" t="n">
        <v>437</v>
      </c>
      <c r="S1813" t="n">
        <v>983</v>
      </c>
      <c r="T1813" t="n">
        <v>321</v>
      </c>
    </row>
    <row r="1814">
      <c r="A1814" t="inlineStr">
        <is>
          <t>Kylie Makeup</t>
        </is>
      </c>
      <c r="B1814" t="inlineStr">
        <is>
          <t>Eyes (01244)</t>
        </is>
      </c>
      <c r="C1814" t="inlineStr">
        <is>
          <t>Kylie E/S Palette (00006116)</t>
        </is>
      </c>
      <c r="D1814" s="1" t="n">
        <v>4064941092797</v>
      </c>
      <c r="E1814" t="inlineStr">
        <is>
          <t>KJ MU ES PALET  16G BRONZE NUDES IV</t>
        </is>
      </c>
      <c r="F1814" t="inlineStr">
        <is>
          <t>P_US_ALL_OTHERS</t>
        </is>
      </c>
      <c r="G1814" t="inlineStr">
        <is>
          <t>CurrentWorkingView</t>
        </is>
      </c>
      <c r="H1814" t="inlineStr">
        <is>
          <t>Supply Cuts</t>
        </is>
      </c>
    </row>
    <row r="1815">
      <c r="A1815" t="inlineStr">
        <is>
          <t>Kylie Makeup</t>
        </is>
      </c>
      <c r="B1815" t="inlineStr">
        <is>
          <t>Eyes (01244)</t>
        </is>
      </c>
      <c r="C1815" t="inlineStr">
        <is>
          <t>Kylie E/S Palette (00006116)</t>
        </is>
      </c>
      <c r="D1815" s="1" t="n">
        <v>4064941092797</v>
      </c>
      <c r="E1815" t="inlineStr">
        <is>
          <t>KJ MU ES PALET  16G BRONZE NUDES IV</t>
        </is>
      </c>
      <c r="F1815" t="inlineStr">
        <is>
          <t>P_US_ALL_OTHERS</t>
        </is>
      </c>
      <c r="G1815" t="inlineStr">
        <is>
          <t>Month-2026.M09.W38</t>
        </is>
      </c>
      <c r="H1815" t="inlineStr">
        <is>
          <t>Consensus - Final LY M</t>
        </is>
      </c>
      <c r="I1815" t="n">
        <v>237</v>
      </c>
      <c r="J1815" t="n">
        <v>131</v>
      </c>
      <c r="K1815" t="n">
        <v>302</v>
      </c>
      <c r="L1815" t="n">
        <v>301</v>
      </c>
      <c r="M1815" t="n">
        <v>2</v>
      </c>
      <c r="N1815" t="n">
        <v>167</v>
      </c>
      <c r="O1815" t="n">
        <v>480</v>
      </c>
      <c r="P1815" t="n">
        <v>257</v>
      </c>
      <c r="R1815" t="n">
        <v>471</v>
      </c>
      <c r="S1815" t="n">
        <v>1184</v>
      </c>
      <c r="T1815" t="n">
        <v>163</v>
      </c>
    </row>
    <row r="1816">
      <c r="A1816" t="inlineStr">
        <is>
          <t>Kylie Makeup</t>
        </is>
      </c>
      <c r="B1816" t="inlineStr">
        <is>
          <t>Eyes (01244)</t>
        </is>
      </c>
      <c r="C1816" t="inlineStr">
        <is>
          <t>Kylie E/S Palette (00006116)</t>
        </is>
      </c>
      <c r="D1816" s="1" t="n">
        <v>4064941092797</v>
      </c>
      <c r="E1816" t="inlineStr">
        <is>
          <t>KJ MU ES PALET  16G BRONZE NUDES IV</t>
        </is>
      </c>
      <c r="F1816" t="inlineStr">
        <is>
          <t>P_US_ALL_OTHERS</t>
        </is>
      </c>
      <c r="G1816" t="inlineStr">
        <is>
          <t>Month-2026.M09.W38</t>
        </is>
      </c>
      <c r="H1816" t="inlineStr">
        <is>
          <t>System FC - Final</t>
        </is>
      </c>
      <c r="I1816" t="n">
        <v>281</v>
      </c>
      <c r="J1816" t="n">
        <v>958</v>
      </c>
      <c r="K1816" t="n">
        <v>283</v>
      </c>
      <c r="L1816" t="n">
        <v>247</v>
      </c>
      <c r="M1816" t="n">
        <v>138</v>
      </c>
      <c r="N1816" t="n">
        <v>245</v>
      </c>
      <c r="O1816" t="n">
        <v>244</v>
      </c>
      <c r="P1816" t="n">
        <v>308</v>
      </c>
      <c r="Q1816" t="n">
        <v>119</v>
      </c>
      <c r="R1816" t="n">
        <v>295</v>
      </c>
      <c r="S1816" t="n">
        <v>438</v>
      </c>
      <c r="T1816" t="n">
        <v>171</v>
      </c>
    </row>
    <row r="1817">
      <c r="A1817" t="inlineStr">
        <is>
          <t>Kylie Makeup</t>
        </is>
      </c>
      <c r="B1817" t="inlineStr">
        <is>
          <t>Eyes (01244)</t>
        </is>
      </c>
      <c r="C1817" t="inlineStr">
        <is>
          <t>Kylie E/S Palette (00006116)</t>
        </is>
      </c>
      <c r="D1817" s="1" t="n">
        <v>4064941092797</v>
      </c>
      <c r="E1817" t="inlineStr">
        <is>
          <t>KJ MU ES PALET  16G BRONZE NUDES IV</t>
        </is>
      </c>
      <c r="F1817" t="inlineStr">
        <is>
          <t>P_US_ALL_OTHERS</t>
        </is>
      </c>
      <c r="G1817" t="inlineStr">
        <is>
          <t>Month-2026.M09.W38</t>
        </is>
      </c>
      <c r="H1817" t="inlineStr">
        <is>
          <t>EPOS</t>
        </is>
      </c>
      <c r="I1817" t="n">
        <v>429</v>
      </c>
    </row>
    <row r="1818">
      <c r="A1818" t="inlineStr">
        <is>
          <t>Kylie Makeup</t>
        </is>
      </c>
      <c r="B1818" t="inlineStr">
        <is>
          <t>Eyes (01244)</t>
        </is>
      </c>
      <c r="C1818" t="inlineStr">
        <is>
          <t>Kylie E/S Palette (00006116)</t>
        </is>
      </c>
      <c r="D1818" s="1" t="n">
        <v>4064941092797</v>
      </c>
      <c r="E1818" t="inlineStr">
        <is>
          <t>KJ MU ES PALET  16G BRONZE NUDES IV</t>
        </is>
      </c>
      <c r="F1818" t="inlineStr">
        <is>
          <t>P_US_ALL_OTHERS</t>
        </is>
      </c>
      <c r="G1818" t="inlineStr">
        <is>
          <t>Month-2026.M09.W38</t>
        </is>
      </c>
      <c r="H1818" t="inlineStr">
        <is>
          <t>Reasonability Adjustment</t>
        </is>
      </c>
    </row>
    <row r="1819">
      <c r="A1819" t="inlineStr">
        <is>
          <t>Kylie Makeup</t>
        </is>
      </c>
      <c r="B1819" t="inlineStr">
        <is>
          <t>Eyes (01244)</t>
        </is>
      </c>
      <c r="C1819" t="inlineStr">
        <is>
          <t>Kylie E/S Palette (00006116)</t>
        </is>
      </c>
      <c r="D1819" s="1" t="n">
        <v>4064941092797</v>
      </c>
      <c r="E1819" t="inlineStr">
        <is>
          <t>KJ MU ES PALET  16G BRONZE NUDES IV</t>
        </is>
      </c>
      <c r="F1819" t="inlineStr">
        <is>
          <t>P_US_ALL_OTHERS</t>
        </is>
      </c>
      <c r="G1819" t="inlineStr">
        <is>
          <t>Month-2026.M09.W38</t>
        </is>
      </c>
      <c r="H1819" t="inlineStr">
        <is>
          <t>Total Demand Assumption</t>
        </is>
      </c>
    </row>
    <row r="1820">
      <c r="A1820" t="inlineStr">
        <is>
          <t>Kylie Makeup</t>
        </is>
      </c>
      <c r="B1820" t="inlineStr">
        <is>
          <t>Eyes (01244)</t>
        </is>
      </c>
      <c r="C1820" t="inlineStr">
        <is>
          <t>Kylie E/S Palette (00006116)</t>
        </is>
      </c>
      <c r="D1820" s="1" t="n">
        <v>4064941092797</v>
      </c>
      <c r="E1820" t="inlineStr">
        <is>
          <t>KJ MU ES PALET  16G BRONZE NUDES IV</t>
        </is>
      </c>
      <c r="F1820" t="inlineStr">
        <is>
          <t>P_US_ALL_OTHERS</t>
        </is>
      </c>
      <c r="G1820" t="inlineStr">
        <is>
          <t>Month-2026.M09.W38</t>
        </is>
      </c>
      <c r="H1820" t="inlineStr">
        <is>
          <t>Consensus - Final</t>
        </is>
      </c>
      <c r="I1820" t="n">
        <v>281</v>
      </c>
      <c r="J1820" t="n">
        <v>958</v>
      </c>
      <c r="K1820" t="n">
        <v>350.230769230769</v>
      </c>
      <c r="L1820" t="n">
        <v>247</v>
      </c>
      <c r="M1820" t="n">
        <v>138</v>
      </c>
      <c r="N1820" t="n">
        <v>245</v>
      </c>
      <c r="O1820" t="n">
        <v>244</v>
      </c>
      <c r="P1820" t="n">
        <v>308</v>
      </c>
      <c r="Q1820" t="n">
        <v>119</v>
      </c>
      <c r="R1820" t="n">
        <v>295</v>
      </c>
      <c r="S1820" t="n">
        <v>438</v>
      </c>
      <c r="T1820" t="n">
        <v>171</v>
      </c>
    </row>
    <row r="1821">
      <c r="A1821" t="inlineStr">
        <is>
          <t>Kylie Makeup</t>
        </is>
      </c>
      <c r="B1821" t="inlineStr">
        <is>
          <t>Eyes (01244)</t>
        </is>
      </c>
      <c r="C1821" t="inlineStr">
        <is>
          <t>Kylie E/S Palette (00006116)</t>
        </is>
      </c>
      <c r="D1821" s="1" t="n">
        <v>4064941092797</v>
      </c>
      <c r="E1821" t="inlineStr">
        <is>
          <t>KJ MU ES PALET  16G BRONZE NUDES IV</t>
        </is>
      </c>
      <c r="F1821" t="inlineStr">
        <is>
          <t>P_US_ALL_OTHERS</t>
        </is>
      </c>
      <c r="G1821" t="inlineStr">
        <is>
          <t>Month-2026.M09.W38</t>
        </is>
      </c>
      <c r="H1821" t="inlineStr">
        <is>
          <t>Supply Cuts</t>
        </is>
      </c>
    </row>
    <row r="1822">
      <c r="A1822" t="inlineStr">
        <is>
          <t>Kylie Makeup</t>
        </is>
      </c>
      <c r="B1822" t="inlineStr">
        <is>
          <t>Eyes (01244)</t>
        </is>
      </c>
      <c r="C1822" t="inlineStr">
        <is>
          <t>Kylie E/S Palette (00006116)</t>
        </is>
      </c>
      <c r="D1822" s="1" t="n">
        <v>4064941092797</v>
      </c>
      <c r="E1822" t="inlineStr">
        <is>
          <t>KJ MU ES PALET  16G BRONZE NUDES IV</t>
        </is>
      </c>
      <c r="F1822" t="inlineStr">
        <is>
          <t>P_US_FG</t>
        </is>
      </c>
      <c r="G1822" t="inlineStr">
        <is>
          <t>CurrentWorkingView</t>
        </is>
      </c>
      <c r="H1822" t="inlineStr">
        <is>
          <t>Consensus - Final LY M</t>
        </is>
      </c>
      <c r="I1822" t="n">
        <v>200</v>
      </c>
      <c r="R1822" t="n">
        <v>10</v>
      </c>
      <c r="T1822" t="n">
        <v>40</v>
      </c>
    </row>
    <row r="1823">
      <c r="A1823" t="inlineStr">
        <is>
          <t>Kylie Makeup</t>
        </is>
      </c>
      <c r="B1823" t="inlineStr">
        <is>
          <t>Eyes (01244)</t>
        </is>
      </c>
      <c r="C1823" t="inlineStr">
        <is>
          <t>Kylie E/S Palette (00006116)</t>
        </is>
      </c>
      <c r="D1823" s="1" t="n">
        <v>4064941092797</v>
      </c>
      <c r="E1823" t="inlineStr">
        <is>
          <t>KJ MU ES PALET  16G BRONZE NUDES IV</t>
        </is>
      </c>
      <c r="F1823" t="inlineStr">
        <is>
          <t>P_US_FG</t>
        </is>
      </c>
      <c r="G1823" t="inlineStr">
        <is>
          <t>CurrentWorkingView</t>
        </is>
      </c>
      <c r="H1823" t="inlineStr">
        <is>
          <t>System FC - Final</t>
        </is>
      </c>
      <c r="K1823" t="n">
        <v>2</v>
      </c>
      <c r="L1823" t="n">
        <v>5</v>
      </c>
      <c r="M1823" t="n">
        <v>1</v>
      </c>
      <c r="N1823" t="n">
        <v>4</v>
      </c>
      <c r="O1823" t="n">
        <v>9</v>
      </c>
      <c r="P1823" t="n">
        <v>8</v>
      </c>
      <c r="Q1823" t="n">
        <v>9</v>
      </c>
      <c r="R1823" t="n">
        <v>5</v>
      </c>
      <c r="S1823" t="n">
        <v>5</v>
      </c>
      <c r="T1823" t="n">
        <v>3</v>
      </c>
    </row>
    <row r="1824">
      <c r="A1824" t="inlineStr">
        <is>
          <t>Kylie Makeup</t>
        </is>
      </c>
      <c r="B1824" t="inlineStr">
        <is>
          <t>Eyes (01244)</t>
        </is>
      </c>
      <c r="C1824" t="inlineStr">
        <is>
          <t>Kylie E/S Palette (00006116)</t>
        </is>
      </c>
      <c r="D1824" s="1" t="n">
        <v>4064941092797</v>
      </c>
      <c r="E1824" t="inlineStr">
        <is>
          <t>KJ MU ES PALET  16G BRONZE NUDES IV</t>
        </is>
      </c>
      <c r="F1824" t="inlineStr">
        <is>
          <t>P_US_FG</t>
        </is>
      </c>
      <c r="G1824" t="inlineStr">
        <is>
          <t>CurrentWorkingView</t>
        </is>
      </c>
      <c r="H1824" t="inlineStr">
        <is>
          <t>EPOS</t>
        </is>
      </c>
    </row>
    <row r="1825">
      <c r="A1825" t="inlineStr">
        <is>
          <t>Kylie Makeup</t>
        </is>
      </c>
      <c r="B1825" t="inlineStr">
        <is>
          <t>Eyes (01244)</t>
        </is>
      </c>
      <c r="C1825" t="inlineStr">
        <is>
          <t>Kylie E/S Palette (00006116)</t>
        </is>
      </c>
      <c r="D1825" s="1" t="n">
        <v>4064941092797</v>
      </c>
      <c r="E1825" t="inlineStr">
        <is>
          <t>KJ MU ES PALET  16G BRONZE NUDES IV</t>
        </is>
      </c>
      <c r="F1825" t="inlineStr">
        <is>
          <t>P_US_FG</t>
        </is>
      </c>
      <c r="G1825" t="inlineStr">
        <is>
          <t>CurrentWorkingView</t>
        </is>
      </c>
      <c r="H1825" t="inlineStr">
        <is>
          <t>Reasonability Adjustment</t>
        </is>
      </c>
    </row>
    <row r="1826">
      <c r="A1826" t="inlineStr">
        <is>
          <t>Kylie Makeup</t>
        </is>
      </c>
      <c r="B1826" t="inlineStr">
        <is>
          <t>Eyes (01244)</t>
        </is>
      </c>
      <c r="C1826" t="inlineStr">
        <is>
          <t>Kylie E/S Palette (00006116)</t>
        </is>
      </c>
      <c r="D1826" s="1" t="n">
        <v>4064941092797</v>
      </c>
      <c r="E1826" t="inlineStr">
        <is>
          <t>KJ MU ES PALET  16G BRONZE NUDES IV</t>
        </is>
      </c>
      <c r="F1826" t="inlineStr">
        <is>
          <t>P_US_FG</t>
        </is>
      </c>
      <c r="G1826" t="inlineStr">
        <is>
          <t>CurrentWorkingView</t>
        </is>
      </c>
      <c r="H1826" t="inlineStr">
        <is>
          <t>Total Demand Assumption</t>
        </is>
      </c>
    </row>
    <row r="1827">
      <c r="A1827" t="inlineStr">
        <is>
          <t>Kylie Makeup</t>
        </is>
      </c>
      <c r="B1827" t="inlineStr">
        <is>
          <t>Eyes (01244)</t>
        </is>
      </c>
      <c r="C1827" t="inlineStr">
        <is>
          <t>Kylie E/S Palette (00006116)</t>
        </is>
      </c>
      <c r="D1827" s="1" t="n">
        <v>4064941092797</v>
      </c>
      <c r="E1827" t="inlineStr">
        <is>
          <t>KJ MU ES PALET  16G BRONZE NUDES IV</t>
        </is>
      </c>
      <c r="F1827" t="inlineStr">
        <is>
          <t>P_US_FG</t>
        </is>
      </c>
      <c r="G1827" t="inlineStr">
        <is>
          <t>CurrentWorkingView</t>
        </is>
      </c>
      <c r="H1827" t="inlineStr">
        <is>
          <t>Consensus - Final</t>
        </is>
      </c>
      <c r="K1827" t="n">
        <v>0</v>
      </c>
    </row>
    <row r="1828">
      <c r="A1828" t="inlineStr">
        <is>
          <t>Kylie Makeup</t>
        </is>
      </c>
      <c r="B1828" t="inlineStr">
        <is>
          <t>Eyes (01244)</t>
        </is>
      </c>
      <c r="C1828" t="inlineStr">
        <is>
          <t>Kylie E/S Palette (00006116)</t>
        </is>
      </c>
      <c r="D1828" s="1" t="n">
        <v>4064941092797</v>
      </c>
      <c r="E1828" t="inlineStr">
        <is>
          <t>KJ MU ES PALET  16G BRONZE NUDES IV</t>
        </is>
      </c>
      <c r="F1828" t="inlineStr">
        <is>
          <t>P_US_FG</t>
        </is>
      </c>
      <c r="G1828" t="inlineStr">
        <is>
          <t>CurrentWorkingView</t>
        </is>
      </c>
      <c r="H1828" t="inlineStr">
        <is>
          <t>Supply Cuts</t>
        </is>
      </c>
    </row>
    <row r="1829">
      <c r="A1829" t="inlineStr">
        <is>
          <t>Kylie Makeup</t>
        </is>
      </c>
      <c r="B1829" t="inlineStr">
        <is>
          <t>Eyes (01244)</t>
        </is>
      </c>
      <c r="C1829" t="inlineStr">
        <is>
          <t>Kylie E/S Palette (00006116)</t>
        </is>
      </c>
      <c r="D1829" s="1" t="n">
        <v>4064941092797</v>
      </c>
      <c r="E1829" t="inlineStr">
        <is>
          <t>KJ MU ES PALET  16G BRONZE NUDES IV</t>
        </is>
      </c>
      <c r="F1829" t="inlineStr">
        <is>
          <t>P_US_FG</t>
        </is>
      </c>
      <c r="G1829" t="inlineStr">
        <is>
          <t>Month-2026.M09.W38</t>
        </is>
      </c>
      <c r="H1829" t="inlineStr">
        <is>
          <t>Consensus - Final LY M</t>
        </is>
      </c>
      <c r="I1829" t="n">
        <v>200</v>
      </c>
      <c r="R1829" t="n">
        <v>10</v>
      </c>
      <c r="T1829" t="n">
        <v>40</v>
      </c>
    </row>
    <row r="1830">
      <c r="A1830" t="inlineStr">
        <is>
          <t>Kylie Makeup</t>
        </is>
      </c>
      <c r="B1830" t="inlineStr">
        <is>
          <t>Eyes (01244)</t>
        </is>
      </c>
      <c r="C1830" t="inlineStr">
        <is>
          <t>Kylie E/S Palette (00006116)</t>
        </is>
      </c>
      <c r="D1830" s="1" t="n">
        <v>4064941092797</v>
      </c>
      <c r="E1830" t="inlineStr">
        <is>
          <t>KJ MU ES PALET  16G BRONZE NUDES IV</t>
        </is>
      </c>
      <c r="F1830" t="inlineStr">
        <is>
          <t>P_US_FG</t>
        </is>
      </c>
      <c r="G1830" t="inlineStr">
        <is>
          <t>Month-2026.M09.W38</t>
        </is>
      </c>
      <c r="H1830" t="inlineStr">
        <is>
          <t>System FC - Final</t>
        </is>
      </c>
      <c r="K1830" t="n">
        <v>3</v>
      </c>
      <c r="L1830" t="n">
        <v>5</v>
      </c>
      <c r="M1830" t="n">
        <v>0</v>
      </c>
      <c r="N1830" t="n">
        <v>1</v>
      </c>
      <c r="O1830" t="n">
        <v>9</v>
      </c>
      <c r="P1830" t="n">
        <v>8</v>
      </c>
      <c r="Q1830" t="n">
        <v>8</v>
      </c>
      <c r="R1830" t="n">
        <v>4</v>
      </c>
      <c r="S1830" t="n">
        <v>4</v>
      </c>
      <c r="T1830" t="n">
        <v>0</v>
      </c>
    </row>
    <row r="1831">
      <c r="A1831" t="inlineStr">
        <is>
          <t>Kylie Makeup</t>
        </is>
      </c>
      <c r="B1831" t="inlineStr">
        <is>
          <t>Eyes (01244)</t>
        </is>
      </c>
      <c r="C1831" t="inlineStr">
        <is>
          <t>Kylie E/S Palette (00006116)</t>
        </is>
      </c>
      <c r="D1831" s="1" t="n">
        <v>4064941092797</v>
      </c>
      <c r="E1831" t="inlineStr">
        <is>
          <t>KJ MU ES PALET  16G BRONZE NUDES IV</t>
        </is>
      </c>
      <c r="F1831" t="inlineStr">
        <is>
          <t>P_US_FG</t>
        </is>
      </c>
      <c r="G1831" t="inlineStr">
        <is>
          <t>Month-2026.M09.W38</t>
        </is>
      </c>
      <c r="H1831" t="inlineStr">
        <is>
          <t>EPOS</t>
        </is>
      </c>
    </row>
    <row r="1832">
      <c r="A1832" t="inlineStr">
        <is>
          <t>Kylie Makeup</t>
        </is>
      </c>
      <c r="B1832" t="inlineStr">
        <is>
          <t>Eyes (01244)</t>
        </is>
      </c>
      <c r="C1832" t="inlineStr">
        <is>
          <t>Kylie E/S Palette (00006116)</t>
        </is>
      </c>
      <c r="D1832" s="1" t="n">
        <v>4064941092797</v>
      </c>
      <c r="E1832" t="inlineStr">
        <is>
          <t>KJ MU ES PALET  16G BRONZE NUDES IV</t>
        </is>
      </c>
      <c r="F1832" t="inlineStr">
        <is>
          <t>P_US_FG</t>
        </is>
      </c>
      <c r="G1832" t="inlineStr">
        <is>
          <t>Month-2026.M09.W38</t>
        </is>
      </c>
      <c r="H1832" t="inlineStr">
        <is>
          <t>Reasonability Adjustment</t>
        </is>
      </c>
    </row>
    <row r="1833">
      <c r="A1833" t="inlineStr">
        <is>
          <t>Kylie Makeup</t>
        </is>
      </c>
      <c r="B1833" t="inlineStr">
        <is>
          <t>Eyes (01244)</t>
        </is>
      </c>
      <c r="C1833" t="inlineStr">
        <is>
          <t>Kylie E/S Palette (00006116)</t>
        </is>
      </c>
      <c r="D1833" s="1" t="n">
        <v>4064941092797</v>
      </c>
      <c r="E1833" t="inlineStr">
        <is>
          <t>KJ MU ES PALET  16G BRONZE NUDES IV</t>
        </is>
      </c>
      <c r="F1833" t="inlineStr">
        <is>
          <t>P_US_FG</t>
        </is>
      </c>
      <c r="G1833" t="inlineStr">
        <is>
          <t>Month-2026.M09.W38</t>
        </is>
      </c>
      <c r="H1833" t="inlineStr">
        <is>
          <t>Total Demand Assumption</t>
        </is>
      </c>
    </row>
    <row r="1834">
      <c r="A1834" t="inlineStr">
        <is>
          <t>Kylie Makeup</t>
        </is>
      </c>
      <c r="B1834" t="inlineStr">
        <is>
          <t>Eyes (01244)</t>
        </is>
      </c>
      <c r="C1834" t="inlineStr">
        <is>
          <t>Kylie E/S Palette (00006116)</t>
        </is>
      </c>
      <c r="D1834" s="1" t="n">
        <v>4064941092797</v>
      </c>
      <c r="E1834" t="inlineStr">
        <is>
          <t>KJ MU ES PALET  16G BRONZE NUDES IV</t>
        </is>
      </c>
      <c r="F1834" t="inlineStr">
        <is>
          <t>P_US_FG</t>
        </is>
      </c>
      <c r="G1834" t="inlineStr">
        <is>
          <t>Month-2026.M09.W38</t>
        </is>
      </c>
      <c r="H1834" t="inlineStr">
        <is>
          <t>Consensus - Final</t>
        </is>
      </c>
      <c r="K1834" t="n">
        <v>0</v>
      </c>
    </row>
    <row r="1835">
      <c r="A1835" t="inlineStr">
        <is>
          <t>Kylie Makeup</t>
        </is>
      </c>
      <c r="B1835" t="inlineStr">
        <is>
          <t>Eyes (01244)</t>
        </is>
      </c>
      <c r="C1835" t="inlineStr">
        <is>
          <t>Kylie E/S Palette (00006116)</t>
        </is>
      </c>
      <c r="D1835" s="1" t="n">
        <v>4064941092797</v>
      </c>
      <c r="E1835" t="inlineStr">
        <is>
          <t>KJ MU ES PALET  16G BRONZE NUDES IV</t>
        </is>
      </c>
      <c r="F1835" t="inlineStr">
        <is>
          <t>P_US_FG</t>
        </is>
      </c>
      <c r="G1835" t="inlineStr">
        <is>
          <t>Month-2026.M09.W38</t>
        </is>
      </c>
      <c r="H1835" t="inlineStr">
        <is>
          <t>Supply Cuts</t>
        </is>
      </c>
    </row>
    <row r="1836">
      <c r="A1836" t="inlineStr">
        <is>
          <t>Kylie Makeup</t>
        </is>
      </c>
      <c r="B1836" t="inlineStr">
        <is>
          <t>Eyes (01244)</t>
        </is>
      </c>
      <c r="C1836" t="inlineStr">
        <is>
          <t>Kylie E/S Palette (00006116)</t>
        </is>
      </c>
      <c r="D1836" s="1" t="n">
        <v>4064941092797</v>
      </c>
      <c r="E1836" t="inlineStr">
        <is>
          <t>KJ MU ES PALET  16G BRONZE NUDES IV</t>
        </is>
      </c>
      <c r="F1836" t="inlineStr">
        <is>
          <t>P_US_ULTA</t>
        </is>
      </c>
      <c r="G1836" t="inlineStr">
        <is>
          <t>CurrentWorkingView</t>
        </is>
      </c>
      <c r="H1836" t="inlineStr">
        <is>
          <t>Consensus - Final LY M</t>
        </is>
      </c>
      <c r="I1836" t="n">
        <v>35</v>
      </c>
      <c r="J1836" t="n">
        <v>19</v>
      </c>
      <c r="K1836" t="n">
        <v>54</v>
      </c>
      <c r="L1836" t="n">
        <v>48</v>
      </c>
      <c r="M1836" t="n">
        <v>11</v>
      </c>
      <c r="N1836" t="n">
        <v>68</v>
      </c>
      <c r="O1836" t="n">
        <v>52</v>
      </c>
      <c r="P1836" t="n">
        <v>32</v>
      </c>
    </row>
    <row r="1837">
      <c r="A1837" t="inlineStr">
        <is>
          <t>Kylie Makeup</t>
        </is>
      </c>
      <c r="B1837" t="inlineStr">
        <is>
          <t>Eyes (01244)</t>
        </is>
      </c>
      <c r="C1837" t="inlineStr">
        <is>
          <t>Kylie E/S Palette (00006116)</t>
        </is>
      </c>
      <c r="D1837" s="1" t="n">
        <v>4064941092797</v>
      </c>
      <c r="E1837" t="inlineStr">
        <is>
          <t>KJ MU ES PALET  16G BRONZE NUDES IV</t>
        </is>
      </c>
      <c r="F1837" t="inlineStr">
        <is>
          <t>P_US_ULTA</t>
        </is>
      </c>
      <c r="G1837" t="inlineStr">
        <is>
          <t>CurrentWorkingView</t>
        </is>
      </c>
      <c r="H1837" t="inlineStr">
        <is>
          <t>System FC - Final</t>
        </is>
      </c>
      <c r="K1837" t="n">
        <v>22</v>
      </c>
      <c r="L1837" t="n">
        <v>26</v>
      </c>
      <c r="M1837" t="n">
        <v>30</v>
      </c>
      <c r="N1837" t="n">
        <v>54</v>
      </c>
      <c r="O1837" t="n">
        <v>22</v>
      </c>
      <c r="P1837" t="n">
        <v>40</v>
      </c>
      <c r="Q1837" t="n">
        <v>22</v>
      </c>
      <c r="R1837" t="n">
        <v>21</v>
      </c>
      <c r="S1837" t="n">
        <v>9</v>
      </c>
      <c r="T1837" t="n">
        <v>13</v>
      </c>
    </row>
    <row r="1838">
      <c r="A1838" t="inlineStr">
        <is>
          <t>Kylie Makeup</t>
        </is>
      </c>
      <c r="B1838" t="inlineStr">
        <is>
          <t>Eyes (01244)</t>
        </is>
      </c>
      <c r="C1838" t="inlineStr">
        <is>
          <t>Kylie E/S Palette (00006116)</t>
        </is>
      </c>
      <c r="D1838" s="1" t="n">
        <v>4064941092797</v>
      </c>
      <c r="E1838" t="inlineStr">
        <is>
          <t>KJ MU ES PALET  16G BRONZE NUDES IV</t>
        </is>
      </c>
      <c r="F1838" t="inlineStr">
        <is>
          <t>P_US_ULTA</t>
        </is>
      </c>
      <c r="G1838" t="inlineStr">
        <is>
          <t>CurrentWorkingView</t>
        </is>
      </c>
      <c r="H1838" t="inlineStr">
        <is>
          <t>EPOS</t>
        </is>
      </c>
    </row>
    <row r="1839">
      <c r="A1839" t="inlineStr">
        <is>
          <t>Kylie Makeup</t>
        </is>
      </c>
      <c r="B1839" t="inlineStr">
        <is>
          <t>Eyes (01244)</t>
        </is>
      </c>
      <c r="C1839" t="inlineStr">
        <is>
          <t>Kylie E/S Palette (00006116)</t>
        </is>
      </c>
      <c r="D1839" s="1" t="n">
        <v>4064941092797</v>
      </c>
      <c r="E1839" t="inlineStr">
        <is>
          <t>KJ MU ES PALET  16G BRONZE NUDES IV</t>
        </is>
      </c>
      <c r="F1839" t="inlineStr">
        <is>
          <t>P_US_ULTA</t>
        </is>
      </c>
      <c r="G1839" t="inlineStr">
        <is>
          <t>CurrentWorkingView</t>
        </is>
      </c>
      <c r="H1839" t="inlineStr">
        <is>
          <t>Reasonability Adjustment</t>
        </is>
      </c>
    </row>
    <row r="1840">
      <c r="A1840" t="inlineStr">
        <is>
          <t>Kylie Makeup</t>
        </is>
      </c>
      <c r="B1840" t="inlineStr">
        <is>
          <t>Eyes (01244)</t>
        </is>
      </c>
      <c r="C1840" t="inlineStr">
        <is>
          <t>Kylie E/S Palette (00006116)</t>
        </is>
      </c>
      <c r="D1840" s="1" t="n">
        <v>4064941092797</v>
      </c>
      <c r="E1840" t="inlineStr">
        <is>
          <t>KJ MU ES PALET  16G BRONZE NUDES IV</t>
        </is>
      </c>
      <c r="F1840" t="inlineStr">
        <is>
          <t>P_US_ULTA</t>
        </is>
      </c>
      <c r="G1840" t="inlineStr">
        <is>
          <t>CurrentWorkingView</t>
        </is>
      </c>
      <c r="H1840" t="inlineStr">
        <is>
          <t>Total Demand Assumption</t>
        </is>
      </c>
    </row>
    <row r="1841">
      <c r="A1841" t="inlineStr">
        <is>
          <t>Kylie Makeup</t>
        </is>
      </c>
      <c r="B1841" t="inlineStr">
        <is>
          <t>Eyes (01244)</t>
        </is>
      </c>
      <c r="C1841" t="inlineStr">
        <is>
          <t>Kylie E/S Palette (00006116)</t>
        </is>
      </c>
      <c r="D1841" s="1" t="n">
        <v>4064941092797</v>
      </c>
      <c r="E1841" t="inlineStr">
        <is>
          <t>KJ MU ES PALET  16G BRONZE NUDES IV</t>
        </is>
      </c>
      <c r="F1841" t="inlineStr">
        <is>
          <t>P_US_ULTA</t>
        </is>
      </c>
      <c r="G1841" t="inlineStr">
        <is>
          <t>CurrentWorkingView</t>
        </is>
      </c>
      <c r="H1841" t="inlineStr">
        <is>
          <t>Consensus - Final</t>
        </is>
      </c>
      <c r="K1841" t="n">
        <v>50.7692307692307</v>
      </c>
      <c r="L1841" t="n">
        <v>26</v>
      </c>
      <c r="M1841" t="n">
        <v>30</v>
      </c>
      <c r="N1841" t="n">
        <v>54</v>
      </c>
      <c r="O1841" t="n">
        <v>22</v>
      </c>
      <c r="P1841" t="n">
        <v>40</v>
      </c>
      <c r="Q1841" t="n">
        <v>22</v>
      </c>
      <c r="R1841" t="n">
        <v>21</v>
      </c>
      <c r="S1841" t="n">
        <v>9</v>
      </c>
      <c r="T1841" t="n">
        <v>13</v>
      </c>
    </row>
    <row r="1842">
      <c r="A1842" t="inlineStr">
        <is>
          <t>Kylie Makeup</t>
        </is>
      </c>
      <c r="B1842" t="inlineStr">
        <is>
          <t>Eyes (01244)</t>
        </is>
      </c>
      <c r="C1842" t="inlineStr">
        <is>
          <t>Kylie E/S Palette (00006116)</t>
        </is>
      </c>
      <c r="D1842" s="1" t="n">
        <v>4064941092797</v>
      </c>
      <c r="E1842" t="inlineStr">
        <is>
          <t>KJ MU ES PALET  16G BRONZE NUDES IV</t>
        </is>
      </c>
      <c r="F1842" t="inlineStr">
        <is>
          <t>P_US_ULTA</t>
        </is>
      </c>
      <c r="G1842" t="inlineStr">
        <is>
          <t>CurrentWorkingView</t>
        </is>
      </c>
      <c r="H1842" t="inlineStr">
        <is>
          <t>Supply Cuts</t>
        </is>
      </c>
    </row>
    <row r="1843">
      <c r="A1843" t="inlineStr">
        <is>
          <t>Kylie Makeup</t>
        </is>
      </c>
      <c r="B1843" t="inlineStr">
        <is>
          <t>Eyes (01244)</t>
        </is>
      </c>
      <c r="C1843" t="inlineStr">
        <is>
          <t>Kylie E/S Palette (00006116)</t>
        </is>
      </c>
      <c r="D1843" s="1" t="n">
        <v>4064941092797</v>
      </c>
      <c r="E1843" t="inlineStr">
        <is>
          <t>KJ MU ES PALET  16G BRONZE NUDES IV</t>
        </is>
      </c>
      <c r="F1843" t="inlineStr">
        <is>
          <t>P_US_ULTA</t>
        </is>
      </c>
      <c r="G1843" t="inlineStr">
        <is>
          <t>Month-2026.M09.W38</t>
        </is>
      </c>
      <c r="H1843" t="inlineStr">
        <is>
          <t>Consensus - Final LY M</t>
        </is>
      </c>
      <c r="I1843" t="n">
        <v>35</v>
      </c>
      <c r="J1843" t="n">
        <v>19</v>
      </c>
      <c r="K1843" t="n">
        <v>54</v>
      </c>
      <c r="L1843" t="n">
        <v>48</v>
      </c>
      <c r="M1843" t="n">
        <v>11</v>
      </c>
      <c r="N1843" t="n">
        <v>68</v>
      </c>
      <c r="O1843" t="n">
        <v>52</v>
      </c>
      <c r="P1843" t="n">
        <v>32</v>
      </c>
    </row>
    <row r="1844">
      <c r="A1844" t="inlineStr">
        <is>
          <t>Kylie Makeup</t>
        </is>
      </c>
      <c r="B1844" t="inlineStr">
        <is>
          <t>Eyes (01244)</t>
        </is>
      </c>
      <c r="C1844" t="inlineStr">
        <is>
          <t>Kylie E/S Palette (00006116)</t>
        </is>
      </c>
      <c r="D1844" s="1" t="n">
        <v>4064941092797</v>
      </c>
      <c r="E1844" t="inlineStr">
        <is>
          <t>KJ MU ES PALET  16G BRONZE NUDES IV</t>
        </is>
      </c>
      <c r="F1844" t="inlineStr">
        <is>
          <t>P_US_ULTA</t>
        </is>
      </c>
      <c r="G1844" t="inlineStr">
        <is>
          <t>Month-2026.M09.W38</t>
        </is>
      </c>
      <c r="H1844" t="inlineStr">
        <is>
          <t>System FC - Final</t>
        </is>
      </c>
      <c r="K1844" t="n">
        <v>32</v>
      </c>
      <c r="L1844" t="n">
        <v>26</v>
      </c>
      <c r="M1844" t="n">
        <v>34</v>
      </c>
      <c r="N1844" t="n">
        <v>54</v>
      </c>
      <c r="O1844" t="n">
        <v>22</v>
      </c>
      <c r="P1844" t="n">
        <v>40</v>
      </c>
      <c r="Q1844" t="n">
        <v>22</v>
      </c>
      <c r="R1844" t="n">
        <v>21</v>
      </c>
      <c r="S1844" t="n">
        <v>9</v>
      </c>
      <c r="T1844" t="n">
        <v>9</v>
      </c>
    </row>
    <row r="1845">
      <c r="A1845" t="inlineStr">
        <is>
          <t>Kylie Makeup</t>
        </is>
      </c>
      <c r="B1845" t="inlineStr">
        <is>
          <t>Eyes (01244)</t>
        </is>
      </c>
      <c r="C1845" t="inlineStr">
        <is>
          <t>Kylie E/S Palette (00006116)</t>
        </is>
      </c>
      <c r="D1845" s="1" t="n">
        <v>4064941092797</v>
      </c>
      <c r="E1845" t="inlineStr">
        <is>
          <t>KJ MU ES PALET  16G BRONZE NUDES IV</t>
        </is>
      </c>
      <c r="F1845" t="inlineStr">
        <is>
          <t>P_US_ULTA</t>
        </is>
      </c>
      <c r="G1845" t="inlineStr">
        <is>
          <t>Month-2026.M09.W38</t>
        </is>
      </c>
      <c r="H1845" t="inlineStr">
        <is>
          <t>EPOS</t>
        </is>
      </c>
    </row>
    <row r="1846">
      <c r="A1846" t="inlineStr">
        <is>
          <t>Kylie Makeup</t>
        </is>
      </c>
      <c r="B1846" t="inlineStr">
        <is>
          <t>Eyes (01244)</t>
        </is>
      </c>
      <c r="C1846" t="inlineStr">
        <is>
          <t>Kylie E/S Palette (00006116)</t>
        </is>
      </c>
      <c r="D1846" s="1" t="n">
        <v>4064941092797</v>
      </c>
      <c r="E1846" t="inlineStr">
        <is>
          <t>KJ MU ES PALET  16G BRONZE NUDES IV</t>
        </is>
      </c>
      <c r="F1846" t="inlineStr">
        <is>
          <t>P_US_ULTA</t>
        </is>
      </c>
      <c r="G1846" t="inlineStr">
        <is>
          <t>Month-2026.M09.W38</t>
        </is>
      </c>
      <c r="H1846" t="inlineStr">
        <is>
          <t>Reasonability Adjustment</t>
        </is>
      </c>
    </row>
    <row r="1847">
      <c r="A1847" t="inlineStr">
        <is>
          <t>Kylie Makeup</t>
        </is>
      </c>
      <c r="B1847" t="inlineStr">
        <is>
          <t>Eyes (01244)</t>
        </is>
      </c>
      <c r="C1847" t="inlineStr">
        <is>
          <t>Kylie E/S Palette (00006116)</t>
        </is>
      </c>
      <c r="D1847" s="1" t="n">
        <v>4064941092797</v>
      </c>
      <c r="E1847" t="inlineStr">
        <is>
          <t>KJ MU ES PALET  16G BRONZE NUDES IV</t>
        </is>
      </c>
      <c r="F1847" t="inlineStr">
        <is>
          <t>P_US_ULTA</t>
        </is>
      </c>
      <c r="G1847" t="inlineStr">
        <is>
          <t>Month-2026.M09.W38</t>
        </is>
      </c>
      <c r="H1847" t="inlineStr">
        <is>
          <t>Total Demand Assumption</t>
        </is>
      </c>
    </row>
    <row r="1848">
      <c r="A1848" t="inlineStr">
        <is>
          <t>Kylie Makeup</t>
        </is>
      </c>
      <c r="B1848" t="inlineStr">
        <is>
          <t>Eyes (01244)</t>
        </is>
      </c>
      <c r="C1848" t="inlineStr">
        <is>
          <t>Kylie E/S Palette (00006116)</t>
        </is>
      </c>
      <c r="D1848" s="1" t="n">
        <v>4064941092797</v>
      </c>
      <c r="E1848" t="inlineStr">
        <is>
          <t>KJ MU ES PALET  16G BRONZE NUDES IV</t>
        </is>
      </c>
      <c r="F1848" t="inlineStr">
        <is>
          <t>P_US_ULTA</t>
        </is>
      </c>
      <c r="G1848" t="inlineStr">
        <is>
          <t>Month-2026.M09.W38</t>
        </is>
      </c>
      <c r="H1848" t="inlineStr">
        <is>
          <t>Consensus - Final</t>
        </is>
      </c>
      <c r="K1848" t="n">
        <v>50.7692307692307</v>
      </c>
      <c r="L1848" t="n">
        <v>26</v>
      </c>
      <c r="M1848" t="n">
        <v>34</v>
      </c>
      <c r="N1848" t="n">
        <v>54</v>
      </c>
      <c r="O1848" t="n">
        <v>22</v>
      </c>
      <c r="P1848" t="n">
        <v>40</v>
      </c>
      <c r="Q1848" t="n">
        <v>22</v>
      </c>
      <c r="R1848" t="n">
        <v>21</v>
      </c>
      <c r="S1848" t="n">
        <v>9</v>
      </c>
      <c r="T1848" t="n">
        <v>9</v>
      </c>
    </row>
    <row r="1849">
      <c r="A1849" t="inlineStr">
        <is>
          <t>Kylie Makeup</t>
        </is>
      </c>
      <c r="B1849" t="inlineStr">
        <is>
          <t>Eyes (01244)</t>
        </is>
      </c>
      <c r="C1849" t="inlineStr">
        <is>
          <t>Kylie E/S Palette (00006116)</t>
        </is>
      </c>
      <c r="D1849" s="1" t="n">
        <v>4064941092797</v>
      </c>
      <c r="E1849" t="inlineStr">
        <is>
          <t>KJ MU ES PALET  16G BRONZE NUDES IV</t>
        </is>
      </c>
      <c r="F1849" t="inlineStr">
        <is>
          <t>P_US_ULTA</t>
        </is>
      </c>
      <c r="G1849" t="inlineStr">
        <is>
          <t>Month-2026.M09.W38</t>
        </is>
      </c>
      <c r="H1849" t="inlineStr">
        <is>
          <t>Supply Cuts</t>
        </is>
      </c>
    </row>
    <row r="1850">
      <c r="A1850" t="inlineStr">
        <is>
          <t>Kylie Jenner Fragrances</t>
        </is>
      </c>
      <c r="B1850" t="inlineStr">
        <is>
          <t>Cosmic Kylie Jenner (01246)</t>
        </is>
      </c>
      <c r="C1850" t="inlineStr">
        <is>
          <t>Cosmic Kylie Jenner (00006014)</t>
        </is>
      </c>
      <c r="D1850" s="1" t="n">
        <v>4064941111719</v>
      </c>
      <c r="E1850" t="inlineStr">
        <is>
          <t>KJ COSMIC EDP 100 ML FML IV</t>
        </is>
      </c>
      <c r="F1850" t="inlineStr">
        <is>
          <t>P_US_ALL_OTHERS</t>
        </is>
      </c>
      <c r="G1850" t="inlineStr">
        <is>
          <t>CurrentWorkingView</t>
        </is>
      </c>
      <c r="H1850" t="inlineStr">
        <is>
          <t>Consensus - Final LY M</t>
        </is>
      </c>
      <c r="I1850" t="n">
        <v>215</v>
      </c>
      <c r="J1850" t="n">
        <v>899</v>
      </c>
      <c r="K1850" t="n">
        <v>1324</v>
      </c>
      <c r="L1850" t="n">
        <v>340</v>
      </c>
      <c r="M1850" t="n">
        <v>6</v>
      </c>
      <c r="N1850" t="n">
        <v>78</v>
      </c>
      <c r="O1850" t="n">
        <v>624</v>
      </c>
      <c r="P1850" t="n">
        <v>2964</v>
      </c>
      <c r="Q1850" t="n">
        <v>132</v>
      </c>
      <c r="R1850" t="n">
        <v>257</v>
      </c>
      <c r="S1850" t="n">
        <v>200</v>
      </c>
      <c r="T1850" t="n">
        <v>121</v>
      </c>
    </row>
    <row r="1851">
      <c r="A1851" t="inlineStr">
        <is>
          <t>Kylie Jenner Fragrances</t>
        </is>
      </c>
      <c r="B1851" t="inlineStr">
        <is>
          <t>Cosmic Kylie Jenner (01246)</t>
        </is>
      </c>
      <c r="C1851" t="inlineStr">
        <is>
          <t>Cosmic Kylie Jenner (00006014)</t>
        </is>
      </c>
      <c r="D1851" s="1" t="n">
        <v>4064941111719</v>
      </c>
      <c r="E1851" t="inlineStr">
        <is>
          <t>KJ COSMIC EDP 100 ML FML IV</t>
        </is>
      </c>
      <c r="F1851" t="inlineStr">
        <is>
          <t>P_US_ALL_OTHERS</t>
        </is>
      </c>
      <c r="G1851" t="inlineStr">
        <is>
          <t>CurrentWorkingView</t>
        </is>
      </c>
      <c r="H1851" t="inlineStr">
        <is>
          <t>System FC - Final</t>
        </is>
      </c>
      <c r="I1851" t="n">
        <v>532</v>
      </c>
      <c r="J1851" t="n">
        <v>1932</v>
      </c>
      <c r="K1851" t="n">
        <v>113</v>
      </c>
      <c r="L1851" t="n">
        <v>1387</v>
      </c>
      <c r="M1851" t="n">
        <v>1383</v>
      </c>
      <c r="N1851" t="n">
        <v>1386</v>
      </c>
      <c r="O1851" t="n">
        <v>1386</v>
      </c>
      <c r="P1851" t="n">
        <v>1384</v>
      </c>
      <c r="Q1851" t="n">
        <v>1386</v>
      </c>
      <c r="R1851" t="n">
        <v>1385</v>
      </c>
      <c r="S1851" t="n">
        <v>1386</v>
      </c>
      <c r="T1851" t="n">
        <v>1384</v>
      </c>
    </row>
    <row r="1852">
      <c r="A1852" t="inlineStr">
        <is>
          <t>Kylie Jenner Fragrances</t>
        </is>
      </c>
      <c r="B1852" t="inlineStr">
        <is>
          <t>Cosmic Kylie Jenner (01246)</t>
        </is>
      </c>
      <c r="C1852" t="inlineStr">
        <is>
          <t>Cosmic Kylie Jenner (00006014)</t>
        </is>
      </c>
      <c r="D1852" s="1" t="n">
        <v>4064941111719</v>
      </c>
      <c r="E1852" t="inlineStr">
        <is>
          <t>KJ COSMIC EDP 100 ML FML IV</t>
        </is>
      </c>
      <c r="F1852" t="inlineStr">
        <is>
          <t>P_US_ALL_OTHERS</t>
        </is>
      </c>
      <c r="G1852" t="inlineStr">
        <is>
          <t>CurrentWorkingView</t>
        </is>
      </c>
      <c r="H1852" t="inlineStr">
        <is>
          <t>EPOS</t>
        </is>
      </c>
      <c r="I1852" t="n">
        <v>496</v>
      </c>
    </row>
    <row r="1853">
      <c r="A1853" t="inlineStr">
        <is>
          <t>Kylie Jenner Fragrances</t>
        </is>
      </c>
      <c r="B1853" t="inlineStr">
        <is>
          <t>Cosmic Kylie Jenner (01246)</t>
        </is>
      </c>
      <c r="C1853" t="inlineStr">
        <is>
          <t>Cosmic Kylie Jenner (00006014)</t>
        </is>
      </c>
      <c r="D1853" s="1" t="n">
        <v>4064941111719</v>
      </c>
      <c r="E1853" t="inlineStr">
        <is>
          <t>KJ COSMIC EDP 100 ML FML IV</t>
        </is>
      </c>
      <c r="F1853" t="inlineStr">
        <is>
          <t>P_US_ALL_OTHERS</t>
        </is>
      </c>
      <c r="G1853" t="inlineStr">
        <is>
          <t>CurrentWorkingView</t>
        </is>
      </c>
      <c r="H1853" t="inlineStr">
        <is>
          <t>Reasonability Adjustment</t>
        </is>
      </c>
    </row>
    <row r="1854">
      <c r="A1854" t="inlineStr">
        <is>
          <t>Kylie Jenner Fragrances</t>
        </is>
      </c>
      <c r="B1854" t="inlineStr">
        <is>
          <t>Cosmic Kylie Jenner (01246)</t>
        </is>
      </c>
      <c r="C1854" t="inlineStr">
        <is>
          <t>Cosmic Kylie Jenner (00006014)</t>
        </is>
      </c>
      <c r="D1854" s="1" t="n">
        <v>4064941111719</v>
      </c>
      <c r="E1854" t="inlineStr">
        <is>
          <t>KJ COSMIC EDP 100 ML FML IV</t>
        </is>
      </c>
      <c r="F1854" t="inlineStr">
        <is>
          <t>P_US_ALL_OTHERS</t>
        </is>
      </c>
      <c r="G1854" t="inlineStr">
        <is>
          <t>CurrentWorkingView</t>
        </is>
      </c>
      <c r="H1854" t="inlineStr">
        <is>
          <t>Total Demand Assumption</t>
        </is>
      </c>
    </row>
    <row r="1855">
      <c r="A1855" t="inlineStr">
        <is>
          <t>Kylie Jenner Fragrances</t>
        </is>
      </c>
      <c r="B1855" t="inlineStr">
        <is>
          <t>Cosmic Kylie Jenner (01246)</t>
        </is>
      </c>
      <c r="C1855" t="inlineStr">
        <is>
          <t>Cosmic Kylie Jenner (00006014)</t>
        </is>
      </c>
      <c r="D1855" s="1" t="n">
        <v>4064941111719</v>
      </c>
      <c r="E1855" t="inlineStr">
        <is>
          <t>KJ COSMIC EDP 100 ML FML IV</t>
        </is>
      </c>
      <c r="F1855" t="inlineStr">
        <is>
          <t>P_US_ALL_OTHERS</t>
        </is>
      </c>
      <c r="G1855" t="inlineStr">
        <is>
          <t>CurrentWorkingView</t>
        </is>
      </c>
      <c r="H1855" t="inlineStr">
        <is>
          <t>Consensus - Final</t>
        </is>
      </c>
      <c r="I1855" t="n">
        <v>532</v>
      </c>
      <c r="J1855" t="n">
        <v>1932</v>
      </c>
      <c r="K1855" t="n">
        <v>991.438053097345</v>
      </c>
      <c r="L1855" t="n">
        <v>1387</v>
      </c>
      <c r="M1855" t="n">
        <v>1383</v>
      </c>
      <c r="N1855" t="n">
        <v>1386</v>
      </c>
      <c r="O1855" t="n">
        <v>1386</v>
      </c>
      <c r="P1855" t="n">
        <v>1384</v>
      </c>
      <c r="Q1855" t="n">
        <v>1386</v>
      </c>
      <c r="R1855" t="n">
        <v>1385</v>
      </c>
      <c r="S1855" t="n">
        <v>1386</v>
      </c>
      <c r="T1855" t="n">
        <v>1384</v>
      </c>
    </row>
    <row r="1856">
      <c r="A1856" t="inlineStr">
        <is>
          <t>Kylie Jenner Fragrances</t>
        </is>
      </c>
      <c r="B1856" t="inlineStr">
        <is>
          <t>Cosmic Kylie Jenner (01246)</t>
        </is>
      </c>
      <c r="C1856" t="inlineStr">
        <is>
          <t>Cosmic Kylie Jenner (00006014)</t>
        </is>
      </c>
      <c r="D1856" s="1" t="n">
        <v>4064941111719</v>
      </c>
      <c r="E1856" t="inlineStr">
        <is>
          <t>KJ COSMIC EDP 100 ML FML IV</t>
        </is>
      </c>
      <c r="F1856" t="inlineStr">
        <is>
          <t>P_US_ALL_OTHERS</t>
        </is>
      </c>
      <c r="G1856" t="inlineStr">
        <is>
          <t>CurrentWorkingView</t>
        </is>
      </c>
      <c r="H1856" t="inlineStr">
        <is>
          <t>Supply Cuts</t>
        </is>
      </c>
    </row>
    <row r="1857">
      <c r="A1857" t="inlineStr">
        <is>
          <t>Kylie Jenner Fragrances</t>
        </is>
      </c>
      <c r="B1857" t="inlineStr">
        <is>
          <t>Cosmic Kylie Jenner (01246)</t>
        </is>
      </c>
      <c r="C1857" t="inlineStr">
        <is>
          <t>Cosmic Kylie Jenner (00006014)</t>
        </is>
      </c>
      <c r="D1857" s="1" t="n">
        <v>4064941111719</v>
      </c>
      <c r="E1857" t="inlineStr">
        <is>
          <t>KJ COSMIC EDP 100 ML FML IV</t>
        </is>
      </c>
      <c r="F1857" t="inlineStr">
        <is>
          <t>P_US_ALL_OTHERS</t>
        </is>
      </c>
      <c r="G1857" t="inlineStr">
        <is>
          <t>Month-2026.M09.W38</t>
        </is>
      </c>
      <c r="H1857" t="inlineStr">
        <is>
          <t>Consensus - Final LY M</t>
        </is>
      </c>
      <c r="I1857" t="n">
        <v>215</v>
      </c>
      <c r="J1857" t="n">
        <v>899</v>
      </c>
      <c r="K1857" t="n">
        <v>1324</v>
      </c>
      <c r="L1857" t="n">
        <v>340</v>
      </c>
      <c r="M1857" t="n">
        <v>6</v>
      </c>
      <c r="N1857" t="n">
        <v>78</v>
      </c>
      <c r="O1857" t="n">
        <v>624</v>
      </c>
      <c r="P1857" t="n">
        <v>2964</v>
      </c>
      <c r="Q1857" t="n">
        <v>132</v>
      </c>
      <c r="R1857" t="n">
        <v>257</v>
      </c>
      <c r="S1857" t="n">
        <v>200</v>
      </c>
      <c r="T1857" t="n">
        <v>121</v>
      </c>
    </row>
    <row r="1858">
      <c r="A1858" t="inlineStr">
        <is>
          <t>Kylie Jenner Fragrances</t>
        </is>
      </c>
      <c r="B1858" t="inlineStr">
        <is>
          <t>Cosmic Kylie Jenner (01246)</t>
        </is>
      </c>
      <c r="C1858" t="inlineStr">
        <is>
          <t>Cosmic Kylie Jenner (00006014)</t>
        </is>
      </c>
      <c r="D1858" s="1" t="n">
        <v>4064941111719</v>
      </c>
      <c r="E1858" t="inlineStr">
        <is>
          <t>KJ COSMIC EDP 100 ML FML IV</t>
        </is>
      </c>
      <c r="F1858" t="inlineStr">
        <is>
          <t>P_US_ALL_OTHERS</t>
        </is>
      </c>
      <c r="G1858" t="inlineStr">
        <is>
          <t>Month-2026.M09.W38</t>
        </is>
      </c>
      <c r="H1858" t="inlineStr">
        <is>
          <t>System FC - Final</t>
        </is>
      </c>
      <c r="I1858" t="n">
        <v>532</v>
      </c>
      <c r="J1858" t="n">
        <v>1932</v>
      </c>
      <c r="K1858" t="n">
        <v>395</v>
      </c>
      <c r="L1858" t="n">
        <v>1519</v>
      </c>
      <c r="M1858" t="n">
        <v>1522</v>
      </c>
      <c r="N1858" t="n">
        <v>1519</v>
      </c>
      <c r="O1858" t="n">
        <v>1519</v>
      </c>
      <c r="P1858" t="n">
        <v>1520</v>
      </c>
      <c r="Q1858" t="n">
        <v>1519</v>
      </c>
      <c r="R1858" t="n">
        <v>1521</v>
      </c>
      <c r="S1858" t="n">
        <v>1519</v>
      </c>
      <c r="T1858" t="n">
        <v>1521</v>
      </c>
    </row>
    <row r="1859">
      <c r="A1859" t="inlineStr">
        <is>
          <t>Kylie Jenner Fragrances</t>
        </is>
      </c>
      <c r="B1859" t="inlineStr">
        <is>
          <t>Cosmic Kylie Jenner (01246)</t>
        </is>
      </c>
      <c r="C1859" t="inlineStr">
        <is>
          <t>Cosmic Kylie Jenner (00006014)</t>
        </is>
      </c>
      <c r="D1859" s="1" t="n">
        <v>4064941111719</v>
      </c>
      <c r="E1859" t="inlineStr">
        <is>
          <t>KJ COSMIC EDP 100 ML FML IV</t>
        </is>
      </c>
      <c r="F1859" t="inlineStr">
        <is>
          <t>P_US_ALL_OTHERS</t>
        </is>
      </c>
      <c r="G1859" t="inlineStr">
        <is>
          <t>Month-2026.M09.W38</t>
        </is>
      </c>
      <c r="H1859" t="inlineStr">
        <is>
          <t>EPOS</t>
        </is>
      </c>
      <c r="I1859" t="n">
        <v>496</v>
      </c>
    </row>
    <row r="1860">
      <c r="A1860" t="inlineStr">
        <is>
          <t>Kylie Jenner Fragrances</t>
        </is>
      </c>
      <c r="B1860" t="inlineStr">
        <is>
          <t>Cosmic Kylie Jenner (01246)</t>
        </is>
      </c>
      <c r="C1860" t="inlineStr">
        <is>
          <t>Cosmic Kylie Jenner (00006014)</t>
        </is>
      </c>
      <c r="D1860" s="1" t="n">
        <v>4064941111719</v>
      </c>
      <c r="E1860" t="inlineStr">
        <is>
          <t>KJ COSMIC EDP 100 ML FML IV</t>
        </is>
      </c>
      <c r="F1860" t="inlineStr">
        <is>
          <t>P_US_ALL_OTHERS</t>
        </is>
      </c>
      <c r="G1860" t="inlineStr">
        <is>
          <t>Month-2026.M09.W38</t>
        </is>
      </c>
      <c r="H1860" t="inlineStr">
        <is>
          <t>Reasonability Adjustment</t>
        </is>
      </c>
    </row>
    <row r="1861">
      <c r="A1861" t="inlineStr">
        <is>
          <t>Kylie Jenner Fragrances</t>
        </is>
      </c>
      <c r="B1861" t="inlineStr">
        <is>
          <t>Cosmic Kylie Jenner (01246)</t>
        </is>
      </c>
      <c r="C1861" t="inlineStr">
        <is>
          <t>Cosmic Kylie Jenner (00006014)</t>
        </is>
      </c>
      <c r="D1861" s="1" t="n">
        <v>4064941111719</v>
      </c>
      <c r="E1861" t="inlineStr">
        <is>
          <t>KJ COSMIC EDP 100 ML FML IV</t>
        </is>
      </c>
      <c r="F1861" t="inlineStr">
        <is>
          <t>P_US_ALL_OTHERS</t>
        </is>
      </c>
      <c r="G1861" t="inlineStr">
        <is>
          <t>Month-2026.M09.W38</t>
        </is>
      </c>
      <c r="H1861" t="inlineStr">
        <is>
          <t>Total Demand Assumption</t>
        </is>
      </c>
    </row>
    <row r="1862">
      <c r="A1862" t="inlineStr">
        <is>
          <t>Kylie Jenner Fragrances</t>
        </is>
      </c>
      <c r="B1862" t="inlineStr">
        <is>
          <t>Cosmic Kylie Jenner (01246)</t>
        </is>
      </c>
      <c r="C1862" t="inlineStr">
        <is>
          <t>Cosmic Kylie Jenner (00006014)</t>
        </is>
      </c>
      <c r="D1862" s="1" t="n">
        <v>4064941111719</v>
      </c>
      <c r="E1862" t="inlineStr">
        <is>
          <t>KJ COSMIC EDP 100 ML FML IV</t>
        </is>
      </c>
      <c r="F1862" t="inlineStr">
        <is>
          <t>P_US_ALL_OTHERS</t>
        </is>
      </c>
      <c r="G1862" t="inlineStr">
        <is>
          <t>Month-2026.M09.W38</t>
        </is>
      </c>
      <c r="H1862" t="inlineStr">
        <is>
          <t>Consensus - Final</t>
        </is>
      </c>
      <c r="I1862" t="n">
        <v>532</v>
      </c>
      <c r="J1862" t="n">
        <v>1932</v>
      </c>
      <c r="K1862" t="n">
        <v>991.438053097345</v>
      </c>
      <c r="L1862" t="n">
        <v>1519</v>
      </c>
      <c r="M1862" t="n">
        <v>1522</v>
      </c>
      <c r="N1862" t="n">
        <v>1519</v>
      </c>
      <c r="O1862" t="n">
        <v>1519</v>
      </c>
      <c r="P1862" t="n">
        <v>1520</v>
      </c>
      <c r="Q1862" t="n">
        <v>1519</v>
      </c>
      <c r="R1862" t="n">
        <v>1521</v>
      </c>
      <c r="S1862" t="n">
        <v>1519</v>
      </c>
      <c r="T1862" t="n">
        <v>1521</v>
      </c>
    </row>
    <row r="1863">
      <c r="A1863" t="inlineStr">
        <is>
          <t>Kylie Jenner Fragrances</t>
        </is>
      </c>
      <c r="B1863" t="inlineStr">
        <is>
          <t>Cosmic Kylie Jenner (01246)</t>
        </is>
      </c>
      <c r="C1863" t="inlineStr">
        <is>
          <t>Cosmic Kylie Jenner (00006014)</t>
        </is>
      </c>
      <c r="D1863" s="1" t="n">
        <v>4064941111719</v>
      </c>
      <c r="E1863" t="inlineStr">
        <is>
          <t>KJ COSMIC EDP 100 ML FML IV</t>
        </is>
      </c>
      <c r="F1863" t="inlineStr">
        <is>
          <t>P_US_ALL_OTHERS</t>
        </is>
      </c>
      <c r="G1863" t="inlineStr">
        <is>
          <t>Month-2026.M09.W38</t>
        </is>
      </c>
      <c r="H1863" t="inlineStr">
        <is>
          <t>Supply Cuts</t>
        </is>
      </c>
    </row>
    <row r="1864">
      <c r="A1864" t="inlineStr">
        <is>
          <t>Kylie Jenner Fragrances</t>
        </is>
      </c>
      <c r="B1864" t="inlineStr">
        <is>
          <t>Cosmic Kylie Jenner (01246)</t>
        </is>
      </c>
      <c r="C1864" t="inlineStr">
        <is>
          <t>Cosmic Kylie Jenner (00006014)</t>
        </is>
      </c>
      <c r="D1864" s="1" t="n">
        <v>4064941111719</v>
      </c>
      <c r="E1864" t="inlineStr">
        <is>
          <t>KJ COSMIC EDP 100 ML FML IV</t>
        </is>
      </c>
      <c r="F1864" t="inlineStr">
        <is>
          <t>P_US_FG</t>
        </is>
      </c>
      <c r="G1864" t="inlineStr">
        <is>
          <t>CurrentWorkingView</t>
        </is>
      </c>
      <c r="H1864" t="inlineStr">
        <is>
          <t>Consensus - Final LY M</t>
        </is>
      </c>
      <c r="I1864" t="n">
        <v>50</v>
      </c>
      <c r="J1864" t="n">
        <v>3</v>
      </c>
      <c r="K1864" t="n">
        <v>6</v>
      </c>
      <c r="M1864" t="n">
        <v>1</v>
      </c>
      <c r="N1864" t="n">
        <v>70</v>
      </c>
      <c r="P1864" t="n">
        <v>15</v>
      </c>
      <c r="Q1864" t="n">
        <v>60</v>
      </c>
      <c r="T1864" t="n">
        <v>20</v>
      </c>
    </row>
    <row r="1865">
      <c r="A1865" t="inlineStr">
        <is>
          <t>Kylie Jenner Fragrances</t>
        </is>
      </c>
      <c r="B1865" t="inlineStr">
        <is>
          <t>Cosmic Kylie Jenner (01246)</t>
        </is>
      </c>
      <c r="C1865" t="inlineStr">
        <is>
          <t>Cosmic Kylie Jenner (00006014)</t>
        </is>
      </c>
      <c r="D1865" s="1" t="n">
        <v>4064941111719</v>
      </c>
      <c r="E1865" t="inlineStr">
        <is>
          <t>KJ COSMIC EDP 100 ML FML IV</t>
        </is>
      </c>
      <c r="F1865" t="inlineStr">
        <is>
          <t>P_US_FG</t>
        </is>
      </c>
      <c r="G1865" t="inlineStr">
        <is>
          <t>CurrentWorkingView</t>
        </is>
      </c>
      <c r="H1865" t="inlineStr">
        <is>
          <t>System FC - Final</t>
        </is>
      </c>
      <c r="K1865" t="n">
        <v>0</v>
      </c>
      <c r="L1865" t="n">
        <v>0</v>
      </c>
      <c r="M1865" t="n">
        <v>0</v>
      </c>
      <c r="N1865" t="n">
        <v>116</v>
      </c>
      <c r="O1865" t="n">
        <v>244</v>
      </c>
      <c r="P1865" t="n">
        <v>0</v>
      </c>
      <c r="Q1865" t="n">
        <v>0</v>
      </c>
      <c r="R1865" t="n">
        <v>0</v>
      </c>
      <c r="S1865" t="n">
        <v>22</v>
      </c>
      <c r="T1865" t="n">
        <v>30</v>
      </c>
    </row>
    <row r="1866">
      <c r="A1866" t="inlineStr">
        <is>
          <t>Kylie Jenner Fragrances</t>
        </is>
      </c>
      <c r="B1866" t="inlineStr">
        <is>
          <t>Cosmic Kylie Jenner (01246)</t>
        </is>
      </c>
      <c r="C1866" t="inlineStr">
        <is>
          <t>Cosmic Kylie Jenner (00006014)</t>
        </is>
      </c>
      <c r="D1866" s="1" t="n">
        <v>4064941111719</v>
      </c>
      <c r="E1866" t="inlineStr">
        <is>
          <t>KJ COSMIC EDP 100 ML FML IV</t>
        </is>
      </c>
      <c r="F1866" t="inlineStr">
        <is>
          <t>P_US_FG</t>
        </is>
      </c>
      <c r="G1866" t="inlineStr">
        <is>
          <t>CurrentWorkingView</t>
        </is>
      </c>
      <c r="H1866" t="inlineStr">
        <is>
          <t>EPOS</t>
        </is>
      </c>
    </row>
    <row r="1867">
      <c r="A1867" t="inlineStr">
        <is>
          <t>Kylie Jenner Fragrances</t>
        </is>
      </c>
      <c r="B1867" t="inlineStr">
        <is>
          <t>Cosmic Kylie Jenner (01246)</t>
        </is>
      </c>
      <c r="C1867" t="inlineStr">
        <is>
          <t>Cosmic Kylie Jenner (00006014)</t>
        </is>
      </c>
      <c r="D1867" s="1" t="n">
        <v>4064941111719</v>
      </c>
      <c r="E1867" t="inlineStr">
        <is>
          <t>KJ COSMIC EDP 100 ML FML IV</t>
        </is>
      </c>
      <c r="F1867" t="inlineStr">
        <is>
          <t>P_US_FG</t>
        </is>
      </c>
      <c r="G1867" t="inlineStr">
        <is>
          <t>CurrentWorkingView</t>
        </is>
      </c>
      <c r="H1867" t="inlineStr">
        <is>
          <t>Reasonability Adjustment</t>
        </is>
      </c>
    </row>
    <row r="1868">
      <c r="A1868" t="inlineStr">
        <is>
          <t>Kylie Jenner Fragrances</t>
        </is>
      </c>
      <c r="B1868" t="inlineStr">
        <is>
          <t>Cosmic Kylie Jenner (01246)</t>
        </is>
      </c>
      <c r="C1868" t="inlineStr">
        <is>
          <t>Cosmic Kylie Jenner (00006014)</t>
        </is>
      </c>
      <c r="D1868" s="1" t="n">
        <v>4064941111719</v>
      </c>
      <c r="E1868" t="inlineStr">
        <is>
          <t>KJ COSMIC EDP 100 ML FML IV</t>
        </is>
      </c>
      <c r="F1868" t="inlineStr">
        <is>
          <t>P_US_FG</t>
        </is>
      </c>
      <c r="G1868" t="inlineStr">
        <is>
          <t>CurrentWorkingView</t>
        </is>
      </c>
      <c r="H1868" t="inlineStr">
        <is>
          <t>Total Demand Assumption</t>
        </is>
      </c>
    </row>
    <row r="1869">
      <c r="A1869" t="inlineStr">
        <is>
          <t>Kylie Jenner Fragrances</t>
        </is>
      </c>
      <c r="B1869" t="inlineStr">
        <is>
          <t>Cosmic Kylie Jenner (01246)</t>
        </is>
      </c>
      <c r="C1869" t="inlineStr">
        <is>
          <t>Cosmic Kylie Jenner (00006014)</t>
        </is>
      </c>
      <c r="D1869" s="1" t="n">
        <v>4064941111719</v>
      </c>
      <c r="E1869" t="inlineStr">
        <is>
          <t>KJ COSMIC EDP 100 ML FML IV</t>
        </is>
      </c>
      <c r="F1869" t="inlineStr">
        <is>
          <t>P_US_FG</t>
        </is>
      </c>
      <c r="G1869" t="inlineStr">
        <is>
          <t>CurrentWorkingView</t>
        </is>
      </c>
      <c r="H1869" t="inlineStr">
        <is>
          <t>Consensus - Final</t>
        </is>
      </c>
      <c r="K1869" t="n">
        <v>0</v>
      </c>
    </row>
    <row r="1870">
      <c r="A1870" t="inlineStr">
        <is>
          <t>Kylie Jenner Fragrances</t>
        </is>
      </c>
      <c r="B1870" t="inlineStr">
        <is>
          <t>Cosmic Kylie Jenner (01246)</t>
        </is>
      </c>
      <c r="C1870" t="inlineStr">
        <is>
          <t>Cosmic Kylie Jenner (00006014)</t>
        </is>
      </c>
      <c r="D1870" s="1" t="n">
        <v>4064941111719</v>
      </c>
      <c r="E1870" t="inlineStr">
        <is>
          <t>KJ COSMIC EDP 100 ML FML IV</t>
        </is>
      </c>
      <c r="F1870" t="inlineStr">
        <is>
          <t>P_US_FG</t>
        </is>
      </c>
      <c r="G1870" t="inlineStr">
        <is>
          <t>CurrentWorkingView</t>
        </is>
      </c>
      <c r="H1870" t="inlineStr">
        <is>
          <t>Supply Cuts</t>
        </is>
      </c>
    </row>
    <row r="1871">
      <c r="A1871" t="inlineStr">
        <is>
          <t>Kylie Jenner Fragrances</t>
        </is>
      </c>
      <c r="B1871" t="inlineStr">
        <is>
          <t>Cosmic Kylie Jenner (01246)</t>
        </is>
      </c>
      <c r="C1871" t="inlineStr">
        <is>
          <t>Cosmic Kylie Jenner (00006014)</t>
        </is>
      </c>
      <c r="D1871" s="1" t="n">
        <v>4064941111719</v>
      </c>
      <c r="E1871" t="inlineStr">
        <is>
          <t>KJ COSMIC EDP 100 ML FML IV</t>
        </is>
      </c>
      <c r="F1871" t="inlineStr">
        <is>
          <t>P_US_FG</t>
        </is>
      </c>
      <c r="G1871" t="inlineStr">
        <is>
          <t>Month-2026.M09.W38</t>
        </is>
      </c>
      <c r="H1871" t="inlineStr">
        <is>
          <t>Consensus - Final LY M</t>
        </is>
      </c>
      <c r="I1871" t="n">
        <v>50</v>
      </c>
      <c r="J1871" t="n">
        <v>3</v>
      </c>
      <c r="K1871" t="n">
        <v>6</v>
      </c>
      <c r="M1871" t="n">
        <v>1</v>
      </c>
      <c r="N1871" t="n">
        <v>70</v>
      </c>
      <c r="P1871" t="n">
        <v>15</v>
      </c>
      <c r="Q1871" t="n">
        <v>60</v>
      </c>
      <c r="T1871" t="n">
        <v>20</v>
      </c>
    </row>
    <row r="1872">
      <c r="A1872" t="inlineStr">
        <is>
          <t>Kylie Jenner Fragrances</t>
        </is>
      </c>
      <c r="B1872" t="inlineStr">
        <is>
          <t>Cosmic Kylie Jenner (01246)</t>
        </is>
      </c>
      <c r="C1872" t="inlineStr">
        <is>
          <t>Cosmic Kylie Jenner (00006014)</t>
        </is>
      </c>
      <c r="D1872" s="1" t="n">
        <v>4064941111719</v>
      </c>
      <c r="E1872" t="inlineStr">
        <is>
          <t>KJ COSMIC EDP 100 ML FML IV</t>
        </is>
      </c>
      <c r="F1872" t="inlineStr">
        <is>
          <t>P_US_FG</t>
        </is>
      </c>
      <c r="G1872" t="inlineStr">
        <is>
          <t>Month-2026.M09.W38</t>
        </is>
      </c>
      <c r="H1872" t="inlineStr">
        <is>
          <t>System FC - Final</t>
        </is>
      </c>
      <c r="K1872" t="n">
        <v>0</v>
      </c>
      <c r="L1872" t="n">
        <v>0</v>
      </c>
      <c r="M1872" t="n">
        <v>0</v>
      </c>
      <c r="N1872" t="n">
        <v>102</v>
      </c>
      <c r="O1872" t="n">
        <v>253</v>
      </c>
      <c r="P1872" t="n">
        <v>0</v>
      </c>
      <c r="Q1872" t="n">
        <v>0</v>
      </c>
      <c r="R1872" t="n">
        <v>0</v>
      </c>
      <c r="S1872" t="n">
        <v>22</v>
      </c>
      <c r="T1872" t="n">
        <v>81</v>
      </c>
    </row>
    <row r="1873">
      <c r="A1873" t="inlineStr">
        <is>
          <t>Kylie Jenner Fragrances</t>
        </is>
      </c>
      <c r="B1873" t="inlineStr">
        <is>
          <t>Cosmic Kylie Jenner (01246)</t>
        </is>
      </c>
      <c r="C1873" t="inlineStr">
        <is>
          <t>Cosmic Kylie Jenner (00006014)</t>
        </is>
      </c>
      <c r="D1873" s="1" t="n">
        <v>4064941111719</v>
      </c>
      <c r="E1873" t="inlineStr">
        <is>
          <t>KJ COSMIC EDP 100 ML FML IV</t>
        </is>
      </c>
      <c r="F1873" t="inlineStr">
        <is>
          <t>P_US_FG</t>
        </is>
      </c>
      <c r="G1873" t="inlineStr">
        <is>
          <t>Month-2026.M09.W38</t>
        </is>
      </c>
      <c r="H1873" t="inlineStr">
        <is>
          <t>EPOS</t>
        </is>
      </c>
    </row>
    <row r="1874">
      <c r="A1874" t="inlineStr">
        <is>
          <t>Kylie Jenner Fragrances</t>
        </is>
      </c>
      <c r="B1874" t="inlineStr">
        <is>
          <t>Cosmic Kylie Jenner (01246)</t>
        </is>
      </c>
      <c r="C1874" t="inlineStr">
        <is>
          <t>Cosmic Kylie Jenner (00006014)</t>
        </is>
      </c>
      <c r="D1874" s="1" t="n">
        <v>4064941111719</v>
      </c>
      <c r="E1874" t="inlineStr">
        <is>
          <t>KJ COSMIC EDP 100 ML FML IV</t>
        </is>
      </c>
      <c r="F1874" t="inlineStr">
        <is>
          <t>P_US_FG</t>
        </is>
      </c>
      <c r="G1874" t="inlineStr">
        <is>
          <t>Month-2026.M09.W38</t>
        </is>
      </c>
      <c r="H1874" t="inlineStr">
        <is>
          <t>Reasonability Adjustment</t>
        </is>
      </c>
    </row>
    <row r="1875">
      <c r="A1875" t="inlineStr">
        <is>
          <t>Kylie Jenner Fragrances</t>
        </is>
      </c>
      <c r="B1875" t="inlineStr">
        <is>
          <t>Cosmic Kylie Jenner (01246)</t>
        </is>
      </c>
      <c r="C1875" t="inlineStr">
        <is>
          <t>Cosmic Kylie Jenner (00006014)</t>
        </is>
      </c>
      <c r="D1875" s="1" t="n">
        <v>4064941111719</v>
      </c>
      <c r="E1875" t="inlineStr">
        <is>
          <t>KJ COSMIC EDP 100 ML FML IV</t>
        </is>
      </c>
      <c r="F1875" t="inlineStr">
        <is>
          <t>P_US_FG</t>
        </is>
      </c>
      <c r="G1875" t="inlineStr">
        <is>
          <t>Month-2026.M09.W38</t>
        </is>
      </c>
      <c r="H1875" t="inlineStr">
        <is>
          <t>Total Demand Assumption</t>
        </is>
      </c>
    </row>
    <row r="1876">
      <c r="A1876" t="inlineStr">
        <is>
          <t>Kylie Jenner Fragrances</t>
        </is>
      </c>
      <c r="B1876" t="inlineStr">
        <is>
          <t>Cosmic Kylie Jenner (01246)</t>
        </is>
      </c>
      <c r="C1876" t="inlineStr">
        <is>
          <t>Cosmic Kylie Jenner (00006014)</t>
        </is>
      </c>
      <c r="D1876" s="1" t="n">
        <v>4064941111719</v>
      </c>
      <c r="E1876" t="inlineStr">
        <is>
          <t>KJ COSMIC EDP 100 ML FML IV</t>
        </is>
      </c>
      <c r="F1876" t="inlineStr">
        <is>
          <t>P_US_FG</t>
        </is>
      </c>
      <c r="G1876" t="inlineStr">
        <is>
          <t>Month-2026.M09.W38</t>
        </is>
      </c>
      <c r="H1876" t="inlineStr">
        <is>
          <t>Consensus - Final</t>
        </is>
      </c>
      <c r="K1876" t="n">
        <v>0</v>
      </c>
    </row>
    <row r="1877">
      <c r="A1877" t="inlineStr">
        <is>
          <t>Kylie Jenner Fragrances</t>
        </is>
      </c>
      <c r="B1877" t="inlineStr">
        <is>
          <t>Cosmic Kylie Jenner (01246)</t>
        </is>
      </c>
      <c r="C1877" t="inlineStr">
        <is>
          <t>Cosmic Kylie Jenner (00006014)</t>
        </is>
      </c>
      <c r="D1877" s="1" t="n">
        <v>4064941111719</v>
      </c>
      <c r="E1877" t="inlineStr">
        <is>
          <t>KJ COSMIC EDP 100 ML FML IV</t>
        </is>
      </c>
      <c r="F1877" t="inlineStr">
        <is>
          <t>P_US_FG</t>
        </is>
      </c>
      <c r="G1877" t="inlineStr">
        <is>
          <t>Month-2026.M09.W38</t>
        </is>
      </c>
      <c r="H1877" t="inlineStr">
        <is>
          <t>Supply Cuts</t>
        </is>
      </c>
    </row>
    <row r="1878">
      <c r="A1878" t="inlineStr">
        <is>
          <t>Kylie Jenner Fragrances</t>
        </is>
      </c>
      <c r="B1878" t="inlineStr">
        <is>
          <t>Cosmic Kylie Jenner (01246)</t>
        </is>
      </c>
      <c r="C1878" t="inlineStr">
        <is>
          <t>Cosmic Kylie Jenner (00006014)</t>
        </is>
      </c>
      <c r="D1878" s="1" t="n">
        <v>4064941111719</v>
      </c>
      <c r="E1878" t="inlineStr">
        <is>
          <t>KJ COSMIC EDP 100 ML FML IV</t>
        </is>
      </c>
      <c r="F1878" t="inlineStr">
        <is>
          <t>P_US_ULTA</t>
        </is>
      </c>
      <c r="G1878" t="inlineStr">
        <is>
          <t>CurrentWorkingView</t>
        </is>
      </c>
      <c r="H1878" t="inlineStr">
        <is>
          <t>Consensus - Final LY M</t>
        </is>
      </c>
      <c r="I1878" t="n">
        <v>1757</v>
      </c>
      <c r="J1878" t="n">
        <v>640</v>
      </c>
      <c r="K1878" t="n">
        <v>11540</v>
      </c>
      <c r="L1878" t="n">
        <v>17742</v>
      </c>
      <c r="M1878" t="n">
        <v>11279</v>
      </c>
      <c r="N1878" t="n">
        <v>2403</v>
      </c>
      <c r="O1878" t="n">
        <v>766</v>
      </c>
      <c r="P1878" t="n">
        <v>2096</v>
      </c>
      <c r="Q1878" t="n">
        <v>8649</v>
      </c>
      <c r="R1878" t="n">
        <v>132</v>
      </c>
      <c r="S1878" t="n">
        <v>3287</v>
      </c>
      <c r="T1878" t="n">
        <v>4600</v>
      </c>
    </row>
    <row r="1879">
      <c r="A1879" t="inlineStr">
        <is>
          <t>Kylie Jenner Fragrances</t>
        </is>
      </c>
      <c r="B1879" t="inlineStr">
        <is>
          <t>Cosmic Kylie Jenner (01246)</t>
        </is>
      </c>
      <c r="C1879" t="inlineStr">
        <is>
          <t>Cosmic Kylie Jenner (00006014)</t>
        </is>
      </c>
      <c r="D1879" s="1" t="n">
        <v>4064941111719</v>
      </c>
      <c r="E1879" t="inlineStr">
        <is>
          <t>KJ COSMIC EDP 100 ML FML IV</t>
        </is>
      </c>
      <c r="F1879" t="inlineStr">
        <is>
          <t>P_US_ULTA</t>
        </is>
      </c>
      <c r="G1879" t="inlineStr">
        <is>
          <t>CurrentWorkingView</t>
        </is>
      </c>
      <c r="H1879" t="inlineStr">
        <is>
          <t>System FC - Final</t>
        </is>
      </c>
      <c r="I1879" t="n">
        <v>4009</v>
      </c>
      <c r="J1879" t="n">
        <v>6478</v>
      </c>
      <c r="K1879" t="n">
        <v>11141</v>
      </c>
      <c r="L1879" t="n">
        <v>3613</v>
      </c>
      <c r="M1879" t="n">
        <v>9771</v>
      </c>
      <c r="N1879" t="n">
        <v>1457</v>
      </c>
      <c r="O1879" t="n">
        <v>7994</v>
      </c>
      <c r="P1879" t="n">
        <v>9856</v>
      </c>
      <c r="Q1879" t="n">
        <v>12232</v>
      </c>
      <c r="R1879" t="n">
        <v>11692</v>
      </c>
      <c r="S1879" t="n">
        <v>10987</v>
      </c>
      <c r="T1879" t="n">
        <v>9707</v>
      </c>
    </row>
    <row r="1880">
      <c r="A1880" t="inlineStr">
        <is>
          <t>Kylie Jenner Fragrances</t>
        </is>
      </c>
      <c r="B1880" t="inlineStr">
        <is>
          <t>Cosmic Kylie Jenner (01246)</t>
        </is>
      </c>
      <c r="C1880" t="inlineStr">
        <is>
          <t>Cosmic Kylie Jenner (00006014)</t>
        </is>
      </c>
      <c r="D1880" s="1" t="n">
        <v>4064941111719</v>
      </c>
      <c r="E1880" t="inlineStr">
        <is>
          <t>KJ COSMIC EDP 100 ML FML IV</t>
        </is>
      </c>
      <c r="F1880" t="inlineStr">
        <is>
          <t>P_US_ULTA</t>
        </is>
      </c>
      <c r="G1880" t="inlineStr">
        <is>
          <t>CurrentWorkingView</t>
        </is>
      </c>
      <c r="H1880" t="inlineStr">
        <is>
          <t>EPOS</t>
        </is>
      </c>
      <c r="I1880" t="n">
        <v>5123</v>
      </c>
    </row>
    <row r="1881">
      <c r="A1881" t="inlineStr">
        <is>
          <t>Kylie Jenner Fragrances</t>
        </is>
      </c>
      <c r="B1881" t="inlineStr">
        <is>
          <t>Cosmic Kylie Jenner (01246)</t>
        </is>
      </c>
      <c r="C1881" t="inlineStr">
        <is>
          <t>Cosmic Kylie Jenner (00006014)</t>
        </is>
      </c>
      <c r="D1881" s="1" t="n">
        <v>4064941111719</v>
      </c>
      <c r="E1881" t="inlineStr">
        <is>
          <t>KJ COSMIC EDP 100 ML FML IV</t>
        </is>
      </c>
      <c r="F1881" t="inlineStr">
        <is>
          <t>P_US_ULTA</t>
        </is>
      </c>
      <c r="G1881" t="inlineStr">
        <is>
          <t>CurrentWorkingView</t>
        </is>
      </c>
      <c r="H1881" t="inlineStr">
        <is>
          <t>Reasonability Adjustment</t>
        </is>
      </c>
      <c r="L1881" t="n">
        <v>1500</v>
      </c>
      <c r="M1881" t="n">
        <v>1000</v>
      </c>
      <c r="N1881" t="n">
        <v>-1000</v>
      </c>
    </row>
    <row r="1882">
      <c r="A1882" t="inlineStr">
        <is>
          <t>Kylie Jenner Fragrances</t>
        </is>
      </c>
      <c r="B1882" t="inlineStr">
        <is>
          <t>Cosmic Kylie Jenner (01246)</t>
        </is>
      </c>
      <c r="C1882" t="inlineStr">
        <is>
          <t>Cosmic Kylie Jenner (00006014)</t>
        </is>
      </c>
      <c r="D1882" s="1" t="n">
        <v>4064941111719</v>
      </c>
      <c r="E1882" t="inlineStr">
        <is>
          <t>KJ COSMIC EDP 100 ML FML IV</t>
        </is>
      </c>
      <c r="F1882" t="inlineStr">
        <is>
          <t>P_US_ULTA</t>
        </is>
      </c>
      <c r="G1882" t="inlineStr">
        <is>
          <t>CurrentWorkingView</t>
        </is>
      </c>
      <c r="H1882" t="inlineStr">
        <is>
          <t>Total Demand Assumption</t>
        </is>
      </c>
      <c r="I1882" t="n">
        <v>4028</v>
      </c>
      <c r="J1882" t="n">
        <v>4028</v>
      </c>
      <c r="K1882" t="n">
        <v>8657</v>
      </c>
      <c r="L1882" t="n">
        <v>8657</v>
      </c>
      <c r="M1882" t="n">
        <v>4178</v>
      </c>
      <c r="N1882" t="n">
        <v>4595</v>
      </c>
      <c r="O1882" t="n">
        <v>3760</v>
      </c>
      <c r="P1882" t="n">
        <v>3760</v>
      </c>
      <c r="Q1882" t="n">
        <v>3760</v>
      </c>
      <c r="R1882" t="n">
        <v>3760</v>
      </c>
      <c r="S1882" t="n">
        <v>3760</v>
      </c>
      <c r="T1882" t="n">
        <v>3760</v>
      </c>
    </row>
    <row r="1883">
      <c r="A1883" t="inlineStr">
        <is>
          <t>Kylie Jenner Fragrances</t>
        </is>
      </c>
      <c r="B1883" t="inlineStr">
        <is>
          <t>Cosmic Kylie Jenner (01246)</t>
        </is>
      </c>
      <c r="C1883" t="inlineStr">
        <is>
          <t>Cosmic Kylie Jenner (00006014)</t>
        </is>
      </c>
      <c r="D1883" s="1" t="n">
        <v>4064941111719</v>
      </c>
      <c r="E1883" t="inlineStr">
        <is>
          <t>KJ COSMIC EDP 100 ML FML IV</t>
        </is>
      </c>
      <c r="F1883" t="inlineStr">
        <is>
          <t>P_US_ULTA</t>
        </is>
      </c>
      <c r="G1883" t="inlineStr">
        <is>
          <t>CurrentWorkingView</t>
        </is>
      </c>
      <c r="H1883" t="inlineStr">
        <is>
          <t>Consensus - Final</t>
        </is>
      </c>
      <c r="I1883" t="n">
        <v>4009</v>
      </c>
      <c r="J1883" t="n">
        <v>6478</v>
      </c>
      <c r="K1883" t="n">
        <v>11550.5619469026</v>
      </c>
      <c r="L1883" t="n">
        <v>10157</v>
      </c>
      <c r="M1883" t="n">
        <v>5178</v>
      </c>
      <c r="N1883" t="n">
        <v>3595</v>
      </c>
      <c r="O1883" t="n">
        <v>3760</v>
      </c>
      <c r="P1883" t="n">
        <v>3760</v>
      </c>
      <c r="Q1883" t="n">
        <v>3760</v>
      </c>
      <c r="R1883" t="n">
        <v>3760</v>
      </c>
      <c r="S1883" t="n">
        <v>3760</v>
      </c>
      <c r="T1883" t="n">
        <v>3760</v>
      </c>
    </row>
    <row r="1884">
      <c r="A1884" t="inlineStr">
        <is>
          <t>Kylie Jenner Fragrances</t>
        </is>
      </c>
      <c r="B1884" t="inlineStr">
        <is>
          <t>Cosmic Kylie Jenner (01246)</t>
        </is>
      </c>
      <c r="C1884" t="inlineStr">
        <is>
          <t>Cosmic Kylie Jenner (00006014)</t>
        </is>
      </c>
      <c r="D1884" s="1" t="n">
        <v>4064941111719</v>
      </c>
      <c r="E1884" t="inlineStr">
        <is>
          <t>KJ COSMIC EDP 100 ML FML IV</t>
        </is>
      </c>
      <c r="F1884" t="inlineStr">
        <is>
          <t>P_US_ULTA</t>
        </is>
      </c>
      <c r="G1884" t="inlineStr">
        <is>
          <t>CurrentWorkingView</t>
        </is>
      </c>
      <c r="H1884" t="inlineStr">
        <is>
          <t>Supply Cuts</t>
        </is>
      </c>
    </row>
    <row r="1885">
      <c r="A1885" t="inlineStr">
        <is>
          <t>Kylie Jenner Fragrances</t>
        </is>
      </c>
      <c r="B1885" t="inlineStr">
        <is>
          <t>Cosmic Kylie Jenner (01246)</t>
        </is>
      </c>
      <c r="C1885" t="inlineStr">
        <is>
          <t>Cosmic Kylie Jenner (00006014)</t>
        </is>
      </c>
      <c r="D1885" s="1" t="n">
        <v>4064941111719</v>
      </c>
      <c r="E1885" t="inlineStr">
        <is>
          <t>KJ COSMIC EDP 100 ML FML IV</t>
        </is>
      </c>
      <c r="F1885" t="inlineStr">
        <is>
          <t>P_US_ULTA</t>
        </is>
      </c>
      <c r="G1885" t="inlineStr">
        <is>
          <t>Month-2026.M09.W38</t>
        </is>
      </c>
      <c r="H1885" t="inlineStr">
        <is>
          <t>Consensus - Final LY M</t>
        </is>
      </c>
      <c r="I1885" t="n">
        <v>1757</v>
      </c>
      <c r="J1885" t="n">
        <v>640</v>
      </c>
      <c r="K1885" t="n">
        <v>11540</v>
      </c>
      <c r="L1885" t="n">
        <v>17742</v>
      </c>
      <c r="M1885" t="n">
        <v>11279</v>
      </c>
      <c r="N1885" t="n">
        <v>2403</v>
      </c>
      <c r="O1885" t="n">
        <v>766</v>
      </c>
      <c r="P1885" t="n">
        <v>2096</v>
      </c>
      <c r="Q1885" t="n">
        <v>8649</v>
      </c>
      <c r="R1885" t="n">
        <v>132</v>
      </c>
      <c r="S1885" t="n">
        <v>3287</v>
      </c>
      <c r="T1885" t="n">
        <v>4600</v>
      </c>
    </row>
    <row r="1886">
      <c r="A1886" t="inlineStr">
        <is>
          <t>Kylie Jenner Fragrances</t>
        </is>
      </c>
      <c r="B1886" t="inlineStr">
        <is>
          <t>Cosmic Kylie Jenner (01246)</t>
        </is>
      </c>
      <c r="C1886" t="inlineStr">
        <is>
          <t>Cosmic Kylie Jenner (00006014)</t>
        </is>
      </c>
      <c r="D1886" s="1" t="n">
        <v>4064941111719</v>
      </c>
      <c r="E1886" t="inlineStr">
        <is>
          <t>KJ COSMIC EDP 100 ML FML IV</t>
        </is>
      </c>
      <c r="F1886" t="inlineStr">
        <is>
          <t>P_US_ULTA</t>
        </is>
      </c>
      <c r="G1886" t="inlineStr">
        <is>
          <t>Month-2026.M09.W38</t>
        </is>
      </c>
      <c r="H1886" t="inlineStr">
        <is>
          <t>System FC - Final</t>
        </is>
      </c>
      <c r="I1886" t="n">
        <v>4009</v>
      </c>
      <c r="J1886" t="n">
        <v>6478</v>
      </c>
      <c r="K1886" t="n">
        <v>5164</v>
      </c>
      <c r="L1886" t="n">
        <v>3614</v>
      </c>
      <c r="M1886" t="n">
        <v>9772</v>
      </c>
      <c r="N1886" t="n">
        <v>1457</v>
      </c>
      <c r="O1886" t="n">
        <v>7994</v>
      </c>
      <c r="P1886" t="n">
        <v>9856</v>
      </c>
      <c r="Q1886" t="n">
        <v>12232</v>
      </c>
      <c r="R1886" t="n">
        <v>11692</v>
      </c>
      <c r="S1886" t="n">
        <v>10987</v>
      </c>
      <c r="T1886" t="n">
        <v>9707</v>
      </c>
    </row>
    <row r="1887">
      <c r="A1887" t="inlineStr">
        <is>
          <t>Kylie Jenner Fragrances</t>
        </is>
      </c>
      <c r="B1887" t="inlineStr">
        <is>
          <t>Cosmic Kylie Jenner (01246)</t>
        </is>
      </c>
      <c r="C1887" t="inlineStr">
        <is>
          <t>Cosmic Kylie Jenner (00006014)</t>
        </is>
      </c>
      <c r="D1887" s="1" t="n">
        <v>4064941111719</v>
      </c>
      <c r="E1887" t="inlineStr">
        <is>
          <t>KJ COSMIC EDP 100 ML FML IV</t>
        </is>
      </c>
      <c r="F1887" t="inlineStr">
        <is>
          <t>P_US_ULTA</t>
        </is>
      </c>
      <c r="G1887" t="inlineStr">
        <is>
          <t>Month-2026.M09.W38</t>
        </is>
      </c>
      <c r="H1887" t="inlineStr">
        <is>
          <t>EPOS</t>
        </is>
      </c>
      <c r="I1887" t="n">
        <v>5123</v>
      </c>
    </row>
    <row r="1888">
      <c r="A1888" t="inlineStr">
        <is>
          <t>Kylie Jenner Fragrances</t>
        </is>
      </c>
      <c r="B1888" t="inlineStr">
        <is>
          <t>Cosmic Kylie Jenner (01246)</t>
        </is>
      </c>
      <c r="C1888" t="inlineStr">
        <is>
          <t>Cosmic Kylie Jenner (00006014)</t>
        </is>
      </c>
      <c r="D1888" s="1" t="n">
        <v>4064941111719</v>
      </c>
      <c r="E1888" t="inlineStr">
        <is>
          <t>KJ COSMIC EDP 100 ML FML IV</t>
        </is>
      </c>
      <c r="F1888" t="inlineStr">
        <is>
          <t>P_US_ULTA</t>
        </is>
      </c>
      <c r="G1888" t="inlineStr">
        <is>
          <t>Month-2026.M09.W38</t>
        </is>
      </c>
      <c r="H1888" t="inlineStr">
        <is>
          <t>Reasonability Adjustment</t>
        </is>
      </c>
      <c r="L1888" t="n">
        <v>1500</v>
      </c>
      <c r="M1888" t="n">
        <v>1000</v>
      </c>
      <c r="N1888" t="n">
        <v>-1000</v>
      </c>
    </row>
    <row r="1889">
      <c r="A1889" t="inlineStr">
        <is>
          <t>Kylie Jenner Fragrances</t>
        </is>
      </c>
      <c r="B1889" t="inlineStr">
        <is>
          <t>Cosmic Kylie Jenner (01246)</t>
        </is>
      </c>
      <c r="C1889" t="inlineStr">
        <is>
          <t>Cosmic Kylie Jenner (00006014)</t>
        </is>
      </c>
      <c r="D1889" s="1" t="n">
        <v>4064941111719</v>
      </c>
      <c r="E1889" t="inlineStr">
        <is>
          <t>KJ COSMIC EDP 100 ML FML IV</t>
        </is>
      </c>
      <c r="F1889" t="inlineStr">
        <is>
          <t>P_US_ULTA</t>
        </is>
      </c>
      <c r="G1889" t="inlineStr">
        <is>
          <t>Month-2026.M09.W38</t>
        </is>
      </c>
      <c r="H1889" t="inlineStr">
        <is>
          <t>Total Demand Assumption</t>
        </is>
      </c>
      <c r="I1889" t="n">
        <v>4028</v>
      </c>
      <c r="J1889" t="n">
        <v>4028</v>
      </c>
      <c r="K1889" t="n">
        <v>8657</v>
      </c>
      <c r="L1889" t="n">
        <v>8657</v>
      </c>
      <c r="M1889" t="n">
        <v>4178</v>
      </c>
      <c r="N1889" t="n">
        <v>4595</v>
      </c>
      <c r="O1889" t="n">
        <v>3760</v>
      </c>
      <c r="P1889" t="n">
        <v>3760</v>
      </c>
      <c r="Q1889" t="n">
        <v>3760</v>
      </c>
      <c r="R1889" t="n">
        <v>3760</v>
      </c>
      <c r="S1889" t="n">
        <v>3760</v>
      </c>
      <c r="T1889" t="n">
        <v>3760</v>
      </c>
    </row>
    <row r="1890">
      <c r="A1890" t="inlineStr">
        <is>
          <t>Kylie Jenner Fragrances</t>
        </is>
      </c>
      <c r="B1890" t="inlineStr">
        <is>
          <t>Cosmic Kylie Jenner (01246)</t>
        </is>
      </c>
      <c r="C1890" t="inlineStr">
        <is>
          <t>Cosmic Kylie Jenner (00006014)</t>
        </is>
      </c>
      <c r="D1890" s="1" t="n">
        <v>4064941111719</v>
      </c>
      <c r="E1890" t="inlineStr">
        <is>
          <t>KJ COSMIC EDP 100 ML FML IV</t>
        </is>
      </c>
      <c r="F1890" t="inlineStr">
        <is>
          <t>P_US_ULTA</t>
        </is>
      </c>
      <c r="G1890" t="inlineStr">
        <is>
          <t>Month-2026.M09.W38</t>
        </is>
      </c>
      <c r="H1890" t="inlineStr">
        <is>
          <t>Consensus - Final</t>
        </is>
      </c>
      <c r="I1890" t="n">
        <v>4009</v>
      </c>
      <c r="J1890" t="n">
        <v>6478</v>
      </c>
      <c r="K1890" t="n">
        <v>11550.5619469026</v>
      </c>
      <c r="L1890" t="n">
        <v>10157</v>
      </c>
      <c r="M1890" t="n">
        <v>5178</v>
      </c>
      <c r="N1890" t="n">
        <v>3595</v>
      </c>
      <c r="O1890" t="n">
        <v>3760</v>
      </c>
      <c r="P1890" t="n">
        <v>3760</v>
      </c>
      <c r="Q1890" t="n">
        <v>3760</v>
      </c>
      <c r="R1890" t="n">
        <v>3760</v>
      </c>
      <c r="S1890" t="n">
        <v>3760</v>
      </c>
      <c r="T1890" t="n">
        <v>3760</v>
      </c>
    </row>
    <row r="1891">
      <c r="A1891" t="inlineStr">
        <is>
          <t>Kylie Jenner Fragrances</t>
        </is>
      </c>
      <c r="B1891" t="inlineStr">
        <is>
          <t>Cosmic Kylie Jenner (01246)</t>
        </is>
      </c>
      <c r="C1891" t="inlineStr">
        <is>
          <t>Cosmic Kylie Jenner (00006014)</t>
        </is>
      </c>
      <c r="D1891" s="1" t="n">
        <v>4064941111719</v>
      </c>
      <c r="E1891" t="inlineStr">
        <is>
          <t>KJ COSMIC EDP 100 ML FML IV</t>
        </is>
      </c>
      <c r="F1891" t="inlineStr">
        <is>
          <t>P_US_ULTA</t>
        </is>
      </c>
      <c r="G1891" t="inlineStr">
        <is>
          <t>Month-2026.M09.W38</t>
        </is>
      </c>
      <c r="H1891" t="inlineStr">
        <is>
          <t>Supply Cuts</t>
        </is>
      </c>
    </row>
    <row r="1892">
      <c r="A1892" t="inlineStr">
        <is>
          <t>Kylie Makeup</t>
        </is>
      </c>
      <c r="B1892" t="inlineStr">
        <is>
          <t>Eyes (01244)</t>
        </is>
      </c>
      <c r="C1892" t="inlineStr">
        <is>
          <t>Kylie Mascara Cream (00006117)</t>
        </is>
      </c>
      <c r="D1892" s="1" t="n">
        <v>4064941112709</v>
      </c>
      <c r="E1892" t="inlineStr">
        <is>
          <t>KJ MU MASC CRM 5ml 001VOLUME BTG IV</t>
        </is>
      </c>
      <c r="F1892" t="inlineStr">
        <is>
          <t>P_US_ALL_OTHERS</t>
        </is>
      </c>
      <c r="G1892" t="inlineStr">
        <is>
          <t>CurrentWorkingView</t>
        </is>
      </c>
      <c r="H1892" t="inlineStr">
        <is>
          <t>Consensus - Final LY M</t>
        </is>
      </c>
      <c r="I1892" t="n">
        <v>25</v>
      </c>
      <c r="J1892" t="n">
        <v>30</v>
      </c>
      <c r="K1892" t="n">
        <v>174</v>
      </c>
      <c r="L1892" t="n">
        <v>33</v>
      </c>
      <c r="M1892" t="n">
        <v>103</v>
      </c>
      <c r="N1892" t="n">
        <v>71</v>
      </c>
      <c r="O1892" t="n">
        <v>45</v>
      </c>
      <c r="P1892" t="n">
        <v>101</v>
      </c>
      <c r="Q1892" t="n">
        <v>27</v>
      </c>
      <c r="R1892" t="n">
        <v>60</v>
      </c>
      <c r="S1892" t="n">
        <v>55</v>
      </c>
      <c r="T1892" t="n">
        <v>26</v>
      </c>
    </row>
    <row r="1893">
      <c r="A1893" t="inlineStr">
        <is>
          <t>Kylie Makeup</t>
        </is>
      </c>
      <c r="B1893" t="inlineStr">
        <is>
          <t>Eyes (01244)</t>
        </is>
      </c>
      <c r="C1893" t="inlineStr">
        <is>
          <t>Kylie Mascara Cream (00006117)</t>
        </is>
      </c>
      <c r="D1893" s="1" t="n">
        <v>4064941112709</v>
      </c>
      <c r="E1893" t="inlineStr">
        <is>
          <t>KJ MU MASC CRM 5ml 001VOLUME BTG IV</t>
        </is>
      </c>
      <c r="F1893" t="inlineStr">
        <is>
          <t>P_US_ALL_OTHERS</t>
        </is>
      </c>
      <c r="G1893" t="inlineStr">
        <is>
          <t>CurrentWorkingView</t>
        </is>
      </c>
      <c r="H1893" t="inlineStr">
        <is>
          <t>System FC - Final</t>
        </is>
      </c>
      <c r="I1893" t="n">
        <v>69</v>
      </c>
      <c r="J1893" t="n">
        <v>81</v>
      </c>
      <c r="K1893" t="n">
        <v>94</v>
      </c>
      <c r="L1893" t="n">
        <v>83</v>
      </c>
      <c r="M1893" t="n">
        <v>121</v>
      </c>
      <c r="N1893" t="n">
        <v>119</v>
      </c>
      <c r="O1893" t="n">
        <v>119</v>
      </c>
      <c r="P1893" t="n">
        <v>152</v>
      </c>
      <c r="Q1893" t="n">
        <v>115</v>
      </c>
      <c r="R1893" t="n">
        <v>103</v>
      </c>
      <c r="S1893" t="n">
        <v>97</v>
      </c>
      <c r="T1893" t="n">
        <v>90</v>
      </c>
    </row>
    <row r="1894">
      <c r="A1894" t="inlineStr">
        <is>
          <t>Kylie Makeup</t>
        </is>
      </c>
      <c r="B1894" t="inlineStr">
        <is>
          <t>Eyes (01244)</t>
        </is>
      </c>
      <c r="C1894" t="inlineStr">
        <is>
          <t>Kylie Mascara Cream (00006117)</t>
        </is>
      </c>
      <c r="D1894" s="1" t="n">
        <v>4064941112709</v>
      </c>
      <c r="E1894" t="inlineStr">
        <is>
          <t>KJ MU MASC CRM 5ml 001VOLUME BTG IV</t>
        </is>
      </c>
      <c r="F1894" t="inlineStr">
        <is>
          <t>P_US_ALL_OTHERS</t>
        </is>
      </c>
      <c r="G1894" t="inlineStr">
        <is>
          <t>CurrentWorkingView</t>
        </is>
      </c>
      <c r="H1894" t="inlineStr">
        <is>
          <t>EPOS</t>
        </is>
      </c>
      <c r="I1894" t="n">
        <v>54</v>
      </c>
    </row>
    <row r="1895">
      <c r="A1895" t="inlineStr">
        <is>
          <t>Kylie Makeup</t>
        </is>
      </c>
      <c r="B1895" t="inlineStr">
        <is>
          <t>Eyes (01244)</t>
        </is>
      </c>
      <c r="C1895" t="inlineStr">
        <is>
          <t>Kylie Mascara Cream (00006117)</t>
        </is>
      </c>
      <c r="D1895" s="1" t="n">
        <v>4064941112709</v>
      </c>
      <c r="E1895" t="inlineStr">
        <is>
          <t>KJ MU MASC CRM 5ml 001VOLUME BTG IV</t>
        </is>
      </c>
      <c r="F1895" t="inlineStr">
        <is>
          <t>P_US_ALL_OTHERS</t>
        </is>
      </c>
      <c r="G1895" t="inlineStr">
        <is>
          <t>CurrentWorkingView</t>
        </is>
      </c>
      <c r="H1895" t="inlineStr">
        <is>
          <t>Reasonability Adjustment</t>
        </is>
      </c>
    </row>
    <row r="1896">
      <c r="A1896" t="inlineStr">
        <is>
          <t>Kylie Makeup</t>
        </is>
      </c>
      <c r="B1896" t="inlineStr">
        <is>
          <t>Eyes (01244)</t>
        </is>
      </c>
      <c r="C1896" t="inlineStr">
        <is>
          <t>Kylie Mascara Cream (00006117)</t>
        </is>
      </c>
      <c r="D1896" s="1" t="n">
        <v>4064941112709</v>
      </c>
      <c r="E1896" t="inlineStr">
        <is>
          <t>KJ MU MASC CRM 5ml 001VOLUME BTG IV</t>
        </is>
      </c>
      <c r="F1896" t="inlineStr">
        <is>
          <t>P_US_ALL_OTHERS</t>
        </is>
      </c>
      <c r="G1896" t="inlineStr">
        <is>
          <t>CurrentWorkingView</t>
        </is>
      </c>
      <c r="H1896" t="inlineStr">
        <is>
          <t>Total Demand Assumption</t>
        </is>
      </c>
    </row>
    <row r="1897">
      <c r="A1897" t="inlineStr">
        <is>
          <t>Kylie Makeup</t>
        </is>
      </c>
      <c r="B1897" t="inlineStr">
        <is>
          <t>Eyes (01244)</t>
        </is>
      </c>
      <c r="C1897" t="inlineStr">
        <is>
          <t>Kylie Mascara Cream (00006117)</t>
        </is>
      </c>
      <c r="D1897" s="1" t="n">
        <v>4064941112709</v>
      </c>
      <c r="E1897" t="inlineStr">
        <is>
          <t>KJ MU MASC CRM 5ml 001VOLUME BTG IV</t>
        </is>
      </c>
      <c r="F1897" t="inlineStr">
        <is>
          <t>P_US_ALL_OTHERS</t>
        </is>
      </c>
      <c r="G1897" t="inlineStr">
        <is>
          <t>CurrentWorkingView</t>
        </is>
      </c>
      <c r="H1897" t="inlineStr">
        <is>
          <t>Consensus - Final</t>
        </is>
      </c>
      <c r="I1897" t="n">
        <v>69</v>
      </c>
      <c r="J1897" t="n">
        <v>81</v>
      </c>
      <c r="K1897" t="n">
        <v>118.803278688524</v>
      </c>
      <c r="L1897" t="n">
        <v>83</v>
      </c>
      <c r="M1897" t="n">
        <v>121</v>
      </c>
      <c r="N1897" t="n">
        <v>119</v>
      </c>
      <c r="O1897" t="n">
        <v>119</v>
      </c>
      <c r="P1897" t="n">
        <v>152</v>
      </c>
      <c r="Q1897" t="n">
        <v>115</v>
      </c>
      <c r="R1897" t="n">
        <v>103</v>
      </c>
      <c r="S1897" t="n">
        <v>97</v>
      </c>
      <c r="T1897" t="n">
        <v>90</v>
      </c>
    </row>
    <row r="1898">
      <c r="A1898" t="inlineStr">
        <is>
          <t>Kylie Makeup</t>
        </is>
      </c>
      <c r="B1898" t="inlineStr">
        <is>
          <t>Eyes (01244)</t>
        </is>
      </c>
      <c r="C1898" t="inlineStr">
        <is>
          <t>Kylie Mascara Cream (00006117)</t>
        </is>
      </c>
      <c r="D1898" s="1" t="n">
        <v>4064941112709</v>
      </c>
      <c r="E1898" t="inlineStr">
        <is>
          <t>KJ MU MASC CRM 5ml 001VOLUME BTG IV</t>
        </is>
      </c>
      <c r="F1898" t="inlineStr">
        <is>
          <t>P_US_ALL_OTHERS</t>
        </is>
      </c>
      <c r="G1898" t="inlineStr">
        <is>
          <t>CurrentWorkingView</t>
        </is>
      </c>
      <c r="H1898" t="inlineStr">
        <is>
          <t>Supply Cuts</t>
        </is>
      </c>
    </row>
    <row r="1899">
      <c r="A1899" t="inlineStr">
        <is>
          <t>Kylie Makeup</t>
        </is>
      </c>
      <c r="B1899" t="inlineStr">
        <is>
          <t>Eyes (01244)</t>
        </is>
      </c>
      <c r="C1899" t="inlineStr">
        <is>
          <t>Kylie Mascara Cream (00006117)</t>
        </is>
      </c>
      <c r="D1899" s="1" t="n">
        <v>4064941112709</v>
      </c>
      <c r="E1899" t="inlineStr">
        <is>
          <t>KJ MU MASC CRM 5ml 001VOLUME BTG IV</t>
        </is>
      </c>
      <c r="F1899" t="inlineStr">
        <is>
          <t>P_US_ALL_OTHERS</t>
        </is>
      </c>
      <c r="G1899" t="inlineStr">
        <is>
          <t>Month-2026.M09.W38</t>
        </is>
      </c>
      <c r="H1899" t="inlineStr">
        <is>
          <t>Consensus - Final LY M</t>
        </is>
      </c>
      <c r="I1899" t="n">
        <v>25</v>
      </c>
      <c r="J1899" t="n">
        <v>30</v>
      </c>
      <c r="K1899" t="n">
        <v>174</v>
      </c>
      <c r="L1899" t="n">
        <v>33</v>
      </c>
      <c r="M1899" t="n">
        <v>103</v>
      </c>
      <c r="N1899" t="n">
        <v>71</v>
      </c>
      <c r="O1899" t="n">
        <v>45</v>
      </c>
      <c r="P1899" t="n">
        <v>101</v>
      </c>
      <c r="Q1899" t="n">
        <v>27</v>
      </c>
      <c r="R1899" t="n">
        <v>60</v>
      </c>
      <c r="S1899" t="n">
        <v>55</v>
      </c>
      <c r="T1899" t="n">
        <v>26</v>
      </c>
    </row>
    <row r="1900">
      <c r="A1900" t="inlineStr">
        <is>
          <t>Kylie Makeup</t>
        </is>
      </c>
      <c r="B1900" t="inlineStr">
        <is>
          <t>Eyes (01244)</t>
        </is>
      </c>
      <c r="C1900" t="inlineStr">
        <is>
          <t>Kylie Mascara Cream (00006117)</t>
        </is>
      </c>
      <c r="D1900" s="1" t="n">
        <v>4064941112709</v>
      </c>
      <c r="E1900" t="inlineStr">
        <is>
          <t>KJ MU MASC CRM 5ml 001VOLUME BTG IV</t>
        </is>
      </c>
      <c r="F1900" t="inlineStr">
        <is>
          <t>P_US_ALL_OTHERS</t>
        </is>
      </c>
      <c r="G1900" t="inlineStr">
        <is>
          <t>Month-2026.M09.W38</t>
        </is>
      </c>
      <c r="H1900" t="inlineStr">
        <is>
          <t>System FC - Final</t>
        </is>
      </c>
      <c r="I1900" t="n">
        <v>69</v>
      </c>
      <c r="J1900" t="n">
        <v>81</v>
      </c>
      <c r="K1900" t="n">
        <v>120</v>
      </c>
      <c r="L1900" t="n">
        <v>94</v>
      </c>
      <c r="M1900" t="n">
        <v>102</v>
      </c>
      <c r="N1900" t="n">
        <v>93</v>
      </c>
      <c r="O1900" t="n">
        <v>97</v>
      </c>
      <c r="P1900" t="n">
        <v>124</v>
      </c>
      <c r="Q1900" t="n">
        <v>66</v>
      </c>
      <c r="R1900" t="n">
        <v>94</v>
      </c>
      <c r="S1900" t="n">
        <v>120</v>
      </c>
      <c r="T1900" t="n">
        <v>48</v>
      </c>
    </row>
    <row r="1901">
      <c r="A1901" t="inlineStr">
        <is>
          <t>Kylie Makeup</t>
        </is>
      </c>
      <c r="B1901" t="inlineStr">
        <is>
          <t>Eyes (01244)</t>
        </is>
      </c>
      <c r="C1901" t="inlineStr">
        <is>
          <t>Kylie Mascara Cream (00006117)</t>
        </is>
      </c>
      <c r="D1901" s="1" t="n">
        <v>4064941112709</v>
      </c>
      <c r="E1901" t="inlineStr">
        <is>
          <t>KJ MU MASC CRM 5ml 001VOLUME BTG IV</t>
        </is>
      </c>
      <c r="F1901" t="inlineStr">
        <is>
          <t>P_US_ALL_OTHERS</t>
        </is>
      </c>
      <c r="G1901" t="inlineStr">
        <is>
          <t>Month-2026.M09.W38</t>
        </is>
      </c>
      <c r="H1901" t="inlineStr">
        <is>
          <t>EPOS</t>
        </is>
      </c>
      <c r="I1901" t="n">
        <v>54</v>
      </c>
    </row>
    <row r="1902">
      <c r="A1902" t="inlineStr">
        <is>
          <t>Kylie Makeup</t>
        </is>
      </c>
      <c r="B1902" t="inlineStr">
        <is>
          <t>Eyes (01244)</t>
        </is>
      </c>
      <c r="C1902" t="inlineStr">
        <is>
          <t>Kylie Mascara Cream (00006117)</t>
        </is>
      </c>
      <c r="D1902" s="1" t="n">
        <v>4064941112709</v>
      </c>
      <c r="E1902" t="inlineStr">
        <is>
          <t>KJ MU MASC CRM 5ml 001VOLUME BTG IV</t>
        </is>
      </c>
      <c r="F1902" t="inlineStr">
        <is>
          <t>P_US_ALL_OTHERS</t>
        </is>
      </c>
      <c r="G1902" t="inlineStr">
        <is>
          <t>Month-2026.M09.W38</t>
        </is>
      </c>
      <c r="H1902" t="inlineStr">
        <is>
          <t>Reasonability Adjustment</t>
        </is>
      </c>
    </row>
    <row r="1903">
      <c r="A1903" t="inlineStr">
        <is>
          <t>Kylie Makeup</t>
        </is>
      </c>
      <c r="B1903" t="inlineStr">
        <is>
          <t>Eyes (01244)</t>
        </is>
      </c>
      <c r="C1903" t="inlineStr">
        <is>
          <t>Kylie Mascara Cream (00006117)</t>
        </is>
      </c>
      <c r="D1903" s="1" t="n">
        <v>4064941112709</v>
      </c>
      <c r="E1903" t="inlineStr">
        <is>
          <t>KJ MU MASC CRM 5ml 001VOLUME BTG IV</t>
        </is>
      </c>
      <c r="F1903" t="inlineStr">
        <is>
          <t>P_US_ALL_OTHERS</t>
        </is>
      </c>
      <c r="G1903" t="inlineStr">
        <is>
          <t>Month-2026.M09.W38</t>
        </is>
      </c>
      <c r="H1903" t="inlineStr">
        <is>
          <t>Total Demand Assumption</t>
        </is>
      </c>
    </row>
    <row r="1904">
      <c r="A1904" t="inlineStr">
        <is>
          <t>Kylie Makeup</t>
        </is>
      </c>
      <c r="B1904" t="inlineStr">
        <is>
          <t>Eyes (01244)</t>
        </is>
      </c>
      <c r="C1904" t="inlineStr">
        <is>
          <t>Kylie Mascara Cream (00006117)</t>
        </is>
      </c>
      <c r="D1904" s="1" t="n">
        <v>4064941112709</v>
      </c>
      <c r="E1904" t="inlineStr">
        <is>
          <t>KJ MU MASC CRM 5ml 001VOLUME BTG IV</t>
        </is>
      </c>
      <c r="F1904" t="inlineStr">
        <is>
          <t>P_US_ALL_OTHERS</t>
        </is>
      </c>
      <c r="G1904" t="inlineStr">
        <is>
          <t>Month-2026.M09.W38</t>
        </is>
      </c>
      <c r="H1904" t="inlineStr">
        <is>
          <t>Consensus - Final</t>
        </is>
      </c>
      <c r="I1904" t="n">
        <v>69</v>
      </c>
      <c r="J1904" t="n">
        <v>81</v>
      </c>
      <c r="K1904" t="n">
        <v>118.803278688524</v>
      </c>
      <c r="L1904" t="n">
        <v>94</v>
      </c>
      <c r="M1904" t="n">
        <v>102</v>
      </c>
      <c r="N1904" t="n">
        <v>93</v>
      </c>
      <c r="O1904" t="n">
        <v>97</v>
      </c>
      <c r="P1904" t="n">
        <v>124</v>
      </c>
      <c r="Q1904" t="n">
        <v>66</v>
      </c>
      <c r="R1904" t="n">
        <v>94</v>
      </c>
      <c r="S1904" t="n">
        <v>120</v>
      </c>
      <c r="T1904" t="n">
        <v>48</v>
      </c>
    </row>
    <row r="1905">
      <c r="A1905" t="inlineStr">
        <is>
          <t>Kylie Makeup</t>
        </is>
      </c>
      <c r="B1905" t="inlineStr">
        <is>
          <t>Eyes (01244)</t>
        </is>
      </c>
      <c r="C1905" t="inlineStr">
        <is>
          <t>Kylie Mascara Cream (00006117)</t>
        </is>
      </c>
      <c r="D1905" s="1" t="n">
        <v>4064941112709</v>
      </c>
      <c r="E1905" t="inlineStr">
        <is>
          <t>KJ MU MASC CRM 5ml 001VOLUME BTG IV</t>
        </is>
      </c>
      <c r="F1905" t="inlineStr">
        <is>
          <t>P_US_ALL_OTHERS</t>
        </is>
      </c>
      <c r="G1905" t="inlineStr">
        <is>
          <t>Month-2026.M09.W38</t>
        </is>
      </c>
      <c r="H1905" t="inlineStr">
        <is>
          <t>Supply Cuts</t>
        </is>
      </c>
    </row>
    <row r="1906">
      <c r="A1906" t="inlineStr">
        <is>
          <t>Kylie Makeup</t>
        </is>
      </c>
      <c r="B1906" t="inlineStr">
        <is>
          <t>Eyes (01244)</t>
        </is>
      </c>
      <c r="C1906" t="inlineStr">
        <is>
          <t>Kylie Mascara Cream (00006117)</t>
        </is>
      </c>
      <c r="D1906" s="1" t="n">
        <v>4064941112709</v>
      </c>
      <c r="E1906" t="inlineStr">
        <is>
          <t>KJ MU MASC CRM 5ml 001VOLUME BTG IV</t>
        </is>
      </c>
      <c r="F1906" t="inlineStr">
        <is>
          <t>P_US_FG</t>
        </is>
      </c>
      <c r="G1906" t="inlineStr">
        <is>
          <t>CurrentWorkingView</t>
        </is>
      </c>
      <c r="H1906" t="inlineStr">
        <is>
          <t>Consensus - Final LY M</t>
        </is>
      </c>
      <c r="O1906" t="n">
        <v>5</v>
      </c>
      <c r="Q1906" t="n">
        <v>1</v>
      </c>
    </row>
    <row r="1907">
      <c r="A1907" t="inlineStr">
        <is>
          <t>Kylie Makeup</t>
        </is>
      </c>
      <c r="B1907" t="inlineStr">
        <is>
          <t>Eyes (01244)</t>
        </is>
      </c>
      <c r="C1907" t="inlineStr">
        <is>
          <t>Kylie Mascara Cream (00006117)</t>
        </is>
      </c>
      <c r="D1907" s="1" t="n">
        <v>4064941112709</v>
      </c>
      <c r="E1907" t="inlineStr">
        <is>
          <t>KJ MU MASC CRM 5ml 001VOLUME BTG IV</t>
        </is>
      </c>
      <c r="F1907" t="inlineStr">
        <is>
          <t>P_US_FG</t>
        </is>
      </c>
      <c r="G1907" t="inlineStr">
        <is>
          <t>CurrentWorkingView</t>
        </is>
      </c>
      <c r="H1907" t="inlineStr">
        <is>
          <t>System FC - Final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Kylie Makeup</t>
        </is>
      </c>
      <c r="B1908" t="inlineStr">
        <is>
          <t>Eyes (01244)</t>
        </is>
      </c>
      <c r="C1908" t="inlineStr">
        <is>
          <t>Kylie Mascara Cream (00006117)</t>
        </is>
      </c>
      <c r="D1908" s="1" t="n">
        <v>4064941112709</v>
      </c>
      <c r="E1908" t="inlineStr">
        <is>
          <t>KJ MU MASC CRM 5ml 001VOLUME BTG IV</t>
        </is>
      </c>
      <c r="F1908" t="inlineStr">
        <is>
          <t>P_US_FG</t>
        </is>
      </c>
      <c r="G1908" t="inlineStr">
        <is>
          <t>CurrentWorkingView</t>
        </is>
      </c>
      <c r="H1908" t="inlineStr">
        <is>
          <t>EPOS</t>
        </is>
      </c>
    </row>
    <row r="1909">
      <c r="A1909" t="inlineStr">
        <is>
          <t>Kylie Makeup</t>
        </is>
      </c>
      <c r="B1909" t="inlineStr">
        <is>
          <t>Eyes (01244)</t>
        </is>
      </c>
      <c r="C1909" t="inlineStr">
        <is>
          <t>Kylie Mascara Cream (00006117)</t>
        </is>
      </c>
      <c r="D1909" s="1" t="n">
        <v>4064941112709</v>
      </c>
      <c r="E1909" t="inlineStr">
        <is>
          <t>KJ MU MASC CRM 5ml 001VOLUME BTG IV</t>
        </is>
      </c>
      <c r="F1909" t="inlineStr">
        <is>
          <t>P_US_FG</t>
        </is>
      </c>
      <c r="G1909" t="inlineStr">
        <is>
          <t>CurrentWorkingView</t>
        </is>
      </c>
      <c r="H1909" t="inlineStr">
        <is>
          <t>Reasonability Adjustment</t>
        </is>
      </c>
    </row>
    <row r="1910">
      <c r="A1910" t="inlineStr">
        <is>
          <t>Kylie Makeup</t>
        </is>
      </c>
      <c r="B1910" t="inlineStr">
        <is>
          <t>Eyes (01244)</t>
        </is>
      </c>
      <c r="C1910" t="inlineStr">
        <is>
          <t>Kylie Mascara Cream (00006117)</t>
        </is>
      </c>
      <c r="D1910" s="1" t="n">
        <v>4064941112709</v>
      </c>
      <c r="E1910" t="inlineStr">
        <is>
          <t>KJ MU MASC CRM 5ml 001VOLUME BTG IV</t>
        </is>
      </c>
      <c r="F1910" t="inlineStr">
        <is>
          <t>P_US_FG</t>
        </is>
      </c>
      <c r="G1910" t="inlineStr">
        <is>
          <t>CurrentWorkingView</t>
        </is>
      </c>
      <c r="H1910" t="inlineStr">
        <is>
          <t>Total Demand Assumption</t>
        </is>
      </c>
    </row>
    <row r="1911">
      <c r="A1911" t="inlineStr">
        <is>
          <t>Kylie Makeup</t>
        </is>
      </c>
      <c r="B1911" t="inlineStr">
        <is>
          <t>Eyes (01244)</t>
        </is>
      </c>
      <c r="C1911" t="inlineStr">
        <is>
          <t>Kylie Mascara Cream (00006117)</t>
        </is>
      </c>
      <c r="D1911" s="1" t="n">
        <v>4064941112709</v>
      </c>
      <c r="E1911" t="inlineStr">
        <is>
          <t>KJ MU MASC CRM 5ml 001VOLUME BTG IV</t>
        </is>
      </c>
      <c r="F1911" t="inlineStr">
        <is>
          <t>P_US_FG</t>
        </is>
      </c>
      <c r="G1911" t="inlineStr">
        <is>
          <t>CurrentWorkingView</t>
        </is>
      </c>
      <c r="H1911" t="inlineStr">
        <is>
          <t>Consensus - Final</t>
        </is>
      </c>
      <c r="K1911" t="n">
        <v>0</v>
      </c>
    </row>
    <row r="1912">
      <c r="A1912" t="inlineStr">
        <is>
          <t>Kylie Makeup</t>
        </is>
      </c>
      <c r="B1912" t="inlineStr">
        <is>
          <t>Eyes (01244)</t>
        </is>
      </c>
      <c r="C1912" t="inlineStr">
        <is>
          <t>Kylie Mascara Cream (00006117)</t>
        </is>
      </c>
      <c r="D1912" s="1" t="n">
        <v>4064941112709</v>
      </c>
      <c r="E1912" t="inlineStr">
        <is>
          <t>KJ MU MASC CRM 5ml 001VOLUME BTG IV</t>
        </is>
      </c>
      <c r="F1912" t="inlineStr">
        <is>
          <t>P_US_FG</t>
        </is>
      </c>
      <c r="G1912" t="inlineStr">
        <is>
          <t>CurrentWorkingView</t>
        </is>
      </c>
      <c r="H1912" t="inlineStr">
        <is>
          <t>Supply Cuts</t>
        </is>
      </c>
    </row>
    <row r="1913">
      <c r="A1913" t="inlineStr">
        <is>
          <t>Kylie Makeup</t>
        </is>
      </c>
      <c r="B1913" t="inlineStr">
        <is>
          <t>Eyes (01244)</t>
        </is>
      </c>
      <c r="C1913" t="inlineStr">
        <is>
          <t>Kylie Mascara Cream (00006117)</t>
        </is>
      </c>
      <c r="D1913" s="1" t="n">
        <v>4064941112709</v>
      </c>
      <c r="E1913" t="inlineStr">
        <is>
          <t>KJ MU MASC CRM 5ml 001VOLUME BTG IV</t>
        </is>
      </c>
      <c r="F1913" t="inlineStr">
        <is>
          <t>P_US_FG</t>
        </is>
      </c>
      <c r="G1913" t="inlineStr">
        <is>
          <t>Month-2026.M09.W38</t>
        </is>
      </c>
      <c r="H1913" t="inlineStr">
        <is>
          <t>Consensus - Final LY M</t>
        </is>
      </c>
      <c r="O1913" t="n">
        <v>5</v>
      </c>
      <c r="Q1913" t="n">
        <v>1</v>
      </c>
    </row>
    <row r="1914">
      <c r="A1914" t="inlineStr">
        <is>
          <t>Kylie Makeup</t>
        </is>
      </c>
      <c r="B1914" t="inlineStr">
        <is>
          <t>Eyes (01244)</t>
        </is>
      </c>
      <c r="C1914" t="inlineStr">
        <is>
          <t>Kylie Mascara Cream (00006117)</t>
        </is>
      </c>
      <c r="D1914" s="1" t="n">
        <v>4064941112709</v>
      </c>
      <c r="E1914" t="inlineStr">
        <is>
          <t>KJ MU MASC CRM 5ml 001VOLUME BTG IV</t>
        </is>
      </c>
      <c r="F1914" t="inlineStr">
        <is>
          <t>P_US_FG</t>
        </is>
      </c>
      <c r="G1914" t="inlineStr">
        <is>
          <t>Month-2026.M09.W38</t>
        </is>
      </c>
      <c r="H1914" t="inlineStr">
        <is>
          <t>System FC - Final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inlineStr">
        <is>
          <t>Kylie Makeup</t>
        </is>
      </c>
      <c r="B1915" t="inlineStr">
        <is>
          <t>Eyes (01244)</t>
        </is>
      </c>
      <c r="C1915" t="inlineStr">
        <is>
          <t>Kylie Mascara Cream (00006117)</t>
        </is>
      </c>
      <c r="D1915" s="1" t="n">
        <v>4064941112709</v>
      </c>
      <c r="E1915" t="inlineStr">
        <is>
          <t>KJ MU MASC CRM 5ml 001VOLUME BTG IV</t>
        </is>
      </c>
      <c r="F1915" t="inlineStr">
        <is>
          <t>P_US_FG</t>
        </is>
      </c>
      <c r="G1915" t="inlineStr">
        <is>
          <t>Month-2026.M09.W38</t>
        </is>
      </c>
      <c r="H1915" t="inlineStr">
        <is>
          <t>EPOS</t>
        </is>
      </c>
    </row>
    <row r="1916">
      <c r="A1916" t="inlineStr">
        <is>
          <t>Kylie Makeup</t>
        </is>
      </c>
      <c r="B1916" t="inlineStr">
        <is>
          <t>Eyes (01244)</t>
        </is>
      </c>
      <c r="C1916" t="inlineStr">
        <is>
          <t>Kylie Mascara Cream (00006117)</t>
        </is>
      </c>
      <c r="D1916" s="1" t="n">
        <v>4064941112709</v>
      </c>
      <c r="E1916" t="inlineStr">
        <is>
          <t>KJ MU MASC CRM 5ml 001VOLUME BTG IV</t>
        </is>
      </c>
      <c r="F1916" t="inlineStr">
        <is>
          <t>P_US_FG</t>
        </is>
      </c>
      <c r="G1916" t="inlineStr">
        <is>
          <t>Month-2026.M09.W38</t>
        </is>
      </c>
      <c r="H1916" t="inlineStr">
        <is>
          <t>Reasonability Adjustment</t>
        </is>
      </c>
    </row>
    <row r="1917">
      <c r="A1917" t="inlineStr">
        <is>
          <t>Kylie Makeup</t>
        </is>
      </c>
      <c r="B1917" t="inlineStr">
        <is>
          <t>Eyes (01244)</t>
        </is>
      </c>
      <c r="C1917" t="inlineStr">
        <is>
          <t>Kylie Mascara Cream (00006117)</t>
        </is>
      </c>
      <c r="D1917" s="1" t="n">
        <v>4064941112709</v>
      </c>
      <c r="E1917" t="inlineStr">
        <is>
          <t>KJ MU MASC CRM 5ml 001VOLUME BTG IV</t>
        </is>
      </c>
      <c r="F1917" t="inlineStr">
        <is>
          <t>P_US_FG</t>
        </is>
      </c>
      <c r="G1917" t="inlineStr">
        <is>
          <t>Month-2026.M09.W38</t>
        </is>
      </c>
      <c r="H1917" t="inlineStr">
        <is>
          <t>Total Demand Assumption</t>
        </is>
      </c>
    </row>
    <row r="1918">
      <c r="A1918" t="inlineStr">
        <is>
          <t>Kylie Makeup</t>
        </is>
      </c>
      <c r="B1918" t="inlineStr">
        <is>
          <t>Eyes (01244)</t>
        </is>
      </c>
      <c r="C1918" t="inlineStr">
        <is>
          <t>Kylie Mascara Cream (00006117)</t>
        </is>
      </c>
      <c r="D1918" s="1" t="n">
        <v>4064941112709</v>
      </c>
      <c r="E1918" t="inlineStr">
        <is>
          <t>KJ MU MASC CRM 5ml 001VOLUME BTG IV</t>
        </is>
      </c>
      <c r="F1918" t="inlineStr">
        <is>
          <t>P_US_FG</t>
        </is>
      </c>
      <c r="G1918" t="inlineStr">
        <is>
          <t>Month-2026.M09.W38</t>
        </is>
      </c>
      <c r="H1918" t="inlineStr">
        <is>
          <t>Consensus - Final</t>
        </is>
      </c>
      <c r="K1918" t="n">
        <v>0</v>
      </c>
    </row>
    <row r="1919">
      <c r="A1919" t="inlineStr">
        <is>
          <t>Kylie Makeup</t>
        </is>
      </c>
      <c r="B1919" t="inlineStr">
        <is>
          <t>Eyes (01244)</t>
        </is>
      </c>
      <c r="C1919" t="inlineStr">
        <is>
          <t>Kylie Mascara Cream (00006117)</t>
        </is>
      </c>
      <c r="D1919" s="1" t="n">
        <v>4064941112709</v>
      </c>
      <c r="E1919" t="inlineStr">
        <is>
          <t>KJ MU MASC CRM 5ml 001VOLUME BTG IV</t>
        </is>
      </c>
      <c r="F1919" t="inlineStr">
        <is>
          <t>P_US_FG</t>
        </is>
      </c>
      <c r="G1919" t="inlineStr">
        <is>
          <t>Month-2026.M09.W38</t>
        </is>
      </c>
      <c r="H1919" t="inlineStr">
        <is>
          <t>Supply Cuts</t>
        </is>
      </c>
    </row>
    <row r="1920">
      <c r="A1920" t="inlineStr">
        <is>
          <t>Kylie Makeup</t>
        </is>
      </c>
      <c r="B1920" t="inlineStr">
        <is>
          <t>Eyes (01244)</t>
        </is>
      </c>
      <c r="C1920" t="inlineStr">
        <is>
          <t>Kylie Mascara Cream (00006117)</t>
        </is>
      </c>
      <c r="D1920" s="1" t="n">
        <v>4064941112709</v>
      </c>
      <c r="E1920" t="inlineStr">
        <is>
          <t>KJ MU MASC CRM 5ml 001VOLUME BTG IV</t>
        </is>
      </c>
      <c r="F1920" t="inlineStr">
        <is>
          <t>P_US_ULTA</t>
        </is>
      </c>
      <c r="G1920" t="inlineStr">
        <is>
          <t>CurrentWorkingView</t>
        </is>
      </c>
      <c r="H1920" t="inlineStr">
        <is>
          <t>Consensus - Final LY M</t>
        </is>
      </c>
      <c r="I1920" t="n">
        <v>835</v>
      </c>
      <c r="J1920" t="n">
        <v>279</v>
      </c>
      <c r="K1920" t="n">
        <v>383</v>
      </c>
      <c r="L1920" t="n">
        <v>383</v>
      </c>
      <c r="M1920" t="n">
        <v>537</v>
      </c>
      <c r="N1920" t="n">
        <v>217</v>
      </c>
      <c r="O1920" t="n">
        <v>644</v>
      </c>
      <c r="P1920" t="n">
        <v>755</v>
      </c>
      <c r="Q1920" t="n">
        <v>1060</v>
      </c>
      <c r="R1920" t="n">
        <v>902</v>
      </c>
      <c r="S1920" t="n">
        <v>1043</v>
      </c>
      <c r="T1920" t="n">
        <v>555</v>
      </c>
    </row>
    <row r="1921">
      <c r="A1921" t="inlineStr">
        <is>
          <t>Kylie Makeup</t>
        </is>
      </c>
      <c r="B1921" t="inlineStr">
        <is>
          <t>Eyes (01244)</t>
        </is>
      </c>
      <c r="C1921" t="inlineStr">
        <is>
          <t>Kylie Mascara Cream (00006117)</t>
        </is>
      </c>
      <c r="D1921" s="1" t="n">
        <v>4064941112709</v>
      </c>
      <c r="E1921" t="inlineStr">
        <is>
          <t>KJ MU MASC CRM 5ml 001VOLUME BTG IV</t>
        </is>
      </c>
      <c r="F1921" t="inlineStr">
        <is>
          <t>P_US_ULTA</t>
        </is>
      </c>
      <c r="G1921" t="inlineStr">
        <is>
          <t>CurrentWorkingView</t>
        </is>
      </c>
      <c r="H1921" t="inlineStr">
        <is>
          <t>System FC - Final</t>
        </is>
      </c>
      <c r="I1921" t="n">
        <v>547</v>
      </c>
      <c r="J1921" t="n">
        <v>588</v>
      </c>
      <c r="K1921" t="n">
        <v>929</v>
      </c>
      <c r="L1921" t="n">
        <v>1204</v>
      </c>
      <c r="M1921" t="n">
        <v>1041</v>
      </c>
      <c r="N1921" t="n">
        <v>823</v>
      </c>
      <c r="O1921" t="n">
        <v>864</v>
      </c>
      <c r="P1921" t="n">
        <v>752</v>
      </c>
      <c r="Q1921" t="n">
        <v>925</v>
      </c>
      <c r="R1921" t="n">
        <v>625</v>
      </c>
      <c r="S1921" t="n">
        <v>721</v>
      </c>
      <c r="T1921" t="n">
        <v>882</v>
      </c>
    </row>
    <row r="1922">
      <c r="A1922" t="inlineStr">
        <is>
          <t>Kylie Makeup</t>
        </is>
      </c>
      <c r="B1922" t="inlineStr">
        <is>
          <t>Eyes (01244)</t>
        </is>
      </c>
      <c r="C1922" t="inlineStr">
        <is>
          <t>Kylie Mascara Cream (00006117)</t>
        </is>
      </c>
      <c r="D1922" s="1" t="n">
        <v>4064941112709</v>
      </c>
      <c r="E1922" t="inlineStr">
        <is>
          <t>KJ MU MASC CRM 5ml 001VOLUME BTG IV</t>
        </is>
      </c>
      <c r="F1922" t="inlineStr">
        <is>
          <t>P_US_ULTA</t>
        </is>
      </c>
      <c r="G1922" t="inlineStr">
        <is>
          <t>CurrentWorkingView</t>
        </is>
      </c>
      <c r="H1922" t="inlineStr">
        <is>
          <t>EPOS</t>
        </is>
      </c>
      <c r="I1922" t="n">
        <v>563</v>
      </c>
    </row>
    <row r="1923">
      <c r="A1923" t="inlineStr">
        <is>
          <t>Kylie Makeup</t>
        </is>
      </c>
      <c r="B1923" t="inlineStr">
        <is>
          <t>Eyes (01244)</t>
        </is>
      </c>
      <c r="C1923" t="inlineStr">
        <is>
          <t>Kylie Mascara Cream (00006117)</t>
        </is>
      </c>
      <c r="D1923" s="1" t="n">
        <v>4064941112709</v>
      </c>
      <c r="E1923" t="inlineStr">
        <is>
          <t>KJ MU MASC CRM 5ml 001VOLUME BTG IV</t>
        </is>
      </c>
      <c r="F1923" t="inlineStr">
        <is>
          <t>P_US_ULTA</t>
        </is>
      </c>
      <c r="G1923" t="inlineStr">
        <is>
          <t>CurrentWorkingView</t>
        </is>
      </c>
      <c r="H1923" t="inlineStr">
        <is>
          <t>Reasonability Adjustment</t>
        </is>
      </c>
    </row>
    <row r="1924">
      <c r="A1924" t="inlineStr">
        <is>
          <t>Kylie Makeup</t>
        </is>
      </c>
      <c r="B1924" t="inlineStr">
        <is>
          <t>Eyes (01244)</t>
        </is>
      </c>
      <c r="C1924" t="inlineStr">
        <is>
          <t>Kylie Mascara Cream (00006117)</t>
        </is>
      </c>
      <c r="D1924" s="1" t="n">
        <v>4064941112709</v>
      </c>
      <c r="E1924" t="inlineStr">
        <is>
          <t>KJ MU MASC CRM 5ml 001VOLUME BTG IV</t>
        </is>
      </c>
      <c r="F1924" t="inlineStr">
        <is>
          <t>P_US_ULTA</t>
        </is>
      </c>
      <c r="G1924" t="inlineStr">
        <is>
          <t>CurrentWorkingView</t>
        </is>
      </c>
      <c r="H1924" t="inlineStr">
        <is>
          <t>Total Demand Assumption</t>
        </is>
      </c>
      <c r="I1924" t="n">
        <v>-375</v>
      </c>
      <c r="J1924" t="n">
        <v>-257</v>
      </c>
      <c r="K1924" t="n">
        <v>-221</v>
      </c>
      <c r="L1924" t="n">
        <v>-333</v>
      </c>
      <c r="M1924" t="n">
        <v>-201</v>
      </c>
      <c r="N1924" t="n">
        <v>-79</v>
      </c>
      <c r="O1924" t="n">
        <v>-178</v>
      </c>
      <c r="P1924" t="n">
        <v>-195</v>
      </c>
      <c r="Q1924" t="n">
        <v>-327</v>
      </c>
      <c r="R1924" t="n">
        <v>-120</v>
      </c>
      <c r="S1924" t="n">
        <v>-242</v>
      </c>
      <c r="T1924" t="n">
        <v>-338</v>
      </c>
    </row>
    <row r="1925">
      <c r="A1925" t="inlineStr">
        <is>
          <t>Kylie Makeup</t>
        </is>
      </c>
      <c r="B1925" t="inlineStr">
        <is>
          <t>Eyes (01244)</t>
        </is>
      </c>
      <c r="C1925" t="inlineStr">
        <is>
          <t>Kylie Mascara Cream (00006117)</t>
        </is>
      </c>
      <c r="D1925" s="1" t="n">
        <v>4064941112709</v>
      </c>
      <c r="E1925" t="inlineStr">
        <is>
          <t>KJ MU MASC CRM 5ml 001VOLUME BTG IV</t>
        </is>
      </c>
      <c r="F1925" t="inlineStr">
        <is>
          <t>P_US_ULTA</t>
        </is>
      </c>
      <c r="G1925" t="inlineStr">
        <is>
          <t>CurrentWorkingView</t>
        </is>
      </c>
      <c r="H1925" t="inlineStr">
        <is>
          <t>Consensus - Final</t>
        </is>
      </c>
      <c r="I1925" t="n">
        <v>547</v>
      </c>
      <c r="J1925" t="n">
        <v>588</v>
      </c>
      <c r="K1925" t="n">
        <v>901.196721311475</v>
      </c>
      <c r="L1925" t="n">
        <v>905</v>
      </c>
      <c r="M1925" t="n">
        <v>873</v>
      </c>
      <c r="N1925" t="n">
        <v>744</v>
      </c>
      <c r="O1925" t="n">
        <v>686</v>
      </c>
      <c r="P1925" t="n">
        <v>557</v>
      </c>
      <c r="Q1925" t="n">
        <v>598</v>
      </c>
      <c r="R1925" t="n">
        <v>505</v>
      </c>
      <c r="S1925" t="n">
        <v>496</v>
      </c>
      <c r="T1925" t="n">
        <v>544</v>
      </c>
    </row>
    <row r="1926">
      <c r="A1926" t="inlineStr">
        <is>
          <t>Kylie Makeup</t>
        </is>
      </c>
      <c r="B1926" t="inlineStr">
        <is>
          <t>Eyes (01244)</t>
        </is>
      </c>
      <c r="C1926" t="inlineStr">
        <is>
          <t>Kylie Mascara Cream (00006117)</t>
        </is>
      </c>
      <c r="D1926" s="1" t="n">
        <v>4064941112709</v>
      </c>
      <c r="E1926" t="inlineStr">
        <is>
          <t>KJ MU MASC CRM 5ml 001VOLUME BTG IV</t>
        </is>
      </c>
      <c r="F1926" t="inlineStr">
        <is>
          <t>P_US_ULTA</t>
        </is>
      </c>
      <c r="G1926" t="inlineStr">
        <is>
          <t>CurrentWorkingView</t>
        </is>
      </c>
      <c r="H1926" t="inlineStr">
        <is>
          <t>Supply Cuts</t>
        </is>
      </c>
    </row>
    <row r="1927">
      <c r="A1927" t="inlineStr">
        <is>
          <t>Kylie Makeup</t>
        </is>
      </c>
      <c r="B1927" t="inlineStr">
        <is>
          <t>Eyes (01244)</t>
        </is>
      </c>
      <c r="C1927" t="inlineStr">
        <is>
          <t>Kylie Mascara Cream (00006117)</t>
        </is>
      </c>
      <c r="D1927" s="1" t="n">
        <v>4064941112709</v>
      </c>
      <c r="E1927" t="inlineStr">
        <is>
          <t>KJ MU MASC CRM 5ml 001VOLUME BTG IV</t>
        </is>
      </c>
      <c r="F1927" t="inlineStr">
        <is>
          <t>P_US_ULTA</t>
        </is>
      </c>
      <c r="G1927" t="inlineStr">
        <is>
          <t>Month-2026.M09.W38</t>
        </is>
      </c>
      <c r="H1927" t="inlineStr">
        <is>
          <t>Consensus - Final LY M</t>
        </is>
      </c>
      <c r="I1927" t="n">
        <v>835</v>
      </c>
      <c r="J1927" t="n">
        <v>279</v>
      </c>
      <c r="K1927" t="n">
        <v>383</v>
      </c>
      <c r="L1927" t="n">
        <v>383</v>
      </c>
      <c r="M1927" t="n">
        <v>537</v>
      </c>
      <c r="N1927" t="n">
        <v>217</v>
      </c>
      <c r="O1927" t="n">
        <v>644</v>
      </c>
      <c r="P1927" t="n">
        <v>755</v>
      </c>
      <c r="Q1927" t="n">
        <v>1060</v>
      </c>
      <c r="R1927" t="n">
        <v>902</v>
      </c>
      <c r="S1927" t="n">
        <v>1043</v>
      </c>
      <c r="T1927" t="n">
        <v>555</v>
      </c>
    </row>
    <row r="1928">
      <c r="A1928" t="inlineStr">
        <is>
          <t>Kylie Makeup</t>
        </is>
      </c>
      <c r="B1928" t="inlineStr">
        <is>
          <t>Eyes (01244)</t>
        </is>
      </c>
      <c r="C1928" t="inlineStr">
        <is>
          <t>Kylie Mascara Cream (00006117)</t>
        </is>
      </c>
      <c r="D1928" s="1" t="n">
        <v>4064941112709</v>
      </c>
      <c r="E1928" t="inlineStr">
        <is>
          <t>KJ MU MASC CRM 5ml 001VOLUME BTG IV</t>
        </is>
      </c>
      <c r="F1928" t="inlineStr">
        <is>
          <t>P_US_ULTA</t>
        </is>
      </c>
      <c r="G1928" t="inlineStr">
        <is>
          <t>Month-2026.M09.W38</t>
        </is>
      </c>
      <c r="H1928" t="inlineStr">
        <is>
          <t>System FC - Final</t>
        </is>
      </c>
      <c r="I1928" t="n">
        <v>547</v>
      </c>
      <c r="J1928" t="n">
        <v>588</v>
      </c>
      <c r="K1928" t="n">
        <v>992</v>
      </c>
      <c r="L1928" t="n">
        <v>797</v>
      </c>
      <c r="M1928" t="n">
        <v>798</v>
      </c>
      <c r="N1928" t="n">
        <v>705</v>
      </c>
      <c r="O1928" t="n">
        <v>748</v>
      </c>
      <c r="P1928" t="n">
        <v>868</v>
      </c>
      <c r="Q1928" t="n">
        <v>1014</v>
      </c>
      <c r="R1928" t="n">
        <v>655</v>
      </c>
      <c r="S1928" t="n">
        <v>757</v>
      </c>
      <c r="T1928" t="n">
        <v>809</v>
      </c>
    </row>
    <row r="1929">
      <c r="A1929" t="inlineStr">
        <is>
          <t>Kylie Makeup</t>
        </is>
      </c>
      <c r="B1929" t="inlineStr">
        <is>
          <t>Eyes (01244)</t>
        </is>
      </c>
      <c r="C1929" t="inlineStr">
        <is>
          <t>Kylie Mascara Cream (00006117)</t>
        </is>
      </c>
      <c r="D1929" s="1" t="n">
        <v>4064941112709</v>
      </c>
      <c r="E1929" t="inlineStr">
        <is>
          <t>KJ MU MASC CRM 5ml 001VOLUME BTG IV</t>
        </is>
      </c>
      <c r="F1929" t="inlineStr">
        <is>
          <t>P_US_ULTA</t>
        </is>
      </c>
      <c r="G1929" t="inlineStr">
        <is>
          <t>Month-2026.M09.W38</t>
        </is>
      </c>
      <c r="H1929" t="inlineStr">
        <is>
          <t>EPOS</t>
        </is>
      </c>
      <c r="I1929" t="n">
        <v>563</v>
      </c>
    </row>
    <row r="1930">
      <c r="A1930" t="inlineStr">
        <is>
          <t>Kylie Makeup</t>
        </is>
      </c>
      <c r="B1930" t="inlineStr">
        <is>
          <t>Eyes (01244)</t>
        </is>
      </c>
      <c r="C1930" t="inlineStr">
        <is>
          <t>Kylie Mascara Cream (00006117)</t>
        </is>
      </c>
      <c r="D1930" s="1" t="n">
        <v>4064941112709</v>
      </c>
      <c r="E1930" t="inlineStr">
        <is>
          <t>KJ MU MASC CRM 5ml 001VOLUME BTG IV</t>
        </is>
      </c>
      <c r="F1930" t="inlineStr">
        <is>
          <t>P_US_ULTA</t>
        </is>
      </c>
      <c r="G1930" t="inlineStr">
        <is>
          <t>Month-2026.M09.W38</t>
        </is>
      </c>
      <c r="H1930" t="inlineStr">
        <is>
          <t>Reasonability Adjustment</t>
        </is>
      </c>
    </row>
    <row r="1931">
      <c r="A1931" t="inlineStr">
        <is>
          <t>Kylie Makeup</t>
        </is>
      </c>
      <c r="B1931" t="inlineStr">
        <is>
          <t>Eyes (01244)</t>
        </is>
      </c>
      <c r="C1931" t="inlineStr">
        <is>
          <t>Kylie Mascara Cream (00006117)</t>
        </is>
      </c>
      <c r="D1931" s="1" t="n">
        <v>4064941112709</v>
      </c>
      <c r="E1931" t="inlineStr">
        <is>
          <t>KJ MU MASC CRM 5ml 001VOLUME BTG IV</t>
        </is>
      </c>
      <c r="F1931" t="inlineStr">
        <is>
          <t>P_US_ULTA</t>
        </is>
      </c>
      <c r="G1931" t="inlineStr">
        <is>
          <t>Month-2026.M09.W38</t>
        </is>
      </c>
      <c r="H1931" t="inlineStr">
        <is>
          <t>Total Demand Assumption</t>
        </is>
      </c>
      <c r="I1931" t="n">
        <v>-375</v>
      </c>
      <c r="J1931" t="n">
        <v>-257</v>
      </c>
      <c r="K1931" t="n">
        <v>-221</v>
      </c>
      <c r="L1931" t="n">
        <v>-333</v>
      </c>
      <c r="M1931" t="n">
        <v>-201</v>
      </c>
      <c r="N1931" t="n">
        <v>-79</v>
      </c>
      <c r="O1931" t="n">
        <v>-178</v>
      </c>
      <c r="P1931" t="n">
        <v>-195</v>
      </c>
      <c r="Q1931" t="n">
        <v>-327</v>
      </c>
      <c r="R1931" t="n">
        <v>-120</v>
      </c>
      <c r="S1931" t="n">
        <v>-242</v>
      </c>
      <c r="T1931" t="n">
        <v>-338</v>
      </c>
    </row>
    <row r="1932">
      <c r="A1932" t="inlineStr">
        <is>
          <t>Kylie Makeup</t>
        </is>
      </c>
      <c r="B1932" t="inlineStr">
        <is>
          <t>Eyes (01244)</t>
        </is>
      </c>
      <c r="C1932" t="inlineStr">
        <is>
          <t>Kylie Mascara Cream (00006117)</t>
        </is>
      </c>
      <c r="D1932" s="1" t="n">
        <v>4064941112709</v>
      </c>
      <c r="E1932" t="inlineStr">
        <is>
          <t>KJ MU MASC CRM 5ml 001VOLUME BTG IV</t>
        </is>
      </c>
      <c r="F1932" t="inlineStr">
        <is>
          <t>P_US_ULTA</t>
        </is>
      </c>
      <c r="G1932" t="inlineStr">
        <is>
          <t>Month-2026.M09.W38</t>
        </is>
      </c>
      <c r="H1932" t="inlineStr">
        <is>
          <t>Consensus - Final</t>
        </is>
      </c>
      <c r="I1932" t="n">
        <v>547</v>
      </c>
      <c r="J1932" t="n">
        <v>588</v>
      </c>
      <c r="K1932" t="n">
        <v>901.196721311475</v>
      </c>
      <c r="L1932" t="n">
        <v>509</v>
      </c>
      <c r="M1932" t="n">
        <v>610</v>
      </c>
      <c r="N1932" t="n">
        <v>626</v>
      </c>
      <c r="O1932" t="n">
        <v>570</v>
      </c>
      <c r="P1932" t="n">
        <v>673</v>
      </c>
      <c r="Q1932" t="n">
        <v>687</v>
      </c>
      <c r="R1932" t="n">
        <v>535</v>
      </c>
      <c r="S1932" t="n">
        <v>531</v>
      </c>
      <c r="T1932" t="n">
        <v>471</v>
      </c>
    </row>
    <row r="1933">
      <c r="A1933" t="inlineStr">
        <is>
          <t>Kylie Makeup</t>
        </is>
      </c>
      <c r="B1933" t="inlineStr">
        <is>
          <t>Eyes (01244)</t>
        </is>
      </c>
      <c r="C1933" t="inlineStr">
        <is>
          <t>Kylie Mascara Cream (00006117)</t>
        </is>
      </c>
      <c r="D1933" s="1" t="n">
        <v>4064941112709</v>
      </c>
      <c r="E1933" t="inlineStr">
        <is>
          <t>KJ MU MASC CRM 5ml 001VOLUME BTG IV</t>
        </is>
      </c>
      <c r="F1933" t="inlineStr">
        <is>
          <t>P_US_ULTA</t>
        </is>
      </c>
      <c r="G1933" t="inlineStr">
        <is>
          <t>Month-2026.M09.W38</t>
        </is>
      </c>
      <c r="H1933" t="inlineStr">
        <is>
          <t>Supply Cuts</t>
        </is>
      </c>
    </row>
    <row r="1934">
      <c r="A1934" t="inlineStr">
        <is>
          <t>Kylie Makeup</t>
        </is>
      </c>
      <c r="B1934" t="inlineStr">
        <is>
          <t>Lips (01245)</t>
        </is>
      </c>
      <c r="C1934" t="inlineStr">
        <is>
          <t>Kylie High Gloss (00006100)</t>
        </is>
      </c>
      <c r="D1934" s="1" t="n">
        <v>4064941118183</v>
      </c>
      <c r="E1934" t="inlineStr">
        <is>
          <t>KJ MU HIGH GLS LG 3.3 ML 808KYLIE VP IV</t>
        </is>
      </c>
      <c r="F1934" t="inlineStr">
        <is>
          <t>P_US_ALL_OTHERS</t>
        </is>
      </c>
      <c r="G1934" t="inlineStr">
        <is>
          <t>CurrentWorkingView</t>
        </is>
      </c>
      <c r="H1934" t="inlineStr">
        <is>
          <t>Consensus - Final LY M</t>
        </is>
      </c>
      <c r="I1934" t="n">
        <v>316</v>
      </c>
      <c r="J1934" t="n">
        <v>162</v>
      </c>
      <c r="K1934" t="n">
        <v>482</v>
      </c>
      <c r="L1934" t="n">
        <v>57</v>
      </c>
      <c r="M1934" t="n">
        <v>66</v>
      </c>
      <c r="N1934" t="n">
        <v>37</v>
      </c>
      <c r="O1934" t="n">
        <v>41</v>
      </c>
      <c r="P1934" t="n">
        <v>116</v>
      </c>
      <c r="Q1934" t="n">
        <v>34</v>
      </c>
      <c r="R1934" t="n">
        <v>62</v>
      </c>
      <c r="S1934" t="n">
        <v>101</v>
      </c>
      <c r="T1934" t="n">
        <v>69</v>
      </c>
    </row>
    <row r="1935">
      <c r="A1935" t="inlineStr">
        <is>
          <t>Kylie Makeup</t>
        </is>
      </c>
      <c r="B1935" t="inlineStr">
        <is>
          <t>Lips (01245)</t>
        </is>
      </c>
      <c r="C1935" t="inlineStr">
        <is>
          <t>Kylie High Gloss (00006100)</t>
        </is>
      </c>
      <c r="D1935" s="1" t="n">
        <v>4064941118183</v>
      </c>
      <c r="E1935" t="inlineStr">
        <is>
          <t>KJ MU HIGH GLS LG 3.3 ML 808KYLIE VP IV</t>
        </is>
      </c>
      <c r="F1935" t="inlineStr">
        <is>
          <t>P_US_ALL_OTHERS</t>
        </is>
      </c>
      <c r="G1935" t="inlineStr">
        <is>
          <t>CurrentWorkingView</t>
        </is>
      </c>
      <c r="H1935" t="inlineStr">
        <is>
          <t>System FC - Final</t>
        </is>
      </c>
      <c r="I1935" t="n">
        <v>109</v>
      </c>
      <c r="J1935" t="n">
        <v>111</v>
      </c>
      <c r="K1935" t="n">
        <v>173</v>
      </c>
      <c r="L1935" t="n">
        <v>48</v>
      </c>
      <c r="M1935" t="n">
        <v>127</v>
      </c>
      <c r="N1935" t="n">
        <v>49</v>
      </c>
      <c r="O1935" t="n">
        <v>49</v>
      </c>
      <c r="P1935" t="n">
        <v>48</v>
      </c>
      <c r="Q1935" t="n">
        <v>49</v>
      </c>
      <c r="R1935" t="n">
        <v>47</v>
      </c>
      <c r="S1935" t="n">
        <v>49</v>
      </c>
      <c r="T1935" t="n">
        <v>72</v>
      </c>
    </row>
    <row r="1936">
      <c r="A1936" t="inlineStr">
        <is>
          <t>Kylie Makeup</t>
        </is>
      </c>
      <c r="B1936" t="inlineStr">
        <is>
          <t>Lips (01245)</t>
        </is>
      </c>
      <c r="C1936" t="inlineStr">
        <is>
          <t>Kylie High Gloss (00006100)</t>
        </is>
      </c>
      <c r="D1936" s="1" t="n">
        <v>4064941118183</v>
      </c>
      <c r="E1936" t="inlineStr">
        <is>
          <t>KJ MU HIGH GLS LG 3.3 ML 808KYLIE VP IV</t>
        </is>
      </c>
      <c r="F1936" t="inlineStr">
        <is>
          <t>P_US_ALL_OTHERS</t>
        </is>
      </c>
      <c r="G1936" t="inlineStr">
        <is>
          <t>CurrentWorkingView</t>
        </is>
      </c>
      <c r="H1936" t="inlineStr">
        <is>
          <t>EPOS</t>
        </is>
      </c>
      <c r="I1936" t="n">
        <v>57</v>
      </c>
    </row>
    <row r="1937">
      <c r="A1937" t="inlineStr">
        <is>
          <t>Kylie Makeup</t>
        </is>
      </c>
      <c r="B1937" t="inlineStr">
        <is>
          <t>Lips (01245)</t>
        </is>
      </c>
      <c r="C1937" t="inlineStr">
        <is>
          <t>Kylie High Gloss (00006100)</t>
        </is>
      </c>
      <c r="D1937" s="1" t="n">
        <v>4064941118183</v>
      </c>
      <c r="E1937" t="inlineStr">
        <is>
          <t>KJ MU HIGH GLS LG 3.3 ML 808KYLIE VP IV</t>
        </is>
      </c>
      <c r="F1937" t="inlineStr">
        <is>
          <t>P_US_ALL_OTHERS</t>
        </is>
      </c>
      <c r="G1937" t="inlineStr">
        <is>
          <t>CurrentWorkingView</t>
        </is>
      </c>
      <c r="H1937" t="inlineStr">
        <is>
          <t>Reasonability Adjustment</t>
        </is>
      </c>
    </row>
    <row r="1938">
      <c r="A1938" t="inlineStr">
        <is>
          <t>Kylie Makeup</t>
        </is>
      </c>
      <c r="B1938" t="inlineStr">
        <is>
          <t>Lips (01245)</t>
        </is>
      </c>
      <c r="C1938" t="inlineStr">
        <is>
          <t>Kylie High Gloss (00006100)</t>
        </is>
      </c>
      <c r="D1938" s="1" t="n">
        <v>4064941118183</v>
      </c>
      <c r="E1938" t="inlineStr">
        <is>
          <t>KJ MU HIGH GLS LG 3.3 ML 808KYLIE VP IV</t>
        </is>
      </c>
      <c r="F1938" t="inlineStr">
        <is>
          <t>P_US_ALL_OTHERS</t>
        </is>
      </c>
      <c r="G1938" t="inlineStr">
        <is>
          <t>CurrentWorkingView</t>
        </is>
      </c>
      <c r="H1938" t="inlineStr">
        <is>
          <t>Total Demand Assumption</t>
        </is>
      </c>
    </row>
    <row r="1939">
      <c r="A1939" t="inlineStr">
        <is>
          <t>Kylie Makeup</t>
        </is>
      </c>
      <c r="B1939" t="inlineStr">
        <is>
          <t>Lips (01245)</t>
        </is>
      </c>
      <c r="C1939" t="inlineStr">
        <is>
          <t>Kylie High Gloss (00006100)</t>
        </is>
      </c>
      <c r="D1939" s="1" t="n">
        <v>4064941118183</v>
      </c>
      <c r="E1939" t="inlineStr">
        <is>
          <t>KJ MU HIGH GLS LG 3.3 ML 808KYLIE VP IV</t>
        </is>
      </c>
      <c r="F1939" t="inlineStr">
        <is>
          <t>P_US_ALL_OTHERS</t>
        </is>
      </c>
      <c r="G1939" t="inlineStr">
        <is>
          <t>CurrentWorkingView</t>
        </is>
      </c>
      <c r="H1939" t="inlineStr">
        <is>
          <t>Consensus - Final</t>
        </is>
      </c>
      <c r="I1939" t="n">
        <v>109</v>
      </c>
      <c r="J1939" t="n">
        <v>111</v>
      </c>
      <c r="K1939" t="n">
        <v>170.047258979206</v>
      </c>
      <c r="L1939" t="n">
        <v>48</v>
      </c>
      <c r="M1939" t="n">
        <v>127</v>
      </c>
      <c r="N1939" t="n">
        <v>49</v>
      </c>
      <c r="O1939" t="n">
        <v>49</v>
      </c>
      <c r="P1939" t="n">
        <v>48</v>
      </c>
      <c r="Q1939" t="n">
        <v>49</v>
      </c>
      <c r="R1939" t="n">
        <v>47</v>
      </c>
      <c r="S1939" t="n">
        <v>49</v>
      </c>
      <c r="T1939" t="n">
        <v>72</v>
      </c>
    </row>
    <row r="1940">
      <c r="A1940" t="inlineStr">
        <is>
          <t>Kylie Makeup</t>
        </is>
      </c>
      <c r="B1940" t="inlineStr">
        <is>
          <t>Lips (01245)</t>
        </is>
      </c>
      <c r="C1940" t="inlineStr">
        <is>
          <t>Kylie High Gloss (00006100)</t>
        </is>
      </c>
      <c r="D1940" s="1" t="n">
        <v>4064941118183</v>
      </c>
      <c r="E1940" t="inlineStr">
        <is>
          <t>KJ MU HIGH GLS LG 3.3 ML 808KYLIE VP IV</t>
        </is>
      </c>
      <c r="F1940" t="inlineStr">
        <is>
          <t>P_US_ALL_OTHERS</t>
        </is>
      </c>
      <c r="G1940" t="inlineStr">
        <is>
          <t>CurrentWorkingView</t>
        </is>
      </c>
      <c r="H1940" t="inlineStr">
        <is>
          <t>Supply Cuts</t>
        </is>
      </c>
    </row>
    <row r="1941">
      <c r="A1941" t="inlineStr">
        <is>
          <t>Kylie Makeup</t>
        </is>
      </c>
      <c r="B1941" t="inlineStr">
        <is>
          <t>Lips (01245)</t>
        </is>
      </c>
      <c r="C1941" t="inlineStr">
        <is>
          <t>Kylie High Gloss (00006100)</t>
        </is>
      </c>
      <c r="D1941" s="1" t="n">
        <v>4064941118183</v>
      </c>
      <c r="E1941" t="inlineStr">
        <is>
          <t>KJ MU HIGH GLS LG 3.3 ML 808KYLIE VP IV</t>
        </is>
      </c>
      <c r="F1941" t="inlineStr">
        <is>
          <t>P_US_ALL_OTHERS</t>
        </is>
      </c>
      <c r="G1941" t="inlineStr">
        <is>
          <t>Month-2026.M09.W38</t>
        </is>
      </c>
      <c r="H1941" t="inlineStr">
        <is>
          <t>Consensus - Final LY M</t>
        </is>
      </c>
      <c r="I1941" t="n">
        <v>316</v>
      </c>
      <c r="J1941" t="n">
        <v>162</v>
      </c>
      <c r="K1941" t="n">
        <v>482</v>
      </c>
      <c r="L1941" t="n">
        <v>57</v>
      </c>
      <c r="M1941" t="n">
        <v>66</v>
      </c>
      <c r="N1941" t="n">
        <v>37</v>
      </c>
      <c r="O1941" t="n">
        <v>41</v>
      </c>
      <c r="P1941" t="n">
        <v>116</v>
      </c>
      <c r="Q1941" t="n">
        <v>34</v>
      </c>
      <c r="R1941" t="n">
        <v>62</v>
      </c>
      <c r="S1941" t="n">
        <v>101</v>
      </c>
      <c r="T1941" t="n">
        <v>69</v>
      </c>
    </row>
    <row r="1942">
      <c r="A1942" t="inlineStr">
        <is>
          <t>Kylie Makeup</t>
        </is>
      </c>
      <c r="B1942" t="inlineStr">
        <is>
          <t>Lips (01245)</t>
        </is>
      </c>
      <c r="C1942" t="inlineStr">
        <is>
          <t>Kylie High Gloss (00006100)</t>
        </is>
      </c>
      <c r="D1942" s="1" t="n">
        <v>4064941118183</v>
      </c>
      <c r="E1942" t="inlineStr">
        <is>
          <t>KJ MU HIGH GLS LG 3.3 ML 808KYLIE VP IV</t>
        </is>
      </c>
      <c r="F1942" t="inlineStr">
        <is>
          <t>P_US_ALL_OTHERS</t>
        </is>
      </c>
      <c r="G1942" t="inlineStr">
        <is>
          <t>Month-2026.M09.W38</t>
        </is>
      </c>
      <c r="H1942" t="inlineStr">
        <is>
          <t>System FC - Final</t>
        </is>
      </c>
      <c r="I1942" t="n">
        <v>109</v>
      </c>
      <c r="J1942" t="n">
        <v>111</v>
      </c>
      <c r="K1942" t="n">
        <v>230</v>
      </c>
      <c r="L1942" t="n">
        <v>45</v>
      </c>
      <c r="M1942" t="n">
        <v>124</v>
      </c>
      <c r="N1942" t="n">
        <v>45</v>
      </c>
      <c r="O1942" t="n">
        <v>45</v>
      </c>
      <c r="P1942" t="n">
        <v>48</v>
      </c>
      <c r="Q1942" t="n">
        <v>45</v>
      </c>
      <c r="R1942" t="n">
        <v>56</v>
      </c>
      <c r="S1942" t="n">
        <v>45</v>
      </c>
      <c r="T1942" t="n">
        <v>119</v>
      </c>
    </row>
    <row r="1943">
      <c r="A1943" t="inlineStr">
        <is>
          <t>Kylie Makeup</t>
        </is>
      </c>
      <c r="B1943" t="inlineStr">
        <is>
          <t>Lips (01245)</t>
        </is>
      </c>
      <c r="C1943" t="inlineStr">
        <is>
          <t>Kylie High Gloss (00006100)</t>
        </is>
      </c>
      <c r="D1943" s="1" t="n">
        <v>4064941118183</v>
      </c>
      <c r="E1943" t="inlineStr">
        <is>
          <t>KJ MU HIGH GLS LG 3.3 ML 808KYLIE VP IV</t>
        </is>
      </c>
      <c r="F1943" t="inlineStr">
        <is>
          <t>P_US_ALL_OTHERS</t>
        </is>
      </c>
      <c r="G1943" t="inlineStr">
        <is>
          <t>Month-2026.M09.W38</t>
        </is>
      </c>
      <c r="H1943" t="inlineStr">
        <is>
          <t>EPOS</t>
        </is>
      </c>
      <c r="I1943" t="n">
        <v>57</v>
      </c>
    </row>
    <row r="1944">
      <c r="A1944" t="inlineStr">
        <is>
          <t>Kylie Makeup</t>
        </is>
      </c>
      <c r="B1944" t="inlineStr">
        <is>
          <t>Lips (01245)</t>
        </is>
      </c>
      <c r="C1944" t="inlineStr">
        <is>
          <t>Kylie High Gloss (00006100)</t>
        </is>
      </c>
      <c r="D1944" s="1" t="n">
        <v>4064941118183</v>
      </c>
      <c r="E1944" t="inlineStr">
        <is>
          <t>KJ MU HIGH GLS LG 3.3 ML 808KYLIE VP IV</t>
        </is>
      </c>
      <c r="F1944" t="inlineStr">
        <is>
          <t>P_US_ALL_OTHERS</t>
        </is>
      </c>
      <c r="G1944" t="inlineStr">
        <is>
          <t>Month-2026.M09.W38</t>
        </is>
      </c>
      <c r="H1944" t="inlineStr">
        <is>
          <t>Reasonability Adjustment</t>
        </is>
      </c>
    </row>
    <row r="1945">
      <c r="A1945" t="inlineStr">
        <is>
          <t>Kylie Makeup</t>
        </is>
      </c>
      <c r="B1945" t="inlineStr">
        <is>
          <t>Lips (01245)</t>
        </is>
      </c>
      <c r="C1945" t="inlineStr">
        <is>
          <t>Kylie High Gloss (00006100)</t>
        </is>
      </c>
      <c r="D1945" s="1" t="n">
        <v>4064941118183</v>
      </c>
      <c r="E1945" t="inlineStr">
        <is>
          <t>KJ MU HIGH GLS LG 3.3 ML 808KYLIE VP IV</t>
        </is>
      </c>
      <c r="F1945" t="inlineStr">
        <is>
          <t>P_US_ALL_OTHERS</t>
        </is>
      </c>
      <c r="G1945" t="inlineStr">
        <is>
          <t>Month-2026.M09.W38</t>
        </is>
      </c>
      <c r="H1945" t="inlineStr">
        <is>
          <t>Total Demand Assumption</t>
        </is>
      </c>
    </row>
    <row r="1946">
      <c r="A1946" t="inlineStr">
        <is>
          <t>Kylie Makeup</t>
        </is>
      </c>
      <c r="B1946" t="inlineStr">
        <is>
          <t>Lips (01245)</t>
        </is>
      </c>
      <c r="C1946" t="inlineStr">
        <is>
          <t>Kylie High Gloss (00006100)</t>
        </is>
      </c>
      <c r="D1946" s="1" t="n">
        <v>4064941118183</v>
      </c>
      <c r="E1946" t="inlineStr">
        <is>
          <t>KJ MU HIGH GLS LG 3.3 ML 808KYLIE VP IV</t>
        </is>
      </c>
      <c r="F1946" t="inlineStr">
        <is>
          <t>P_US_ALL_OTHERS</t>
        </is>
      </c>
      <c r="G1946" t="inlineStr">
        <is>
          <t>Month-2026.M09.W38</t>
        </is>
      </c>
      <c r="H1946" t="inlineStr">
        <is>
          <t>Consensus - Final</t>
        </is>
      </c>
      <c r="I1946" t="n">
        <v>109</v>
      </c>
      <c r="J1946" t="n">
        <v>111</v>
      </c>
      <c r="K1946" t="n">
        <v>170.047258979206</v>
      </c>
      <c r="L1946" t="n">
        <v>45</v>
      </c>
      <c r="M1946" t="n">
        <v>124</v>
      </c>
      <c r="N1946" t="n">
        <v>45</v>
      </c>
      <c r="O1946" t="n">
        <v>45</v>
      </c>
      <c r="P1946" t="n">
        <v>48</v>
      </c>
      <c r="Q1946" t="n">
        <v>45</v>
      </c>
      <c r="R1946" t="n">
        <v>56</v>
      </c>
      <c r="S1946" t="n">
        <v>45</v>
      </c>
      <c r="T1946" t="n">
        <v>119</v>
      </c>
    </row>
    <row r="1947">
      <c r="A1947" t="inlineStr">
        <is>
          <t>Kylie Makeup</t>
        </is>
      </c>
      <c r="B1947" t="inlineStr">
        <is>
          <t>Lips (01245)</t>
        </is>
      </c>
      <c r="C1947" t="inlineStr">
        <is>
          <t>Kylie High Gloss (00006100)</t>
        </is>
      </c>
      <c r="D1947" s="1" t="n">
        <v>4064941118183</v>
      </c>
      <c r="E1947" t="inlineStr">
        <is>
          <t>KJ MU HIGH GLS LG 3.3 ML 808KYLIE VP IV</t>
        </is>
      </c>
      <c r="F1947" t="inlineStr">
        <is>
          <t>P_US_ALL_OTHERS</t>
        </is>
      </c>
      <c r="G1947" t="inlineStr">
        <is>
          <t>Month-2026.M09.W38</t>
        </is>
      </c>
      <c r="H1947" t="inlineStr">
        <is>
          <t>Supply Cuts</t>
        </is>
      </c>
    </row>
    <row r="1948">
      <c r="A1948" t="inlineStr">
        <is>
          <t>Kylie Makeup</t>
        </is>
      </c>
      <c r="B1948" t="inlineStr">
        <is>
          <t>Lips (01245)</t>
        </is>
      </c>
      <c r="C1948" t="inlineStr">
        <is>
          <t>Kylie High Gloss (00006100)</t>
        </is>
      </c>
      <c r="D1948" s="1" t="n">
        <v>4064941118183</v>
      </c>
      <c r="E1948" t="inlineStr">
        <is>
          <t>KJ MU HIGH GLS LG 3.3 ML 808KYLIE VP IV</t>
        </is>
      </c>
      <c r="F1948" t="inlineStr">
        <is>
          <t>P_US_FG</t>
        </is>
      </c>
      <c r="G1948" t="inlineStr">
        <is>
          <t>CurrentWorkingView</t>
        </is>
      </c>
      <c r="H1948" t="inlineStr">
        <is>
          <t>Consensus - Final LY M</t>
        </is>
      </c>
      <c r="I1948" t="n">
        <v>1</v>
      </c>
      <c r="Q1948" t="n">
        <v>1</v>
      </c>
    </row>
    <row r="1949">
      <c r="A1949" t="inlineStr">
        <is>
          <t>Kylie Makeup</t>
        </is>
      </c>
      <c r="B1949" t="inlineStr">
        <is>
          <t>Lips (01245)</t>
        </is>
      </c>
      <c r="C1949" t="inlineStr">
        <is>
          <t>Kylie High Gloss (00006100)</t>
        </is>
      </c>
      <c r="D1949" s="1" t="n">
        <v>4064941118183</v>
      </c>
      <c r="E1949" t="inlineStr">
        <is>
          <t>KJ MU HIGH GLS LG 3.3 ML 808KYLIE VP IV</t>
        </is>
      </c>
      <c r="F1949" t="inlineStr">
        <is>
          <t>P_US_FG</t>
        </is>
      </c>
      <c r="G1949" t="inlineStr">
        <is>
          <t>CurrentWorkingView</t>
        </is>
      </c>
      <c r="H1949" t="inlineStr">
        <is>
          <t>System FC - Final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Kylie Makeup</t>
        </is>
      </c>
      <c r="B1950" t="inlineStr">
        <is>
          <t>Lips (01245)</t>
        </is>
      </c>
      <c r="C1950" t="inlineStr">
        <is>
          <t>Kylie High Gloss (00006100)</t>
        </is>
      </c>
      <c r="D1950" s="1" t="n">
        <v>4064941118183</v>
      </c>
      <c r="E1950" t="inlineStr">
        <is>
          <t>KJ MU HIGH GLS LG 3.3 ML 808KYLIE VP IV</t>
        </is>
      </c>
      <c r="F1950" t="inlineStr">
        <is>
          <t>P_US_FG</t>
        </is>
      </c>
      <c r="G1950" t="inlineStr">
        <is>
          <t>CurrentWorkingView</t>
        </is>
      </c>
      <c r="H1950" t="inlineStr">
        <is>
          <t>EPOS</t>
        </is>
      </c>
    </row>
    <row r="1951">
      <c r="A1951" t="inlineStr">
        <is>
          <t>Kylie Makeup</t>
        </is>
      </c>
      <c r="B1951" t="inlineStr">
        <is>
          <t>Lips (01245)</t>
        </is>
      </c>
      <c r="C1951" t="inlineStr">
        <is>
          <t>Kylie High Gloss (00006100)</t>
        </is>
      </c>
      <c r="D1951" s="1" t="n">
        <v>4064941118183</v>
      </c>
      <c r="E1951" t="inlineStr">
        <is>
          <t>KJ MU HIGH GLS LG 3.3 ML 808KYLIE VP IV</t>
        </is>
      </c>
      <c r="F1951" t="inlineStr">
        <is>
          <t>P_US_FG</t>
        </is>
      </c>
      <c r="G1951" t="inlineStr">
        <is>
          <t>CurrentWorkingView</t>
        </is>
      </c>
      <c r="H1951" t="inlineStr">
        <is>
          <t>Reasonability Adjustment</t>
        </is>
      </c>
    </row>
    <row r="1952">
      <c r="A1952" t="inlineStr">
        <is>
          <t>Kylie Makeup</t>
        </is>
      </c>
      <c r="B1952" t="inlineStr">
        <is>
          <t>Lips (01245)</t>
        </is>
      </c>
      <c r="C1952" t="inlineStr">
        <is>
          <t>Kylie High Gloss (00006100)</t>
        </is>
      </c>
      <c r="D1952" s="1" t="n">
        <v>4064941118183</v>
      </c>
      <c r="E1952" t="inlineStr">
        <is>
          <t>KJ MU HIGH GLS LG 3.3 ML 808KYLIE VP IV</t>
        </is>
      </c>
      <c r="F1952" t="inlineStr">
        <is>
          <t>P_US_FG</t>
        </is>
      </c>
      <c r="G1952" t="inlineStr">
        <is>
          <t>CurrentWorkingView</t>
        </is>
      </c>
      <c r="H1952" t="inlineStr">
        <is>
          <t>Total Demand Assumption</t>
        </is>
      </c>
    </row>
    <row r="1953">
      <c r="A1953" t="inlineStr">
        <is>
          <t>Kylie Makeup</t>
        </is>
      </c>
      <c r="B1953" t="inlineStr">
        <is>
          <t>Lips (01245)</t>
        </is>
      </c>
      <c r="C1953" t="inlineStr">
        <is>
          <t>Kylie High Gloss (00006100)</t>
        </is>
      </c>
      <c r="D1953" s="1" t="n">
        <v>4064941118183</v>
      </c>
      <c r="E1953" t="inlineStr">
        <is>
          <t>KJ MU HIGH GLS LG 3.3 ML 808KYLIE VP IV</t>
        </is>
      </c>
      <c r="F1953" t="inlineStr">
        <is>
          <t>P_US_FG</t>
        </is>
      </c>
      <c r="G1953" t="inlineStr">
        <is>
          <t>CurrentWorkingView</t>
        </is>
      </c>
      <c r="H1953" t="inlineStr">
        <is>
          <t>Consensus - Final</t>
        </is>
      </c>
      <c r="K1953" t="n">
        <v>0</v>
      </c>
    </row>
    <row r="1954">
      <c r="A1954" t="inlineStr">
        <is>
          <t>Kylie Makeup</t>
        </is>
      </c>
      <c r="B1954" t="inlineStr">
        <is>
          <t>Lips (01245)</t>
        </is>
      </c>
      <c r="C1954" t="inlineStr">
        <is>
          <t>Kylie High Gloss (00006100)</t>
        </is>
      </c>
      <c r="D1954" s="1" t="n">
        <v>4064941118183</v>
      </c>
      <c r="E1954" t="inlineStr">
        <is>
          <t>KJ MU HIGH GLS LG 3.3 ML 808KYLIE VP IV</t>
        </is>
      </c>
      <c r="F1954" t="inlineStr">
        <is>
          <t>P_US_FG</t>
        </is>
      </c>
      <c r="G1954" t="inlineStr">
        <is>
          <t>CurrentWorkingView</t>
        </is>
      </c>
      <c r="H1954" t="inlineStr">
        <is>
          <t>Supply Cuts</t>
        </is>
      </c>
    </row>
    <row r="1955">
      <c r="A1955" t="inlineStr">
        <is>
          <t>Kylie Makeup</t>
        </is>
      </c>
      <c r="B1955" t="inlineStr">
        <is>
          <t>Lips (01245)</t>
        </is>
      </c>
      <c r="C1955" t="inlineStr">
        <is>
          <t>Kylie High Gloss (00006100)</t>
        </is>
      </c>
      <c r="D1955" s="1" t="n">
        <v>4064941118183</v>
      </c>
      <c r="E1955" t="inlineStr">
        <is>
          <t>KJ MU HIGH GLS LG 3.3 ML 808KYLIE VP IV</t>
        </is>
      </c>
      <c r="F1955" t="inlineStr">
        <is>
          <t>P_US_FG</t>
        </is>
      </c>
      <c r="G1955" t="inlineStr">
        <is>
          <t>Month-2026.M09.W38</t>
        </is>
      </c>
      <c r="H1955" t="inlineStr">
        <is>
          <t>Consensus - Final LY M</t>
        </is>
      </c>
      <c r="I1955" t="n">
        <v>1</v>
      </c>
      <c r="Q1955" t="n">
        <v>1</v>
      </c>
    </row>
    <row r="1956">
      <c r="A1956" t="inlineStr">
        <is>
          <t>Kylie Makeup</t>
        </is>
      </c>
      <c r="B1956" t="inlineStr">
        <is>
          <t>Lips (01245)</t>
        </is>
      </c>
      <c r="C1956" t="inlineStr">
        <is>
          <t>Kylie High Gloss (00006100)</t>
        </is>
      </c>
      <c r="D1956" s="1" t="n">
        <v>4064941118183</v>
      </c>
      <c r="E1956" t="inlineStr">
        <is>
          <t>KJ MU HIGH GLS LG 3.3 ML 808KYLIE VP IV</t>
        </is>
      </c>
      <c r="F1956" t="inlineStr">
        <is>
          <t>P_US_FG</t>
        </is>
      </c>
      <c r="G1956" t="inlineStr">
        <is>
          <t>Month-2026.M09.W38</t>
        </is>
      </c>
      <c r="H1956" t="inlineStr">
        <is>
          <t>System FC - Final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inlineStr">
        <is>
          <t>Kylie Makeup</t>
        </is>
      </c>
      <c r="B1957" t="inlineStr">
        <is>
          <t>Lips (01245)</t>
        </is>
      </c>
      <c r="C1957" t="inlineStr">
        <is>
          <t>Kylie High Gloss (00006100)</t>
        </is>
      </c>
      <c r="D1957" s="1" t="n">
        <v>4064941118183</v>
      </c>
      <c r="E1957" t="inlineStr">
        <is>
          <t>KJ MU HIGH GLS LG 3.3 ML 808KYLIE VP IV</t>
        </is>
      </c>
      <c r="F1957" t="inlineStr">
        <is>
          <t>P_US_FG</t>
        </is>
      </c>
      <c r="G1957" t="inlineStr">
        <is>
          <t>Month-2026.M09.W38</t>
        </is>
      </c>
      <c r="H1957" t="inlineStr">
        <is>
          <t>EPOS</t>
        </is>
      </c>
    </row>
    <row r="1958">
      <c r="A1958" t="inlineStr">
        <is>
          <t>Kylie Makeup</t>
        </is>
      </c>
      <c r="B1958" t="inlineStr">
        <is>
          <t>Lips (01245)</t>
        </is>
      </c>
      <c r="C1958" t="inlineStr">
        <is>
          <t>Kylie High Gloss (00006100)</t>
        </is>
      </c>
      <c r="D1958" s="1" t="n">
        <v>4064941118183</v>
      </c>
      <c r="E1958" t="inlineStr">
        <is>
          <t>KJ MU HIGH GLS LG 3.3 ML 808KYLIE VP IV</t>
        </is>
      </c>
      <c r="F1958" t="inlineStr">
        <is>
          <t>P_US_FG</t>
        </is>
      </c>
      <c r="G1958" t="inlineStr">
        <is>
          <t>Month-2026.M09.W38</t>
        </is>
      </c>
      <c r="H1958" t="inlineStr">
        <is>
          <t>Reasonability Adjustment</t>
        </is>
      </c>
    </row>
    <row r="1959">
      <c r="A1959" t="inlineStr">
        <is>
          <t>Kylie Makeup</t>
        </is>
      </c>
      <c r="B1959" t="inlineStr">
        <is>
          <t>Lips (01245)</t>
        </is>
      </c>
      <c r="C1959" t="inlineStr">
        <is>
          <t>Kylie High Gloss (00006100)</t>
        </is>
      </c>
      <c r="D1959" s="1" t="n">
        <v>4064941118183</v>
      </c>
      <c r="E1959" t="inlineStr">
        <is>
          <t>KJ MU HIGH GLS LG 3.3 ML 808KYLIE VP IV</t>
        </is>
      </c>
      <c r="F1959" t="inlineStr">
        <is>
          <t>P_US_FG</t>
        </is>
      </c>
      <c r="G1959" t="inlineStr">
        <is>
          <t>Month-2026.M09.W38</t>
        </is>
      </c>
      <c r="H1959" t="inlineStr">
        <is>
          <t>Total Demand Assumption</t>
        </is>
      </c>
    </row>
    <row r="1960">
      <c r="A1960" t="inlineStr">
        <is>
          <t>Kylie Makeup</t>
        </is>
      </c>
      <c r="B1960" t="inlineStr">
        <is>
          <t>Lips (01245)</t>
        </is>
      </c>
      <c r="C1960" t="inlineStr">
        <is>
          <t>Kylie High Gloss (00006100)</t>
        </is>
      </c>
      <c r="D1960" s="1" t="n">
        <v>4064941118183</v>
      </c>
      <c r="E1960" t="inlineStr">
        <is>
          <t>KJ MU HIGH GLS LG 3.3 ML 808KYLIE VP IV</t>
        </is>
      </c>
      <c r="F1960" t="inlineStr">
        <is>
          <t>P_US_FG</t>
        </is>
      </c>
      <c r="G1960" t="inlineStr">
        <is>
          <t>Month-2026.M09.W38</t>
        </is>
      </c>
      <c r="H1960" t="inlineStr">
        <is>
          <t>Consensus - Final</t>
        </is>
      </c>
      <c r="K1960" t="n">
        <v>0</v>
      </c>
    </row>
    <row r="1961">
      <c r="A1961" t="inlineStr">
        <is>
          <t>Kylie Makeup</t>
        </is>
      </c>
      <c r="B1961" t="inlineStr">
        <is>
          <t>Lips (01245)</t>
        </is>
      </c>
      <c r="C1961" t="inlineStr">
        <is>
          <t>Kylie High Gloss (00006100)</t>
        </is>
      </c>
      <c r="D1961" s="1" t="n">
        <v>4064941118183</v>
      </c>
      <c r="E1961" t="inlineStr">
        <is>
          <t>KJ MU HIGH GLS LG 3.3 ML 808KYLIE VP IV</t>
        </is>
      </c>
      <c r="F1961" t="inlineStr">
        <is>
          <t>P_US_FG</t>
        </is>
      </c>
      <c r="G1961" t="inlineStr">
        <is>
          <t>Month-2026.M09.W38</t>
        </is>
      </c>
      <c r="H1961" t="inlineStr">
        <is>
          <t>Supply Cuts</t>
        </is>
      </c>
    </row>
    <row r="1962">
      <c r="A1962" t="inlineStr">
        <is>
          <t>Kylie Makeup</t>
        </is>
      </c>
      <c r="B1962" t="inlineStr">
        <is>
          <t>Lips (01245)</t>
        </is>
      </c>
      <c r="C1962" t="inlineStr">
        <is>
          <t>Kylie High Gloss (00006100)</t>
        </is>
      </c>
      <c r="D1962" s="1" t="n">
        <v>4064941118183</v>
      </c>
      <c r="E1962" t="inlineStr">
        <is>
          <t>KJ MU HIGH GLS LG 3.3 ML 808KYLIE VP IV</t>
        </is>
      </c>
      <c r="F1962" t="inlineStr">
        <is>
          <t>P_US_ULTA</t>
        </is>
      </c>
      <c r="G1962" t="inlineStr">
        <is>
          <t>CurrentWorkingView</t>
        </is>
      </c>
      <c r="H1962" t="inlineStr">
        <is>
          <t>Consensus - Final LY M</t>
        </is>
      </c>
      <c r="I1962" t="n">
        <v>1520</v>
      </c>
      <c r="J1962" t="n">
        <v>800</v>
      </c>
      <c r="K1962" t="n">
        <v>1200</v>
      </c>
      <c r="L1962" t="n">
        <v>1040</v>
      </c>
      <c r="M1962" t="n">
        <v>1120</v>
      </c>
      <c r="N1962" t="n">
        <v>480</v>
      </c>
      <c r="O1962" t="n">
        <v>960</v>
      </c>
      <c r="P1962" t="n">
        <v>560</v>
      </c>
      <c r="Q1962" t="n">
        <v>1200</v>
      </c>
      <c r="R1962" t="n">
        <v>800</v>
      </c>
      <c r="S1962" t="n">
        <v>1040</v>
      </c>
      <c r="T1962" t="n">
        <v>960</v>
      </c>
    </row>
    <row r="1963">
      <c r="A1963" t="inlineStr">
        <is>
          <t>Kylie Makeup</t>
        </is>
      </c>
      <c r="B1963" t="inlineStr">
        <is>
          <t>Lips (01245)</t>
        </is>
      </c>
      <c r="C1963" t="inlineStr">
        <is>
          <t>Kylie High Gloss (00006100)</t>
        </is>
      </c>
      <c r="D1963" s="1" t="n">
        <v>4064941118183</v>
      </c>
      <c r="E1963" t="inlineStr">
        <is>
          <t>KJ MU HIGH GLS LG 3.3 ML 808KYLIE VP IV</t>
        </is>
      </c>
      <c r="F1963" t="inlineStr">
        <is>
          <t>P_US_ULTA</t>
        </is>
      </c>
      <c r="G1963" t="inlineStr">
        <is>
          <t>CurrentWorkingView</t>
        </is>
      </c>
      <c r="H1963" t="inlineStr">
        <is>
          <t>System FC - Final</t>
        </is>
      </c>
      <c r="I1963" t="n">
        <v>480</v>
      </c>
      <c r="J1963" t="n">
        <v>720</v>
      </c>
      <c r="K1963" t="n">
        <v>703</v>
      </c>
      <c r="L1963" t="n">
        <v>1071</v>
      </c>
      <c r="M1963" t="n">
        <v>994</v>
      </c>
      <c r="N1963" t="n">
        <v>974</v>
      </c>
      <c r="O1963" t="n">
        <v>1014</v>
      </c>
      <c r="P1963" t="n">
        <v>804</v>
      </c>
      <c r="Q1963" t="n">
        <v>1426</v>
      </c>
      <c r="R1963" t="n">
        <v>592</v>
      </c>
      <c r="S1963" t="n">
        <v>907</v>
      </c>
      <c r="T1963" t="n">
        <v>883</v>
      </c>
    </row>
    <row r="1964">
      <c r="A1964" t="inlineStr">
        <is>
          <t>Kylie Makeup</t>
        </is>
      </c>
      <c r="B1964" t="inlineStr">
        <is>
          <t>Lips (01245)</t>
        </is>
      </c>
      <c r="C1964" t="inlineStr">
        <is>
          <t>Kylie High Gloss (00006100)</t>
        </is>
      </c>
      <c r="D1964" s="1" t="n">
        <v>4064941118183</v>
      </c>
      <c r="E1964" t="inlineStr">
        <is>
          <t>KJ MU HIGH GLS LG 3.3 ML 808KYLIE VP IV</t>
        </is>
      </c>
      <c r="F1964" t="inlineStr">
        <is>
          <t>P_US_ULTA</t>
        </is>
      </c>
      <c r="G1964" t="inlineStr">
        <is>
          <t>CurrentWorkingView</t>
        </is>
      </c>
      <c r="H1964" t="inlineStr">
        <is>
          <t>EPOS</t>
        </is>
      </c>
      <c r="I1964" t="n">
        <v>571</v>
      </c>
    </row>
    <row r="1965">
      <c r="A1965" t="inlineStr">
        <is>
          <t>Kylie Makeup</t>
        </is>
      </c>
      <c r="B1965" t="inlineStr">
        <is>
          <t>Lips (01245)</t>
        </is>
      </c>
      <c r="C1965" t="inlineStr">
        <is>
          <t>Kylie High Gloss (00006100)</t>
        </is>
      </c>
      <c r="D1965" s="1" t="n">
        <v>4064941118183</v>
      </c>
      <c r="E1965" t="inlineStr">
        <is>
          <t>KJ MU HIGH GLS LG 3.3 ML 808KYLIE VP IV</t>
        </is>
      </c>
      <c r="F1965" t="inlineStr">
        <is>
          <t>P_US_ULTA</t>
        </is>
      </c>
      <c r="G1965" t="inlineStr">
        <is>
          <t>CurrentWorkingView</t>
        </is>
      </c>
      <c r="H1965" t="inlineStr">
        <is>
          <t>Reasonability Adjustment</t>
        </is>
      </c>
    </row>
    <row r="1966">
      <c r="A1966" t="inlineStr">
        <is>
          <t>Kylie Makeup</t>
        </is>
      </c>
      <c r="B1966" t="inlineStr">
        <is>
          <t>Lips (01245)</t>
        </is>
      </c>
      <c r="C1966" t="inlineStr">
        <is>
          <t>Kylie High Gloss (00006100)</t>
        </is>
      </c>
      <c r="D1966" s="1" t="n">
        <v>4064941118183</v>
      </c>
      <c r="E1966" t="inlineStr">
        <is>
          <t>KJ MU HIGH GLS LG 3.3 ML 808KYLIE VP IV</t>
        </is>
      </c>
      <c r="F1966" t="inlineStr">
        <is>
          <t>P_US_ULTA</t>
        </is>
      </c>
      <c r="G1966" t="inlineStr">
        <is>
          <t>CurrentWorkingView</t>
        </is>
      </c>
      <c r="H1966" t="inlineStr">
        <is>
          <t>Total Demand Assumption</t>
        </is>
      </c>
      <c r="J1966" t="n">
        <v>94</v>
      </c>
    </row>
    <row r="1967">
      <c r="A1967" t="inlineStr">
        <is>
          <t>Kylie Makeup</t>
        </is>
      </c>
      <c r="B1967" t="inlineStr">
        <is>
          <t>Lips (01245)</t>
        </is>
      </c>
      <c r="C1967" t="inlineStr">
        <is>
          <t>Kylie High Gloss (00006100)</t>
        </is>
      </c>
      <c r="D1967" s="1" t="n">
        <v>4064941118183</v>
      </c>
      <c r="E1967" t="inlineStr">
        <is>
          <t>KJ MU HIGH GLS LG 3.3 ML 808KYLIE VP IV</t>
        </is>
      </c>
      <c r="F1967" t="inlineStr">
        <is>
          <t>P_US_ULTA</t>
        </is>
      </c>
      <c r="G1967" t="inlineStr">
        <is>
          <t>CurrentWorkingView</t>
        </is>
      </c>
      <c r="H1967" t="inlineStr">
        <is>
          <t>Consensus - Final</t>
        </is>
      </c>
      <c r="I1967" t="n">
        <v>480</v>
      </c>
      <c r="J1967" t="n">
        <v>720</v>
      </c>
      <c r="K1967" t="n">
        <v>727.952741020794</v>
      </c>
      <c r="L1967" t="n">
        <v>1071</v>
      </c>
      <c r="M1967" t="n">
        <v>994</v>
      </c>
      <c r="N1967" t="n">
        <v>974</v>
      </c>
      <c r="O1967" t="n">
        <v>1014</v>
      </c>
      <c r="P1967" t="n">
        <v>804</v>
      </c>
      <c r="Q1967" t="n">
        <v>1426</v>
      </c>
      <c r="R1967" t="n">
        <v>592</v>
      </c>
      <c r="S1967" t="n">
        <v>907</v>
      </c>
      <c r="T1967" t="n">
        <v>883</v>
      </c>
    </row>
    <row r="1968">
      <c r="A1968" t="inlineStr">
        <is>
          <t>Kylie Makeup</t>
        </is>
      </c>
      <c r="B1968" t="inlineStr">
        <is>
          <t>Lips (01245)</t>
        </is>
      </c>
      <c r="C1968" t="inlineStr">
        <is>
          <t>Kylie High Gloss (00006100)</t>
        </is>
      </c>
      <c r="D1968" s="1" t="n">
        <v>4064941118183</v>
      </c>
      <c r="E1968" t="inlineStr">
        <is>
          <t>KJ MU HIGH GLS LG 3.3 ML 808KYLIE VP IV</t>
        </is>
      </c>
      <c r="F1968" t="inlineStr">
        <is>
          <t>P_US_ULTA</t>
        </is>
      </c>
      <c r="G1968" t="inlineStr">
        <is>
          <t>CurrentWorkingView</t>
        </is>
      </c>
      <c r="H1968" t="inlineStr">
        <is>
          <t>Supply Cuts</t>
        </is>
      </c>
    </row>
    <row r="1969">
      <c r="A1969" t="inlineStr">
        <is>
          <t>Kylie Makeup</t>
        </is>
      </c>
      <c r="B1969" t="inlineStr">
        <is>
          <t>Lips (01245)</t>
        </is>
      </c>
      <c r="C1969" t="inlineStr">
        <is>
          <t>Kylie High Gloss (00006100)</t>
        </is>
      </c>
      <c r="D1969" s="1" t="n">
        <v>4064941118183</v>
      </c>
      <c r="E1969" t="inlineStr">
        <is>
          <t>KJ MU HIGH GLS LG 3.3 ML 808KYLIE VP IV</t>
        </is>
      </c>
      <c r="F1969" t="inlineStr">
        <is>
          <t>P_US_ULTA</t>
        </is>
      </c>
      <c r="G1969" t="inlineStr">
        <is>
          <t>Month-2026.M09.W38</t>
        </is>
      </c>
      <c r="H1969" t="inlineStr">
        <is>
          <t>Consensus - Final LY M</t>
        </is>
      </c>
      <c r="I1969" t="n">
        <v>1520</v>
      </c>
      <c r="J1969" t="n">
        <v>800</v>
      </c>
      <c r="K1969" t="n">
        <v>1200</v>
      </c>
      <c r="L1969" t="n">
        <v>1040</v>
      </c>
      <c r="M1969" t="n">
        <v>1120</v>
      </c>
      <c r="N1969" t="n">
        <v>480</v>
      </c>
      <c r="O1969" t="n">
        <v>960</v>
      </c>
      <c r="P1969" t="n">
        <v>560</v>
      </c>
      <c r="Q1969" t="n">
        <v>1200</v>
      </c>
      <c r="R1969" t="n">
        <v>800</v>
      </c>
      <c r="S1969" t="n">
        <v>1040</v>
      </c>
      <c r="T1969" t="n">
        <v>960</v>
      </c>
    </row>
    <row r="1970">
      <c r="A1970" t="inlineStr">
        <is>
          <t>Kylie Makeup</t>
        </is>
      </c>
      <c r="B1970" t="inlineStr">
        <is>
          <t>Lips (01245)</t>
        </is>
      </c>
      <c r="C1970" t="inlineStr">
        <is>
          <t>Kylie High Gloss (00006100)</t>
        </is>
      </c>
      <c r="D1970" s="1" t="n">
        <v>4064941118183</v>
      </c>
      <c r="E1970" t="inlineStr">
        <is>
          <t>KJ MU HIGH GLS LG 3.3 ML 808KYLIE VP IV</t>
        </is>
      </c>
      <c r="F1970" t="inlineStr">
        <is>
          <t>P_US_ULTA</t>
        </is>
      </c>
      <c r="G1970" t="inlineStr">
        <is>
          <t>Month-2026.M09.W38</t>
        </is>
      </c>
      <c r="H1970" t="inlineStr">
        <is>
          <t>System FC - Final</t>
        </is>
      </c>
      <c r="I1970" t="n">
        <v>480</v>
      </c>
      <c r="J1970" t="n">
        <v>720</v>
      </c>
      <c r="K1970" t="n">
        <v>971</v>
      </c>
      <c r="L1970" t="n">
        <v>882</v>
      </c>
      <c r="M1970" t="n">
        <v>1110</v>
      </c>
      <c r="N1970" t="n">
        <v>943</v>
      </c>
      <c r="O1970" t="n">
        <v>669</v>
      </c>
      <c r="P1970" t="n">
        <v>608</v>
      </c>
      <c r="Q1970" t="n">
        <v>717</v>
      </c>
      <c r="R1970" t="n">
        <v>390</v>
      </c>
      <c r="S1970" t="n">
        <v>775</v>
      </c>
      <c r="T1970" t="n">
        <v>861</v>
      </c>
    </row>
    <row r="1971">
      <c r="A1971" t="inlineStr">
        <is>
          <t>Kylie Makeup</t>
        </is>
      </c>
      <c r="B1971" t="inlineStr">
        <is>
          <t>Lips (01245)</t>
        </is>
      </c>
      <c r="C1971" t="inlineStr">
        <is>
          <t>Kylie High Gloss (00006100)</t>
        </is>
      </c>
      <c r="D1971" s="1" t="n">
        <v>4064941118183</v>
      </c>
      <c r="E1971" t="inlineStr">
        <is>
          <t>KJ MU HIGH GLS LG 3.3 ML 808KYLIE VP IV</t>
        </is>
      </c>
      <c r="F1971" t="inlineStr">
        <is>
          <t>P_US_ULTA</t>
        </is>
      </c>
      <c r="G1971" t="inlineStr">
        <is>
          <t>Month-2026.M09.W38</t>
        </is>
      </c>
      <c r="H1971" t="inlineStr">
        <is>
          <t>EPOS</t>
        </is>
      </c>
      <c r="I1971" t="n">
        <v>571</v>
      </c>
    </row>
    <row r="1972">
      <c r="A1972" t="inlineStr">
        <is>
          <t>Kylie Makeup</t>
        </is>
      </c>
      <c r="B1972" t="inlineStr">
        <is>
          <t>Lips (01245)</t>
        </is>
      </c>
      <c r="C1972" t="inlineStr">
        <is>
          <t>Kylie High Gloss (00006100)</t>
        </is>
      </c>
      <c r="D1972" s="1" t="n">
        <v>4064941118183</v>
      </c>
      <c r="E1972" t="inlineStr">
        <is>
          <t>KJ MU HIGH GLS LG 3.3 ML 808KYLIE VP IV</t>
        </is>
      </c>
      <c r="F1972" t="inlineStr">
        <is>
          <t>P_US_ULTA</t>
        </is>
      </c>
      <c r="G1972" t="inlineStr">
        <is>
          <t>Month-2026.M09.W38</t>
        </is>
      </c>
      <c r="H1972" t="inlineStr">
        <is>
          <t>Reasonability Adjustment</t>
        </is>
      </c>
    </row>
    <row r="1973">
      <c r="A1973" t="inlineStr">
        <is>
          <t>Kylie Makeup</t>
        </is>
      </c>
      <c r="B1973" t="inlineStr">
        <is>
          <t>Lips (01245)</t>
        </is>
      </c>
      <c r="C1973" t="inlineStr">
        <is>
          <t>Kylie High Gloss (00006100)</t>
        </is>
      </c>
      <c r="D1973" s="1" t="n">
        <v>4064941118183</v>
      </c>
      <c r="E1973" t="inlineStr">
        <is>
          <t>KJ MU HIGH GLS LG 3.3 ML 808KYLIE VP IV</t>
        </is>
      </c>
      <c r="F1973" t="inlineStr">
        <is>
          <t>P_US_ULTA</t>
        </is>
      </c>
      <c r="G1973" t="inlineStr">
        <is>
          <t>Month-2026.M09.W38</t>
        </is>
      </c>
      <c r="H1973" t="inlineStr">
        <is>
          <t>Total Demand Assumption</t>
        </is>
      </c>
      <c r="J1973" t="n">
        <v>94</v>
      </c>
    </row>
    <row r="1974">
      <c r="A1974" t="inlineStr">
        <is>
          <t>Kylie Makeup</t>
        </is>
      </c>
      <c r="B1974" t="inlineStr">
        <is>
          <t>Lips (01245)</t>
        </is>
      </c>
      <c r="C1974" t="inlineStr">
        <is>
          <t>Kylie High Gloss (00006100)</t>
        </is>
      </c>
      <c r="D1974" s="1" t="n">
        <v>4064941118183</v>
      </c>
      <c r="E1974" t="inlineStr">
        <is>
          <t>KJ MU HIGH GLS LG 3.3 ML 808KYLIE VP IV</t>
        </is>
      </c>
      <c r="F1974" t="inlineStr">
        <is>
          <t>P_US_ULTA</t>
        </is>
      </c>
      <c r="G1974" t="inlineStr">
        <is>
          <t>Month-2026.M09.W38</t>
        </is>
      </c>
      <c r="H1974" t="inlineStr">
        <is>
          <t>Consensus - Final</t>
        </is>
      </c>
      <c r="I1974" t="n">
        <v>480</v>
      </c>
      <c r="J1974" t="n">
        <v>720</v>
      </c>
      <c r="K1974" t="n">
        <v>727.952741020794</v>
      </c>
      <c r="L1974" t="n">
        <v>882</v>
      </c>
      <c r="M1974" t="n">
        <v>1110</v>
      </c>
      <c r="N1974" t="n">
        <v>943</v>
      </c>
      <c r="O1974" t="n">
        <v>669</v>
      </c>
      <c r="P1974" t="n">
        <v>608</v>
      </c>
      <c r="Q1974" t="n">
        <v>717</v>
      </c>
      <c r="R1974" t="n">
        <v>390</v>
      </c>
      <c r="S1974" t="n">
        <v>775</v>
      </c>
      <c r="T1974" t="n">
        <v>861</v>
      </c>
    </row>
    <row r="1975">
      <c r="A1975" t="inlineStr">
        <is>
          <t>Kylie Makeup</t>
        </is>
      </c>
      <c r="B1975" t="inlineStr">
        <is>
          <t>Lips (01245)</t>
        </is>
      </c>
      <c r="C1975" t="inlineStr">
        <is>
          <t>Kylie High Gloss (00006100)</t>
        </is>
      </c>
      <c r="D1975" s="1" t="n">
        <v>4064941118183</v>
      </c>
      <c r="E1975" t="inlineStr">
        <is>
          <t>KJ MU HIGH GLS LG 3.3 ML 808KYLIE VP IV</t>
        </is>
      </c>
      <c r="F1975" t="inlineStr">
        <is>
          <t>P_US_ULTA</t>
        </is>
      </c>
      <c r="G1975" t="inlineStr">
        <is>
          <t>Month-2026.M09.W38</t>
        </is>
      </c>
      <c r="H1975" t="inlineStr">
        <is>
          <t>Supply Cuts</t>
        </is>
      </c>
    </row>
    <row r="1976">
      <c r="A1976" t="inlineStr">
        <is>
          <t>Kylie Makeup</t>
        </is>
      </c>
      <c r="B1976" t="inlineStr">
        <is>
          <t>Lips (01245)</t>
        </is>
      </c>
      <c r="C1976" t="inlineStr">
        <is>
          <t>Kylie Supple Kiss Lip Glaze (00006711)</t>
        </is>
      </c>
      <c r="D1976" s="1" t="n">
        <v>4064941130680</v>
      </c>
      <c r="E1976" t="inlineStr">
        <is>
          <t>KJ MU SPP GLZ LG 3 ML 001ALL YOURS IV</t>
        </is>
      </c>
      <c r="F1976" t="inlineStr">
        <is>
          <t>P_US_ALL_OTHERS</t>
        </is>
      </c>
      <c r="G1976" t="inlineStr">
        <is>
          <t>CurrentWorkingView</t>
        </is>
      </c>
      <c r="H1976" t="inlineStr">
        <is>
          <t>Consensus - Final LY M</t>
        </is>
      </c>
      <c r="I1976" t="n">
        <v>50</v>
      </c>
      <c r="J1976" t="n">
        <v>46</v>
      </c>
      <c r="K1976" t="n">
        <v>87</v>
      </c>
      <c r="L1976" t="n">
        <v>22</v>
      </c>
      <c r="M1976" t="n">
        <v>15</v>
      </c>
      <c r="N1976" t="n">
        <v>9</v>
      </c>
      <c r="O1976" t="n">
        <v>24</v>
      </c>
      <c r="P1976" t="n">
        <v>216</v>
      </c>
      <c r="Q1976" t="n">
        <v>27</v>
      </c>
      <c r="R1976" t="n">
        <v>26</v>
      </c>
      <c r="S1976" t="n">
        <v>25</v>
      </c>
      <c r="T1976" t="n">
        <v>15</v>
      </c>
    </row>
    <row r="1977">
      <c r="A1977" t="inlineStr">
        <is>
          <t>Kylie Makeup</t>
        </is>
      </c>
      <c r="B1977" t="inlineStr">
        <is>
          <t>Lips (01245)</t>
        </is>
      </c>
      <c r="C1977" t="inlineStr">
        <is>
          <t>Kylie Supple Kiss Lip Glaze (00006711)</t>
        </is>
      </c>
      <c r="D1977" s="1" t="n">
        <v>4064941130680</v>
      </c>
      <c r="E1977" t="inlineStr">
        <is>
          <t>KJ MU SPP GLZ LG 3 ML 001ALL YOURS IV</t>
        </is>
      </c>
      <c r="F1977" t="inlineStr">
        <is>
          <t>P_US_ALL_OTHERS</t>
        </is>
      </c>
      <c r="G1977" t="inlineStr">
        <is>
          <t>CurrentWorkingView</t>
        </is>
      </c>
      <c r="H1977" t="inlineStr">
        <is>
          <t>System FC - Final</t>
        </is>
      </c>
      <c r="I1977" t="n">
        <v>27</v>
      </c>
      <c r="J1977" t="n">
        <v>47</v>
      </c>
      <c r="K1977" t="n">
        <v>29</v>
      </c>
      <c r="L1977" t="n">
        <v>83</v>
      </c>
      <c r="M1977" t="n">
        <v>49</v>
      </c>
      <c r="N1977" t="n">
        <v>57</v>
      </c>
      <c r="O1977" t="n">
        <v>71</v>
      </c>
      <c r="P1977" t="n">
        <v>72</v>
      </c>
      <c r="Q1977" t="n">
        <v>53</v>
      </c>
      <c r="R1977" t="n">
        <v>60</v>
      </c>
      <c r="S1977" t="n">
        <v>75</v>
      </c>
      <c r="T1977" t="n">
        <v>42</v>
      </c>
    </row>
    <row r="1978">
      <c r="A1978" t="inlineStr">
        <is>
          <t>Kylie Makeup</t>
        </is>
      </c>
      <c r="B1978" t="inlineStr">
        <is>
          <t>Lips (01245)</t>
        </is>
      </c>
      <c r="C1978" t="inlineStr">
        <is>
          <t>Kylie Supple Kiss Lip Glaze (00006711)</t>
        </is>
      </c>
      <c r="D1978" s="1" t="n">
        <v>4064941130680</v>
      </c>
      <c r="E1978" t="inlineStr">
        <is>
          <t>KJ MU SPP GLZ LG 3 ML 001ALL YOURS IV</t>
        </is>
      </c>
      <c r="F1978" t="inlineStr">
        <is>
          <t>P_US_ALL_OTHERS</t>
        </is>
      </c>
      <c r="G1978" t="inlineStr">
        <is>
          <t>CurrentWorkingView</t>
        </is>
      </c>
      <c r="H1978" t="inlineStr">
        <is>
          <t>EPOS</t>
        </is>
      </c>
      <c r="I1978" t="n">
        <v>26</v>
      </c>
    </row>
    <row r="1979">
      <c r="A1979" t="inlineStr">
        <is>
          <t>Kylie Makeup</t>
        </is>
      </c>
      <c r="B1979" t="inlineStr">
        <is>
          <t>Lips (01245)</t>
        </is>
      </c>
      <c r="C1979" t="inlineStr">
        <is>
          <t>Kylie Supple Kiss Lip Glaze (00006711)</t>
        </is>
      </c>
      <c r="D1979" s="1" t="n">
        <v>4064941130680</v>
      </c>
      <c r="E1979" t="inlineStr">
        <is>
          <t>KJ MU SPP GLZ LG 3 ML 001ALL YOURS IV</t>
        </is>
      </c>
      <c r="F1979" t="inlineStr">
        <is>
          <t>P_US_ALL_OTHERS</t>
        </is>
      </c>
      <c r="G1979" t="inlineStr">
        <is>
          <t>CurrentWorkingView</t>
        </is>
      </c>
      <c r="H1979" t="inlineStr">
        <is>
          <t>Reasonability Adjustment</t>
        </is>
      </c>
      <c r="T1979" t="n">
        <v>-48</v>
      </c>
    </row>
    <row r="1980">
      <c r="A1980" t="inlineStr">
        <is>
          <t>Kylie Makeup</t>
        </is>
      </c>
      <c r="B1980" t="inlineStr">
        <is>
          <t>Lips (01245)</t>
        </is>
      </c>
      <c r="C1980" t="inlineStr">
        <is>
          <t>Kylie Supple Kiss Lip Glaze (00006711)</t>
        </is>
      </c>
      <c r="D1980" s="1" t="n">
        <v>4064941130680</v>
      </c>
      <c r="E1980" t="inlineStr">
        <is>
          <t>KJ MU SPP GLZ LG 3 ML 001ALL YOURS IV</t>
        </is>
      </c>
      <c r="F1980" t="inlineStr">
        <is>
          <t>P_US_ALL_OTHERS</t>
        </is>
      </c>
      <c r="G1980" t="inlineStr">
        <is>
          <t>CurrentWorkingView</t>
        </is>
      </c>
      <c r="H1980" t="inlineStr">
        <is>
          <t>Total Demand Assumption</t>
        </is>
      </c>
      <c r="K1980" t="n">
        <v>10</v>
      </c>
      <c r="L1980" t="n">
        <v>10</v>
      </c>
      <c r="N1980" t="n">
        <v>13</v>
      </c>
    </row>
    <row r="1981">
      <c r="A1981" t="inlineStr">
        <is>
          <t>Kylie Makeup</t>
        </is>
      </c>
      <c r="B1981" t="inlineStr">
        <is>
          <t>Lips (01245)</t>
        </is>
      </c>
      <c r="C1981" t="inlineStr">
        <is>
          <t>Kylie Supple Kiss Lip Glaze (00006711)</t>
        </is>
      </c>
      <c r="D1981" s="1" t="n">
        <v>4064941130680</v>
      </c>
      <c r="E1981" t="inlineStr">
        <is>
          <t>KJ MU SPP GLZ LG 3 ML 001ALL YOURS IV</t>
        </is>
      </c>
      <c r="F1981" t="inlineStr">
        <is>
          <t>P_US_ALL_OTHERS</t>
        </is>
      </c>
      <c r="G1981" t="inlineStr">
        <is>
          <t>CurrentWorkingView</t>
        </is>
      </c>
      <c r="H1981" t="inlineStr">
        <is>
          <t>Consensus - Final</t>
        </is>
      </c>
      <c r="I1981" t="n">
        <v>27</v>
      </c>
      <c r="J1981" t="n">
        <v>47</v>
      </c>
      <c r="K1981" t="n">
        <v>137</v>
      </c>
      <c r="L1981" t="n">
        <v>93</v>
      </c>
      <c r="M1981" t="n">
        <v>49</v>
      </c>
      <c r="N1981" t="n">
        <v>70</v>
      </c>
      <c r="O1981" t="n">
        <v>71</v>
      </c>
      <c r="P1981" t="n">
        <v>72</v>
      </c>
      <c r="Q1981" t="n">
        <v>53</v>
      </c>
      <c r="R1981" t="n">
        <v>60</v>
      </c>
      <c r="S1981" t="n">
        <v>75</v>
      </c>
    </row>
    <row r="1982">
      <c r="A1982" t="inlineStr">
        <is>
          <t>Kylie Makeup</t>
        </is>
      </c>
      <c r="B1982" t="inlineStr">
        <is>
          <t>Lips (01245)</t>
        </is>
      </c>
      <c r="C1982" t="inlineStr">
        <is>
          <t>Kylie Supple Kiss Lip Glaze (00006711)</t>
        </is>
      </c>
      <c r="D1982" s="1" t="n">
        <v>4064941130680</v>
      </c>
      <c r="E1982" t="inlineStr">
        <is>
          <t>KJ MU SPP GLZ LG 3 ML 001ALL YOURS IV</t>
        </is>
      </c>
      <c r="F1982" t="inlineStr">
        <is>
          <t>P_US_ALL_OTHERS</t>
        </is>
      </c>
      <c r="G1982" t="inlineStr">
        <is>
          <t>CurrentWorkingView</t>
        </is>
      </c>
      <c r="H1982" t="inlineStr">
        <is>
          <t>Supply Cuts</t>
        </is>
      </c>
    </row>
    <row r="1983">
      <c r="A1983" t="inlineStr">
        <is>
          <t>Kylie Makeup</t>
        </is>
      </c>
      <c r="B1983" t="inlineStr">
        <is>
          <t>Lips (01245)</t>
        </is>
      </c>
      <c r="C1983" t="inlineStr">
        <is>
          <t>Kylie Supple Kiss Lip Glaze (00006711)</t>
        </is>
      </c>
      <c r="D1983" s="1" t="n">
        <v>4064941130680</v>
      </c>
      <c r="E1983" t="inlineStr">
        <is>
          <t>KJ MU SPP GLZ LG 3 ML 001ALL YOURS IV</t>
        </is>
      </c>
      <c r="F1983" t="inlineStr">
        <is>
          <t>P_US_ALL_OTHERS</t>
        </is>
      </c>
      <c r="G1983" t="inlineStr">
        <is>
          <t>Month-2026.M09.W38</t>
        </is>
      </c>
      <c r="H1983" t="inlineStr">
        <is>
          <t>Consensus - Final LY M</t>
        </is>
      </c>
      <c r="I1983" t="n">
        <v>50</v>
      </c>
      <c r="J1983" t="n">
        <v>46</v>
      </c>
      <c r="K1983" t="n">
        <v>87</v>
      </c>
      <c r="L1983" t="n">
        <v>22</v>
      </c>
      <c r="M1983" t="n">
        <v>15</v>
      </c>
      <c r="N1983" t="n">
        <v>9</v>
      </c>
      <c r="O1983" t="n">
        <v>24</v>
      </c>
      <c r="P1983" t="n">
        <v>216</v>
      </c>
      <c r="Q1983" t="n">
        <v>27</v>
      </c>
      <c r="R1983" t="n">
        <v>26</v>
      </c>
      <c r="S1983" t="n">
        <v>25</v>
      </c>
      <c r="T1983" t="n">
        <v>15</v>
      </c>
    </row>
    <row r="1984">
      <c r="A1984" t="inlineStr">
        <is>
          <t>Kylie Makeup</t>
        </is>
      </c>
      <c r="B1984" t="inlineStr">
        <is>
          <t>Lips (01245)</t>
        </is>
      </c>
      <c r="C1984" t="inlineStr">
        <is>
          <t>Kylie Supple Kiss Lip Glaze (00006711)</t>
        </is>
      </c>
      <c r="D1984" s="1" t="n">
        <v>4064941130680</v>
      </c>
      <c r="E1984" t="inlineStr">
        <is>
          <t>KJ MU SPP GLZ LG 3 ML 001ALL YOURS IV</t>
        </is>
      </c>
      <c r="F1984" t="inlineStr">
        <is>
          <t>P_US_ALL_OTHERS</t>
        </is>
      </c>
      <c r="G1984" t="inlineStr">
        <is>
          <t>Month-2026.M09.W38</t>
        </is>
      </c>
      <c r="H1984" t="inlineStr">
        <is>
          <t>System FC - Final</t>
        </is>
      </c>
      <c r="I1984" t="n">
        <v>27</v>
      </c>
      <c r="J1984" t="n">
        <v>47</v>
      </c>
      <c r="K1984" t="n">
        <v>36</v>
      </c>
      <c r="L1984" t="n">
        <v>26</v>
      </c>
      <c r="M1984" t="n">
        <v>30</v>
      </c>
      <c r="N1984" t="n">
        <v>27</v>
      </c>
      <c r="O1984" t="n">
        <v>31</v>
      </c>
      <c r="P1984" t="n">
        <v>48</v>
      </c>
      <c r="Q1984" t="n">
        <v>27</v>
      </c>
      <c r="R1984" t="n">
        <v>55</v>
      </c>
      <c r="S1984" t="n">
        <v>49</v>
      </c>
      <c r="T1984" t="n">
        <v>85</v>
      </c>
    </row>
    <row r="1985">
      <c r="A1985" t="inlineStr">
        <is>
          <t>Kylie Makeup</t>
        </is>
      </c>
      <c r="B1985" t="inlineStr">
        <is>
          <t>Lips (01245)</t>
        </is>
      </c>
      <c r="C1985" t="inlineStr">
        <is>
          <t>Kylie Supple Kiss Lip Glaze (00006711)</t>
        </is>
      </c>
      <c r="D1985" s="1" t="n">
        <v>4064941130680</v>
      </c>
      <c r="E1985" t="inlineStr">
        <is>
          <t>KJ MU SPP GLZ LG 3 ML 001ALL YOURS IV</t>
        </is>
      </c>
      <c r="F1985" t="inlineStr">
        <is>
          <t>P_US_ALL_OTHERS</t>
        </is>
      </c>
      <c r="G1985" t="inlineStr">
        <is>
          <t>Month-2026.M09.W38</t>
        </is>
      </c>
      <c r="H1985" t="inlineStr">
        <is>
          <t>EPOS</t>
        </is>
      </c>
      <c r="I1985" t="n">
        <v>26</v>
      </c>
    </row>
    <row r="1986">
      <c r="A1986" t="inlineStr">
        <is>
          <t>Kylie Makeup</t>
        </is>
      </c>
      <c r="B1986" t="inlineStr">
        <is>
          <t>Lips (01245)</t>
        </is>
      </c>
      <c r="C1986" t="inlineStr">
        <is>
          <t>Kylie Supple Kiss Lip Glaze (00006711)</t>
        </is>
      </c>
      <c r="D1986" s="1" t="n">
        <v>4064941130680</v>
      </c>
      <c r="E1986" t="inlineStr">
        <is>
          <t>KJ MU SPP GLZ LG 3 ML 001ALL YOURS IV</t>
        </is>
      </c>
      <c r="F1986" t="inlineStr">
        <is>
          <t>P_US_ALL_OTHERS</t>
        </is>
      </c>
      <c r="G1986" t="inlineStr">
        <is>
          <t>Month-2026.M09.W38</t>
        </is>
      </c>
      <c r="H1986" t="inlineStr">
        <is>
          <t>Reasonability Adjustment</t>
        </is>
      </c>
      <c r="T1986" t="n">
        <v>-48</v>
      </c>
    </row>
    <row r="1987">
      <c r="A1987" t="inlineStr">
        <is>
          <t>Kylie Makeup</t>
        </is>
      </c>
      <c r="B1987" t="inlineStr">
        <is>
          <t>Lips (01245)</t>
        </is>
      </c>
      <c r="C1987" t="inlineStr">
        <is>
          <t>Kylie Supple Kiss Lip Glaze (00006711)</t>
        </is>
      </c>
      <c r="D1987" s="1" t="n">
        <v>4064941130680</v>
      </c>
      <c r="E1987" t="inlineStr">
        <is>
          <t>KJ MU SPP GLZ LG 3 ML 001ALL YOURS IV</t>
        </is>
      </c>
      <c r="F1987" t="inlineStr">
        <is>
          <t>P_US_ALL_OTHERS</t>
        </is>
      </c>
      <c r="G1987" t="inlineStr">
        <is>
          <t>Month-2026.M09.W38</t>
        </is>
      </c>
      <c r="H1987" t="inlineStr">
        <is>
          <t>Total Demand Assumption</t>
        </is>
      </c>
      <c r="K1987" t="n">
        <v>10</v>
      </c>
      <c r="L1987" t="n">
        <v>10</v>
      </c>
      <c r="N1987" t="n">
        <v>13</v>
      </c>
    </row>
    <row r="1988">
      <c r="A1988" t="inlineStr">
        <is>
          <t>Kylie Makeup</t>
        </is>
      </c>
      <c r="B1988" t="inlineStr">
        <is>
          <t>Lips (01245)</t>
        </is>
      </c>
      <c r="C1988" t="inlineStr">
        <is>
          <t>Kylie Supple Kiss Lip Glaze (00006711)</t>
        </is>
      </c>
      <c r="D1988" s="1" t="n">
        <v>4064941130680</v>
      </c>
      <c r="E1988" t="inlineStr">
        <is>
          <t>KJ MU SPP GLZ LG 3 ML 001ALL YOURS IV</t>
        </is>
      </c>
      <c r="F1988" t="inlineStr">
        <is>
          <t>P_US_ALL_OTHERS</t>
        </is>
      </c>
      <c r="G1988" t="inlineStr">
        <is>
          <t>Month-2026.M09.W38</t>
        </is>
      </c>
      <c r="H1988" t="inlineStr">
        <is>
          <t>Consensus - Final</t>
        </is>
      </c>
      <c r="I1988" t="n">
        <v>27</v>
      </c>
      <c r="J1988" t="n">
        <v>47</v>
      </c>
      <c r="K1988" t="n">
        <v>137</v>
      </c>
      <c r="L1988" t="n">
        <v>36</v>
      </c>
      <c r="M1988" t="n">
        <v>30</v>
      </c>
      <c r="N1988" t="n">
        <v>40</v>
      </c>
      <c r="O1988" t="n">
        <v>31</v>
      </c>
      <c r="P1988" t="n">
        <v>48</v>
      </c>
      <c r="Q1988" t="n">
        <v>27</v>
      </c>
      <c r="R1988" t="n">
        <v>55</v>
      </c>
      <c r="S1988" t="n">
        <v>49</v>
      </c>
      <c r="T1988" t="n">
        <v>37</v>
      </c>
    </row>
    <row r="1989">
      <c r="A1989" t="inlineStr">
        <is>
          <t>Kylie Makeup</t>
        </is>
      </c>
      <c r="B1989" t="inlineStr">
        <is>
          <t>Lips (01245)</t>
        </is>
      </c>
      <c r="C1989" t="inlineStr">
        <is>
          <t>Kylie Supple Kiss Lip Glaze (00006711)</t>
        </is>
      </c>
      <c r="D1989" s="1" t="n">
        <v>4064941130680</v>
      </c>
      <c r="E1989" t="inlineStr">
        <is>
          <t>KJ MU SPP GLZ LG 3 ML 001ALL YOURS IV</t>
        </is>
      </c>
      <c r="F1989" t="inlineStr">
        <is>
          <t>P_US_ALL_OTHERS</t>
        </is>
      </c>
      <c r="G1989" t="inlineStr">
        <is>
          <t>Month-2026.M09.W38</t>
        </is>
      </c>
      <c r="H1989" t="inlineStr">
        <is>
          <t>Supply Cuts</t>
        </is>
      </c>
    </row>
    <row r="1990">
      <c r="A1990" t="inlineStr">
        <is>
          <t>Kylie Makeup</t>
        </is>
      </c>
      <c r="B1990" t="inlineStr">
        <is>
          <t>Lips (01245)</t>
        </is>
      </c>
      <c r="C1990" t="inlineStr">
        <is>
          <t>Kylie Supple Kiss Lip Glaze (00006711)</t>
        </is>
      </c>
      <c r="D1990" s="1" t="n">
        <v>4064941130680</v>
      </c>
      <c r="E1990" t="inlineStr">
        <is>
          <t>KJ MU SPP GLZ LG 3 ML 001ALL YOURS IV</t>
        </is>
      </c>
      <c r="F1990" t="inlineStr">
        <is>
          <t>P_US_FG</t>
        </is>
      </c>
      <c r="G1990" t="inlineStr">
        <is>
          <t>CurrentWorkingView</t>
        </is>
      </c>
      <c r="H1990" t="inlineStr">
        <is>
          <t>Consensus - Final LY M</t>
        </is>
      </c>
      <c r="I1990" t="n">
        <v>16</v>
      </c>
      <c r="J1990" t="n">
        <v>69</v>
      </c>
      <c r="L1990" t="n">
        <v>300</v>
      </c>
      <c r="N1990" t="n">
        <v>25</v>
      </c>
      <c r="O1990" t="n">
        <v>5</v>
      </c>
      <c r="P1990" t="n">
        <v>3453</v>
      </c>
      <c r="Q1990" t="n">
        <v>27</v>
      </c>
      <c r="R1990" t="n">
        <v>60</v>
      </c>
    </row>
    <row r="1991">
      <c r="A1991" t="inlineStr">
        <is>
          <t>Kylie Makeup</t>
        </is>
      </c>
      <c r="B1991" t="inlineStr">
        <is>
          <t>Lips (01245)</t>
        </is>
      </c>
      <c r="C1991" t="inlineStr">
        <is>
          <t>Kylie Supple Kiss Lip Glaze (00006711)</t>
        </is>
      </c>
      <c r="D1991" s="1" t="n">
        <v>4064941130680</v>
      </c>
      <c r="E1991" t="inlineStr">
        <is>
          <t>KJ MU SPP GLZ LG 3 ML 001ALL YOURS IV</t>
        </is>
      </c>
      <c r="F1991" t="inlineStr">
        <is>
          <t>P_US_FG</t>
        </is>
      </c>
      <c r="G1991" t="inlineStr">
        <is>
          <t>CurrentWorkingView</t>
        </is>
      </c>
      <c r="H1991" t="inlineStr">
        <is>
          <t>System FC - Final</t>
        </is>
      </c>
      <c r="J1991" t="n">
        <v>25</v>
      </c>
      <c r="K1991" t="n">
        <v>9</v>
      </c>
      <c r="L1991" t="n">
        <v>590</v>
      </c>
      <c r="M1991" t="n">
        <v>4</v>
      </c>
      <c r="N1991" t="n">
        <v>0</v>
      </c>
      <c r="O1991" t="n">
        <v>0</v>
      </c>
      <c r="P1991" t="n">
        <v>0</v>
      </c>
      <c r="Q1991" t="n">
        <v>337</v>
      </c>
      <c r="R1991" t="n">
        <v>180</v>
      </c>
      <c r="S1991" t="n">
        <v>0</v>
      </c>
      <c r="T1991" t="n">
        <v>8</v>
      </c>
    </row>
    <row r="1992">
      <c r="A1992" t="inlineStr">
        <is>
          <t>Kylie Makeup</t>
        </is>
      </c>
      <c r="B1992" t="inlineStr">
        <is>
          <t>Lips (01245)</t>
        </is>
      </c>
      <c r="C1992" t="inlineStr">
        <is>
          <t>Kylie Supple Kiss Lip Glaze (00006711)</t>
        </is>
      </c>
      <c r="D1992" s="1" t="n">
        <v>4064941130680</v>
      </c>
      <c r="E1992" t="inlineStr">
        <is>
          <t>KJ MU SPP GLZ LG 3 ML 001ALL YOURS IV</t>
        </is>
      </c>
      <c r="F1992" t="inlineStr">
        <is>
          <t>P_US_FG</t>
        </is>
      </c>
      <c r="G1992" t="inlineStr">
        <is>
          <t>CurrentWorkingView</t>
        </is>
      </c>
      <c r="H1992" t="inlineStr">
        <is>
          <t>EPOS</t>
        </is>
      </c>
    </row>
    <row r="1993">
      <c r="A1993" t="inlineStr">
        <is>
          <t>Kylie Makeup</t>
        </is>
      </c>
      <c r="B1993" t="inlineStr">
        <is>
          <t>Lips (01245)</t>
        </is>
      </c>
      <c r="C1993" t="inlineStr">
        <is>
          <t>Kylie Supple Kiss Lip Glaze (00006711)</t>
        </is>
      </c>
      <c r="D1993" s="1" t="n">
        <v>4064941130680</v>
      </c>
      <c r="E1993" t="inlineStr">
        <is>
          <t>KJ MU SPP GLZ LG 3 ML 001ALL YOURS IV</t>
        </is>
      </c>
      <c r="F1993" t="inlineStr">
        <is>
          <t>P_US_FG</t>
        </is>
      </c>
      <c r="G1993" t="inlineStr">
        <is>
          <t>CurrentWorkingView</t>
        </is>
      </c>
      <c r="H1993" t="inlineStr">
        <is>
          <t>Reasonability Adjustment</t>
        </is>
      </c>
    </row>
    <row r="1994">
      <c r="A1994" t="inlineStr">
        <is>
          <t>Kylie Makeup</t>
        </is>
      </c>
      <c r="B1994" t="inlineStr">
        <is>
          <t>Lips (01245)</t>
        </is>
      </c>
      <c r="C1994" t="inlineStr">
        <is>
          <t>Kylie Supple Kiss Lip Glaze (00006711)</t>
        </is>
      </c>
      <c r="D1994" s="1" t="n">
        <v>4064941130680</v>
      </c>
      <c r="E1994" t="inlineStr">
        <is>
          <t>KJ MU SPP GLZ LG 3 ML 001ALL YOURS IV</t>
        </is>
      </c>
      <c r="F1994" t="inlineStr">
        <is>
          <t>P_US_FG</t>
        </is>
      </c>
      <c r="G1994" t="inlineStr">
        <is>
          <t>CurrentWorkingView</t>
        </is>
      </c>
      <c r="H1994" t="inlineStr">
        <is>
          <t>Total Demand Assumption</t>
        </is>
      </c>
    </row>
    <row r="1995">
      <c r="A1995" t="inlineStr">
        <is>
          <t>Kylie Makeup</t>
        </is>
      </c>
      <c r="B1995" t="inlineStr">
        <is>
          <t>Lips (01245)</t>
        </is>
      </c>
      <c r="C1995" t="inlineStr">
        <is>
          <t>Kylie Supple Kiss Lip Glaze (00006711)</t>
        </is>
      </c>
      <c r="D1995" s="1" t="n">
        <v>4064941130680</v>
      </c>
      <c r="E1995" t="inlineStr">
        <is>
          <t>KJ MU SPP GLZ LG 3 ML 001ALL YOURS IV</t>
        </is>
      </c>
      <c r="F1995" t="inlineStr">
        <is>
          <t>P_US_FG</t>
        </is>
      </c>
      <c r="G1995" t="inlineStr">
        <is>
          <t>CurrentWorkingView</t>
        </is>
      </c>
      <c r="H1995" t="inlineStr">
        <is>
          <t>Consensus - Final</t>
        </is>
      </c>
      <c r="J1995" t="n">
        <v>25</v>
      </c>
      <c r="K1995" t="n">
        <v>0</v>
      </c>
    </row>
    <row r="1996">
      <c r="A1996" t="inlineStr">
        <is>
          <t>Kylie Makeup</t>
        </is>
      </c>
      <c r="B1996" t="inlineStr">
        <is>
          <t>Lips (01245)</t>
        </is>
      </c>
      <c r="C1996" t="inlineStr">
        <is>
          <t>Kylie Supple Kiss Lip Glaze (00006711)</t>
        </is>
      </c>
      <c r="D1996" s="1" t="n">
        <v>4064941130680</v>
      </c>
      <c r="E1996" t="inlineStr">
        <is>
          <t>KJ MU SPP GLZ LG 3 ML 001ALL YOURS IV</t>
        </is>
      </c>
      <c r="F1996" t="inlineStr">
        <is>
          <t>P_US_FG</t>
        </is>
      </c>
      <c r="G1996" t="inlineStr">
        <is>
          <t>CurrentWorkingView</t>
        </is>
      </c>
      <c r="H1996" t="inlineStr">
        <is>
          <t>Supply Cuts</t>
        </is>
      </c>
    </row>
    <row r="1997">
      <c r="A1997" t="inlineStr">
        <is>
          <t>Kylie Makeup</t>
        </is>
      </c>
      <c r="B1997" t="inlineStr">
        <is>
          <t>Lips (01245)</t>
        </is>
      </c>
      <c r="C1997" t="inlineStr">
        <is>
          <t>Kylie Supple Kiss Lip Glaze (00006711)</t>
        </is>
      </c>
      <c r="D1997" s="1" t="n">
        <v>4064941130680</v>
      </c>
      <c r="E1997" t="inlineStr">
        <is>
          <t>KJ MU SPP GLZ LG 3 ML 001ALL YOURS IV</t>
        </is>
      </c>
      <c r="F1997" t="inlineStr">
        <is>
          <t>P_US_FG</t>
        </is>
      </c>
      <c r="G1997" t="inlineStr">
        <is>
          <t>Month-2026.M09.W38</t>
        </is>
      </c>
      <c r="H1997" t="inlineStr">
        <is>
          <t>Consensus - Final LY M</t>
        </is>
      </c>
      <c r="I1997" t="n">
        <v>16</v>
      </c>
      <c r="J1997" t="n">
        <v>69</v>
      </c>
      <c r="L1997" t="n">
        <v>300</v>
      </c>
      <c r="N1997" t="n">
        <v>25</v>
      </c>
      <c r="O1997" t="n">
        <v>5</v>
      </c>
      <c r="P1997" t="n">
        <v>3453</v>
      </c>
      <c r="Q1997" t="n">
        <v>27</v>
      </c>
      <c r="R1997" t="n">
        <v>60</v>
      </c>
    </row>
    <row r="1998">
      <c r="A1998" t="inlineStr">
        <is>
          <t>Kylie Makeup</t>
        </is>
      </c>
      <c r="B1998" t="inlineStr">
        <is>
          <t>Lips (01245)</t>
        </is>
      </c>
      <c r="C1998" t="inlineStr">
        <is>
          <t>Kylie Supple Kiss Lip Glaze (00006711)</t>
        </is>
      </c>
      <c r="D1998" s="1" t="n">
        <v>4064941130680</v>
      </c>
      <c r="E1998" t="inlineStr">
        <is>
          <t>KJ MU SPP GLZ LG 3 ML 001ALL YOURS IV</t>
        </is>
      </c>
      <c r="F1998" t="inlineStr">
        <is>
          <t>P_US_FG</t>
        </is>
      </c>
      <c r="G1998" t="inlineStr">
        <is>
          <t>Month-2026.M09.W38</t>
        </is>
      </c>
      <c r="H1998" t="inlineStr">
        <is>
          <t>System FC - Final</t>
        </is>
      </c>
      <c r="J1998" t="n">
        <v>25</v>
      </c>
      <c r="K1998" t="n">
        <v>13</v>
      </c>
      <c r="L1998" t="n">
        <v>328</v>
      </c>
      <c r="M1998" t="n">
        <v>0</v>
      </c>
      <c r="N1998" t="n">
        <v>0</v>
      </c>
      <c r="O1998" t="n">
        <v>40</v>
      </c>
      <c r="P1998" t="n">
        <v>188</v>
      </c>
      <c r="Q1998" t="n">
        <v>270</v>
      </c>
      <c r="R1998" t="n">
        <v>85</v>
      </c>
      <c r="S1998" t="n">
        <v>0</v>
      </c>
      <c r="T1998" t="n">
        <v>270</v>
      </c>
    </row>
    <row r="1999">
      <c r="A1999" t="inlineStr">
        <is>
          <t>Kylie Makeup</t>
        </is>
      </c>
      <c r="B1999" t="inlineStr">
        <is>
          <t>Lips (01245)</t>
        </is>
      </c>
      <c r="C1999" t="inlineStr">
        <is>
          <t>Kylie Supple Kiss Lip Glaze (00006711)</t>
        </is>
      </c>
      <c r="D1999" s="1" t="n">
        <v>4064941130680</v>
      </c>
      <c r="E1999" t="inlineStr">
        <is>
          <t>KJ MU SPP GLZ LG 3 ML 001ALL YOURS IV</t>
        </is>
      </c>
      <c r="F1999" t="inlineStr">
        <is>
          <t>P_US_FG</t>
        </is>
      </c>
      <c r="G1999" t="inlineStr">
        <is>
          <t>Month-2026.M09.W38</t>
        </is>
      </c>
      <c r="H1999" t="inlineStr">
        <is>
          <t>EPOS</t>
        </is>
      </c>
    </row>
    <row r="2000">
      <c r="A2000" t="inlineStr">
        <is>
          <t>Kylie Makeup</t>
        </is>
      </c>
      <c r="B2000" t="inlineStr">
        <is>
          <t>Lips (01245)</t>
        </is>
      </c>
      <c r="C2000" t="inlineStr">
        <is>
          <t>Kylie Supple Kiss Lip Glaze (00006711)</t>
        </is>
      </c>
      <c r="D2000" s="1" t="n">
        <v>4064941130680</v>
      </c>
      <c r="E2000" t="inlineStr">
        <is>
          <t>KJ MU SPP GLZ LG 3 ML 001ALL YOURS IV</t>
        </is>
      </c>
      <c r="F2000" t="inlineStr">
        <is>
          <t>P_US_FG</t>
        </is>
      </c>
      <c r="G2000" t="inlineStr">
        <is>
          <t>Month-2026.M09.W38</t>
        </is>
      </c>
      <c r="H2000" t="inlineStr">
        <is>
          <t>Reasonability Adjustment</t>
        </is>
      </c>
    </row>
    <row r="2001">
      <c r="A2001" t="inlineStr">
        <is>
          <t>Kylie Makeup</t>
        </is>
      </c>
      <c r="B2001" t="inlineStr">
        <is>
          <t>Lips (01245)</t>
        </is>
      </c>
      <c r="C2001" t="inlineStr">
        <is>
          <t>Kylie Supple Kiss Lip Glaze (00006711)</t>
        </is>
      </c>
      <c r="D2001" s="1" t="n">
        <v>4064941130680</v>
      </c>
      <c r="E2001" t="inlineStr">
        <is>
          <t>KJ MU SPP GLZ LG 3 ML 001ALL YOURS IV</t>
        </is>
      </c>
      <c r="F2001" t="inlineStr">
        <is>
          <t>P_US_FG</t>
        </is>
      </c>
      <c r="G2001" t="inlineStr">
        <is>
          <t>Month-2026.M09.W38</t>
        </is>
      </c>
      <c r="H2001" t="inlineStr">
        <is>
          <t>Total Demand Assumption</t>
        </is>
      </c>
    </row>
    <row r="2002">
      <c r="A2002" t="inlineStr">
        <is>
          <t>Kylie Makeup</t>
        </is>
      </c>
      <c r="B2002" t="inlineStr">
        <is>
          <t>Lips (01245)</t>
        </is>
      </c>
      <c r="C2002" t="inlineStr">
        <is>
          <t>Kylie Supple Kiss Lip Glaze (00006711)</t>
        </is>
      </c>
      <c r="D2002" s="1" t="n">
        <v>4064941130680</v>
      </c>
      <c r="E2002" t="inlineStr">
        <is>
          <t>KJ MU SPP GLZ LG 3 ML 001ALL YOURS IV</t>
        </is>
      </c>
      <c r="F2002" t="inlineStr">
        <is>
          <t>P_US_FG</t>
        </is>
      </c>
      <c r="G2002" t="inlineStr">
        <is>
          <t>Month-2026.M09.W38</t>
        </is>
      </c>
      <c r="H2002" t="inlineStr">
        <is>
          <t>Consensus - Final</t>
        </is>
      </c>
      <c r="J2002" t="n">
        <v>25</v>
      </c>
      <c r="K2002" t="n">
        <v>0</v>
      </c>
    </row>
    <row r="2003">
      <c r="A2003" t="inlineStr">
        <is>
          <t>Kylie Makeup</t>
        </is>
      </c>
      <c r="B2003" t="inlineStr">
        <is>
          <t>Lips (01245)</t>
        </is>
      </c>
      <c r="C2003" t="inlineStr">
        <is>
          <t>Kylie Supple Kiss Lip Glaze (00006711)</t>
        </is>
      </c>
      <c r="D2003" s="1" t="n">
        <v>4064941130680</v>
      </c>
      <c r="E2003" t="inlineStr">
        <is>
          <t>KJ MU SPP GLZ LG 3 ML 001ALL YOURS IV</t>
        </is>
      </c>
      <c r="F2003" t="inlineStr">
        <is>
          <t>P_US_FG</t>
        </is>
      </c>
      <c r="G2003" t="inlineStr">
        <is>
          <t>Month-2026.M09.W38</t>
        </is>
      </c>
      <c r="H2003" t="inlineStr">
        <is>
          <t>Supply Cuts</t>
        </is>
      </c>
    </row>
    <row r="2004">
      <c r="A2004" t="inlineStr">
        <is>
          <t>Kylie Makeup</t>
        </is>
      </c>
      <c r="B2004" t="inlineStr">
        <is>
          <t>Lips (01245)</t>
        </is>
      </c>
      <c r="C2004" t="inlineStr">
        <is>
          <t>Kylie Supple Kiss Lip Glaze (00006711)</t>
        </is>
      </c>
      <c r="D2004" s="1" t="n">
        <v>4064941130680</v>
      </c>
      <c r="E2004" t="inlineStr">
        <is>
          <t>KJ MU SPP GLZ LG 3 ML 001ALL YOURS IV</t>
        </is>
      </c>
      <c r="F2004" t="inlineStr">
        <is>
          <t>P_US_ULTA</t>
        </is>
      </c>
      <c r="G2004" t="inlineStr">
        <is>
          <t>CurrentWorkingView</t>
        </is>
      </c>
      <c r="H2004" t="inlineStr">
        <is>
          <t>Consensus - Final LY M</t>
        </is>
      </c>
      <c r="I2004" t="n">
        <v>96</v>
      </c>
      <c r="K2004" t="n">
        <v>96</v>
      </c>
      <c r="M2004" t="n">
        <v>96</v>
      </c>
      <c r="N2004" t="n">
        <v>96</v>
      </c>
      <c r="Q2004" t="n">
        <v>192</v>
      </c>
      <c r="R2004" t="n">
        <v>96</v>
      </c>
      <c r="T2004" t="n">
        <v>96</v>
      </c>
    </row>
    <row r="2005">
      <c r="A2005" t="inlineStr">
        <is>
          <t>Kylie Makeup</t>
        </is>
      </c>
      <c r="B2005" t="inlineStr">
        <is>
          <t>Lips (01245)</t>
        </is>
      </c>
      <c r="C2005" t="inlineStr">
        <is>
          <t>Kylie Supple Kiss Lip Glaze (00006711)</t>
        </is>
      </c>
      <c r="D2005" s="1" t="n">
        <v>4064941130680</v>
      </c>
      <c r="E2005" t="inlineStr">
        <is>
          <t>KJ MU SPP GLZ LG 3 ML 001ALL YOURS IV</t>
        </is>
      </c>
      <c r="F2005" t="inlineStr">
        <is>
          <t>P_US_ULTA</t>
        </is>
      </c>
      <c r="G2005" t="inlineStr">
        <is>
          <t>CurrentWorkingView</t>
        </is>
      </c>
      <c r="H2005" t="inlineStr">
        <is>
          <t>System FC - Final</t>
        </is>
      </c>
      <c r="I2005" t="n">
        <v>96</v>
      </c>
      <c r="J2005" t="n">
        <v>960</v>
      </c>
      <c r="K2005" t="n">
        <v>422</v>
      </c>
      <c r="L2005" t="n">
        <v>280</v>
      </c>
      <c r="M2005" t="n">
        <v>335</v>
      </c>
      <c r="N2005" t="n">
        <v>385</v>
      </c>
      <c r="O2005" t="n">
        <v>443</v>
      </c>
      <c r="P2005" t="n">
        <v>340</v>
      </c>
      <c r="Q2005" t="n">
        <v>354</v>
      </c>
      <c r="R2005" t="n">
        <v>373</v>
      </c>
      <c r="S2005" t="n">
        <v>376</v>
      </c>
      <c r="T2005" t="n">
        <v>377</v>
      </c>
    </row>
    <row r="2006">
      <c r="A2006" t="inlineStr">
        <is>
          <t>Kylie Makeup</t>
        </is>
      </c>
      <c r="B2006" t="inlineStr">
        <is>
          <t>Lips (01245)</t>
        </is>
      </c>
      <c r="C2006" t="inlineStr">
        <is>
          <t>Kylie Supple Kiss Lip Glaze (00006711)</t>
        </is>
      </c>
      <c r="D2006" s="1" t="n">
        <v>4064941130680</v>
      </c>
      <c r="E2006" t="inlineStr">
        <is>
          <t>KJ MU SPP GLZ LG 3 ML 001ALL YOURS IV</t>
        </is>
      </c>
      <c r="F2006" t="inlineStr">
        <is>
          <t>P_US_ULTA</t>
        </is>
      </c>
      <c r="G2006" t="inlineStr">
        <is>
          <t>CurrentWorkingView</t>
        </is>
      </c>
      <c r="H2006" t="inlineStr">
        <is>
          <t>EPOS</t>
        </is>
      </c>
      <c r="I2006" t="n">
        <v>116</v>
      </c>
    </row>
    <row r="2007">
      <c r="A2007" t="inlineStr">
        <is>
          <t>Kylie Makeup</t>
        </is>
      </c>
      <c r="B2007" t="inlineStr">
        <is>
          <t>Lips (01245)</t>
        </is>
      </c>
      <c r="C2007" t="inlineStr">
        <is>
          <t>Kylie Supple Kiss Lip Glaze (00006711)</t>
        </is>
      </c>
      <c r="D2007" s="1" t="n">
        <v>4064941130680</v>
      </c>
      <c r="E2007" t="inlineStr">
        <is>
          <t>KJ MU SPP GLZ LG 3 ML 001ALL YOURS IV</t>
        </is>
      </c>
      <c r="F2007" t="inlineStr">
        <is>
          <t>P_US_ULTA</t>
        </is>
      </c>
      <c r="G2007" t="inlineStr">
        <is>
          <t>CurrentWorkingView</t>
        </is>
      </c>
      <c r="H2007" t="inlineStr">
        <is>
          <t>Reasonability Adjustment</t>
        </is>
      </c>
      <c r="T2007" t="n">
        <v>-84</v>
      </c>
    </row>
    <row r="2008">
      <c r="A2008" t="inlineStr">
        <is>
          <t>Kylie Makeup</t>
        </is>
      </c>
      <c r="B2008" t="inlineStr">
        <is>
          <t>Lips (01245)</t>
        </is>
      </c>
      <c r="C2008" t="inlineStr">
        <is>
          <t>Kylie Supple Kiss Lip Glaze (00006711)</t>
        </is>
      </c>
      <c r="D2008" s="1" t="n">
        <v>4064941130680</v>
      </c>
      <c r="E2008" t="inlineStr">
        <is>
          <t>KJ MU SPP GLZ LG 3 ML 001ALL YOURS IV</t>
        </is>
      </c>
      <c r="F2008" t="inlineStr">
        <is>
          <t>P_US_ULTA</t>
        </is>
      </c>
      <c r="G2008" t="inlineStr">
        <is>
          <t>CurrentWorkingView</t>
        </is>
      </c>
      <c r="H2008" t="inlineStr">
        <is>
          <t>Total Demand Assumption</t>
        </is>
      </c>
      <c r="I2008" t="n">
        <v>198</v>
      </c>
      <c r="J2008" t="n">
        <v>988</v>
      </c>
      <c r="K2008" t="n">
        <v>50</v>
      </c>
      <c r="L2008" t="n">
        <v>-100</v>
      </c>
      <c r="N2008" t="n">
        <v>-20</v>
      </c>
    </row>
    <row r="2009">
      <c r="A2009" t="inlineStr">
        <is>
          <t>Kylie Makeup</t>
        </is>
      </c>
      <c r="B2009" t="inlineStr">
        <is>
          <t>Lips (01245)</t>
        </is>
      </c>
      <c r="C2009" t="inlineStr">
        <is>
          <t>Kylie Supple Kiss Lip Glaze (00006711)</t>
        </is>
      </c>
      <c r="D2009" s="1" t="n">
        <v>4064941130680</v>
      </c>
      <c r="E2009" t="inlineStr">
        <is>
          <t>KJ MU SPP GLZ LG 3 ML 001ALL YOURS IV</t>
        </is>
      </c>
      <c r="F2009" t="inlineStr">
        <is>
          <t>P_US_ULTA</t>
        </is>
      </c>
      <c r="G2009" t="inlineStr">
        <is>
          <t>CurrentWorkingView</t>
        </is>
      </c>
      <c r="H2009" t="inlineStr">
        <is>
          <t>Consensus - Final</t>
        </is>
      </c>
      <c r="I2009" t="n">
        <v>96</v>
      </c>
      <c r="J2009" t="n">
        <v>960</v>
      </c>
      <c r="K2009" t="n">
        <v>384</v>
      </c>
      <c r="L2009" t="n">
        <v>184</v>
      </c>
      <c r="M2009" t="n">
        <v>335</v>
      </c>
      <c r="N2009" t="n">
        <v>365</v>
      </c>
      <c r="O2009" t="n">
        <v>443</v>
      </c>
      <c r="P2009" t="n">
        <v>340</v>
      </c>
      <c r="Q2009" t="n">
        <v>354</v>
      </c>
      <c r="R2009" t="n">
        <v>373</v>
      </c>
      <c r="S2009" t="n">
        <v>376</v>
      </c>
      <c r="T2009" t="n">
        <v>293</v>
      </c>
    </row>
    <row r="2010">
      <c r="A2010" t="inlineStr">
        <is>
          <t>Kylie Makeup</t>
        </is>
      </c>
      <c r="B2010" t="inlineStr">
        <is>
          <t>Lips (01245)</t>
        </is>
      </c>
      <c r="C2010" t="inlineStr">
        <is>
          <t>Kylie Supple Kiss Lip Glaze (00006711)</t>
        </is>
      </c>
      <c r="D2010" s="1" t="n">
        <v>4064941130680</v>
      </c>
      <c r="E2010" t="inlineStr">
        <is>
          <t>KJ MU SPP GLZ LG 3 ML 001ALL YOURS IV</t>
        </is>
      </c>
      <c r="F2010" t="inlineStr">
        <is>
          <t>P_US_ULTA</t>
        </is>
      </c>
      <c r="G2010" t="inlineStr">
        <is>
          <t>CurrentWorkingView</t>
        </is>
      </c>
      <c r="H2010" t="inlineStr">
        <is>
          <t>Supply Cuts</t>
        </is>
      </c>
    </row>
    <row r="2011">
      <c r="A2011" t="inlineStr">
        <is>
          <t>Kylie Makeup</t>
        </is>
      </c>
      <c r="B2011" t="inlineStr">
        <is>
          <t>Lips (01245)</t>
        </is>
      </c>
      <c r="C2011" t="inlineStr">
        <is>
          <t>Kylie Supple Kiss Lip Glaze (00006711)</t>
        </is>
      </c>
      <c r="D2011" s="1" t="n">
        <v>4064941130680</v>
      </c>
      <c r="E2011" t="inlineStr">
        <is>
          <t>KJ MU SPP GLZ LG 3 ML 001ALL YOURS IV</t>
        </is>
      </c>
      <c r="F2011" t="inlineStr">
        <is>
          <t>P_US_ULTA</t>
        </is>
      </c>
      <c r="G2011" t="inlineStr">
        <is>
          <t>Month-2026.M09.W38</t>
        </is>
      </c>
      <c r="H2011" t="inlineStr">
        <is>
          <t>Consensus - Final LY M</t>
        </is>
      </c>
      <c r="I2011" t="n">
        <v>96</v>
      </c>
      <c r="K2011" t="n">
        <v>96</v>
      </c>
      <c r="M2011" t="n">
        <v>96</v>
      </c>
      <c r="N2011" t="n">
        <v>96</v>
      </c>
      <c r="Q2011" t="n">
        <v>192</v>
      </c>
      <c r="R2011" t="n">
        <v>96</v>
      </c>
      <c r="T2011" t="n">
        <v>96</v>
      </c>
    </row>
    <row r="2012">
      <c r="A2012" t="inlineStr">
        <is>
          <t>Kylie Makeup</t>
        </is>
      </c>
      <c r="B2012" t="inlineStr">
        <is>
          <t>Lips (01245)</t>
        </is>
      </c>
      <c r="C2012" t="inlineStr">
        <is>
          <t>Kylie Supple Kiss Lip Glaze (00006711)</t>
        </is>
      </c>
      <c r="D2012" s="1" t="n">
        <v>4064941130680</v>
      </c>
      <c r="E2012" t="inlineStr">
        <is>
          <t>KJ MU SPP GLZ LG 3 ML 001ALL YOURS IV</t>
        </is>
      </c>
      <c r="F2012" t="inlineStr">
        <is>
          <t>P_US_ULTA</t>
        </is>
      </c>
      <c r="G2012" t="inlineStr">
        <is>
          <t>Month-2026.M09.W38</t>
        </is>
      </c>
      <c r="H2012" t="inlineStr">
        <is>
          <t>System FC - Final</t>
        </is>
      </c>
      <c r="I2012" t="n">
        <v>96</v>
      </c>
      <c r="J2012" t="n">
        <v>960</v>
      </c>
      <c r="K2012" t="n">
        <v>440</v>
      </c>
      <c r="L2012" t="n">
        <v>71</v>
      </c>
      <c r="M2012" t="n">
        <v>86</v>
      </c>
      <c r="N2012" t="n">
        <v>85</v>
      </c>
      <c r="O2012" t="n">
        <v>84</v>
      </c>
      <c r="P2012" t="n">
        <v>80</v>
      </c>
      <c r="Q2012" t="n">
        <v>84</v>
      </c>
      <c r="R2012" t="n">
        <v>85</v>
      </c>
      <c r="S2012" t="n">
        <v>84</v>
      </c>
      <c r="T2012" t="n">
        <v>74</v>
      </c>
    </row>
    <row r="2013">
      <c r="A2013" t="inlineStr">
        <is>
          <t>Kylie Makeup</t>
        </is>
      </c>
      <c r="B2013" t="inlineStr">
        <is>
          <t>Lips (01245)</t>
        </is>
      </c>
      <c r="C2013" t="inlineStr">
        <is>
          <t>Kylie Supple Kiss Lip Glaze (00006711)</t>
        </is>
      </c>
      <c r="D2013" s="1" t="n">
        <v>4064941130680</v>
      </c>
      <c r="E2013" t="inlineStr">
        <is>
          <t>KJ MU SPP GLZ LG 3 ML 001ALL YOURS IV</t>
        </is>
      </c>
      <c r="F2013" t="inlineStr">
        <is>
          <t>P_US_ULTA</t>
        </is>
      </c>
      <c r="G2013" t="inlineStr">
        <is>
          <t>Month-2026.M09.W38</t>
        </is>
      </c>
      <c r="H2013" t="inlineStr">
        <is>
          <t>EPOS</t>
        </is>
      </c>
      <c r="I2013" t="n">
        <v>116</v>
      </c>
    </row>
    <row r="2014">
      <c r="A2014" t="inlineStr">
        <is>
          <t>Kylie Makeup</t>
        </is>
      </c>
      <c r="B2014" t="inlineStr">
        <is>
          <t>Lips (01245)</t>
        </is>
      </c>
      <c r="C2014" t="inlineStr">
        <is>
          <t>Kylie Supple Kiss Lip Glaze (00006711)</t>
        </is>
      </c>
      <c r="D2014" s="1" t="n">
        <v>4064941130680</v>
      </c>
      <c r="E2014" t="inlineStr">
        <is>
          <t>KJ MU SPP GLZ LG 3 ML 001ALL YOURS IV</t>
        </is>
      </c>
      <c r="F2014" t="inlineStr">
        <is>
          <t>P_US_ULTA</t>
        </is>
      </c>
      <c r="G2014" t="inlineStr">
        <is>
          <t>Month-2026.M09.W38</t>
        </is>
      </c>
      <c r="H2014" t="inlineStr">
        <is>
          <t>Reasonability Adjustment</t>
        </is>
      </c>
      <c r="T2014" t="n">
        <v>-84</v>
      </c>
    </row>
    <row r="2015">
      <c r="A2015" t="inlineStr">
        <is>
          <t>Kylie Makeup</t>
        </is>
      </c>
      <c r="B2015" t="inlineStr">
        <is>
          <t>Lips (01245)</t>
        </is>
      </c>
      <c r="C2015" t="inlineStr">
        <is>
          <t>Kylie Supple Kiss Lip Glaze (00006711)</t>
        </is>
      </c>
      <c r="D2015" s="1" t="n">
        <v>4064941130680</v>
      </c>
      <c r="E2015" t="inlineStr">
        <is>
          <t>KJ MU SPP GLZ LG 3 ML 001ALL YOURS IV</t>
        </is>
      </c>
      <c r="F2015" t="inlineStr">
        <is>
          <t>P_US_ULTA</t>
        </is>
      </c>
      <c r="G2015" t="inlineStr">
        <is>
          <t>Month-2026.M09.W38</t>
        </is>
      </c>
      <c r="H2015" t="inlineStr">
        <is>
          <t>Total Demand Assumption</t>
        </is>
      </c>
      <c r="I2015" t="n">
        <v>198</v>
      </c>
      <c r="J2015" t="n">
        <v>988</v>
      </c>
      <c r="K2015" t="n">
        <v>50</v>
      </c>
      <c r="L2015" t="n">
        <v>-100</v>
      </c>
      <c r="N2015" t="n">
        <v>-20</v>
      </c>
    </row>
    <row r="2016">
      <c r="A2016" t="inlineStr">
        <is>
          <t>Kylie Makeup</t>
        </is>
      </c>
      <c r="B2016" t="inlineStr">
        <is>
          <t>Lips (01245)</t>
        </is>
      </c>
      <c r="C2016" t="inlineStr">
        <is>
          <t>Kylie Supple Kiss Lip Glaze (00006711)</t>
        </is>
      </c>
      <c r="D2016" s="1" t="n">
        <v>4064941130680</v>
      </c>
      <c r="E2016" t="inlineStr">
        <is>
          <t>KJ MU SPP GLZ LG 3 ML 001ALL YOURS IV</t>
        </is>
      </c>
      <c r="F2016" t="inlineStr">
        <is>
          <t>P_US_ULTA</t>
        </is>
      </c>
      <c r="G2016" t="inlineStr">
        <is>
          <t>Month-2026.M09.W38</t>
        </is>
      </c>
      <c r="H2016" t="inlineStr">
        <is>
          <t>Consensus - Final</t>
        </is>
      </c>
      <c r="I2016" t="n">
        <v>96</v>
      </c>
      <c r="J2016" t="n">
        <v>960</v>
      </c>
      <c r="K2016" t="n">
        <v>384</v>
      </c>
      <c r="L2016" t="n">
        <v>9</v>
      </c>
      <c r="M2016" t="n">
        <v>86</v>
      </c>
      <c r="N2016" t="n">
        <v>65</v>
      </c>
      <c r="O2016" t="n">
        <v>84</v>
      </c>
      <c r="P2016" t="n">
        <v>80</v>
      </c>
      <c r="Q2016" t="n">
        <v>84</v>
      </c>
      <c r="R2016" t="n">
        <v>85</v>
      </c>
      <c r="S2016" t="n">
        <v>84</v>
      </c>
    </row>
    <row r="2017">
      <c r="A2017" t="inlineStr">
        <is>
          <t>Kylie Makeup</t>
        </is>
      </c>
      <c r="B2017" t="inlineStr">
        <is>
          <t>Lips (01245)</t>
        </is>
      </c>
      <c r="C2017" t="inlineStr">
        <is>
          <t>Kylie Supple Kiss Lip Glaze (00006711)</t>
        </is>
      </c>
      <c r="D2017" s="1" t="n">
        <v>4064941130680</v>
      </c>
      <c r="E2017" t="inlineStr">
        <is>
          <t>KJ MU SPP GLZ LG 3 ML 001ALL YOURS IV</t>
        </is>
      </c>
      <c r="F2017" t="inlineStr">
        <is>
          <t>P_US_ULTA</t>
        </is>
      </c>
      <c r="G2017" t="inlineStr">
        <is>
          <t>Month-2026.M09.W38</t>
        </is>
      </c>
      <c r="H2017" t="inlineStr">
        <is>
          <t>Supply Cuts</t>
        </is>
      </c>
    </row>
    <row r="2018">
      <c r="A2018" t="inlineStr">
        <is>
          <t>Kylie Makeup</t>
        </is>
      </c>
      <c r="B2018" t="inlineStr">
        <is>
          <t>Lips (01245)</t>
        </is>
      </c>
      <c r="C2018" t="inlineStr">
        <is>
          <t>Kylie Supple Kiss Lip Glaze (00006711)</t>
        </is>
      </c>
      <c r="D2018" s="1" t="n">
        <v>4064941130697</v>
      </c>
      <c r="E2018" t="inlineStr">
        <is>
          <t>KJ MU SPP GLZ LG 3 ML 002LIKE MAGIC IV</t>
        </is>
      </c>
      <c r="F2018" t="inlineStr">
        <is>
          <t>P_US_ALL_OTHERS</t>
        </is>
      </c>
      <c r="G2018" t="inlineStr">
        <is>
          <t>CurrentWorkingView</t>
        </is>
      </c>
      <c r="H2018" t="inlineStr">
        <is>
          <t>Consensus - Final LY M</t>
        </is>
      </c>
      <c r="I2018" t="n">
        <v>117</v>
      </c>
      <c r="J2018" t="n">
        <v>109</v>
      </c>
      <c r="K2018" t="n">
        <v>444</v>
      </c>
      <c r="L2018" t="n">
        <v>99</v>
      </c>
      <c r="M2018" t="n">
        <v>69</v>
      </c>
      <c r="N2018" t="n">
        <v>74</v>
      </c>
      <c r="O2018" t="n">
        <v>63</v>
      </c>
      <c r="P2018" t="n">
        <v>173</v>
      </c>
      <c r="Q2018" t="n">
        <v>105</v>
      </c>
      <c r="R2018" t="n">
        <v>91</v>
      </c>
      <c r="S2018" t="n">
        <v>47</v>
      </c>
      <c r="T2018" t="n">
        <v>49</v>
      </c>
    </row>
    <row r="2019">
      <c r="A2019" t="inlineStr">
        <is>
          <t>Kylie Makeup</t>
        </is>
      </c>
      <c r="B2019" t="inlineStr">
        <is>
          <t>Lips (01245)</t>
        </is>
      </c>
      <c r="C2019" t="inlineStr">
        <is>
          <t>Kylie Supple Kiss Lip Glaze (00006711)</t>
        </is>
      </c>
      <c r="D2019" s="1" t="n">
        <v>4064941130697</v>
      </c>
      <c r="E2019" t="inlineStr">
        <is>
          <t>KJ MU SPP GLZ LG 3 ML 002LIKE MAGIC IV</t>
        </is>
      </c>
      <c r="F2019" t="inlineStr">
        <is>
          <t>P_US_ALL_OTHERS</t>
        </is>
      </c>
      <c r="G2019" t="inlineStr">
        <is>
          <t>CurrentWorkingView</t>
        </is>
      </c>
      <c r="H2019" t="inlineStr">
        <is>
          <t>System FC - Final</t>
        </is>
      </c>
      <c r="I2019" t="n">
        <v>82</v>
      </c>
      <c r="J2019" t="n">
        <v>103</v>
      </c>
      <c r="K2019" t="n">
        <v>70</v>
      </c>
      <c r="L2019" t="n">
        <v>133</v>
      </c>
      <c r="M2019" t="n">
        <v>108</v>
      </c>
      <c r="N2019" t="n">
        <v>110</v>
      </c>
      <c r="O2019" t="n">
        <v>102</v>
      </c>
      <c r="P2019" t="n">
        <v>148</v>
      </c>
      <c r="Q2019" t="n">
        <v>106</v>
      </c>
      <c r="R2019" t="n">
        <v>142</v>
      </c>
      <c r="S2019" t="n">
        <v>177</v>
      </c>
      <c r="T2019" t="n">
        <v>129</v>
      </c>
    </row>
    <row r="2020">
      <c r="A2020" t="inlineStr">
        <is>
          <t>Kylie Makeup</t>
        </is>
      </c>
      <c r="B2020" t="inlineStr">
        <is>
          <t>Lips (01245)</t>
        </is>
      </c>
      <c r="C2020" t="inlineStr">
        <is>
          <t>Kylie Supple Kiss Lip Glaze (00006711)</t>
        </is>
      </c>
      <c r="D2020" s="1" t="n">
        <v>4064941130697</v>
      </c>
      <c r="E2020" t="inlineStr">
        <is>
          <t>KJ MU SPP GLZ LG 3 ML 002LIKE MAGIC IV</t>
        </is>
      </c>
      <c r="F2020" t="inlineStr">
        <is>
          <t>P_US_ALL_OTHERS</t>
        </is>
      </c>
      <c r="G2020" t="inlineStr">
        <is>
          <t>CurrentWorkingView</t>
        </is>
      </c>
      <c r="H2020" t="inlineStr">
        <is>
          <t>EPOS</t>
        </is>
      </c>
      <c r="I2020" t="n">
        <v>93</v>
      </c>
    </row>
    <row r="2021">
      <c r="A2021" t="inlineStr">
        <is>
          <t>Kylie Makeup</t>
        </is>
      </c>
      <c r="B2021" t="inlineStr">
        <is>
          <t>Lips (01245)</t>
        </is>
      </c>
      <c r="C2021" t="inlineStr">
        <is>
          <t>Kylie Supple Kiss Lip Glaze (00006711)</t>
        </is>
      </c>
      <c r="D2021" s="1" t="n">
        <v>4064941130697</v>
      </c>
      <c r="E2021" t="inlineStr">
        <is>
          <t>KJ MU SPP GLZ LG 3 ML 002LIKE MAGIC IV</t>
        </is>
      </c>
      <c r="F2021" t="inlineStr">
        <is>
          <t>P_US_ALL_OTHERS</t>
        </is>
      </c>
      <c r="G2021" t="inlineStr">
        <is>
          <t>CurrentWorkingView</t>
        </is>
      </c>
      <c r="H2021" t="inlineStr">
        <is>
          <t>Reasonability Adjustment</t>
        </is>
      </c>
      <c r="S2021" t="n">
        <v>-20</v>
      </c>
      <c r="T2021" t="n">
        <v>-149</v>
      </c>
    </row>
    <row r="2022">
      <c r="A2022" t="inlineStr">
        <is>
          <t>Kylie Makeup</t>
        </is>
      </c>
      <c r="B2022" t="inlineStr">
        <is>
          <t>Lips (01245)</t>
        </is>
      </c>
      <c r="C2022" t="inlineStr">
        <is>
          <t>Kylie Supple Kiss Lip Glaze (00006711)</t>
        </is>
      </c>
      <c r="D2022" s="1" t="n">
        <v>4064941130697</v>
      </c>
      <c r="E2022" t="inlineStr">
        <is>
          <t>KJ MU SPP GLZ LG 3 ML 002LIKE MAGIC IV</t>
        </is>
      </c>
      <c r="F2022" t="inlineStr">
        <is>
          <t>P_US_ALL_OTHERS</t>
        </is>
      </c>
      <c r="G2022" t="inlineStr">
        <is>
          <t>CurrentWorkingView</t>
        </is>
      </c>
      <c r="H2022" t="inlineStr">
        <is>
          <t>Total Demand Assumption</t>
        </is>
      </c>
    </row>
    <row r="2023">
      <c r="A2023" t="inlineStr">
        <is>
          <t>Kylie Makeup</t>
        </is>
      </c>
      <c r="B2023" t="inlineStr">
        <is>
          <t>Lips (01245)</t>
        </is>
      </c>
      <c r="C2023" t="inlineStr">
        <is>
          <t>Kylie Supple Kiss Lip Glaze (00006711)</t>
        </is>
      </c>
      <c r="D2023" s="1" t="n">
        <v>4064941130697</v>
      </c>
      <c r="E2023" t="inlineStr">
        <is>
          <t>KJ MU SPP GLZ LG 3 ML 002LIKE MAGIC IV</t>
        </is>
      </c>
      <c r="F2023" t="inlineStr">
        <is>
          <t>P_US_ALL_OTHERS</t>
        </is>
      </c>
      <c r="G2023" t="inlineStr">
        <is>
          <t>CurrentWorkingView</t>
        </is>
      </c>
      <c r="H2023" t="inlineStr">
        <is>
          <t>Consensus - Final</t>
        </is>
      </c>
      <c r="I2023" t="n">
        <v>82</v>
      </c>
      <c r="J2023" t="n">
        <v>103</v>
      </c>
      <c r="K2023" t="n">
        <v>252</v>
      </c>
      <c r="L2023" t="n">
        <v>133</v>
      </c>
      <c r="M2023" t="n">
        <v>108</v>
      </c>
      <c r="N2023" t="n">
        <v>110</v>
      </c>
      <c r="O2023" t="n">
        <v>102</v>
      </c>
      <c r="P2023" t="n">
        <v>148</v>
      </c>
      <c r="Q2023" t="n">
        <v>106</v>
      </c>
      <c r="R2023" t="n">
        <v>142</v>
      </c>
      <c r="S2023" t="n">
        <v>157</v>
      </c>
    </row>
    <row r="2024">
      <c r="A2024" t="inlineStr">
        <is>
          <t>Kylie Makeup</t>
        </is>
      </c>
      <c r="B2024" t="inlineStr">
        <is>
          <t>Lips (01245)</t>
        </is>
      </c>
      <c r="C2024" t="inlineStr">
        <is>
          <t>Kylie Supple Kiss Lip Glaze (00006711)</t>
        </is>
      </c>
      <c r="D2024" s="1" t="n">
        <v>4064941130697</v>
      </c>
      <c r="E2024" t="inlineStr">
        <is>
          <t>KJ MU SPP GLZ LG 3 ML 002LIKE MAGIC IV</t>
        </is>
      </c>
      <c r="F2024" t="inlineStr">
        <is>
          <t>P_US_ALL_OTHERS</t>
        </is>
      </c>
      <c r="G2024" t="inlineStr">
        <is>
          <t>CurrentWorkingView</t>
        </is>
      </c>
      <c r="H2024" t="inlineStr">
        <is>
          <t>Supply Cuts</t>
        </is>
      </c>
    </row>
    <row r="2025">
      <c r="A2025" t="inlineStr">
        <is>
          <t>Kylie Makeup</t>
        </is>
      </c>
      <c r="B2025" t="inlineStr">
        <is>
          <t>Lips (01245)</t>
        </is>
      </c>
      <c r="C2025" t="inlineStr">
        <is>
          <t>Kylie Supple Kiss Lip Glaze (00006711)</t>
        </is>
      </c>
      <c r="D2025" s="1" t="n">
        <v>4064941130697</v>
      </c>
      <c r="E2025" t="inlineStr">
        <is>
          <t>KJ MU SPP GLZ LG 3 ML 002LIKE MAGIC IV</t>
        </is>
      </c>
      <c r="F2025" t="inlineStr">
        <is>
          <t>P_US_ALL_OTHERS</t>
        </is>
      </c>
      <c r="G2025" t="inlineStr">
        <is>
          <t>Month-2026.M09.W38</t>
        </is>
      </c>
      <c r="H2025" t="inlineStr">
        <is>
          <t>Consensus - Final LY M</t>
        </is>
      </c>
      <c r="I2025" t="n">
        <v>117</v>
      </c>
      <c r="J2025" t="n">
        <v>109</v>
      </c>
      <c r="K2025" t="n">
        <v>444</v>
      </c>
      <c r="L2025" t="n">
        <v>99</v>
      </c>
      <c r="M2025" t="n">
        <v>69</v>
      </c>
      <c r="N2025" t="n">
        <v>74</v>
      </c>
      <c r="O2025" t="n">
        <v>63</v>
      </c>
      <c r="P2025" t="n">
        <v>173</v>
      </c>
      <c r="Q2025" t="n">
        <v>105</v>
      </c>
      <c r="R2025" t="n">
        <v>91</v>
      </c>
      <c r="S2025" t="n">
        <v>47</v>
      </c>
      <c r="T2025" t="n">
        <v>49</v>
      </c>
    </row>
    <row r="2026">
      <c r="A2026" t="inlineStr">
        <is>
          <t>Kylie Makeup</t>
        </is>
      </c>
      <c r="B2026" t="inlineStr">
        <is>
          <t>Lips (01245)</t>
        </is>
      </c>
      <c r="C2026" t="inlineStr">
        <is>
          <t>Kylie Supple Kiss Lip Glaze (00006711)</t>
        </is>
      </c>
      <c r="D2026" s="1" t="n">
        <v>4064941130697</v>
      </c>
      <c r="E2026" t="inlineStr">
        <is>
          <t>KJ MU SPP GLZ LG 3 ML 002LIKE MAGIC IV</t>
        </is>
      </c>
      <c r="F2026" t="inlineStr">
        <is>
          <t>P_US_ALL_OTHERS</t>
        </is>
      </c>
      <c r="G2026" t="inlineStr">
        <is>
          <t>Month-2026.M09.W38</t>
        </is>
      </c>
      <c r="H2026" t="inlineStr">
        <is>
          <t>System FC - Final</t>
        </is>
      </c>
      <c r="I2026" t="n">
        <v>82</v>
      </c>
      <c r="J2026" t="n">
        <v>103</v>
      </c>
      <c r="K2026" t="n">
        <v>89</v>
      </c>
      <c r="L2026" t="n">
        <v>88</v>
      </c>
      <c r="M2026" t="n">
        <v>142</v>
      </c>
      <c r="N2026" t="n">
        <v>110</v>
      </c>
      <c r="O2026" t="n">
        <v>102</v>
      </c>
      <c r="P2026" t="n">
        <v>148</v>
      </c>
      <c r="Q2026" t="n">
        <v>84</v>
      </c>
      <c r="R2026" t="n">
        <v>98</v>
      </c>
      <c r="S2026" t="n">
        <v>208</v>
      </c>
      <c r="T2026" t="n">
        <v>177</v>
      </c>
    </row>
    <row r="2027">
      <c r="A2027" t="inlineStr">
        <is>
          <t>Kylie Makeup</t>
        </is>
      </c>
      <c r="B2027" t="inlineStr">
        <is>
          <t>Lips (01245)</t>
        </is>
      </c>
      <c r="C2027" t="inlineStr">
        <is>
          <t>Kylie Supple Kiss Lip Glaze (00006711)</t>
        </is>
      </c>
      <c r="D2027" s="1" t="n">
        <v>4064941130697</v>
      </c>
      <c r="E2027" t="inlineStr">
        <is>
          <t>KJ MU SPP GLZ LG 3 ML 002LIKE MAGIC IV</t>
        </is>
      </c>
      <c r="F2027" t="inlineStr">
        <is>
          <t>P_US_ALL_OTHERS</t>
        </is>
      </c>
      <c r="G2027" t="inlineStr">
        <is>
          <t>Month-2026.M09.W38</t>
        </is>
      </c>
      <c r="H2027" t="inlineStr">
        <is>
          <t>EPOS</t>
        </is>
      </c>
      <c r="I2027" t="n">
        <v>93</v>
      </c>
    </row>
    <row r="2028">
      <c r="A2028" t="inlineStr">
        <is>
          <t>Kylie Makeup</t>
        </is>
      </c>
      <c r="B2028" t="inlineStr">
        <is>
          <t>Lips (01245)</t>
        </is>
      </c>
      <c r="C2028" t="inlineStr">
        <is>
          <t>Kylie Supple Kiss Lip Glaze (00006711)</t>
        </is>
      </c>
      <c r="D2028" s="1" t="n">
        <v>4064941130697</v>
      </c>
      <c r="E2028" t="inlineStr">
        <is>
          <t>KJ MU SPP GLZ LG 3 ML 002LIKE MAGIC IV</t>
        </is>
      </c>
      <c r="F2028" t="inlineStr">
        <is>
          <t>P_US_ALL_OTHERS</t>
        </is>
      </c>
      <c r="G2028" t="inlineStr">
        <is>
          <t>Month-2026.M09.W38</t>
        </is>
      </c>
      <c r="H2028" t="inlineStr">
        <is>
          <t>Reasonability Adjustment</t>
        </is>
      </c>
      <c r="S2028" t="n">
        <v>-20</v>
      </c>
      <c r="T2028" t="n">
        <v>-149</v>
      </c>
    </row>
    <row r="2029">
      <c r="A2029" t="inlineStr">
        <is>
          <t>Kylie Makeup</t>
        </is>
      </c>
      <c r="B2029" t="inlineStr">
        <is>
          <t>Lips (01245)</t>
        </is>
      </c>
      <c r="C2029" t="inlineStr">
        <is>
          <t>Kylie Supple Kiss Lip Glaze (00006711)</t>
        </is>
      </c>
      <c r="D2029" s="1" t="n">
        <v>4064941130697</v>
      </c>
      <c r="E2029" t="inlineStr">
        <is>
          <t>KJ MU SPP GLZ LG 3 ML 002LIKE MAGIC IV</t>
        </is>
      </c>
      <c r="F2029" t="inlineStr">
        <is>
          <t>P_US_ALL_OTHERS</t>
        </is>
      </c>
      <c r="G2029" t="inlineStr">
        <is>
          <t>Month-2026.M09.W38</t>
        </is>
      </c>
      <c r="H2029" t="inlineStr">
        <is>
          <t>Total Demand Assumption</t>
        </is>
      </c>
    </row>
    <row r="2030">
      <c r="A2030" t="inlineStr">
        <is>
          <t>Kylie Makeup</t>
        </is>
      </c>
      <c r="B2030" t="inlineStr">
        <is>
          <t>Lips (01245)</t>
        </is>
      </c>
      <c r="C2030" t="inlineStr">
        <is>
          <t>Kylie Supple Kiss Lip Glaze (00006711)</t>
        </is>
      </c>
      <c r="D2030" s="1" t="n">
        <v>4064941130697</v>
      </c>
      <c r="E2030" t="inlineStr">
        <is>
          <t>KJ MU SPP GLZ LG 3 ML 002LIKE MAGIC IV</t>
        </is>
      </c>
      <c r="F2030" t="inlineStr">
        <is>
          <t>P_US_ALL_OTHERS</t>
        </is>
      </c>
      <c r="G2030" t="inlineStr">
        <is>
          <t>Month-2026.M09.W38</t>
        </is>
      </c>
      <c r="H2030" t="inlineStr">
        <is>
          <t>Consensus - Final</t>
        </is>
      </c>
      <c r="I2030" t="n">
        <v>82</v>
      </c>
      <c r="J2030" t="n">
        <v>103</v>
      </c>
      <c r="K2030" t="n">
        <v>252</v>
      </c>
      <c r="L2030" t="n">
        <v>88</v>
      </c>
      <c r="M2030" t="n">
        <v>142</v>
      </c>
      <c r="N2030" t="n">
        <v>110</v>
      </c>
      <c r="O2030" t="n">
        <v>102</v>
      </c>
      <c r="P2030" t="n">
        <v>148</v>
      </c>
      <c r="Q2030" t="n">
        <v>84</v>
      </c>
      <c r="R2030" t="n">
        <v>98</v>
      </c>
      <c r="S2030" t="n">
        <v>188</v>
      </c>
      <c r="T2030" t="n">
        <v>28</v>
      </c>
    </row>
    <row r="2031">
      <c r="A2031" t="inlineStr">
        <is>
          <t>Kylie Makeup</t>
        </is>
      </c>
      <c r="B2031" t="inlineStr">
        <is>
          <t>Lips (01245)</t>
        </is>
      </c>
      <c r="C2031" t="inlineStr">
        <is>
          <t>Kylie Supple Kiss Lip Glaze (00006711)</t>
        </is>
      </c>
      <c r="D2031" s="1" t="n">
        <v>4064941130697</v>
      </c>
      <c r="E2031" t="inlineStr">
        <is>
          <t>KJ MU SPP GLZ LG 3 ML 002LIKE MAGIC IV</t>
        </is>
      </c>
      <c r="F2031" t="inlineStr">
        <is>
          <t>P_US_ALL_OTHERS</t>
        </is>
      </c>
      <c r="G2031" t="inlineStr">
        <is>
          <t>Month-2026.M09.W38</t>
        </is>
      </c>
      <c r="H2031" t="inlineStr">
        <is>
          <t>Supply Cuts</t>
        </is>
      </c>
    </row>
    <row r="2032">
      <c r="A2032" t="inlineStr">
        <is>
          <t>Kylie Makeup</t>
        </is>
      </c>
      <c r="B2032" t="inlineStr">
        <is>
          <t>Lips (01245)</t>
        </is>
      </c>
      <c r="C2032" t="inlineStr">
        <is>
          <t>Kylie Supple Kiss Lip Glaze (00006711)</t>
        </is>
      </c>
      <c r="D2032" s="1" t="n">
        <v>4064941130697</v>
      </c>
      <c r="E2032" t="inlineStr">
        <is>
          <t>KJ MU SPP GLZ LG 3 ML 002LIKE MAGIC IV</t>
        </is>
      </c>
      <c r="F2032" t="inlineStr">
        <is>
          <t>P_US_FG</t>
        </is>
      </c>
      <c r="G2032" t="inlineStr">
        <is>
          <t>CurrentWorkingView</t>
        </is>
      </c>
      <c r="H2032" t="inlineStr">
        <is>
          <t>Consensus - Final LY M</t>
        </is>
      </c>
      <c r="K2032" t="n">
        <v>2</v>
      </c>
      <c r="L2032" t="n">
        <v>35</v>
      </c>
      <c r="N2032" t="n">
        <v>25</v>
      </c>
      <c r="O2032" t="n">
        <v>5</v>
      </c>
      <c r="Q2032" t="n">
        <v>27</v>
      </c>
      <c r="R2032" t="n">
        <v>60</v>
      </c>
      <c r="T2032" t="n">
        <v>15</v>
      </c>
    </row>
    <row r="2033">
      <c r="A2033" t="inlineStr">
        <is>
          <t>Kylie Makeup</t>
        </is>
      </c>
      <c r="B2033" t="inlineStr">
        <is>
          <t>Lips (01245)</t>
        </is>
      </c>
      <c r="C2033" t="inlineStr">
        <is>
          <t>Kylie Supple Kiss Lip Glaze (00006711)</t>
        </is>
      </c>
      <c r="D2033" s="1" t="n">
        <v>4064941130697</v>
      </c>
      <c r="E2033" t="inlineStr">
        <is>
          <t>KJ MU SPP GLZ LG 3 ML 002LIKE MAGIC IV</t>
        </is>
      </c>
      <c r="F2033" t="inlineStr">
        <is>
          <t>P_US_FG</t>
        </is>
      </c>
      <c r="G2033" t="inlineStr">
        <is>
          <t>CurrentWorkingView</t>
        </is>
      </c>
      <c r="H2033" t="inlineStr">
        <is>
          <t>System FC - Final</t>
        </is>
      </c>
      <c r="J2033" t="n">
        <v>25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177</v>
      </c>
      <c r="R2033" t="n">
        <v>17</v>
      </c>
      <c r="S2033" t="n">
        <v>0</v>
      </c>
      <c r="T2033" t="n">
        <v>0</v>
      </c>
    </row>
    <row r="2034">
      <c r="A2034" t="inlineStr">
        <is>
          <t>Kylie Makeup</t>
        </is>
      </c>
      <c r="B2034" t="inlineStr">
        <is>
          <t>Lips (01245)</t>
        </is>
      </c>
      <c r="C2034" t="inlineStr">
        <is>
          <t>Kylie Supple Kiss Lip Glaze (00006711)</t>
        </is>
      </c>
      <c r="D2034" s="1" t="n">
        <v>4064941130697</v>
      </c>
      <c r="E2034" t="inlineStr">
        <is>
          <t>KJ MU SPP GLZ LG 3 ML 002LIKE MAGIC IV</t>
        </is>
      </c>
      <c r="F2034" t="inlineStr">
        <is>
          <t>P_US_FG</t>
        </is>
      </c>
      <c r="G2034" t="inlineStr">
        <is>
          <t>CurrentWorkingView</t>
        </is>
      </c>
      <c r="H2034" t="inlineStr">
        <is>
          <t>EPOS</t>
        </is>
      </c>
    </row>
    <row r="2035">
      <c r="A2035" t="inlineStr">
        <is>
          <t>Kylie Makeup</t>
        </is>
      </c>
      <c r="B2035" t="inlineStr">
        <is>
          <t>Lips (01245)</t>
        </is>
      </c>
      <c r="C2035" t="inlineStr">
        <is>
          <t>Kylie Supple Kiss Lip Glaze (00006711)</t>
        </is>
      </c>
      <c r="D2035" s="1" t="n">
        <v>4064941130697</v>
      </c>
      <c r="E2035" t="inlineStr">
        <is>
          <t>KJ MU SPP GLZ LG 3 ML 002LIKE MAGIC IV</t>
        </is>
      </c>
      <c r="F2035" t="inlineStr">
        <is>
          <t>P_US_FG</t>
        </is>
      </c>
      <c r="G2035" t="inlineStr">
        <is>
          <t>CurrentWorkingView</t>
        </is>
      </c>
      <c r="H2035" t="inlineStr">
        <is>
          <t>Reasonability Adjustment</t>
        </is>
      </c>
    </row>
    <row r="2036">
      <c r="A2036" t="inlineStr">
        <is>
          <t>Kylie Makeup</t>
        </is>
      </c>
      <c r="B2036" t="inlineStr">
        <is>
          <t>Lips (01245)</t>
        </is>
      </c>
      <c r="C2036" t="inlineStr">
        <is>
          <t>Kylie Supple Kiss Lip Glaze (00006711)</t>
        </is>
      </c>
      <c r="D2036" s="1" t="n">
        <v>4064941130697</v>
      </c>
      <c r="E2036" t="inlineStr">
        <is>
          <t>KJ MU SPP GLZ LG 3 ML 002LIKE MAGIC IV</t>
        </is>
      </c>
      <c r="F2036" t="inlineStr">
        <is>
          <t>P_US_FG</t>
        </is>
      </c>
      <c r="G2036" t="inlineStr">
        <is>
          <t>CurrentWorkingView</t>
        </is>
      </c>
      <c r="H2036" t="inlineStr">
        <is>
          <t>Total Demand Assumption</t>
        </is>
      </c>
    </row>
    <row r="2037">
      <c r="A2037" t="inlineStr">
        <is>
          <t>Kylie Makeup</t>
        </is>
      </c>
      <c r="B2037" t="inlineStr">
        <is>
          <t>Lips (01245)</t>
        </is>
      </c>
      <c r="C2037" t="inlineStr">
        <is>
          <t>Kylie Supple Kiss Lip Glaze (00006711)</t>
        </is>
      </c>
      <c r="D2037" s="1" t="n">
        <v>4064941130697</v>
      </c>
      <c r="E2037" t="inlineStr">
        <is>
          <t>KJ MU SPP GLZ LG 3 ML 002LIKE MAGIC IV</t>
        </is>
      </c>
      <c r="F2037" t="inlineStr">
        <is>
          <t>P_US_FG</t>
        </is>
      </c>
      <c r="G2037" t="inlineStr">
        <is>
          <t>CurrentWorkingView</t>
        </is>
      </c>
      <c r="H2037" t="inlineStr">
        <is>
          <t>Consensus - Final</t>
        </is>
      </c>
      <c r="J2037" t="n">
        <v>25</v>
      </c>
      <c r="K2037" t="n">
        <v>0</v>
      </c>
    </row>
    <row r="2038">
      <c r="A2038" t="inlineStr">
        <is>
          <t>Kylie Makeup</t>
        </is>
      </c>
      <c r="B2038" t="inlineStr">
        <is>
          <t>Lips (01245)</t>
        </is>
      </c>
      <c r="C2038" t="inlineStr">
        <is>
          <t>Kylie Supple Kiss Lip Glaze (00006711)</t>
        </is>
      </c>
      <c r="D2038" s="1" t="n">
        <v>4064941130697</v>
      </c>
      <c r="E2038" t="inlineStr">
        <is>
          <t>KJ MU SPP GLZ LG 3 ML 002LIKE MAGIC IV</t>
        </is>
      </c>
      <c r="F2038" t="inlineStr">
        <is>
          <t>P_US_FG</t>
        </is>
      </c>
      <c r="G2038" t="inlineStr">
        <is>
          <t>CurrentWorkingView</t>
        </is>
      </c>
      <c r="H2038" t="inlineStr">
        <is>
          <t>Supply Cuts</t>
        </is>
      </c>
    </row>
    <row r="2039">
      <c r="A2039" t="inlineStr">
        <is>
          <t>Kylie Makeup</t>
        </is>
      </c>
      <c r="B2039" t="inlineStr">
        <is>
          <t>Lips (01245)</t>
        </is>
      </c>
      <c r="C2039" t="inlineStr">
        <is>
          <t>Kylie Supple Kiss Lip Glaze (00006711)</t>
        </is>
      </c>
      <c r="D2039" s="1" t="n">
        <v>4064941130697</v>
      </c>
      <c r="E2039" t="inlineStr">
        <is>
          <t>KJ MU SPP GLZ LG 3 ML 002LIKE MAGIC IV</t>
        </is>
      </c>
      <c r="F2039" t="inlineStr">
        <is>
          <t>P_US_FG</t>
        </is>
      </c>
      <c r="G2039" t="inlineStr">
        <is>
          <t>Month-2026.M09.W38</t>
        </is>
      </c>
      <c r="H2039" t="inlineStr">
        <is>
          <t>Consensus - Final LY M</t>
        </is>
      </c>
      <c r="K2039" t="n">
        <v>2</v>
      </c>
      <c r="L2039" t="n">
        <v>35</v>
      </c>
      <c r="N2039" t="n">
        <v>25</v>
      </c>
      <c r="O2039" t="n">
        <v>5</v>
      </c>
      <c r="Q2039" t="n">
        <v>27</v>
      </c>
      <c r="R2039" t="n">
        <v>60</v>
      </c>
      <c r="T2039" t="n">
        <v>15</v>
      </c>
    </row>
    <row r="2040">
      <c r="A2040" t="inlineStr">
        <is>
          <t>Kylie Makeup</t>
        </is>
      </c>
      <c r="B2040" t="inlineStr">
        <is>
          <t>Lips (01245)</t>
        </is>
      </c>
      <c r="C2040" t="inlineStr">
        <is>
          <t>Kylie Supple Kiss Lip Glaze (00006711)</t>
        </is>
      </c>
      <c r="D2040" s="1" t="n">
        <v>4064941130697</v>
      </c>
      <c r="E2040" t="inlineStr">
        <is>
          <t>KJ MU SPP GLZ LG 3 ML 002LIKE MAGIC IV</t>
        </is>
      </c>
      <c r="F2040" t="inlineStr">
        <is>
          <t>P_US_FG</t>
        </is>
      </c>
      <c r="G2040" t="inlineStr">
        <is>
          <t>Month-2026.M09.W38</t>
        </is>
      </c>
      <c r="H2040" t="inlineStr">
        <is>
          <t>System FC - Final</t>
        </is>
      </c>
      <c r="J2040" t="n">
        <v>25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190</v>
      </c>
      <c r="R2040" t="n">
        <v>22</v>
      </c>
      <c r="S2040" t="n">
        <v>4</v>
      </c>
      <c r="T2040" t="n">
        <v>0</v>
      </c>
    </row>
    <row r="2041">
      <c r="A2041" t="inlineStr">
        <is>
          <t>Kylie Makeup</t>
        </is>
      </c>
      <c r="B2041" t="inlineStr">
        <is>
          <t>Lips (01245)</t>
        </is>
      </c>
      <c r="C2041" t="inlineStr">
        <is>
          <t>Kylie Supple Kiss Lip Glaze (00006711)</t>
        </is>
      </c>
      <c r="D2041" s="1" t="n">
        <v>4064941130697</v>
      </c>
      <c r="E2041" t="inlineStr">
        <is>
          <t>KJ MU SPP GLZ LG 3 ML 002LIKE MAGIC IV</t>
        </is>
      </c>
      <c r="F2041" t="inlineStr">
        <is>
          <t>P_US_FG</t>
        </is>
      </c>
      <c r="G2041" t="inlineStr">
        <is>
          <t>Month-2026.M09.W38</t>
        </is>
      </c>
      <c r="H2041" t="inlineStr">
        <is>
          <t>EPOS</t>
        </is>
      </c>
    </row>
    <row r="2042">
      <c r="A2042" t="inlineStr">
        <is>
          <t>Kylie Makeup</t>
        </is>
      </c>
      <c r="B2042" t="inlineStr">
        <is>
          <t>Lips (01245)</t>
        </is>
      </c>
      <c r="C2042" t="inlineStr">
        <is>
          <t>Kylie Supple Kiss Lip Glaze (00006711)</t>
        </is>
      </c>
      <c r="D2042" s="1" t="n">
        <v>4064941130697</v>
      </c>
      <c r="E2042" t="inlineStr">
        <is>
          <t>KJ MU SPP GLZ LG 3 ML 002LIKE MAGIC IV</t>
        </is>
      </c>
      <c r="F2042" t="inlineStr">
        <is>
          <t>P_US_FG</t>
        </is>
      </c>
      <c r="G2042" t="inlineStr">
        <is>
          <t>Month-2026.M09.W38</t>
        </is>
      </c>
      <c r="H2042" t="inlineStr">
        <is>
          <t>Reasonability Adjustment</t>
        </is>
      </c>
    </row>
    <row r="2043">
      <c r="A2043" t="inlineStr">
        <is>
          <t>Kylie Makeup</t>
        </is>
      </c>
      <c r="B2043" t="inlineStr">
        <is>
          <t>Lips (01245)</t>
        </is>
      </c>
      <c r="C2043" t="inlineStr">
        <is>
          <t>Kylie Supple Kiss Lip Glaze (00006711)</t>
        </is>
      </c>
      <c r="D2043" s="1" t="n">
        <v>4064941130697</v>
      </c>
      <c r="E2043" t="inlineStr">
        <is>
          <t>KJ MU SPP GLZ LG 3 ML 002LIKE MAGIC IV</t>
        </is>
      </c>
      <c r="F2043" t="inlineStr">
        <is>
          <t>P_US_FG</t>
        </is>
      </c>
      <c r="G2043" t="inlineStr">
        <is>
          <t>Month-2026.M09.W38</t>
        </is>
      </c>
      <c r="H2043" t="inlineStr">
        <is>
          <t>Total Demand Assumption</t>
        </is>
      </c>
    </row>
    <row r="2044">
      <c r="A2044" t="inlineStr">
        <is>
          <t>Kylie Makeup</t>
        </is>
      </c>
      <c r="B2044" t="inlineStr">
        <is>
          <t>Lips (01245)</t>
        </is>
      </c>
      <c r="C2044" t="inlineStr">
        <is>
          <t>Kylie Supple Kiss Lip Glaze (00006711)</t>
        </is>
      </c>
      <c r="D2044" s="1" t="n">
        <v>4064941130697</v>
      </c>
      <c r="E2044" t="inlineStr">
        <is>
          <t>KJ MU SPP GLZ LG 3 ML 002LIKE MAGIC IV</t>
        </is>
      </c>
      <c r="F2044" t="inlineStr">
        <is>
          <t>P_US_FG</t>
        </is>
      </c>
      <c r="G2044" t="inlineStr">
        <is>
          <t>Month-2026.M09.W38</t>
        </is>
      </c>
      <c r="H2044" t="inlineStr">
        <is>
          <t>Consensus - Final</t>
        </is>
      </c>
      <c r="J2044" t="n">
        <v>25</v>
      </c>
      <c r="K2044" t="n">
        <v>0</v>
      </c>
    </row>
    <row r="2045">
      <c r="A2045" t="inlineStr">
        <is>
          <t>Kylie Makeup</t>
        </is>
      </c>
      <c r="B2045" t="inlineStr">
        <is>
          <t>Lips (01245)</t>
        </is>
      </c>
      <c r="C2045" t="inlineStr">
        <is>
          <t>Kylie Supple Kiss Lip Glaze (00006711)</t>
        </is>
      </c>
      <c r="D2045" s="1" t="n">
        <v>4064941130697</v>
      </c>
      <c r="E2045" t="inlineStr">
        <is>
          <t>KJ MU SPP GLZ LG 3 ML 002LIKE MAGIC IV</t>
        </is>
      </c>
      <c r="F2045" t="inlineStr">
        <is>
          <t>P_US_FG</t>
        </is>
      </c>
      <c r="G2045" t="inlineStr">
        <is>
          <t>Month-2026.M09.W38</t>
        </is>
      </c>
      <c r="H2045" t="inlineStr">
        <is>
          <t>Supply Cuts</t>
        </is>
      </c>
    </row>
    <row r="2046">
      <c r="A2046" t="inlineStr">
        <is>
          <t>Kylie Makeup</t>
        </is>
      </c>
      <c r="B2046" t="inlineStr">
        <is>
          <t>Lips (01245)</t>
        </is>
      </c>
      <c r="C2046" t="inlineStr">
        <is>
          <t>Kylie Supple Kiss Lip Glaze (00006711)</t>
        </is>
      </c>
      <c r="D2046" s="1" t="n">
        <v>4064941130697</v>
      </c>
      <c r="E2046" t="inlineStr">
        <is>
          <t>KJ MU SPP GLZ LG 3 ML 002LIKE MAGIC IV</t>
        </is>
      </c>
      <c r="F2046" t="inlineStr">
        <is>
          <t>P_US_ULTA</t>
        </is>
      </c>
      <c r="G2046" t="inlineStr">
        <is>
          <t>CurrentWorkingView</t>
        </is>
      </c>
      <c r="H2046" t="inlineStr">
        <is>
          <t>Consensus - Final LY M</t>
        </is>
      </c>
      <c r="I2046" t="n">
        <v>576</v>
      </c>
      <c r="J2046" t="n">
        <v>5184</v>
      </c>
      <c r="K2046" t="n">
        <v>384</v>
      </c>
      <c r="L2046" t="n">
        <v>960</v>
      </c>
      <c r="M2046" t="n">
        <v>672</v>
      </c>
      <c r="N2046" t="n">
        <v>288</v>
      </c>
      <c r="O2046" t="n">
        <v>480</v>
      </c>
      <c r="P2046" t="n">
        <v>288</v>
      </c>
      <c r="Q2046" t="n">
        <v>192</v>
      </c>
      <c r="S2046" t="n">
        <v>288</v>
      </c>
      <c r="T2046" t="n">
        <v>384</v>
      </c>
    </row>
    <row r="2047">
      <c r="A2047" t="inlineStr">
        <is>
          <t>Kylie Makeup</t>
        </is>
      </c>
      <c r="B2047" t="inlineStr">
        <is>
          <t>Lips (01245)</t>
        </is>
      </c>
      <c r="C2047" t="inlineStr">
        <is>
          <t>Kylie Supple Kiss Lip Glaze (00006711)</t>
        </is>
      </c>
      <c r="D2047" s="1" t="n">
        <v>4064941130697</v>
      </c>
      <c r="E2047" t="inlineStr">
        <is>
          <t>KJ MU SPP GLZ LG 3 ML 002LIKE MAGIC IV</t>
        </is>
      </c>
      <c r="F2047" t="inlineStr">
        <is>
          <t>P_US_ULTA</t>
        </is>
      </c>
      <c r="G2047" t="inlineStr">
        <is>
          <t>CurrentWorkingView</t>
        </is>
      </c>
      <c r="H2047" t="inlineStr">
        <is>
          <t>System FC - Final</t>
        </is>
      </c>
      <c r="I2047" t="n">
        <v>288</v>
      </c>
      <c r="J2047" t="n">
        <v>2592</v>
      </c>
      <c r="K2047" t="n">
        <v>956</v>
      </c>
      <c r="L2047" t="n">
        <v>363</v>
      </c>
      <c r="M2047" t="n">
        <v>327</v>
      </c>
      <c r="N2047" t="n">
        <v>291</v>
      </c>
      <c r="O2047" t="n">
        <v>257</v>
      </c>
      <c r="P2047" t="n">
        <v>224</v>
      </c>
      <c r="Q2047" t="n">
        <v>195</v>
      </c>
      <c r="R2047" t="n">
        <v>163</v>
      </c>
      <c r="S2047" t="n">
        <v>137</v>
      </c>
      <c r="T2047" t="n">
        <v>111</v>
      </c>
    </row>
    <row r="2048">
      <c r="A2048" t="inlineStr">
        <is>
          <t>Kylie Makeup</t>
        </is>
      </c>
      <c r="B2048" t="inlineStr">
        <is>
          <t>Lips (01245)</t>
        </is>
      </c>
      <c r="C2048" t="inlineStr">
        <is>
          <t>Kylie Supple Kiss Lip Glaze (00006711)</t>
        </is>
      </c>
      <c r="D2048" s="1" t="n">
        <v>4064941130697</v>
      </c>
      <c r="E2048" t="inlineStr">
        <is>
          <t>KJ MU SPP GLZ LG 3 ML 002LIKE MAGIC IV</t>
        </is>
      </c>
      <c r="F2048" t="inlineStr">
        <is>
          <t>P_US_ULTA</t>
        </is>
      </c>
      <c r="G2048" t="inlineStr">
        <is>
          <t>CurrentWorkingView</t>
        </is>
      </c>
      <c r="H2048" t="inlineStr">
        <is>
          <t>EPOS</t>
        </is>
      </c>
      <c r="I2048" t="n">
        <v>491</v>
      </c>
    </row>
    <row r="2049">
      <c r="A2049" t="inlineStr">
        <is>
          <t>Kylie Makeup</t>
        </is>
      </c>
      <c r="B2049" t="inlineStr">
        <is>
          <t>Lips (01245)</t>
        </is>
      </c>
      <c r="C2049" t="inlineStr">
        <is>
          <t>Kylie Supple Kiss Lip Glaze (00006711)</t>
        </is>
      </c>
      <c r="D2049" s="1" t="n">
        <v>4064941130697</v>
      </c>
      <c r="E2049" t="inlineStr">
        <is>
          <t>KJ MU SPP GLZ LG 3 ML 002LIKE MAGIC IV</t>
        </is>
      </c>
      <c r="F2049" t="inlineStr">
        <is>
          <t>P_US_ULTA</t>
        </is>
      </c>
      <c r="G2049" t="inlineStr">
        <is>
          <t>CurrentWorkingView</t>
        </is>
      </c>
      <c r="H2049" t="inlineStr">
        <is>
          <t>Reasonability Adjustment</t>
        </is>
      </c>
      <c r="R2049" t="n">
        <v>-172</v>
      </c>
      <c r="T2049" t="n">
        <v>-426</v>
      </c>
    </row>
    <row r="2050">
      <c r="A2050" t="inlineStr">
        <is>
          <t>Kylie Makeup</t>
        </is>
      </c>
      <c r="B2050" t="inlineStr">
        <is>
          <t>Lips (01245)</t>
        </is>
      </c>
      <c r="C2050" t="inlineStr">
        <is>
          <t>Kylie Supple Kiss Lip Glaze (00006711)</t>
        </is>
      </c>
      <c r="D2050" s="1" t="n">
        <v>4064941130697</v>
      </c>
      <c r="E2050" t="inlineStr">
        <is>
          <t>KJ MU SPP GLZ LG 3 ML 002LIKE MAGIC IV</t>
        </is>
      </c>
      <c r="F2050" t="inlineStr">
        <is>
          <t>P_US_ULTA</t>
        </is>
      </c>
      <c r="G2050" t="inlineStr">
        <is>
          <t>CurrentWorkingView</t>
        </is>
      </c>
      <c r="H2050" t="inlineStr">
        <is>
          <t>Total Demand Assumption</t>
        </is>
      </c>
      <c r="I2050" t="n">
        <v>418</v>
      </c>
      <c r="J2050" t="n">
        <v>2492</v>
      </c>
      <c r="L2050" t="n">
        <v>-100</v>
      </c>
      <c r="M2050" t="n">
        <v>-100</v>
      </c>
      <c r="N2050" t="n">
        <v>-200</v>
      </c>
    </row>
    <row r="2051">
      <c r="A2051" t="inlineStr">
        <is>
          <t>Kylie Makeup</t>
        </is>
      </c>
      <c r="B2051" t="inlineStr">
        <is>
          <t>Lips (01245)</t>
        </is>
      </c>
      <c r="C2051" t="inlineStr">
        <is>
          <t>Kylie Supple Kiss Lip Glaze (00006711)</t>
        </is>
      </c>
      <c r="D2051" s="1" t="n">
        <v>4064941130697</v>
      </c>
      <c r="E2051" t="inlineStr">
        <is>
          <t>KJ MU SPP GLZ LG 3 ML 002LIKE MAGIC IV</t>
        </is>
      </c>
      <c r="F2051" t="inlineStr">
        <is>
          <t>P_US_ULTA</t>
        </is>
      </c>
      <c r="G2051" t="inlineStr">
        <is>
          <t>CurrentWorkingView</t>
        </is>
      </c>
      <c r="H2051" t="inlineStr">
        <is>
          <t>Consensus - Final</t>
        </is>
      </c>
      <c r="I2051" t="n">
        <v>288</v>
      </c>
      <c r="J2051" t="n">
        <v>2592</v>
      </c>
      <c r="K2051" t="n">
        <v>864</v>
      </c>
      <c r="L2051" t="n">
        <v>266</v>
      </c>
      <c r="M2051" t="n">
        <v>230</v>
      </c>
      <c r="N2051" t="n">
        <v>91</v>
      </c>
      <c r="O2051" t="n">
        <v>257</v>
      </c>
      <c r="P2051" t="n">
        <v>224</v>
      </c>
      <c r="Q2051" t="n">
        <v>195</v>
      </c>
      <c r="S2051" t="n">
        <v>137</v>
      </c>
    </row>
    <row r="2052">
      <c r="A2052" t="inlineStr">
        <is>
          <t>Kylie Makeup</t>
        </is>
      </c>
      <c r="B2052" t="inlineStr">
        <is>
          <t>Lips (01245)</t>
        </is>
      </c>
      <c r="C2052" t="inlineStr">
        <is>
          <t>Kylie Supple Kiss Lip Glaze (00006711)</t>
        </is>
      </c>
      <c r="D2052" s="1" t="n">
        <v>4064941130697</v>
      </c>
      <c r="E2052" t="inlineStr">
        <is>
          <t>KJ MU SPP GLZ LG 3 ML 002LIKE MAGIC IV</t>
        </is>
      </c>
      <c r="F2052" t="inlineStr">
        <is>
          <t>P_US_ULTA</t>
        </is>
      </c>
      <c r="G2052" t="inlineStr">
        <is>
          <t>CurrentWorkingView</t>
        </is>
      </c>
      <c r="H2052" t="inlineStr">
        <is>
          <t>Supply Cuts</t>
        </is>
      </c>
    </row>
    <row r="2053">
      <c r="A2053" t="inlineStr">
        <is>
          <t>Kylie Makeup</t>
        </is>
      </c>
      <c r="B2053" t="inlineStr">
        <is>
          <t>Lips (01245)</t>
        </is>
      </c>
      <c r="C2053" t="inlineStr">
        <is>
          <t>Kylie Supple Kiss Lip Glaze (00006711)</t>
        </is>
      </c>
      <c r="D2053" s="1" t="n">
        <v>4064941130697</v>
      </c>
      <c r="E2053" t="inlineStr">
        <is>
          <t>KJ MU SPP GLZ LG 3 ML 002LIKE MAGIC IV</t>
        </is>
      </c>
      <c r="F2053" t="inlineStr">
        <is>
          <t>P_US_ULTA</t>
        </is>
      </c>
      <c r="G2053" t="inlineStr">
        <is>
          <t>Month-2026.M09.W38</t>
        </is>
      </c>
      <c r="H2053" t="inlineStr">
        <is>
          <t>Consensus - Final LY M</t>
        </is>
      </c>
      <c r="I2053" t="n">
        <v>576</v>
      </c>
      <c r="J2053" t="n">
        <v>5184</v>
      </c>
      <c r="K2053" t="n">
        <v>384</v>
      </c>
      <c r="L2053" t="n">
        <v>960</v>
      </c>
      <c r="M2053" t="n">
        <v>672</v>
      </c>
      <c r="N2053" t="n">
        <v>288</v>
      </c>
      <c r="O2053" t="n">
        <v>480</v>
      </c>
      <c r="P2053" t="n">
        <v>288</v>
      </c>
      <c r="Q2053" t="n">
        <v>192</v>
      </c>
      <c r="S2053" t="n">
        <v>288</v>
      </c>
      <c r="T2053" t="n">
        <v>384</v>
      </c>
    </row>
    <row r="2054">
      <c r="A2054" t="inlineStr">
        <is>
          <t>Kylie Makeup</t>
        </is>
      </c>
      <c r="B2054" t="inlineStr">
        <is>
          <t>Lips (01245)</t>
        </is>
      </c>
      <c r="C2054" t="inlineStr">
        <is>
          <t>Kylie Supple Kiss Lip Glaze (00006711)</t>
        </is>
      </c>
      <c r="D2054" s="1" t="n">
        <v>4064941130697</v>
      </c>
      <c r="E2054" t="inlineStr">
        <is>
          <t>KJ MU SPP GLZ LG 3 ML 002LIKE MAGIC IV</t>
        </is>
      </c>
      <c r="F2054" t="inlineStr">
        <is>
          <t>P_US_ULTA</t>
        </is>
      </c>
      <c r="G2054" t="inlineStr">
        <is>
          <t>Month-2026.M09.W38</t>
        </is>
      </c>
      <c r="H2054" t="inlineStr">
        <is>
          <t>System FC - Final</t>
        </is>
      </c>
      <c r="I2054" t="n">
        <v>288</v>
      </c>
      <c r="J2054" t="n">
        <v>2592</v>
      </c>
      <c r="K2054" t="n">
        <v>903</v>
      </c>
      <c r="L2054" t="n">
        <v>141</v>
      </c>
      <c r="M2054" t="n">
        <v>102</v>
      </c>
      <c r="N2054" t="n">
        <v>62</v>
      </c>
      <c r="O2054" t="n">
        <v>26</v>
      </c>
      <c r="P2054" t="n">
        <v>0</v>
      </c>
      <c r="Q2054" t="n">
        <v>0</v>
      </c>
      <c r="R2054" t="n">
        <v>0</v>
      </c>
      <c r="S2054" t="n">
        <v>0</v>
      </c>
      <c r="T2054" t="n">
        <v>170</v>
      </c>
    </row>
    <row r="2055">
      <c r="A2055" t="inlineStr">
        <is>
          <t>Kylie Makeup</t>
        </is>
      </c>
      <c r="B2055" t="inlineStr">
        <is>
          <t>Lips (01245)</t>
        </is>
      </c>
      <c r="C2055" t="inlineStr">
        <is>
          <t>Kylie Supple Kiss Lip Glaze (00006711)</t>
        </is>
      </c>
      <c r="D2055" s="1" t="n">
        <v>4064941130697</v>
      </c>
      <c r="E2055" t="inlineStr">
        <is>
          <t>KJ MU SPP GLZ LG 3 ML 002LIKE MAGIC IV</t>
        </is>
      </c>
      <c r="F2055" t="inlineStr">
        <is>
          <t>P_US_ULTA</t>
        </is>
      </c>
      <c r="G2055" t="inlineStr">
        <is>
          <t>Month-2026.M09.W38</t>
        </is>
      </c>
      <c r="H2055" t="inlineStr">
        <is>
          <t>EPOS</t>
        </is>
      </c>
      <c r="I2055" t="n">
        <v>491</v>
      </c>
    </row>
    <row r="2056">
      <c r="A2056" t="inlineStr">
        <is>
          <t>Kylie Makeup</t>
        </is>
      </c>
      <c r="B2056" t="inlineStr">
        <is>
          <t>Lips (01245)</t>
        </is>
      </c>
      <c r="C2056" t="inlineStr">
        <is>
          <t>Kylie Supple Kiss Lip Glaze (00006711)</t>
        </is>
      </c>
      <c r="D2056" s="1" t="n">
        <v>4064941130697</v>
      </c>
      <c r="E2056" t="inlineStr">
        <is>
          <t>KJ MU SPP GLZ LG 3 ML 002LIKE MAGIC IV</t>
        </is>
      </c>
      <c r="F2056" t="inlineStr">
        <is>
          <t>P_US_ULTA</t>
        </is>
      </c>
      <c r="G2056" t="inlineStr">
        <is>
          <t>Month-2026.M09.W38</t>
        </is>
      </c>
      <c r="H2056" t="inlineStr">
        <is>
          <t>Reasonability Adjustment</t>
        </is>
      </c>
      <c r="R2056" t="n">
        <v>-172</v>
      </c>
      <c r="T2056" t="n">
        <v>-426</v>
      </c>
    </row>
    <row r="2057">
      <c r="A2057" t="inlineStr">
        <is>
          <t>Kylie Makeup</t>
        </is>
      </c>
      <c r="B2057" t="inlineStr">
        <is>
          <t>Lips (01245)</t>
        </is>
      </c>
      <c r="C2057" t="inlineStr">
        <is>
          <t>Kylie Supple Kiss Lip Glaze (00006711)</t>
        </is>
      </c>
      <c r="D2057" s="1" t="n">
        <v>4064941130697</v>
      </c>
      <c r="E2057" t="inlineStr">
        <is>
          <t>KJ MU SPP GLZ LG 3 ML 002LIKE MAGIC IV</t>
        </is>
      </c>
      <c r="F2057" t="inlineStr">
        <is>
          <t>P_US_ULTA</t>
        </is>
      </c>
      <c r="G2057" t="inlineStr">
        <is>
          <t>Month-2026.M09.W38</t>
        </is>
      </c>
      <c r="H2057" t="inlineStr">
        <is>
          <t>Total Demand Assumption</t>
        </is>
      </c>
      <c r="I2057" t="n">
        <v>418</v>
      </c>
      <c r="J2057" t="n">
        <v>2492</v>
      </c>
      <c r="L2057" t="n">
        <v>-100</v>
      </c>
      <c r="M2057" t="n">
        <v>-100</v>
      </c>
      <c r="N2057" t="n">
        <v>-200</v>
      </c>
    </row>
    <row r="2058">
      <c r="A2058" t="inlineStr">
        <is>
          <t>Kylie Makeup</t>
        </is>
      </c>
      <c r="B2058" t="inlineStr">
        <is>
          <t>Lips (01245)</t>
        </is>
      </c>
      <c r="C2058" t="inlineStr">
        <is>
          <t>Kylie Supple Kiss Lip Glaze (00006711)</t>
        </is>
      </c>
      <c r="D2058" s="1" t="n">
        <v>4064941130697</v>
      </c>
      <c r="E2058" t="inlineStr">
        <is>
          <t>KJ MU SPP GLZ LG 3 ML 002LIKE MAGIC IV</t>
        </is>
      </c>
      <c r="F2058" t="inlineStr">
        <is>
          <t>P_US_ULTA</t>
        </is>
      </c>
      <c r="G2058" t="inlineStr">
        <is>
          <t>Month-2026.M09.W38</t>
        </is>
      </c>
      <c r="H2058" t="inlineStr">
        <is>
          <t>Consensus - Final</t>
        </is>
      </c>
      <c r="I2058" t="n">
        <v>288</v>
      </c>
      <c r="J2058" t="n">
        <v>2592</v>
      </c>
      <c r="K2058" t="n">
        <v>768</v>
      </c>
      <c r="L2058" t="n">
        <v>50</v>
      </c>
      <c r="M2058" t="n">
        <v>2</v>
      </c>
      <c r="O2058" t="n">
        <v>26</v>
      </c>
    </row>
    <row r="2059">
      <c r="A2059" t="inlineStr">
        <is>
          <t>Kylie Makeup</t>
        </is>
      </c>
      <c r="B2059" t="inlineStr">
        <is>
          <t>Lips (01245)</t>
        </is>
      </c>
      <c r="C2059" t="inlineStr">
        <is>
          <t>Kylie Supple Kiss Lip Glaze (00006711)</t>
        </is>
      </c>
      <c r="D2059" s="1" t="n">
        <v>4064941130697</v>
      </c>
      <c r="E2059" t="inlineStr">
        <is>
          <t>KJ MU SPP GLZ LG 3 ML 002LIKE MAGIC IV</t>
        </is>
      </c>
      <c r="F2059" t="inlineStr">
        <is>
          <t>P_US_ULTA</t>
        </is>
      </c>
      <c r="G2059" t="inlineStr">
        <is>
          <t>Month-2026.M09.W38</t>
        </is>
      </c>
      <c r="H2059" t="inlineStr">
        <is>
          <t>Supply Cuts</t>
        </is>
      </c>
    </row>
    <row r="2060">
      <c r="A2060" t="inlineStr">
        <is>
          <t>Kylie Makeup</t>
        </is>
      </c>
      <c r="B2060" t="inlineStr">
        <is>
          <t>Lips (01245)</t>
        </is>
      </c>
      <c r="C2060" t="inlineStr">
        <is>
          <t>Kylie Supple Kiss Lip Glaze (00006711)</t>
        </is>
      </c>
      <c r="D2060" s="1" t="n">
        <v>4064941130703</v>
      </c>
      <c r="E2060" t="inlineStr">
        <is>
          <t>KJ MU SPP GLZ LG 3 ML 003ROSE BLOOM IV</t>
        </is>
      </c>
      <c r="F2060" t="inlineStr">
        <is>
          <t>P_US_ALL_OTHERS</t>
        </is>
      </c>
      <c r="G2060" t="inlineStr">
        <is>
          <t>CurrentWorkingView</t>
        </is>
      </c>
      <c r="H2060" t="inlineStr">
        <is>
          <t>Consensus - Final LY M</t>
        </is>
      </c>
      <c r="I2060" t="n">
        <v>108</v>
      </c>
      <c r="J2060" t="n">
        <v>105</v>
      </c>
      <c r="K2060" t="n">
        <v>235</v>
      </c>
      <c r="L2060" t="n">
        <v>60</v>
      </c>
      <c r="M2060" t="n">
        <v>55</v>
      </c>
      <c r="N2060" t="n">
        <v>50</v>
      </c>
      <c r="O2060" t="n">
        <v>83</v>
      </c>
      <c r="P2060" t="n">
        <v>161</v>
      </c>
      <c r="Q2060" t="n">
        <v>58</v>
      </c>
      <c r="R2060" t="n">
        <v>77</v>
      </c>
      <c r="S2060" t="n">
        <v>59</v>
      </c>
      <c r="T2060" t="n">
        <v>39</v>
      </c>
    </row>
    <row r="2061">
      <c r="A2061" t="inlineStr">
        <is>
          <t>Kylie Makeup</t>
        </is>
      </c>
      <c r="B2061" t="inlineStr">
        <is>
          <t>Lips (01245)</t>
        </is>
      </c>
      <c r="C2061" t="inlineStr">
        <is>
          <t>Kylie Supple Kiss Lip Glaze (00006711)</t>
        </is>
      </c>
      <c r="D2061" s="1" t="n">
        <v>4064941130703</v>
      </c>
      <c r="E2061" t="inlineStr">
        <is>
          <t>KJ MU SPP GLZ LG 3 ML 003ROSE BLOOM IV</t>
        </is>
      </c>
      <c r="F2061" t="inlineStr">
        <is>
          <t>P_US_ALL_OTHERS</t>
        </is>
      </c>
      <c r="G2061" t="inlineStr">
        <is>
          <t>CurrentWorkingView</t>
        </is>
      </c>
      <c r="H2061" t="inlineStr">
        <is>
          <t>System FC - Final</t>
        </is>
      </c>
      <c r="I2061" t="n">
        <v>58</v>
      </c>
      <c r="J2061" t="n">
        <v>91</v>
      </c>
      <c r="K2061" t="n">
        <v>25</v>
      </c>
      <c r="L2061" t="n">
        <v>71</v>
      </c>
      <c r="M2061" t="n">
        <v>4</v>
      </c>
      <c r="N2061" t="n">
        <v>322</v>
      </c>
      <c r="O2061" t="n">
        <v>111</v>
      </c>
      <c r="P2061" t="n">
        <v>140</v>
      </c>
      <c r="Q2061" t="n">
        <v>111</v>
      </c>
      <c r="R2061" t="n">
        <v>77</v>
      </c>
      <c r="S2061" t="n">
        <v>53</v>
      </c>
      <c r="T2061" t="n">
        <v>0</v>
      </c>
    </row>
    <row r="2062">
      <c r="A2062" t="inlineStr">
        <is>
          <t>Kylie Makeup</t>
        </is>
      </c>
      <c r="B2062" t="inlineStr">
        <is>
          <t>Lips (01245)</t>
        </is>
      </c>
      <c r="C2062" t="inlineStr">
        <is>
          <t>Kylie Supple Kiss Lip Glaze (00006711)</t>
        </is>
      </c>
      <c r="D2062" s="1" t="n">
        <v>4064941130703</v>
      </c>
      <c r="E2062" t="inlineStr">
        <is>
          <t>KJ MU SPP GLZ LG 3 ML 003ROSE BLOOM IV</t>
        </is>
      </c>
      <c r="F2062" t="inlineStr">
        <is>
          <t>P_US_ALL_OTHERS</t>
        </is>
      </c>
      <c r="G2062" t="inlineStr">
        <is>
          <t>CurrentWorkingView</t>
        </is>
      </c>
      <c r="H2062" t="inlineStr">
        <is>
          <t>EPOS</t>
        </is>
      </c>
      <c r="I2062" t="n">
        <v>67</v>
      </c>
    </row>
    <row r="2063">
      <c r="A2063" t="inlineStr">
        <is>
          <t>Kylie Makeup</t>
        </is>
      </c>
      <c r="B2063" t="inlineStr">
        <is>
          <t>Lips (01245)</t>
        </is>
      </c>
      <c r="C2063" t="inlineStr">
        <is>
          <t>Kylie Supple Kiss Lip Glaze (00006711)</t>
        </is>
      </c>
      <c r="D2063" s="1" t="n">
        <v>4064941130703</v>
      </c>
      <c r="E2063" t="inlineStr">
        <is>
          <t>KJ MU SPP GLZ LG 3 ML 003ROSE BLOOM IV</t>
        </is>
      </c>
      <c r="F2063" t="inlineStr">
        <is>
          <t>P_US_ALL_OTHERS</t>
        </is>
      </c>
      <c r="G2063" t="inlineStr">
        <is>
          <t>CurrentWorkingView</t>
        </is>
      </c>
      <c r="H2063" t="inlineStr">
        <is>
          <t>Reasonability Adjustment</t>
        </is>
      </c>
      <c r="T2063" t="n">
        <v>-137</v>
      </c>
    </row>
    <row r="2064">
      <c r="A2064" t="inlineStr">
        <is>
          <t>Kylie Makeup</t>
        </is>
      </c>
      <c r="B2064" t="inlineStr">
        <is>
          <t>Lips (01245)</t>
        </is>
      </c>
      <c r="C2064" t="inlineStr">
        <is>
          <t>Kylie Supple Kiss Lip Glaze (00006711)</t>
        </is>
      </c>
      <c r="D2064" s="1" t="n">
        <v>4064941130703</v>
      </c>
      <c r="E2064" t="inlineStr">
        <is>
          <t>KJ MU SPP GLZ LG 3 ML 003ROSE BLOOM IV</t>
        </is>
      </c>
      <c r="F2064" t="inlineStr">
        <is>
          <t>P_US_ALL_OTHERS</t>
        </is>
      </c>
      <c r="G2064" t="inlineStr">
        <is>
          <t>CurrentWorkingView</t>
        </is>
      </c>
      <c r="H2064" t="inlineStr">
        <is>
          <t>Total Demand Assumption</t>
        </is>
      </c>
    </row>
    <row r="2065">
      <c r="A2065" t="inlineStr">
        <is>
          <t>Kylie Makeup</t>
        </is>
      </c>
      <c r="B2065" t="inlineStr">
        <is>
          <t>Lips (01245)</t>
        </is>
      </c>
      <c r="C2065" t="inlineStr">
        <is>
          <t>Kylie Supple Kiss Lip Glaze (00006711)</t>
        </is>
      </c>
      <c r="D2065" s="1" t="n">
        <v>4064941130703</v>
      </c>
      <c r="E2065" t="inlineStr">
        <is>
          <t>KJ MU SPP GLZ LG 3 ML 003ROSE BLOOM IV</t>
        </is>
      </c>
      <c r="F2065" t="inlineStr">
        <is>
          <t>P_US_ALL_OTHERS</t>
        </is>
      </c>
      <c r="G2065" t="inlineStr">
        <is>
          <t>CurrentWorkingView</t>
        </is>
      </c>
      <c r="H2065" t="inlineStr">
        <is>
          <t>Consensus - Final</t>
        </is>
      </c>
      <c r="I2065" t="n">
        <v>58</v>
      </c>
      <c r="J2065" t="n">
        <v>91</v>
      </c>
      <c r="K2065" t="n">
        <v>51.5</v>
      </c>
      <c r="L2065" t="n">
        <v>71</v>
      </c>
      <c r="M2065" t="n">
        <v>4</v>
      </c>
      <c r="N2065" t="n">
        <v>322</v>
      </c>
      <c r="O2065" t="n">
        <v>111</v>
      </c>
      <c r="P2065" t="n">
        <v>140</v>
      </c>
      <c r="Q2065" t="n">
        <v>111</v>
      </c>
      <c r="R2065" t="n">
        <v>77</v>
      </c>
      <c r="S2065" t="n">
        <v>53</v>
      </c>
    </row>
    <row r="2066">
      <c r="A2066" t="inlineStr">
        <is>
          <t>Kylie Makeup</t>
        </is>
      </c>
      <c r="B2066" t="inlineStr">
        <is>
          <t>Lips (01245)</t>
        </is>
      </c>
      <c r="C2066" t="inlineStr">
        <is>
          <t>Kylie Supple Kiss Lip Glaze (00006711)</t>
        </is>
      </c>
      <c r="D2066" s="1" t="n">
        <v>4064941130703</v>
      </c>
      <c r="E2066" t="inlineStr">
        <is>
          <t>KJ MU SPP GLZ LG 3 ML 003ROSE BLOOM IV</t>
        </is>
      </c>
      <c r="F2066" t="inlineStr">
        <is>
          <t>P_US_ALL_OTHERS</t>
        </is>
      </c>
      <c r="G2066" t="inlineStr">
        <is>
          <t>CurrentWorkingView</t>
        </is>
      </c>
      <c r="H2066" t="inlineStr">
        <is>
          <t>Supply Cuts</t>
        </is>
      </c>
    </row>
    <row r="2067">
      <c r="A2067" t="inlineStr">
        <is>
          <t>Kylie Makeup</t>
        </is>
      </c>
      <c r="B2067" t="inlineStr">
        <is>
          <t>Lips (01245)</t>
        </is>
      </c>
      <c r="C2067" t="inlineStr">
        <is>
          <t>Kylie Supple Kiss Lip Glaze (00006711)</t>
        </is>
      </c>
      <c r="D2067" s="1" t="n">
        <v>4064941130703</v>
      </c>
      <c r="E2067" t="inlineStr">
        <is>
          <t>KJ MU SPP GLZ LG 3 ML 003ROSE BLOOM IV</t>
        </is>
      </c>
      <c r="F2067" t="inlineStr">
        <is>
          <t>P_US_ALL_OTHERS</t>
        </is>
      </c>
      <c r="G2067" t="inlineStr">
        <is>
          <t>Month-2026.M09.W38</t>
        </is>
      </c>
      <c r="H2067" t="inlineStr">
        <is>
          <t>Consensus - Final LY M</t>
        </is>
      </c>
      <c r="I2067" t="n">
        <v>108</v>
      </c>
      <c r="J2067" t="n">
        <v>105</v>
      </c>
      <c r="K2067" t="n">
        <v>235</v>
      </c>
      <c r="L2067" t="n">
        <v>60</v>
      </c>
      <c r="M2067" t="n">
        <v>55</v>
      </c>
      <c r="N2067" t="n">
        <v>50</v>
      </c>
      <c r="O2067" t="n">
        <v>83</v>
      </c>
      <c r="P2067" t="n">
        <v>161</v>
      </c>
      <c r="Q2067" t="n">
        <v>58</v>
      </c>
      <c r="R2067" t="n">
        <v>77</v>
      </c>
      <c r="S2067" t="n">
        <v>59</v>
      </c>
      <c r="T2067" t="n">
        <v>39</v>
      </c>
    </row>
    <row r="2068">
      <c r="A2068" t="inlineStr">
        <is>
          <t>Kylie Makeup</t>
        </is>
      </c>
      <c r="B2068" t="inlineStr">
        <is>
          <t>Lips (01245)</t>
        </is>
      </c>
      <c r="C2068" t="inlineStr">
        <is>
          <t>Kylie Supple Kiss Lip Glaze (00006711)</t>
        </is>
      </c>
      <c r="D2068" s="1" t="n">
        <v>4064941130703</v>
      </c>
      <c r="E2068" t="inlineStr">
        <is>
          <t>KJ MU SPP GLZ LG 3 ML 003ROSE BLOOM IV</t>
        </is>
      </c>
      <c r="F2068" t="inlineStr">
        <is>
          <t>P_US_ALL_OTHERS</t>
        </is>
      </c>
      <c r="G2068" t="inlineStr">
        <is>
          <t>Month-2026.M09.W38</t>
        </is>
      </c>
      <c r="H2068" t="inlineStr">
        <is>
          <t>System FC - Final</t>
        </is>
      </c>
      <c r="I2068" t="n">
        <v>58</v>
      </c>
      <c r="J2068" t="n">
        <v>91</v>
      </c>
      <c r="K2068" t="n">
        <v>23</v>
      </c>
      <c r="L2068" t="n">
        <v>31</v>
      </c>
      <c r="M2068" t="n">
        <v>0</v>
      </c>
      <c r="N2068" t="n">
        <v>248</v>
      </c>
      <c r="O2068" t="n">
        <v>102</v>
      </c>
      <c r="P2068" t="n">
        <v>148</v>
      </c>
      <c r="Q2068" t="n">
        <v>106</v>
      </c>
      <c r="R2068" t="n">
        <v>94</v>
      </c>
      <c r="S2068" t="n">
        <v>80</v>
      </c>
      <c r="T2068" t="n">
        <v>117</v>
      </c>
    </row>
    <row r="2069">
      <c r="A2069" t="inlineStr">
        <is>
          <t>Kylie Makeup</t>
        </is>
      </c>
      <c r="B2069" t="inlineStr">
        <is>
          <t>Lips (01245)</t>
        </is>
      </c>
      <c r="C2069" t="inlineStr">
        <is>
          <t>Kylie Supple Kiss Lip Glaze (00006711)</t>
        </is>
      </c>
      <c r="D2069" s="1" t="n">
        <v>4064941130703</v>
      </c>
      <c r="E2069" t="inlineStr">
        <is>
          <t>KJ MU SPP GLZ LG 3 ML 003ROSE BLOOM IV</t>
        </is>
      </c>
      <c r="F2069" t="inlineStr">
        <is>
          <t>P_US_ALL_OTHERS</t>
        </is>
      </c>
      <c r="G2069" t="inlineStr">
        <is>
          <t>Month-2026.M09.W38</t>
        </is>
      </c>
      <c r="H2069" t="inlineStr">
        <is>
          <t>EPOS</t>
        </is>
      </c>
      <c r="I2069" t="n">
        <v>67</v>
      </c>
    </row>
    <row r="2070">
      <c r="A2070" t="inlineStr">
        <is>
          <t>Kylie Makeup</t>
        </is>
      </c>
      <c r="B2070" t="inlineStr">
        <is>
          <t>Lips (01245)</t>
        </is>
      </c>
      <c r="C2070" t="inlineStr">
        <is>
          <t>Kylie Supple Kiss Lip Glaze (00006711)</t>
        </is>
      </c>
      <c r="D2070" s="1" t="n">
        <v>4064941130703</v>
      </c>
      <c r="E2070" t="inlineStr">
        <is>
          <t>KJ MU SPP GLZ LG 3 ML 003ROSE BLOOM IV</t>
        </is>
      </c>
      <c r="F2070" t="inlineStr">
        <is>
          <t>P_US_ALL_OTHERS</t>
        </is>
      </c>
      <c r="G2070" t="inlineStr">
        <is>
          <t>Month-2026.M09.W38</t>
        </is>
      </c>
      <c r="H2070" t="inlineStr">
        <is>
          <t>Reasonability Adjustment</t>
        </is>
      </c>
      <c r="T2070" t="n">
        <v>-137</v>
      </c>
    </row>
    <row r="2071">
      <c r="A2071" t="inlineStr">
        <is>
          <t>Kylie Makeup</t>
        </is>
      </c>
      <c r="B2071" t="inlineStr">
        <is>
          <t>Lips (01245)</t>
        </is>
      </c>
      <c r="C2071" t="inlineStr">
        <is>
          <t>Kylie Supple Kiss Lip Glaze (00006711)</t>
        </is>
      </c>
      <c r="D2071" s="1" t="n">
        <v>4064941130703</v>
      </c>
      <c r="E2071" t="inlineStr">
        <is>
          <t>KJ MU SPP GLZ LG 3 ML 003ROSE BLOOM IV</t>
        </is>
      </c>
      <c r="F2071" t="inlineStr">
        <is>
          <t>P_US_ALL_OTHERS</t>
        </is>
      </c>
      <c r="G2071" t="inlineStr">
        <is>
          <t>Month-2026.M09.W38</t>
        </is>
      </c>
      <c r="H2071" t="inlineStr">
        <is>
          <t>Total Demand Assumption</t>
        </is>
      </c>
    </row>
    <row r="2072">
      <c r="A2072" t="inlineStr">
        <is>
          <t>Kylie Makeup</t>
        </is>
      </c>
      <c r="B2072" t="inlineStr">
        <is>
          <t>Lips (01245)</t>
        </is>
      </c>
      <c r="C2072" t="inlineStr">
        <is>
          <t>Kylie Supple Kiss Lip Glaze (00006711)</t>
        </is>
      </c>
      <c r="D2072" s="1" t="n">
        <v>4064941130703</v>
      </c>
      <c r="E2072" t="inlineStr">
        <is>
          <t>KJ MU SPP GLZ LG 3 ML 003ROSE BLOOM IV</t>
        </is>
      </c>
      <c r="F2072" t="inlineStr">
        <is>
          <t>P_US_ALL_OTHERS</t>
        </is>
      </c>
      <c r="G2072" t="inlineStr">
        <is>
          <t>Month-2026.M09.W38</t>
        </is>
      </c>
      <c r="H2072" t="inlineStr">
        <is>
          <t>Consensus - Final</t>
        </is>
      </c>
      <c r="I2072" t="n">
        <v>58</v>
      </c>
      <c r="J2072" t="n">
        <v>91</v>
      </c>
      <c r="K2072" t="n">
        <v>60.5</v>
      </c>
      <c r="L2072" t="n">
        <v>31</v>
      </c>
      <c r="N2072" t="n">
        <v>248</v>
      </c>
      <c r="O2072" t="n">
        <v>102</v>
      </c>
      <c r="P2072" t="n">
        <v>148</v>
      </c>
      <c r="Q2072" t="n">
        <v>106</v>
      </c>
      <c r="R2072" t="n">
        <v>94</v>
      </c>
      <c r="S2072" t="n">
        <v>80</v>
      </c>
    </row>
    <row r="2073">
      <c r="A2073" t="inlineStr">
        <is>
          <t>Kylie Makeup</t>
        </is>
      </c>
      <c r="B2073" t="inlineStr">
        <is>
          <t>Lips (01245)</t>
        </is>
      </c>
      <c r="C2073" t="inlineStr">
        <is>
          <t>Kylie Supple Kiss Lip Glaze (00006711)</t>
        </is>
      </c>
      <c r="D2073" s="1" t="n">
        <v>4064941130703</v>
      </c>
      <c r="E2073" t="inlineStr">
        <is>
          <t>KJ MU SPP GLZ LG 3 ML 003ROSE BLOOM IV</t>
        </is>
      </c>
      <c r="F2073" t="inlineStr">
        <is>
          <t>P_US_ALL_OTHERS</t>
        </is>
      </c>
      <c r="G2073" t="inlineStr">
        <is>
          <t>Month-2026.M09.W38</t>
        </is>
      </c>
      <c r="H2073" t="inlineStr">
        <is>
          <t>Supply Cuts</t>
        </is>
      </c>
    </row>
    <row r="2074">
      <c r="A2074" t="inlineStr">
        <is>
          <t>Kylie Makeup</t>
        </is>
      </c>
      <c r="B2074" t="inlineStr">
        <is>
          <t>Lips (01245)</t>
        </is>
      </c>
      <c r="C2074" t="inlineStr">
        <is>
          <t>Kylie Supple Kiss Lip Glaze (00006711)</t>
        </is>
      </c>
      <c r="D2074" s="1" t="n">
        <v>4064941130703</v>
      </c>
      <c r="E2074" t="inlineStr">
        <is>
          <t>KJ MU SPP GLZ LG 3 ML 003ROSE BLOOM IV</t>
        </is>
      </c>
      <c r="F2074" t="inlineStr">
        <is>
          <t>P_US_FG</t>
        </is>
      </c>
      <c r="G2074" t="inlineStr">
        <is>
          <t>CurrentWorkingView</t>
        </is>
      </c>
      <c r="H2074" t="inlineStr">
        <is>
          <t>Consensus - Final LY M</t>
        </is>
      </c>
      <c r="N2074" t="n">
        <v>25</v>
      </c>
      <c r="O2074" t="n">
        <v>5</v>
      </c>
      <c r="Q2074" t="n">
        <v>27</v>
      </c>
      <c r="R2074" t="n">
        <v>60</v>
      </c>
    </row>
    <row r="2075">
      <c r="A2075" t="inlineStr">
        <is>
          <t>Kylie Makeup</t>
        </is>
      </c>
      <c r="B2075" t="inlineStr">
        <is>
          <t>Lips (01245)</t>
        </is>
      </c>
      <c r="C2075" t="inlineStr">
        <is>
          <t>Kylie Supple Kiss Lip Glaze (00006711)</t>
        </is>
      </c>
      <c r="D2075" s="1" t="n">
        <v>4064941130703</v>
      </c>
      <c r="E2075" t="inlineStr">
        <is>
          <t>KJ MU SPP GLZ LG 3 ML 003ROSE BLOOM IV</t>
        </is>
      </c>
      <c r="F2075" t="inlineStr">
        <is>
          <t>P_US_FG</t>
        </is>
      </c>
      <c r="G2075" t="inlineStr">
        <is>
          <t>CurrentWorkingView</t>
        </is>
      </c>
      <c r="H2075" t="inlineStr">
        <is>
          <t>System FC - Final</t>
        </is>
      </c>
      <c r="J2075" t="n">
        <v>25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13</v>
      </c>
      <c r="S2075" t="n">
        <v>44</v>
      </c>
      <c r="T2075" t="n">
        <v>0</v>
      </c>
    </row>
    <row r="2076">
      <c r="A2076" t="inlineStr">
        <is>
          <t>Kylie Makeup</t>
        </is>
      </c>
      <c r="B2076" t="inlineStr">
        <is>
          <t>Lips (01245)</t>
        </is>
      </c>
      <c r="C2076" t="inlineStr">
        <is>
          <t>Kylie Supple Kiss Lip Glaze (00006711)</t>
        </is>
      </c>
      <c r="D2076" s="1" t="n">
        <v>4064941130703</v>
      </c>
      <c r="E2076" t="inlineStr">
        <is>
          <t>KJ MU SPP GLZ LG 3 ML 003ROSE BLOOM IV</t>
        </is>
      </c>
      <c r="F2076" t="inlineStr">
        <is>
          <t>P_US_FG</t>
        </is>
      </c>
      <c r="G2076" t="inlineStr">
        <is>
          <t>CurrentWorkingView</t>
        </is>
      </c>
      <c r="H2076" t="inlineStr">
        <is>
          <t>EPOS</t>
        </is>
      </c>
    </row>
    <row r="2077">
      <c r="A2077" t="inlineStr">
        <is>
          <t>Kylie Makeup</t>
        </is>
      </c>
      <c r="B2077" t="inlineStr">
        <is>
          <t>Lips (01245)</t>
        </is>
      </c>
      <c r="C2077" t="inlineStr">
        <is>
          <t>Kylie Supple Kiss Lip Glaze (00006711)</t>
        </is>
      </c>
      <c r="D2077" s="1" t="n">
        <v>4064941130703</v>
      </c>
      <c r="E2077" t="inlineStr">
        <is>
          <t>KJ MU SPP GLZ LG 3 ML 003ROSE BLOOM IV</t>
        </is>
      </c>
      <c r="F2077" t="inlineStr">
        <is>
          <t>P_US_FG</t>
        </is>
      </c>
      <c r="G2077" t="inlineStr">
        <is>
          <t>CurrentWorkingView</t>
        </is>
      </c>
      <c r="H2077" t="inlineStr">
        <is>
          <t>Reasonability Adjustment</t>
        </is>
      </c>
    </row>
    <row r="2078">
      <c r="A2078" t="inlineStr">
        <is>
          <t>Kylie Makeup</t>
        </is>
      </c>
      <c r="B2078" t="inlineStr">
        <is>
          <t>Lips (01245)</t>
        </is>
      </c>
      <c r="C2078" t="inlineStr">
        <is>
          <t>Kylie Supple Kiss Lip Glaze (00006711)</t>
        </is>
      </c>
      <c r="D2078" s="1" t="n">
        <v>4064941130703</v>
      </c>
      <c r="E2078" t="inlineStr">
        <is>
          <t>KJ MU SPP GLZ LG 3 ML 003ROSE BLOOM IV</t>
        </is>
      </c>
      <c r="F2078" t="inlineStr">
        <is>
          <t>P_US_FG</t>
        </is>
      </c>
      <c r="G2078" t="inlineStr">
        <is>
          <t>CurrentWorkingView</t>
        </is>
      </c>
      <c r="H2078" t="inlineStr">
        <is>
          <t>Total Demand Assumption</t>
        </is>
      </c>
    </row>
    <row r="2079">
      <c r="A2079" t="inlineStr">
        <is>
          <t>Kylie Makeup</t>
        </is>
      </c>
      <c r="B2079" t="inlineStr">
        <is>
          <t>Lips (01245)</t>
        </is>
      </c>
      <c r="C2079" t="inlineStr">
        <is>
          <t>Kylie Supple Kiss Lip Glaze (00006711)</t>
        </is>
      </c>
      <c r="D2079" s="1" t="n">
        <v>4064941130703</v>
      </c>
      <c r="E2079" t="inlineStr">
        <is>
          <t>KJ MU SPP GLZ LG 3 ML 003ROSE BLOOM IV</t>
        </is>
      </c>
      <c r="F2079" t="inlineStr">
        <is>
          <t>P_US_FG</t>
        </is>
      </c>
      <c r="G2079" t="inlineStr">
        <is>
          <t>CurrentWorkingView</t>
        </is>
      </c>
      <c r="H2079" t="inlineStr">
        <is>
          <t>Consensus - Final</t>
        </is>
      </c>
      <c r="J2079" t="n">
        <v>25</v>
      </c>
      <c r="K2079" t="n">
        <v>0</v>
      </c>
    </row>
    <row r="2080">
      <c r="A2080" t="inlineStr">
        <is>
          <t>Kylie Makeup</t>
        </is>
      </c>
      <c r="B2080" t="inlineStr">
        <is>
          <t>Lips (01245)</t>
        </is>
      </c>
      <c r="C2080" t="inlineStr">
        <is>
          <t>Kylie Supple Kiss Lip Glaze (00006711)</t>
        </is>
      </c>
      <c r="D2080" s="1" t="n">
        <v>4064941130703</v>
      </c>
      <c r="E2080" t="inlineStr">
        <is>
          <t>KJ MU SPP GLZ LG 3 ML 003ROSE BLOOM IV</t>
        </is>
      </c>
      <c r="F2080" t="inlineStr">
        <is>
          <t>P_US_FG</t>
        </is>
      </c>
      <c r="G2080" t="inlineStr">
        <is>
          <t>CurrentWorkingView</t>
        </is>
      </c>
      <c r="H2080" t="inlineStr">
        <is>
          <t>Supply Cuts</t>
        </is>
      </c>
    </row>
    <row r="2081">
      <c r="A2081" t="inlineStr">
        <is>
          <t>Kylie Makeup</t>
        </is>
      </c>
      <c r="B2081" t="inlineStr">
        <is>
          <t>Lips (01245)</t>
        </is>
      </c>
      <c r="C2081" t="inlineStr">
        <is>
          <t>Kylie Supple Kiss Lip Glaze (00006711)</t>
        </is>
      </c>
      <c r="D2081" s="1" t="n">
        <v>4064941130703</v>
      </c>
      <c r="E2081" t="inlineStr">
        <is>
          <t>KJ MU SPP GLZ LG 3 ML 003ROSE BLOOM IV</t>
        </is>
      </c>
      <c r="F2081" t="inlineStr">
        <is>
          <t>P_US_FG</t>
        </is>
      </c>
      <c r="G2081" t="inlineStr">
        <is>
          <t>Month-2026.M09.W38</t>
        </is>
      </c>
      <c r="H2081" t="inlineStr">
        <is>
          <t>Consensus - Final LY M</t>
        </is>
      </c>
      <c r="N2081" t="n">
        <v>25</v>
      </c>
      <c r="O2081" t="n">
        <v>5</v>
      </c>
      <c r="Q2081" t="n">
        <v>27</v>
      </c>
      <c r="R2081" t="n">
        <v>60</v>
      </c>
    </row>
    <row r="2082">
      <c r="A2082" t="inlineStr">
        <is>
          <t>Kylie Makeup</t>
        </is>
      </c>
      <c r="B2082" t="inlineStr">
        <is>
          <t>Lips (01245)</t>
        </is>
      </c>
      <c r="C2082" t="inlineStr">
        <is>
          <t>Kylie Supple Kiss Lip Glaze (00006711)</t>
        </is>
      </c>
      <c r="D2082" s="1" t="n">
        <v>4064941130703</v>
      </c>
      <c r="E2082" t="inlineStr">
        <is>
          <t>KJ MU SPP GLZ LG 3 ML 003ROSE BLOOM IV</t>
        </is>
      </c>
      <c r="F2082" t="inlineStr">
        <is>
          <t>P_US_FG</t>
        </is>
      </c>
      <c r="G2082" t="inlineStr">
        <is>
          <t>Month-2026.M09.W38</t>
        </is>
      </c>
      <c r="H2082" t="inlineStr">
        <is>
          <t>System FC - Final</t>
        </is>
      </c>
      <c r="J2082" t="n">
        <v>25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18</v>
      </c>
      <c r="T2082" t="n">
        <v>0</v>
      </c>
    </row>
    <row r="2083">
      <c r="A2083" t="inlineStr">
        <is>
          <t>Kylie Makeup</t>
        </is>
      </c>
      <c r="B2083" t="inlineStr">
        <is>
          <t>Lips (01245)</t>
        </is>
      </c>
      <c r="C2083" t="inlineStr">
        <is>
          <t>Kylie Supple Kiss Lip Glaze (00006711)</t>
        </is>
      </c>
      <c r="D2083" s="1" t="n">
        <v>4064941130703</v>
      </c>
      <c r="E2083" t="inlineStr">
        <is>
          <t>KJ MU SPP GLZ LG 3 ML 003ROSE BLOOM IV</t>
        </is>
      </c>
      <c r="F2083" t="inlineStr">
        <is>
          <t>P_US_FG</t>
        </is>
      </c>
      <c r="G2083" t="inlineStr">
        <is>
          <t>Month-2026.M09.W38</t>
        </is>
      </c>
      <c r="H2083" t="inlineStr">
        <is>
          <t>EPOS</t>
        </is>
      </c>
    </row>
    <row r="2084">
      <c r="A2084" t="inlineStr">
        <is>
          <t>Kylie Makeup</t>
        </is>
      </c>
      <c r="B2084" t="inlineStr">
        <is>
          <t>Lips (01245)</t>
        </is>
      </c>
      <c r="C2084" t="inlineStr">
        <is>
          <t>Kylie Supple Kiss Lip Glaze (00006711)</t>
        </is>
      </c>
      <c r="D2084" s="1" t="n">
        <v>4064941130703</v>
      </c>
      <c r="E2084" t="inlineStr">
        <is>
          <t>KJ MU SPP GLZ LG 3 ML 003ROSE BLOOM IV</t>
        </is>
      </c>
      <c r="F2084" t="inlineStr">
        <is>
          <t>P_US_FG</t>
        </is>
      </c>
      <c r="G2084" t="inlineStr">
        <is>
          <t>Month-2026.M09.W38</t>
        </is>
      </c>
      <c r="H2084" t="inlineStr">
        <is>
          <t>Reasonability Adjustment</t>
        </is>
      </c>
    </row>
    <row r="2085">
      <c r="A2085" t="inlineStr">
        <is>
          <t>Kylie Makeup</t>
        </is>
      </c>
      <c r="B2085" t="inlineStr">
        <is>
          <t>Lips (01245)</t>
        </is>
      </c>
      <c r="C2085" t="inlineStr">
        <is>
          <t>Kylie Supple Kiss Lip Glaze (00006711)</t>
        </is>
      </c>
      <c r="D2085" s="1" t="n">
        <v>4064941130703</v>
      </c>
      <c r="E2085" t="inlineStr">
        <is>
          <t>KJ MU SPP GLZ LG 3 ML 003ROSE BLOOM IV</t>
        </is>
      </c>
      <c r="F2085" t="inlineStr">
        <is>
          <t>P_US_FG</t>
        </is>
      </c>
      <c r="G2085" t="inlineStr">
        <is>
          <t>Month-2026.M09.W38</t>
        </is>
      </c>
      <c r="H2085" t="inlineStr">
        <is>
          <t>Total Demand Assumption</t>
        </is>
      </c>
    </row>
    <row r="2086">
      <c r="A2086" t="inlineStr">
        <is>
          <t>Kylie Makeup</t>
        </is>
      </c>
      <c r="B2086" t="inlineStr">
        <is>
          <t>Lips (01245)</t>
        </is>
      </c>
      <c r="C2086" t="inlineStr">
        <is>
          <t>Kylie Supple Kiss Lip Glaze (00006711)</t>
        </is>
      </c>
      <c r="D2086" s="1" t="n">
        <v>4064941130703</v>
      </c>
      <c r="E2086" t="inlineStr">
        <is>
          <t>KJ MU SPP GLZ LG 3 ML 003ROSE BLOOM IV</t>
        </is>
      </c>
      <c r="F2086" t="inlineStr">
        <is>
          <t>P_US_FG</t>
        </is>
      </c>
      <c r="G2086" t="inlineStr">
        <is>
          <t>Month-2026.M09.W38</t>
        </is>
      </c>
      <c r="H2086" t="inlineStr">
        <is>
          <t>Consensus - Final</t>
        </is>
      </c>
      <c r="J2086" t="n">
        <v>25</v>
      </c>
      <c r="K2086" t="n">
        <v>0</v>
      </c>
    </row>
    <row r="2087">
      <c r="A2087" t="inlineStr">
        <is>
          <t>Kylie Makeup</t>
        </is>
      </c>
      <c r="B2087" t="inlineStr">
        <is>
          <t>Lips (01245)</t>
        </is>
      </c>
      <c r="C2087" t="inlineStr">
        <is>
          <t>Kylie Supple Kiss Lip Glaze (00006711)</t>
        </is>
      </c>
      <c r="D2087" s="1" t="n">
        <v>4064941130703</v>
      </c>
      <c r="E2087" t="inlineStr">
        <is>
          <t>KJ MU SPP GLZ LG 3 ML 003ROSE BLOOM IV</t>
        </is>
      </c>
      <c r="F2087" t="inlineStr">
        <is>
          <t>P_US_FG</t>
        </is>
      </c>
      <c r="G2087" t="inlineStr">
        <is>
          <t>Month-2026.M09.W38</t>
        </is>
      </c>
      <c r="H2087" t="inlineStr">
        <is>
          <t>Supply Cuts</t>
        </is>
      </c>
    </row>
    <row r="2088">
      <c r="A2088" t="inlineStr">
        <is>
          <t>Kylie Makeup</t>
        </is>
      </c>
      <c r="B2088" t="inlineStr">
        <is>
          <t>Lips (01245)</t>
        </is>
      </c>
      <c r="C2088" t="inlineStr">
        <is>
          <t>Kylie Supple Kiss Lip Glaze (00006711)</t>
        </is>
      </c>
      <c r="D2088" s="1" t="n">
        <v>4064941130703</v>
      </c>
      <c r="E2088" t="inlineStr">
        <is>
          <t>KJ MU SPP GLZ LG 3 ML 003ROSE BLOOM IV</t>
        </is>
      </c>
      <c r="F2088" t="inlineStr">
        <is>
          <t>P_US_ULTA</t>
        </is>
      </c>
      <c r="G2088" t="inlineStr">
        <is>
          <t>CurrentWorkingView</t>
        </is>
      </c>
      <c r="H2088" t="inlineStr">
        <is>
          <t>Consensus - Final LY M</t>
        </is>
      </c>
      <c r="I2088" t="n">
        <v>1056</v>
      </c>
      <c r="J2088" t="n">
        <v>480</v>
      </c>
      <c r="K2088" t="n">
        <v>480</v>
      </c>
      <c r="L2088" t="n">
        <v>672</v>
      </c>
      <c r="M2088" t="n">
        <v>576</v>
      </c>
      <c r="N2088" t="n">
        <v>384</v>
      </c>
      <c r="O2088" t="n">
        <v>288</v>
      </c>
      <c r="P2088" t="n">
        <v>384</v>
      </c>
      <c r="Q2088" t="n">
        <v>288</v>
      </c>
      <c r="S2088" t="n">
        <v>288</v>
      </c>
      <c r="T2088" t="n">
        <v>288</v>
      </c>
    </row>
    <row r="2089">
      <c r="A2089" t="inlineStr">
        <is>
          <t>Kylie Makeup</t>
        </is>
      </c>
      <c r="B2089" t="inlineStr">
        <is>
          <t>Lips (01245)</t>
        </is>
      </c>
      <c r="C2089" t="inlineStr">
        <is>
          <t>Kylie Supple Kiss Lip Glaze (00006711)</t>
        </is>
      </c>
      <c r="D2089" s="1" t="n">
        <v>4064941130703</v>
      </c>
      <c r="E2089" t="inlineStr">
        <is>
          <t>KJ MU SPP GLZ LG 3 ML 003ROSE BLOOM IV</t>
        </is>
      </c>
      <c r="F2089" t="inlineStr">
        <is>
          <t>P_US_ULTA</t>
        </is>
      </c>
      <c r="G2089" t="inlineStr">
        <is>
          <t>CurrentWorkingView</t>
        </is>
      </c>
      <c r="H2089" t="inlineStr">
        <is>
          <t>System FC - Final</t>
        </is>
      </c>
      <c r="I2089" t="n">
        <v>288</v>
      </c>
      <c r="J2089" t="n">
        <v>2976</v>
      </c>
      <c r="K2089" t="n">
        <v>900</v>
      </c>
      <c r="L2089" t="n">
        <v>252</v>
      </c>
      <c r="M2089" t="n">
        <v>223</v>
      </c>
      <c r="N2089" t="n">
        <v>195</v>
      </c>
      <c r="O2089" t="n">
        <v>173</v>
      </c>
      <c r="P2089" t="n">
        <v>148</v>
      </c>
      <c r="Q2089" t="n">
        <v>124</v>
      </c>
      <c r="R2089" t="n">
        <v>103</v>
      </c>
      <c r="S2089" t="n">
        <v>80</v>
      </c>
      <c r="T2089" t="n">
        <v>60</v>
      </c>
    </row>
    <row r="2090">
      <c r="A2090" t="inlineStr">
        <is>
          <t>Kylie Makeup</t>
        </is>
      </c>
      <c r="B2090" t="inlineStr">
        <is>
          <t>Lips (01245)</t>
        </is>
      </c>
      <c r="C2090" t="inlineStr">
        <is>
          <t>Kylie Supple Kiss Lip Glaze (00006711)</t>
        </is>
      </c>
      <c r="D2090" s="1" t="n">
        <v>4064941130703</v>
      </c>
      <c r="E2090" t="inlineStr">
        <is>
          <t>KJ MU SPP GLZ LG 3 ML 003ROSE BLOOM IV</t>
        </is>
      </c>
      <c r="F2090" t="inlineStr">
        <is>
          <t>P_US_ULTA</t>
        </is>
      </c>
      <c r="G2090" t="inlineStr">
        <is>
          <t>CurrentWorkingView</t>
        </is>
      </c>
      <c r="H2090" t="inlineStr">
        <is>
          <t>EPOS</t>
        </is>
      </c>
      <c r="I2090" t="n">
        <v>400</v>
      </c>
    </row>
    <row r="2091">
      <c r="A2091" t="inlineStr">
        <is>
          <t>Kylie Makeup</t>
        </is>
      </c>
      <c r="B2091" t="inlineStr">
        <is>
          <t>Lips (01245)</t>
        </is>
      </c>
      <c r="C2091" t="inlineStr">
        <is>
          <t>Kylie Supple Kiss Lip Glaze (00006711)</t>
        </is>
      </c>
      <c r="D2091" s="1" t="n">
        <v>4064941130703</v>
      </c>
      <c r="E2091" t="inlineStr">
        <is>
          <t>KJ MU SPP GLZ LG 3 ML 003ROSE BLOOM IV</t>
        </is>
      </c>
      <c r="F2091" t="inlineStr">
        <is>
          <t>P_US_ULTA</t>
        </is>
      </c>
      <c r="G2091" t="inlineStr">
        <is>
          <t>CurrentWorkingView</t>
        </is>
      </c>
      <c r="H2091" t="inlineStr">
        <is>
          <t>Reasonability Adjustment</t>
        </is>
      </c>
      <c r="R2091" t="n">
        <v>-167</v>
      </c>
      <c r="T2091" t="n">
        <v>-522</v>
      </c>
    </row>
    <row r="2092">
      <c r="A2092" t="inlineStr">
        <is>
          <t>Kylie Makeup</t>
        </is>
      </c>
      <c r="B2092" t="inlineStr">
        <is>
          <t>Lips (01245)</t>
        </is>
      </c>
      <c r="C2092" t="inlineStr">
        <is>
          <t>Kylie Supple Kiss Lip Glaze (00006711)</t>
        </is>
      </c>
      <c r="D2092" s="1" t="n">
        <v>4064941130703</v>
      </c>
      <c r="E2092" t="inlineStr">
        <is>
          <t>KJ MU SPP GLZ LG 3 ML 003ROSE BLOOM IV</t>
        </is>
      </c>
      <c r="F2092" t="inlineStr">
        <is>
          <t>P_US_ULTA</t>
        </is>
      </c>
      <c r="G2092" t="inlineStr">
        <is>
          <t>CurrentWorkingView</t>
        </is>
      </c>
      <c r="H2092" t="inlineStr">
        <is>
          <t>Total Demand Assumption</t>
        </is>
      </c>
      <c r="I2092" t="n">
        <v>339</v>
      </c>
      <c r="J2092" t="n">
        <v>2493</v>
      </c>
      <c r="M2092" t="n">
        <v>-100</v>
      </c>
      <c r="N2092" t="n">
        <v>-300</v>
      </c>
    </row>
    <row r="2093">
      <c r="A2093" t="inlineStr">
        <is>
          <t>Kylie Makeup</t>
        </is>
      </c>
      <c r="B2093" t="inlineStr">
        <is>
          <t>Lips (01245)</t>
        </is>
      </c>
      <c r="C2093" t="inlineStr">
        <is>
          <t>Kylie Supple Kiss Lip Glaze (00006711)</t>
        </is>
      </c>
      <c r="D2093" s="1" t="n">
        <v>4064941130703</v>
      </c>
      <c r="E2093" t="inlineStr">
        <is>
          <t>KJ MU SPP GLZ LG 3 ML 003ROSE BLOOM IV</t>
        </is>
      </c>
      <c r="F2093" t="inlineStr">
        <is>
          <t>P_US_ULTA</t>
        </is>
      </c>
      <c r="G2093" t="inlineStr">
        <is>
          <t>CurrentWorkingView</t>
        </is>
      </c>
      <c r="H2093" t="inlineStr">
        <is>
          <t>Consensus - Final</t>
        </is>
      </c>
      <c r="I2093" t="n">
        <v>288</v>
      </c>
      <c r="J2093" t="n">
        <v>2976</v>
      </c>
      <c r="K2093" t="n">
        <v>864</v>
      </c>
      <c r="L2093" t="n">
        <v>252</v>
      </c>
      <c r="M2093" t="n">
        <v>126</v>
      </c>
      <c r="O2093" t="n">
        <v>173</v>
      </c>
      <c r="P2093" t="n">
        <v>148</v>
      </c>
      <c r="Q2093" t="n">
        <v>124</v>
      </c>
      <c r="S2093" t="n">
        <v>80</v>
      </c>
    </row>
    <row r="2094">
      <c r="A2094" t="inlineStr">
        <is>
          <t>Kylie Makeup</t>
        </is>
      </c>
      <c r="B2094" t="inlineStr">
        <is>
          <t>Lips (01245)</t>
        </is>
      </c>
      <c r="C2094" t="inlineStr">
        <is>
          <t>Kylie Supple Kiss Lip Glaze (00006711)</t>
        </is>
      </c>
      <c r="D2094" s="1" t="n">
        <v>4064941130703</v>
      </c>
      <c r="E2094" t="inlineStr">
        <is>
          <t>KJ MU SPP GLZ LG 3 ML 003ROSE BLOOM IV</t>
        </is>
      </c>
      <c r="F2094" t="inlineStr">
        <is>
          <t>P_US_ULTA</t>
        </is>
      </c>
      <c r="G2094" t="inlineStr">
        <is>
          <t>CurrentWorkingView</t>
        </is>
      </c>
      <c r="H2094" t="inlineStr">
        <is>
          <t>Supply Cuts</t>
        </is>
      </c>
    </row>
    <row r="2095">
      <c r="A2095" t="inlineStr">
        <is>
          <t>Kylie Makeup</t>
        </is>
      </c>
      <c r="B2095" t="inlineStr">
        <is>
          <t>Lips (01245)</t>
        </is>
      </c>
      <c r="C2095" t="inlineStr">
        <is>
          <t>Kylie Supple Kiss Lip Glaze (00006711)</t>
        </is>
      </c>
      <c r="D2095" s="1" t="n">
        <v>4064941130703</v>
      </c>
      <c r="E2095" t="inlineStr">
        <is>
          <t>KJ MU SPP GLZ LG 3 ML 003ROSE BLOOM IV</t>
        </is>
      </c>
      <c r="F2095" t="inlineStr">
        <is>
          <t>P_US_ULTA</t>
        </is>
      </c>
      <c r="G2095" t="inlineStr">
        <is>
          <t>Month-2026.M09.W38</t>
        </is>
      </c>
      <c r="H2095" t="inlineStr">
        <is>
          <t>Consensus - Final LY M</t>
        </is>
      </c>
      <c r="I2095" t="n">
        <v>1056</v>
      </c>
      <c r="J2095" t="n">
        <v>480</v>
      </c>
      <c r="K2095" t="n">
        <v>480</v>
      </c>
      <c r="L2095" t="n">
        <v>672</v>
      </c>
      <c r="M2095" t="n">
        <v>576</v>
      </c>
      <c r="N2095" t="n">
        <v>384</v>
      </c>
      <c r="O2095" t="n">
        <v>288</v>
      </c>
      <c r="P2095" t="n">
        <v>384</v>
      </c>
      <c r="Q2095" t="n">
        <v>288</v>
      </c>
      <c r="S2095" t="n">
        <v>288</v>
      </c>
      <c r="T2095" t="n">
        <v>288</v>
      </c>
    </row>
    <row r="2096">
      <c r="A2096" t="inlineStr">
        <is>
          <t>Kylie Makeup</t>
        </is>
      </c>
      <c r="B2096" t="inlineStr">
        <is>
          <t>Lips (01245)</t>
        </is>
      </c>
      <c r="C2096" t="inlineStr">
        <is>
          <t>Kylie Supple Kiss Lip Glaze (00006711)</t>
        </is>
      </c>
      <c r="D2096" s="1" t="n">
        <v>4064941130703</v>
      </c>
      <c r="E2096" t="inlineStr">
        <is>
          <t>KJ MU SPP GLZ LG 3 ML 003ROSE BLOOM IV</t>
        </is>
      </c>
      <c r="F2096" t="inlineStr">
        <is>
          <t>P_US_ULTA</t>
        </is>
      </c>
      <c r="G2096" t="inlineStr">
        <is>
          <t>Month-2026.M09.W38</t>
        </is>
      </c>
      <c r="H2096" t="inlineStr">
        <is>
          <t>System FC - Final</t>
        </is>
      </c>
      <c r="I2096" t="n">
        <v>288</v>
      </c>
      <c r="J2096" t="n">
        <v>2976</v>
      </c>
      <c r="K2096" t="n">
        <v>917</v>
      </c>
      <c r="L2096" t="n">
        <v>45</v>
      </c>
      <c r="M2096" t="n">
        <v>18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107</v>
      </c>
    </row>
    <row r="2097">
      <c r="A2097" t="inlineStr">
        <is>
          <t>Kylie Makeup</t>
        </is>
      </c>
      <c r="B2097" t="inlineStr">
        <is>
          <t>Lips (01245)</t>
        </is>
      </c>
      <c r="C2097" t="inlineStr">
        <is>
          <t>Kylie Supple Kiss Lip Glaze (00006711)</t>
        </is>
      </c>
      <c r="D2097" s="1" t="n">
        <v>4064941130703</v>
      </c>
      <c r="E2097" t="inlineStr">
        <is>
          <t>KJ MU SPP GLZ LG 3 ML 003ROSE BLOOM IV</t>
        </is>
      </c>
      <c r="F2097" t="inlineStr">
        <is>
          <t>P_US_ULTA</t>
        </is>
      </c>
      <c r="G2097" t="inlineStr">
        <is>
          <t>Month-2026.M09.W38</t>
        </is>
      </c>
      <c r="H2097" t="inlineStr">
        <is>
          <t>EPOS</t>
        </is>
      </c>
      <c r="I2097" t="n">
        <v>400</v>
      </c>
    </row>
    <row r="2098">
      <c r="A2098" t="inlineStr">
        <is>
          <t>Kylie Makeup</t>
        </is>
      </c>
      <c r="B2098" t="inlineStr">
        <is>
          <t>Lips (01245)</t>
        </is>
      </c>
      <c r="C2098" t="inlineStr">
        <is>
          <t>Kylie Supple Kiss Lip Glaze (00006711)</t>
        </is>
      </c>
      <c r="D2098" s="1" t="n">
        <v>4064941130703</v>
      </c>
      <c r="E2098" t="inlineStr">
        <is>
          <t>KJ MU SPP GLZ LG 3 ML 003ROSE BLOOM IV</t>
        </is>
      </c>
      <c r="F2098" t="inlineStr">
        <is>
          <t>P_US_ULTA</t>
        </is>
      </c>
      <c r="G2098" t="inlineStr">
        <is>
          <t>Month-2026.M09.W38</t>
        </is>
      </c>
      <c r="H2098" t="inlineStr">
        <is>
          <t>Reasonability Adjustment</t>
        </is>
      </c>
      <c r="R2098" t="n">
        <v>-167</v>
      </c>
      <c r="T2098" t="n">
        <v>-522</v>
      </c>
    </row>
    <row r="2099">
      <c r="A2099" t="inlineStr">
        <is>
          <t>Kylie Makeup</t>
        </is>
      </c>
      <c r="B2099" t="inlineStr">
        <is>
          <t>Lips (01245)</t>
        </is>
      </c>
      <c r="C2099" t="inlineStr">
        <is>
          <t>Kylie Supple Kiss Lip Glaze (00006711)</t>
        </is>
      </c>
      <c r="D2099" s="1" t="n">
        <v>4064941130703</v>
      </c>
      <c r="E2099" t="inlineStr">
        <is>
          <t>KJ MU SPP GLZ LG 3 ML 003ROSE BLOOM IV</t>
        </is>
      </c>
      <c r="F2099" t="inlineStr">
        <is>
          <t>P_US_ULTA</t>
        </is>
      </c>
      <c r="G2099" t="inlineStr">
        <is>
          <t>Month-2026.M09.W38</t>
        </is>
      </c>
      <c r="H2099" t="inlineStr">
        <is>
          <t>Total Demand Assumption</t>
        </is>
      </c>
      <c r="I2099" t="n">
        <v>339</v>
      </c>
      <c r="J2099" t="n">
        <v>2493</v>
      </c>
      <c r="M2099" t="n">
        <v>-100</v>
      </c>
      <c r="N2099" t="n">
        <v>-300</v>
      </c>
    </row>
    <row r="2100">
      <c r="A2100" t="inlineStr">
        <is>
          <t>Kylie Makeup</t>
        </is>
      </c>
      <c r="B2100" t="inlineStr">
        <is>
          <t>Lips (01245)</t>
        </is>
      </c>
      <c r="C2100" t="inlineStr">
        <is>
          <t>Kylie Supple Kiss Lip Glaze (00006711)</t>
        </is>
      </c>
      <c r="D2100" s="1" t="n">
        <v>4064941130703</v>
      </c>
      <c r="E2100" t="inlineStr">
        <is>
          <t>KJ MU SPP GLZ LG 3 ML 003ROSE BLOOM IV</t>
        </is>
      </c>
      <c r="F2100" t="inlineStr">
        <is>
          <t>P_US_ULTA</t>
        </is>
      </c>
      <c r="G2100" t="inlineStr">
        <is>
          <t>Month-2026.M09.W38</t>
        </is>
      </c>
      <c r="H2100" t="inlineStr">
        <is>
          <t>Consensus - Final</t>
        </is>
      </c>
      <c r="I2100" t="n">
        <v>288</v>
      </c>
      <c r="J2100" t="n">
        <v>2976</v>
      </c>
      <c r="K2100" t="n">
        <v>907.5</v>
      </c>
      <c r="L2100" t="n">
        <v>45</v>
      </c>
    </row>
    <row r="2101">
      <c r="A2101" t="inlineStr">
        <is>
          <t>Kylie Makeup</t>
        </is>
      </c>
      <c r="B2101" t="inlineStr">
        <is>
          <t>Lips (01245)</t>
        </is>
      </c>
      <c r="C2101" t="inlineStr">
        <is>
          <t>Kylie Supple Kiss Lip Glaze (00006711)</t>
        </is>
      </c>
      <c r="D2101" s="1" t="n">
        <v>4064941130703</v>
      </c>
      <c r="E2101" t="inlineStr">
        <is>
          <t>KJ MU SPP GLZ LG 3 ML 003ROSE BLOOM IV</t>
        </is>
      </c>
      <c r="F2101" t="inlineStr">
        <is>
          <t>P_US_ULTA</t>
        </is>
      </c>
      <c r="G2101" t="inlineStr">
        <is>
          <t>Month-2026.M09.W38</t>
        </is>
      </c>
      <c r="H2101" t="inlineStr">
        <is>
          <t>Supply Cuts</t>
        </is>
      </c>
    </row>
    <row r="2102">
      <c r="A2102" t="inlineStr">
        <is>
          <t>Kylie Makeup</t>
        </is>
      </c>
      <c r="B2102" t="inlineStr">
        <is>
          <t>Lips (01245)</t>
        </is>
      </c>
      <c r="C2102" t="inlineStr">
        <is>
          <t>Kylie Supple Kiss Lip Glaze (00006711)</t>
        </is>
      </c>
      <c r="D2102" s="1" t="n">
        <v>4064941130727</v>
      </c>
      <c r="E2102" t="inlineStr">
        <is>
          <t>KJ MU SPP GLZ LG 3 ML 005LOVABLE IV</t>
        </is>
      </c>
      <c r="F2102" t="inlineStr">
        <is>
          <t>P_US_ALL_OTHERS</t>
        </is>
      </c>
      <c r="G2102" t="inlineStr">
        <is>
          <t>CurrentWorkingView</t>
        </is>
      </c>
      <c r="H2102" t="inlineStr">
        <is>
          <t>Consensus - Final LY M</t>
        </is>
      </c>
      <c r="I2102" t="n">
        <v>114</v>
      </c>
      <c r="J2102" t="n">
        <v>127</v>
      </c>
      <c r="K2102" t="n">
        <v>279</v>
      </c>
      <c r="L2102" t="n">
        <v>92</v>
      </c>
      <c r="M2102" t="n">
        <v>66</v>
      </c>
      <c r="N2102" t="n">
        <v>52</v>
      </c>
      <c r="O2102" t="n">
        <v>172</v>
      </c>
      <c r="P2102" t="n">
        <v>186</v>
      </c>
      <c r="Q2102" t="n">
        <v>83</v>
      </c>
      <c r="R2102" t="n">
        <v>79</v>
      </c>
      <c r="S2102" t="n">
        <v>39</v>
      </c>
      <c r="T2102" t="n">
        <v>46</v>
      </c>
    </row>
    <row r="2103">
      <c r="A2103" t="inlineStr">
        <is>
          <t>Kylie Makeup</t>
        </is>
      </c>
      <c r="B2103" t="inlineStr">
        <is>
          <t>Lips (01245)</t>
        </is>
      </c>
      <c r="C2103" t="inlineStr">
        <is>
          <t>Kylie Supple Kiss Lip Glaze (00006711)</t>
        </is>
      </c>
      <c r="D2103" s="1" t="n">
        <v>4064941130727</v>
      </c>
      <c r="E2103" t="inlineStr">
        <is>
          <t>KJ MU SPP GLZ LG 3 ML 005LOVABLE IV</t>
        </is>
      </c>
      <c r="F2103" t="inlineStr">
        <is>
          <t>P_US_ALL_OTHERS</t>
        </is>
      </c>
      <c r="G2103" t="inlineStr">
        <is>
          <t>CurrentWorkingView</t>
        </is>
      </c>
      <c r="H2103" t="inlineStr">
        <is>
          <t>System FC - Final</t>
        </is>
      </c>
      <c r="I2103" t="n">
        <v>70</v>
      </c>
      <c r="J2103" t="n">
        <v>97</v>
      </c>
      <c r="K2103" t="n">
        <v>47</v>
      </c>
      <c r="L2103" t="n">
        <v>112</v>
      </c>
      <c r="M2103" t="n">
        <v>82</v>
      </c>
      <c r="N2103" t="n">
        <v>107</v>
      </c>
      <c r="O2103" t="n">
        <v>128</v>
      </c>
      <c r="P2103" t="n">
        <v>124</v>
      </c>
      <c r="Q2103" t="n">
        <v>111</v>
      </c>
      <c r="R2103" t="n">
        <v>90</v>
      </c>
      <c r="S2103" t="n">
        <v>116</v>
      </c>
      <c r="T2103" t="n">
        <v>73</v>
      </c>
    </row>
    <row r="2104">
      <c r="A2104" t="inlineStr">
        <is>
          <t>Kylie Makeup</t>
        </is>
      </c>
      <c r="B2104" t="inlineStr">
        <is>
          <t>Lips (01245)</t>
        </is>
      </c>
      <c r="C2104" t="inlineStr">
        <is>
          <t>Kylie Supple Kiss Lip Glaze (00006711)</t>
        </is>
      </c>
      <c r="D2104" s="1" t="n">
        <v>4064941130727</v>
      </c>
      <c r="E2104" t="inlineStr">
        <is>
          <t>KJ MU SPP GLZ LG 3 ML 005LOVABLE IV</t>
        </is>
      </c>
      <c r="F2104" t="inlineStr">
        <is>
          <t>P_US_ALL_OTHERS</t>
        </is>
      </c>
      <c r="G2104" t="inlineStr">
        <is>
          <t>CurrentWorkingView</t>
        </is>
      </c>
      <c r="H2104" t="inlineStr">
        <is>
          <t>EPOS</t>
        </is>
      </c>
      <c r="I2104" t="n">
        <v>80</v>
      </c>
    </row>
    <row r="2105">
      <c r="A2105" t="inlineStr">
        <is>
          <t>Kylie Makeup</t>
        </is>
      </c>
      <c r="B2105" t="inlineStr">
        <is>
          <t>Lips (01245)</t>
        </is>
      </c>
      <c r="C2105" t="inlineStr">
        <is>
          <t>Kylie Supple Kiss Lip Glaze (00006711)</t>
        </is>
      </c>
      <c r="D2105" s="1" t="n">
        <v>4064941130727</v>
      </c>
      <c r="E2105" t="inlineStr">
        <is>
          <t>KJ MU SPP GLZ LG 3 ML 005LOVABLE IV</t>
        </is>
      </c>
      <c r="F2105" t="inlineStr">
        <is>
          <t>P_US_ALL_OTHERS</t>
        </is>
      </c>
      <c r="G2105" t="inlineStr">
        <is>
          <t>CurrentWorkingView</t>
        </is>
      </c>
      <c r="H2105" t="inlineStr">
        <is>
          <t>Reasonability Adjustment</t>
        </is>
      </c>
      <c r="L2105" t="n">
        <v>27</v>
      </c>
      <c r="M2105" t="n">
        <v>243</v>
      </c>
      <c r="N2105" t="n">
        <v>1000</v>
      </c>
      <c r="O2105" t="n">
        <v>400</v>
      </c>
      <c r="P2105" t="n">
        <v>300</v>
      </c>
      <c r="Q2105" t="n">
        <v>200</v>
      </c>
      <c r="T2105" t="n">
        <v>-160</v>
      </c>
    </row>
    <row r="2106">
      <c r="A2106" t="inlineStr">
        <is>
          <t>Kylie Makeup</t>
        </is>
      </c>
      <c r="B2106" t="inlineStr">
        <is>
          <t>Lips (01245)</t>
        </is>
      </c>
      <c r="C2106" t="inlineStr">
        <is>
          <t>Kylie Supple Kiss Lip Glaze (00006711)</t>
        </is>
      </c>
      <c r="D2106" s="1" t="n">
        <v>4064941130727</v>
      </c>
      <c r="E2106" t="inlineStr">
        <is>
          <t>KJ MU SPP GLZ LG 3 ML 005LOVABLE IV</t>
        </is>
      </c>
      <c r="F2106" t="inlineStr">
        <is>
          <t>P_US_ALL_OTHERS</t>
        </is>
      </c>
      <c r="G2106" t="inlineStr">
        <is>
          <t>CurrentWorkingView</t>
        </is>
      </c>
      <c r="H2106" t="inlineStr">
        <is>
          <t>Total Demand Assumption</t>
        </is>
      </c>
    </row>
    <row r="2107">
      <c r="A2107" t="inlineStr">
        <is>
          <t>Kylie Makeup</t>
        </is>
      </c>
      <c r="B2107" t="inlineStr">
        <is>
          <t>Lips (01245)</t>
        </is>
      </c>
      <c r="C2107" t="inlineStr">
        <is>
          <t>Kylie Supple Kiss Lip Glaze (00006711)</t>
        </is>
      </c>
      <c r="D2107" s="1" t="n">
        <v>4064941130727</v>
      </c>
      <c r="E2107" t="inlineStr">
        <is>
          <t>KJ MU SPP GLZ LG 3 ML 005LOVABLE IV</t>
        </is>
      </c>
      <c r="F2107" t="inlineStr">
        <is>
          <t>P_US_ALL_OTHERS</t>
        </is>
      </c>
      <c r="G2107" t="inlineStr">
        <is>
          <t>CurrentWorkingView</t>
        </is>
      </c>
      <c r="H2107" t="inlineStr">
        <is>
          <t>Consensus - Final</t>
        </is>
      </c>
      <c r="I2107" t="n">
        <v>70</v>
      </c>
      <c r="J2107" t="n">
        <v>97</v>
      </c>
      <c r="K2107" t="n">
        <v>731</v>
      </c>
      <c r="L2107" t="n">
        <v>139</v>
      </c>
      <c r="M2107" t="n">
        <v>325</v>
      </c>
      <c r="N2107" t="n">
        <v>1107</v>
      </c>
      <c r="O2107" t="n">
        <v>528</v>
      </c>
      <c r="P2107" t="n">
        <v>424</v>
      </c>
      <c r="Q2107" t="n">
        <v>311</v>
      </c>
      <c r="R2107" t="n">
        <v>90</v>
      </c>
      <c r="S2107" t="n">
        <v>116</v>
      </c>
    </row>
    <row r="2108">
      <c r="A2108" t="inlineStr">
        <is>
          <t>Kylie Makeup</t>
        </is>
      </c>
      <c r="B2108" t="inlineStr">
        <is>
          <t>Lips (01245)</t>
        </is>
      </c>
      <c r="C2108" t="inlineStr">
        <is>
          <t>Kylie Supple Kiss Lip Glaze (00006711)</t>
        </is>
      </c>
      <c r="D2108" s="1" t="n">
        <v>4064941130727</v>
      </c>
      <c r="E2108" t="inlineStr">
        <is>
          <t>KJ MU SPP GLZ LG 3 ML 005LOVABLE IV</t>
        </is>
      </c>
      <c r="F2108" t="inlineStr">
        <is>
          <t>P_US_ALL_OTHERS</t>
        </is>
      </c>
      <c r="G2108" t="inlineStr">
        <is>
          <t>CurrentWorkingView</t>
        </is>
      </c>
      <c r="H2108" t="inlineStr">
        <is>
          <t>Supply Cuts</t>
        </is>
      </c>
      <c r="J2108" t="n">
        <v>1</v>
      </c>
      <c r="K2108" t="n">
        <v>27</v>
      </c>
    </row>
    <row r="2109">
      <c r="A2109" t="inlineStr">
        <is>
          <t>Kylie Makeup</t>
        </is>
      </c>
      <c r="B2109" t="inlineStr">
        <is>
          <t>Lips (01245)</t>
        </is>
      </c>
      <c r="C2109" t="inlineStr">
        <is>
          <t>Kylie Supple Kiss Lip Glaze (00006711)</t>
        </is>
      </c>
      <c r="D2109" s="1" t="n">
        <v>4064941130727</v>
      </c>
      <c r="E2109" t="inlineStr">
        <is>
          <t>KJ MU SPP GLZ LG 3 ML 005LOVABLE IV</t>
        </is>
      </c>
      <c r="F2109" t="inlineStr">
        <is>
          <t>P_US_ALL_OTHERS</t>
        </is>
      </c>
      <c r="G2109" t="inlineStr">
        <is>
          <t>Month-2026.M09.W38</t>
        </is>
      </c>
      <c r="H2109" t="inlineStr">
        <is>
          <t>Consensus - Final LY M</t>
        </is>
      </c>
      <c r="I2109" t="n">
        <v>114</v>
      </c>
      <c r="J2109" t="n">
        <v>127</v>
      </c>
      <c r="K2109" t="n">
        <v>279</v>
      </c>
      <c r="L2109" t="n">
        <v>92</v>
      </c>
      <c r="M2109" t="n">
        <v>66</v>
      </c>
      <c r="N2109" t="n">
        <v>52</v>
      </c>
      <c r="O2109" t="n">
        <v>172</v>
      </c>
      <c r="P2109" t="n">
        <v>186</v>
      </c>
      <c r="Q2109" t="n">
        <v>83</v>
      </c>
      <c r="R2109" t="n">
        <v>79</v>
      </c>
      <c r="S2109" t="n">
        <v>39</v>
      </c>
      <c r="T2109" t="n">
        <v>46</v>
      </c>
    </row>
    <row r="2110">
      <c r="A2110" t="inlineStr">
        <is>
          <t>Kylie Makeup</t>
        </is>
      </c>
      <c r="B2110" t="inlineStr">
        <is>
          <t>Lips (01245)</t>
        </is>
      </c>
      <c r="C2110" t="inlineStr">
        <is>
          <t>Kylie Supple Kiss Lip Glaze (00006711)</t>
        </is>
      </c>
      <c r="D2110" s="1" t="n">
        <v>4064941130727</v>
      </c>
      <c r="E2110" t="inlineStr">
        <is>
          <t>KJ MU SPP GLZ LG 3 ML 005LOVABLE IV</t>
        </is>
      </c>
      <c r="F2110" t="inlineStr">
        <is>
          <t>P_US_ALL_OTHERS</t>
        </is>
      </c>
      <c r="G2110" t="inlineStr">
        <is>
          <t>Month-2026.M09.W38</t>
        </is>
      </c>
      <c r="H2110" t="inlineStr">
        <is>
          <t>System FC - Final</t>
        </is>
      </c>
      <c r="I2110" t="n">
        <v>70</v>
      </c>
      <c r="J2110" t="n">
        <v>97</v>
      </c>
      <c r="K2110" t="n">
        <v>64</v>
      </c>
      <c r="L2110" t="n">
        <v>75</v>
      </c>
      <c r="M2110" t="n">
        <v>68</v>
      </c>
      <c r="N2110" t="n">
        <v>53</v>
      </c>
      <c r="O2110" t="n">
        <v>84</v>
      </c>
      <c r="P2110" t="n">
        <v>100</v>
      </c>
      <c r="Q2110" t="n">
        <v>84</v>
      </c>
      <c r="R2110" t="n">
        <v>90</v>
      </c>
      <c r="S2110" t="n">
        <v>97</v>
      </c>
      <c r="T2110" t="n">
        <v>147</v>
      </c>
    </row>
    <row r="2111">
      <c r="A2111" t="inlineStr">
        <is>
          <t>Kylie Makeup</t>
        </is>
      </c>
      <c r="B2111" t="inlineStr">
        <is>
          <t>Lips (01245)</t>
        </is>
      </c>
      <c r="C2111" t="inlineStr">
        <is>
          <t>Kylie Supple Kiss Lip Glaze (00006711)</t>
        </is>
      </c>
      <c r="D2111" s="1" t="n">
        <v>4064941130727</v>
      </c>
      <c r="E2111" t="inlineStr">
        <is>
          <t>KJ MU SPP GLZ LG 3 ML 005LOVABLE IV</t>
        </is>
      </c>
      <c r="F2111" t="inlineStr">
        <is>
          <t>P_US_ALL_OTHERS</t>
        </is>
      </c>
      <c r="G2111" t="inlineStr">
        <is>
          <t>Month-2026.M09.W38</t>
        </is>
      </c>
      <c r="H2111" t="inlineStr">
        <is>
          <t>EPOS</t>
        </is>
      </c>
      <c r="I2111" t="n">
        <v>80</v>
      </c>
    </row>
    <row r="2112">
      <c r="A2112" t="inlineStr">
        <is>
          <t>Kylie Makeup</t>
        </is>
      </c>
      <c r="B2112" t="inlineStr">
        <is>
          <t>Lips (01245)</t>
        </is>
      </c>
      <c r="C2112" t="inlineStr">
        <is>
          <t>Kylie Supple Kiss Lip Glaze (00006711)</t>
        </is>
      </c>
      <c r="D2112" s="1" t="n">
        <v>4064941130727</v>
      </c>
      <c r="E2112" t="inlineStr">
        <is>
          <t>KJ MU SPP GLZ LG 3 ML 005LOVABLE IV</t>
        </is>
      </c>
      <c r="F2112" t="inlineStr">
        <is>
          <t>P_US_ALL_OTHERS</t>
        </is>
      </c>
      <c r="G2112" t="inlineStr">
        <is>
          <t>Month-2026.M09.W38</t>
        </is>
      </c>
      <c r="H2112" t="inlineStr">
        <is>
          <t>Reasonability Adjustment</t>
        </is>
      </c>
      <c r="L2112" t="n">
        <v>27</v>
      </c>
      <c r="M2112" t="n">
        <v>243</v>
      </c>
      <c r="N2112" t="n">
        <v>1000</v>
      </c>
      <c r="O2112" t="n">
        <v>400</v>
      </c>
      <c r="P2112" t="n">
        <v>300</v>
      </c>
      <c r="Q2112" t="n">
        <v>200</v>
      </c>
      <c r="T2112" t="n">
        <v>-160</v>
      </c>
    </row>
    <row r="2113">
      <c r="A2113" t="inlineStr">
        <is>
          <t>Kylie Makeup</t>
        </is>
      </c>
      <c r="B2113" t="inlineStr">
        <is>
          <t>Lips (01245)</t>
        </is>
      </c>
      <c r="C2113" t="inlineStr">
        <is>
          <t>Kylie Supple Kiss Lip Glaze (00006711)</t>
        </is>
      </c>
      <c r="D2113" s="1" t="n">
        <v>4064941130727</v>
      </c>
      <c r="E2113" t="inlineStr">
        <is>
          <t>KJ MU SPP GLZ LG 3 ML 005LOVABLE IV</t>
        </is>
      </c>
      <c r="F2113" t="inlineStr">
        <is>
          <t>P_US_ALL_OTHERS</t>
        </is>
      </c>
      <c r="G2113" t="inlineStr">
        <is>
          <t>Month-2026.M09.W38</t>
        </is>
      </c>
      <c r="H2113" t="inlineStr">
        <is>
          <t>Total Demand Assumption</t>
        </is>
      </c>
    </row>
    <row r="2114">
      <c r="A2114" t="inlineStr">
        <is>
          <t>Kylie Makeup</t>
        </is>
      </c>
      <c r="B2114" t="inlineStr">
        <is>
          <t>Lips (01245)</t>
        </is>
      </c>
      <c r="C2114" t="inlineStr">
        <is>
          <t>Kylie Supple Kiss Lip Glaze (00006711)</t>
        </is>
      </c>
      <c r="D2114" s="1" t="n">
        <v>4064941130727</v>
      </c>
      <c r="E2114" t="inlineStr">
        <is>
          <t>KJ MU SPP GLZ LG 3 ML 005LOVABLE IV</t>
        </is>
      </c>
      <c r="F2114" t="inlineStr">
        <is>
          <t>P_US_ALL_OTHERS</t>
        </is>
      </c>
      <c r="G2114" t="inlineStr">
        <is>
          <t>Month-2026.M09.W38</t>
        </is>
      </c>
      <c r="H2114" t="inlineStr">
        <is>
          <t>Consensus - Final</t>
        </is>
      </c>
      <c r="I2114" t="n">
        <v>70</v>
      </c>
      <c r="J2114" t="n">
        <v>97</v>
      </c>
      <c r="K2114" t="n">
        <v>731</v>
      </c>
      <c r="L2114" t="n">
        <v>102</v>
      </c>
      <c r="M2114" t="n">
        <v>311</v>
      </c>
      <c r="N2114" t="n">
        <v>1053</v>
      </c>
      <c r="O2114" t="n">
        <v>484</v>
      </c>
      <c r="P2114" t="n">
        <v>400</v>
      </c>
      <c r="Q2114" t="n">
        <v>284</v>
      </c>
      <c r="R2114" t="n">
        <v>90</v>
      </c>
      <c r="S2114" t="n">
        <v>97</v>
      </c>
    </row>
    <row r="2115">
      <c r="A2115" t="inlineStr">
        <is>
          <t>Kylie Makeup</t>
        </is>
      </c>
      <c r="B2115" t="inlineStr">
        <is>
          <t>Lips (01245)</t>
        </is>
      </c>
      <c r="C2115" t="inlineStr">
        <is>
          <t>Kylie Supple Kiss Lip Glaze (00006711)</t>
        </is>
      </c>
      <c r="D2115" s="1" t="n">
        <v>4064941130727</v>
      </c>
      <c r="E2115" t="inlineStr">
        <is>
          <t>KJ MU SPP GLZ LG 3 ML 005LOVABLE IV</t>
        </is>
      </c>
      <c r="F2115" t="inlineStr">
        <is>
          <t>P_US_ALL_OTHERS</t>
        </is>
      </c>
      <c r="G2115" t="inlineStr">
        <is>
          <t>Month-2026.M09.W38</t>
        </is>
      </c>
      <c r="H2115" t="inlineStr">
        <is>
          <t>Supply Cuts</t>
        </is>
      </c>
      <c r="J2115" t="n">
        <v>1</v>
      </c>
      <c r="K2115" t="n">
        <v>21</v>
      </c>
    </row>
    <row r="2116">
      <c r="A2116" t="inlineStr">
        <is>
          <t>Kylie Makeup</t>
        </is>
      </c>
      <c r="B2116" t="inlineStr">
        <is>
          <t>Lips (01245)</t>
        </is>
      </c>
      <c r="C2116" t="inlineStr">
        <is>
          <t>Kylie Supple Kiss Lip Glaze (00006711)</t>
        </is>
      </c>
      <c r="D2116" s="1" t="n">
        <v>4064941130727</v>
      </c>
      <c r="E2116" t="inlineStr">
        <is>
          <t>KJ MU SPP GLZ LG 3 ML 005LOVABLE IV</t>
        </is>
      </c>
      <c r="F2116" t="inlineStr">
        <is>
          <t>P_US_FG</t>
        </is>
      </c>
      <c r="G2116" t="inlineStr">
        <is>
          <t>CurrentWorkingView</t>
        </is>
      </c>
      <c r="H2116" t="inlineStr">
        <is>
          <t>Consensus - Final LY M</t>
        </is>
      </c>
      <c r="O2116" t="n">
        <v>5</v>
      </c>
      <c r="Q2116" t="n">
        <v>27</v>
      </c>
      <c r="R2116" t="n">
        <v>60</v>
      </c>
    </row>
    <row r="2117">
      <c r="A2117" t="inlineStr">
        <is>
          <t>Kylie Makeup</t>
        </is>
      </c>
      <c r="B2117" t="inlineStr">
        <is>
          <t>Lips (01245)</t>
        </is>
      </c>
      <c r="C2117" t="inlineStr">
        <is>
          <t>Kylie Supple Kiss Lip Glaze (00006711)</t>
        </is>
      </c>
      <c r="D2117" s="1" t="n">
        <v>4064941130727</v>
      </c>
      <c r="E2117" t="inlineStr">
        <is>
          <t>KJ MU SPP GLZ LG 3 ML 005LOVABLE IV</t>
        </is>
      </c>
      <c r="F2117" t="inlineStr">
        <is>
          <t>P_US_FG</t>
        </is>
      </c>
      <c r="G2117" t="inlineStr">
        <is>
          <t>CurrentWorkingView</t>
        </is>
      </c>
      <c r="H2117" t="inlineStr">
        <is>
          <t>System FC - Final</t>
        </is>
      </c>
      <c r="J2117" t="n">
        <v>20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22</v>
      </c>
      <c r="R2117" t="n">
        <v>38</v>
      </c>
      <c r="S2117" t="n">
        <v>13</v>
      </c>
      <c r="T2117" t="n">
        <v>0</v>
      </c>
    </row>
    <row r="2118">
      <c r="A2118" t="inlineStr">
        <is>
          <t>Kylie Makeup</t>
        </is>
      </c>
      <c r="B2118" t="inlineStr">
        <is>
          <t>Lips (01245)</t>
        </is>
      </c>
      <c r="C2118" t="inlineStr">
        <is>
          <t>Kylie Supple Kiss Lip Glaze (00006711)</t>
        </is>
      </c>
      <c r="D2118" s="1" t="n">
        <v>4064941130727</v>
      </c>
      <c r="E2118" t="inlineStr">
        <is>
          <t>KJ MU SPP GLZ LG 3 ML 005LOVABLE IV</t>
        </is>
      </c>
      <c r="F2118" t="inlineStr">
        <is>
          <t>P_US_FG</t>
        </is>
      </c>
      <c r="G2118" t="inlineStr">
        <is>
          <t>CurrentWorkingView</t>
        </is>
      </c>
      <c r="H2118" t="inlineStr">
        <is>
          <t>EPOS</t>
        </is>
      </c>
    </row>
    <row r="2119">
      <c r="A2119" t="inlineStr">
        <is>
          <t>Kylie Makeup</t>
        </is>
      </c>
      <c r="B2119" t="inlineStr">
        <is>
          <t>Lips (01245)</t>
        </is>
      </c>
      <c r="C2119" t="inlineStr">
        <is>
          <t>Kylie Supple Kiss Lip Glaze (00006711)</t>
        </is>
      </c>
      <c r="D2119" s="1" t="n">
        <v>4064941130727</v>
      </c>
      <c r="E2119" t="inlineStr">
        <is>
          <t>KJ MU SPP GLZ LG 3 ML 005LOVABLE IV</t>
        </is>
      </c>
      <c r="F2119" t="inlineStr">
        <is>
          <t>P_US_FG</t>
        </is>
      </c>
      <c r="G2119" t="inlineStr">
        <is>
          <t>CurrentWorkingView</t>
        </is>
      </c>
      <c r="H2119" t="inlineStr">
        <is>
          <t>Reasonability Adjustment</t>
        </is>
      </c>
    </row>
    <row r="2120">
      <c r="A2120" t="inlineStr">
        <is>
          <t>Kylie Makeup</t>
        </is>
      </c>
      <c r="B2120" t="inlineStr">
        <is>
          <t>Lips (01245)</t>
        </is>
      </c>
      <c r="C2120" t="inlineStr">
        <is>
          <t>Kylie Supple Kiss Lip Glaze (00006711)</t>
        </is>
      </c>
      <c r="D2120" s="1" t="n">
        <v>4064941130727</v>
      </c>
      <c r="E2120" t="inlineStr">
        <is>
          <t>KJ MU SPP GLZ LG 3 ML 005LOVABLE IV</t>
        </is>
      </c>
      <c r="F2120" t="inlineStr">
        <is>
          <t>P_US_FG</t>
        </is>
      </c>
      <c r="G2120" t="inlineStr">
        <is>
          <t>CurrentWorkingView</t>
        </is>
      </c>
      <c r="H2120" t="inlineStr">
        <is>
          <t>Total Demand Assumption</t>
        </is>
      </c>
    </row>
    <row r="2121">
      <c r="A2121" t="inlineStr">
        <is>
          <t>Kylie Makeup</t>
        </is>
      </c>
      <c r="B2121" t="inlineStr">
        <is>
          <t>Lips (01245)</t>
        </is>
      </c>
      <c r="C2121" t="inlineStr">
        <is>
          <t>Kylie Supple Kiss Lip Glaze (00006711)</t>
        </is>
      </c>
      <c r="D2121" s="1" t="n">
        <v>4064941130727</v>
      </c>
      <c r="E2121" t="inlineStr">
        <is>
          <t>KJ MU SPP GLZ LG 3 ML 005LOVABLE IV</t>
        </is>
      </c>
      <c r="F2121" t="inlineStr">
        <is>
          <t>P_US_FG</t>
        </is>
      </c>
      <c r="G2121" t="inlineStr">
        <is>
          <t>CurrentWorkingView</t>
        </is>
      </c>
      <c r="H2121" t="inlineStr">
        <is>
          <t>Consensus - Final</t>
        </is>
      </c>
      <c r="J2121" t="n">
        <v>20</v>
      </c>
      <c r="K2121" t="n">
        <v>0</v>
      </c>
    </row>
    <row r="2122">
      <c r="A2122" t="inlineStr">
        <is>
          <t>Kylie Makeup</t>
        </is>
      </c>
      <c r="B2122" t="inlineStr">
        <is>
          <t>Lips (01245)</t>
        </is>
      </c>
      <c r="C2122" t="inlineStr">
        <is>
          <t>Kylie Supple Kiss Lip Glaze (00006711)</t>
        </is>
      </c>
      <c r="D2122" s="1" t="n">
        <v>4064941130727</v>
      </c>
      <c r="E2122" t="inlineStr">
        <is>
          <t>KJ MU SPP GLZ LG 3 ML 005LOVABLE IV</t>
        </is>
      </c>
      <c r="F2122" t="inlineStr">
        <is>
          <t>P_US_FG</t>
        </is>
      </c>
      <c r="G2122" t="inlineStr">
        <is>
          <t>CurrentWorkingView</t>
        </is>
      </c>
      <c r="H2122" t="inlineStr">
        <is>
          <t>Supply Cuts</t>
        </is>
      </c>
    </row>
    <row r="2123">
      <c r="A2123" t="inlineStr">
        <is>
          <t>Kylie Makeup</t>
        </is>
      </c>
      <c r="B2123" t="inlineStr">
        <is>
          <t>Lips (01245)</t>
        </is>
      </c>
      <c r="C2123" t="inlineStr">
        <is>
          <t>Kylie Supple Kiss Lip Glaze (00006711)</t>
        </is>
      </c>
      <c r="D2123" s="1" t="n">
        <v>4064941130727</v>
      </c>
      <c r="E2123" t="inlineStr">
        <is>
          <t>KJ MU SPP GLZ LG 3 ML 005LOVABLE IV</t>
        </is>
      </c>
      <c r="F2123" t="inlineStr">
        <is>
          <t>P_US_FG</t>
        </is>
      </c>
      <c r="G2123" t="inlineStr">
        <is>
          <t>Month-2026.M09.W38</t>
        </is>
      </c>
      <c r="H2123" t="inlineStr">
        <is>
          <t>Consensus - Final LY M</t>
        </is>
      </c>
      <c r="O2123" t="n">
        <v>5</v>
      </c>
      <c r="Q2123" t="n">
        <v>27</v>
      </c>
      <c r="R2123" t="n">
        <v>60</v>
      </c>
    </row>
    <row r="2124">
      <c r="A2124" t="inlineStr">
        <is>
          <t>Kylie Makeup</t>
        </is>
      </c>
      <c r="B2124" t="inlineStr">
        <is>
          <t>Lips (01245)</t>
        </is>
      </c>
      <c r="C2124" t="inlineStr">
        <is>
          <t>Kylie Supple Kiss Lip Glaze (00006711)</t>
        </is>
      </c>
      <c r="D2124" s="1" t="n">
        <v>4064941130727</v>
      </c>
      <c r="E2124" t="inlineStr">
        <is>
          <t>KJ MU SPP GLZ LG 3 ML 005LOVABLE IV</t>
        </is>
      </c>
      <c r="F2124" t="inlineStr">
        <is>
          <t>P_US_FG</t>
        </is>
      </c>
      <c r="G2124" t="inlineStr">
        <is>
          <t>Month-2026.M09.W38</t>
        </is>
      </c>
      <c r="H2124" t="inlineStr">
        <is>
          <t>System FC - Final</t>
        </is>
      </c>
      <c r="J2124" t="n">
        <v>20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13</v>
      </c>
      <c r="S2124" t="n">
        <v>18</v>
      </c>
      <c r="T2124" t="n">
        <v>0</v>
      </c>
    </row>
    <row r="2125">
      <c r="A2125" t="inlineStr">
        <is>
          <t>Kylie Makeup</t>
        </is>
      </c>
      <c r="B2125" t="inlineStr">
        <is>
          <t>Lips (01245)</t>
        </is>
      </c>
      <c r="C2125" t="inlineStr">
        <is>
          <t>Kylie Supple Kiss Lip Glaze (00006711)</t>
        </is>
      </c>
      <c r="D2125" s="1" t="n">
        <v>4064941130727</v>
      </c>
      <c r="E2125" t="inlineStr">
        <is>
          <t>KJ MU SPP GLZ LG 3 ML 005LOVABLE IV</t>
        </is>
      </c>
      <c r="F2125" t="inlineStr">
        <is>
          <t>P_US_FG</t>
        </is>
      </c>
      <c r="G2125" t="inlineStr">
        <is>
          <t>Month-2026.M09.W38</t>
        </is>
      </c>
      <c r="H2125" t="inlineStr">
        <is>
          <t>EPOS</t>
        </is>
      </c>
    </row>
    <row r="2126">
      <c r="A2126" t="inlineStr">
        <is>
          <t>Kylie Makeup</t>
        </is>
      </c>
      <c r="B2126" t="inlineStr">
        <is>
          <t>Lips (01245)</t>
        </is>
      </c>
      <c r="C2126" t="inlineStr">
        <is>
          <t>Kylie Supple Kiss Lip Glaze (00006711)</t>
        </is>
      </c>
      <c r="D2126" s="1" t="n">
        <v>4064941130727</v>
      </c>
      <c r="E2126" t="inlineStr">
        <is>
          <t>KJ MU SPP GLZ LG 3 ML 005LOVABLE IV</t>
        </is>
      </c>
      <c r="F2126" t="inlineStr">
        <is>
          <t>P_US_FG</t>
        </is>
      </c>
      <c r="G2126" t="inlineStr">
        <is>
          <t>Month-2026.M09.W38</t>
        </is>
      </c>
      <c r="H2126" t="inlineStr">
        <is>
          <t>Reasonability Adjustment</t>
        </is>
      </c>
    </row>
    <row r="2127">
      <c r="A2127" t="inlineStr">
        <is>
          <t>Kylie Makeup</t>
        </is>
      </c>
      <c r="B2127" t="inlineStr">
        <is>
          <t>Lips (01245)</t>
        </is>
      </c>
      <c r="C2127" t="inlineStr">
        <is>
          <t>Kylie Supple Kiss Lip Glaze (00006711)</t>
        </is>
      </c>
      <c r="D2127" s="1" t="n">
        <v>4064941130727</v>
      </c>
      <c r="E2127" t="inlineStr">
        <is>
          <t>KJ MU SPP GLZ LG 3 ML 005LOVABLE IV</t>
        </is>
      </c>
      <c r="F2127" t="inlineStr">
        <is>
          <t>P_US_FG</t>
        </is>
      </c>
      <c r="G2127" t="inlineStr">
        <is>
          <t>Month-2026.M09.W38</t>
        </is>
      </c>
      <c r="H2127" t="inlineStr">
        <is>
          <t>Total Demand Assumption</t>
        </is>
      </c>
    </row>
    <row r="2128">
      <c r="A2128" t="inlineStr">
        <is>
          <t>Kylie Makeup</t>
        </is>
      </c>
      <c r="B2128" t="inlineStr">
        <is>
          <t>Lips (01245)</t>
        </is>
      </c>
      <c r="C2128" t="inlineStr">
        <is>
          <t>Kylie Supple Kiss Lip Glaze (00006711)</t>
        </is>
      </c>
      <c r="D2128" s="1" t="n">
        <v>4064941130727</v>
      </c>
      <c r="E2128" t="inlineStr">
        <is>
          <t>KJ MU SPP GLZ LG 3 ML 005LOVABLE IV</t>
        </is>
      </c>
      <c r="F2128" t="inlineStr">
        <is>
          <t>P_US_FG</t>
        </is>
      </c>
      <c r="G2128" t="inlineStr">
        <is>
          <t>Month-2026.M09.W38</t>
        </is>
      </c>
      <c r="H2128" t="inlineStr">
        <is>
          <t>Consensus - Final</t>
        </is>
      </c>
      <c r="J2128" t="n">
        <v>20</v>
      </c>
      <c r="K2128" t="n">
        <v>0</v>
      </c>
    </row>
    <row r="2129">
      <c r="A2129" t="inlineStr">
        <is>
          <t>Kylie Makeup</t>
        </is>
      </c>
      <c r="B2129" t="inlineStr">
        <is>
          <t>Lips (01245)</t>
        </is>
      </c>
      <c r="C2129" t="inlineStr">
        <is>
          <t>Kylie Supple Kiss Lip Glaze (00006711)</t>
        </is>
      </c>
      <c r="D2129" s="1" t="n">
        <v>4064941130727</v>
      </c>
      <c r="E2129" t="inlineStr">
        <is>
          <t>KJ MU SPP GLZ LG 3 ML 005LOVABLE IV</t>
        </is>
      </c>
      <c r="F2129" t="inlineStr">
        <is>
          <t>P_US_FG</t>
        </is>
      </c>
      <c r="G2129" t="inlineStr">
        <is>
          <t>Month-2026.M09.W38</t>
        </is>
      </c>
      <c r="H2129" t="inlineStr">
        <is>
          <t>Supply Cuts</t>
        </is>
      </c>
    </row>
    <row r="2130">
      <c r="A2130" t="inlineStr">
        <is>
          <t>Kylie Makeup</t>
        </is>
      </c>
      <c r="B2130" t="inlineStr">
        <is>
          <t>Lips (01245)</t>
        </is>
      </c>
      <c r="C2130" t="inlineStr">
        <is>
          <t>Kylie Supple Kiss Lip Glaze (00006711)</t>
        </is>
      </c>
      <c r="D2130" s="1" t="n">
        <v>4064941130727</v>
      </c>
      <c r="E2130" t="inlineStr">
        <is>
          <t>KJ MU SPP GLZ LG 3 ML 005LOVABLE IV</t>
        </is>
      </c>
      <c r="F2130" t="inlineStr">
        <is>
          <t>P_US_ULTA</t>
        </is>
      </c>
      <c r="G2130" t="inlineStr">
        <is>
          <t>CurrentWorkingView</t>
        </is>
      </c>
      <c r="H2130" t="inlineStr">
        <is>
          <t>Consensus - Final LY M</t>
        </is>
      </c>
      <c r="I2130" t="n">
        <v>288</v>
      </c>
      <c r="L2130" t="n">
        <v>96</v>
      </c>
      <c r="M2130" t="n">
        <v>192</v>
      </c>
      <c r="O2130" t="n">
        <v>192</v>
      </c>
      <c r="P2130" t="n">
        <v>192</v>
      </c>
      <c r="Q2130" t="n">
        <v>384</v>
      </c>
      <c r="R2130" t="n">
        <v>288</v>
      </c>
      <c r="S2130" t="n">
        <v>288</v>
      </c>
      <c r="T2130" t="n">
        <v>384</v>
      </c>
    </row>
    <row r="2131">
      <c r="A2131" t="inlineStr">
        <is>
          <t>Kylie Makeup</t>
        </is>
      </c>
      <c r="B2131" t="inlineStr">
        <is>
          <t>Lips (01245)</t>
        </is>
      </c>
      <c r="C2131" t="inlineStr">
        <is>
          <t>Kylie Supple Kiss Lip Glaze (00006711)</t>
        </is>
      </c>
      <c r="D2131" s="1" t="n">
        <v>4064941130727</v>
      </c>
      <c r="E2131" t="inlineStr">
        <is>
          <t>KJ MU SPP GLZ LG 3 ML 005LOVABLE IV</t>
        </is>
      </c>
      <c r="F2131" t="inlineStr">
        <is>
          <t>P_US_ULTA</t>
        </is>
      </c>
      <c r="G2131" t="inlineStr">
        <is>
          <t>CurrentWorkingView</t>
        </is>
      </c>
      <c r="H2131" t="inlineStr">
        <is>
          <t>System FC - Final</t>
        </is>
      </c>
      <c r="I2131" t="n">
        <v>384</v>
      </c>
      <c r="J2131" t="n">
        <v>2398</v>
      </c>
      <c r="K2131" t="n">
        <v>576</v>
      </c>
      <c r="L2131" t="n">
        <v>1360</v>
      </c>
      <c r="M2131" t="n">
        <v>433</v>
      </c>
      <c r="N2131" t="n">
        <v>14</v>
      </c>
      <c r="O2131" t="n">
        <v>67</v>
      </c>
      <c r="P2131" t="n">
        <v>280</v>
      </c>
      <c r="Q2131" t="n">
        <v>607</v>
      </c>
      <c r="R2131" t="n">
        <v>835</v>
      </c>
      <c r="S2131" t="n">
        <v>133</v>
      </c>
      <c r="T2131" t="n">
        <v>711</v>
      </c>
    </row>
    <row r="2132">
      <c r="A2132" t="inlineStr">
        <is>
          <t>Kylie Makeup</t>
        </is>
      </c>
      <c r="B2132" t="inlineStr">
        <is>
          <t>Lips (01245)</t>
        </is>
      </c>
      <c r="C2132" t="inlineStr">
        <is>
          <t>Kylie Supple Kiss Lip Glaze (00006711)</t>
        </is>
      </c>
      <c r="D2132" s="1" t="n">
        <v>4064941130727</v>
      </c>
      <c r="E2132" t="inlineStr">
        <is>
          <t>KJ MU SPP GLZ LG 3 ML 005LOVABLE IV</t>
        </is>
      </c>
      <c r="F2132" t="inlineStr">
        <is>
          <t>P_US_ULTA</t>
        </is>
      </c>
      <c r="G2132" t="inlineStr">
        <is>
          <t>CurrentWorkingView</t>
        </is>
      </c>
      <c r="H2132" t="inlineStr">
        <is>
          <t>EPOS</t>
        </is>
      </c>
      <c r="I2132" t="n">
        <v>359</v>
      </c>
    </row>
    <row r="2133">
      <c r="A2133" t="inlineStr">
        <is>
          <t>Kylie Makeup</t>
        </is>
      </c>
      <c r="B2133" t="inlineStr">
        <is>
          <t>Lips (01245)</t>
        </is>
      </c>
      <c r="C2133" t="inlineStr">
        <is>
          <t>Kylie Supple Kiss Lip Glaze (00006711)</t>
        </is>
      </c>
      <c r="D2133" s="1" t="n">
        <v>4064941130727</v>
      </c>
      <c r="E2133" t="inlineStr">
        <is>
          <t>KJ MU SPP GLZ LG 3 ML 005LOVABLE IV</t>
        </is>
      </c>
      <c r="F2133" t="inlineStr">
        <is>
          <t>P_US_ULTA</t>
        </is>
      </c>
      <c r="G2133" t="inlineStr">
        <is>
          <t>CurrentWorkingView</t>
        </is>
      </c>
      <c r="H2133" t="inlineStr">
        <is>
          <t>Reasonability Adjustment</t>
        </is>
      </c>
      <c r="L2133" t="n">
        <v>373</v>
      </c>
      <c r="M2133" t="n">
        <v>657</v>
      </c>
      <c r="N2133" t="n">
        <v>0</v>
      </c>
      <c r="O2133" t="n">
        <v>0</v>
      </c>
      <c r="P2133" t="n">
        <v>0</v>
      </c>
      <c r="T2133" t="n">
        <v>-159</v>
      </c>
    </row>
    <row r="2134">
      <c r="A2134" t="inlineStr">
        <is>
          <t>Kylie Makeup</t>
        </is>
      </c>
      <c r="B2134" t="inlineStr">
        <is>
          <t>Lips (01245)</t>
        </is>
      </c>
      <c r="C2134" t="inlineStr">
        <is>
          <t>Kylie Supple Kiss Lip Glaze (00006711)</t>
        </is>
      </c>
      <c r="D2134" s="1" t="n">
        <v>4064941130727</v>
      </c>
      <c r="E2134" t="inlineStr">
        <is>
          <t>KJ MU SPP GLZ LG 3 ML 005LOVABLE IV</t>
        </is>
      </c>
      <c r="F2134" t="inlineStr">
        <is>
          <t>P_US_ULTA</t>
        </is>
      </c>
      <c r="G2134" t="inlineStr">
        <is>
          <t>CurrentWorkingView</t>
        </is>
      </c>
      <c r="H2134" t="inlineStr">
        <is>
          <t>Total Demand Assumption</t>
        </is>
      </c>
      <c r="I2134" t="n">
        <v>273</v>
      </c>
      <c r="J2134" t="n">
        <v>1566</v>
      </c>
    </row>
    <row r="2135">
      <c r="A2135" t="inlineStr">
        <is>
          <t>Kylie Makeup</t>
        </is>
      </c>
      <c r="B2135" t="inlineStr">
        <is>
          <t>Lips (01245)</t>
        </is>
      </c>
      <c r="C2135" t="inlineStr">
        <is>
          <t>Kylie Supple Kiss Lip Glaze (00006711)</t>
        </is>
      </c>
      <c r="D2135" s="1" t="n">
        <v>4064941130727</v>
      </c>
      <c r="E2135" t="inlineStr">
        <is>
          <t>KJ MU SPP GLZ LG 3 ML 005LOVABLE IV</t>
        </is>
      </c>
      <c r="F2135" t="inlineStr">
        <is>
          <t>P_US_ULTA</t>
        </is>
      </c>
      <c r="G2135" t="inlineStr">
        <is>
          <t>CurrentWorkingView</t>
        </is>
      </c>
      <c r="H2135" t="inlineStr">
        <is>
          <t>Consensus - Final</t>
        </is>
      </c>
      <c r="I2135" t="n">
        <v>384</v>
      </c>
      <c r="J2135" t="n">
        <v>2398</v>
      </c>
      <c r="K2135" t="n">
        <v>576</v>
      </c>
      <c r="L2135" t="n">
        <v>1733</v>
      </c>
      <c r="M2135" t="n">
        <v>1090</v>
      </c>
      <c r="N2135" t="n">
        <v>14</v>
      </c>
      <c r="O2135" t="n">
        <v>67</v>
      </c>
      <c r="P2135" t="n">
        <v>280</v>
      </c>
      <c r="Q2135" t="n">
        <v>607</v>
      </c>
      <c r="R2135" t="n">
        <v>835</v>
      </c>
      <c r="S2135" t="n">
        <v>133</v>
      </c>
      <c r="T2135" t="n">
        <v>552</v>
      </c>
    </row>
    <row r="2136">
      <c r="A2136" t="inlineStr">
        <is>
          <t>Kylie Makeup</t>
        </is>
      </c>
      <c r="B2136" t="inlineStr">
        <is>
          <t>Lips (01245)</t>
        </is>
      </c>
      <c r="C2136" t="inlineStr">
        <is>
          <t>Kylie Supple Kiss Lip Glaze (00006711)</t>
        </is>
      </c>
      <c r="D2136" s="1" t="n">
        <v>4064941130727</v>
      </c>
      <c r="E2136" t="inlineStr">
        <is>
          <t>KJ MU SPP GLZ LG 3 ML 005LOVABLE IV</t>
        </is>
      </c>
      <c r="F2136" t="inlineStr">
        <is>
          <t>P_US_ULTA</t>
        </is>
      </c>
      <c r="G2136" t="inlineStr">
        <is>
          <t>CurrentWorkingView</t>
        </is>
      </c>
      <c r="H2136" t="inlineStr">
        <is>
          <t>Supply Cuts</t>
        </is>
      </c>
      <c r="J2136" t="n">
        <v>2</v>
      </c>
      <c r="K2136" t="n">
        <v>1152</v>
      </c>
    </row>
    <row r="2137">
      <c r="A2137" t="inlineStr">
        <is>
          <t>Kylie Makeup</t>
        </is>
      </c>
      <c r="B2137" t="inlineStr">
        <is>
          <t>Lips (01245)</t>
        </is>
      </c>
      <c r="C2137" t="inlineStr">
        <is>
          <t>Kylie Supple Kiss Lip Glaze (00006711)</t>
        </is>
      </c>
      <c r="D2137" s="1" t="n">
        <v>4064941130727</v>
      </c>
      <c r="E2137" t="inlineStr">
        <is>
          <t>KJ MU SPP GLZ LG 3 ML 005LOVABLE IV</t>
        </is>
      </c>
      <c r="F2137" t="inlineStr">
        <is>
          <t>P_US_ULTA</t>
        </is>
      </c>
      <c r="G2137" t="inlineStr">
        <is>
          <t>Month-2026.M09.W38</t>
        </is>
      </c>
      <c r="H2137" t="inlineStr">
        <is>
          <t>Consensus - Final LY M</t>
        </is>
      </c>
      <c r="I2137" t="n">
        <v>288</v>
      </c>
      <c r="L2137" t="n">
        <v>96</v>
      </c>
      <c r="M2137" t="n">
        <v>192</v>
      </c>
      <c r="O2137" t="n">
        <v>192</v>
      </c>
      <c r="P2137" t="n">
        <v>192</v>
      </c>
      <c r="Q2137" t="n">
        <v>384</v>
      </c>
      <c r="R2137" t="n">
        <v>288</v>
      </c>
      <c r="S2137" t="n">
        <v>288</v>
      </c>
      <c r="T2137" t="n">
        <v>384</v>
      </c>
    </row>
    <row r="2138">
      <c r="A2138" t="inlineStr">
        <is>
          <t>Kylie Makeup</t>
        </is>
      </c>
      <c r="B2138" t="inlineStr">
        <is>
          <t>Lips (01245)</t>
        </is>
      </c>
      <c r="C2138" t="inlineStr">
        <is>
          <t>Kylie Supple Kiss Lip Glaze (00006711)</t>
        </is>
      </c>
      <c r="D2138" s="1" t="n">
        <v>4064941130727</v>
      </c>
      <c r="E2138" t="inlineStr">
        <is>
          <t>KJ MU SPP GLZ LG 3 ML 005LOVABLE IV</t>
        </is>
      </c>
      <c r="F2138" t="inlineStr">
        <is>
          <t>P_US_ULTA</t>
        </is>
      </c>
      <c r="G2138" t="inlineStr">
        <is>
          <t>Month-2026.M09.W38</t>
        </is>
      </c>
      <c r="H2138" t="inlineStr">
        <is>
          <t>System FC - Final</t>
        </is>
      </c>
      <c r="I2138" t="n">
        <v>384</v>
      </c>
      <c r="J2138" t="n">
        <v>2398</v>
      </c>
      <c r="K2138" t="n">
        <v>0</v>
      </c>
      <c r="L2138" t="n">
        <v>1028</v>
      </c>
      <c r="M2138" t="n">
        <v>184</v>
      </c>
      <c r="N2138" t="n">
        <v>0</v>
      </c>
      <c r="O2138" t="n">
        <v>0</v>
      </c>
      <c r="P2138" t="n">
        <v>0</v>
      </c>
      <c r="Q2138" t="n">
        <v>301</v>
      </c>
      <c r="R2138" t="n">
        <v>519</v>
      </c>
      <c r="S2138" t="n">
        <v>0</v>
      </c>
      <c r="T2138" t="n">
        <v>347</v>
      </c>
    </row>
    <row r="2139">
      <c r="A2139" t="inlineStr">
        <is>
          <t>Kylie Makeup</t>
        </is>
      </c>
      <c r="B2139" t="inlineStr">
        <is>
          <t>Lips (01245)</t>
        </is>
      </c>
      <c r="C2139" t="inlineStr">
        <is>
          <t>Kylie Supple Kiss Lip Glaze (00006711)</t>
        </is>
      </c>
      <c r="D2139" s="1" t="n">
        <v>4064941130727</v>
      </c>
      <c r="E2139" t="inlineStr">
        <is>
          <t>KJ MU SPP GLZ LG 3 ML 005LOVABLE IV</t>
        </is>
      </c>
      <c r="F2139" t="inlineStr">
        <is>
          <t>P_US_ULTA</t>
        </is>
      </c>
      <c r="G2139" t="inlineStr">
        <is>
          <t>Month-2026.M09.W38</t>
        </is>
      </c>
      <c r="H2139" t="inlineStr">
        <is>
          <t>EPOS</t>
        </is>
      </c>
      <c r="I2139" t="n">
        <v>359</v>
      </c>
    </row>
    <row r="2140">
      <c r="A2140" t="inlineStr">
        <is>
          <t>Kylie Makeup</t>
        </is>
      </c>
      <c r="B2140" t="inlineStr">
        <is>
          <t>Lips (01245)</t>
        </is>
      </c>
      <c r="C2140" t="inlineStr">
        <is>
          <t>Kylie Supple Kiss Lip Glaze (00006711)</t>
        </is>
      </c>
      <c r="D2140" s="1" t="n">
        <v>4064941130727</v>
      </c>
      <c r="E2140" t="inlineStr">
        <is>
          <t>KJ MU SPP GLZ LG 3 ML 005LOVABLE IV</t>
        </is>
      </c>
      <c r="F2140" t="inlineStr">
        <is>
          <t>P_US_ULTA</t>
        </is>
      </c>
      <c r="G2140" t="inlineStr">
        <is>
          <t>Month-2026.M09.W38</t>
        </is>
      </c>
      <c r="H2140" t="inlineStr">
        <is>
          <t>Reasonability Adjustment</t>
        </is>
      </c>
      <c r="L2140" t="n">
        <v>373</v>
      </c>
      <c r="M2140" t="n">
        <v>657</v>
      </c>
      <c r="N2140" t="n">
        <v>0</v>
      </c>
      <c r="O2140" t="n">
        <v>0</v>
      </c>
      <c r="P2140" t="n">
        <v>0</v>
      </c>
      <c r="T2140" t="n">
        <v>-159</v>
      </c>
    </row>
    <row r="2141">
      <c r="A2141" t="inlineStr">
        <is>
          <t>Kylie Makeup</t>
        </is>
      </c>
      <c r="B2141" t="inlineStr">
        <is>
          <t>Lips (01245)</t>
        </is>
      </c>
      <c r="C2141" t="inlineStr">
        <is>
          <t>Kylie Supple Kiss Lip Glaze (00006711)</t>
        </is>
      </c>
      <c r="D2141" s="1" t="n">
        <v>4064941130727</v>
      </c>
      <c r="E2141" t="inlineStr">
        <is>
          <t>KJ MU SPP GLZ LG 3 ML 005LOVABLE IV</t>
        </is>
      </c>
      <c r="F2141" t="inlineStr">
        <is>
          <t>P_US_ULTA</t>
        </is>
      </c>
      <c r="G2141" t="inlineStr">
        <is>
          <t>Month-2026.M09.W38</t>
        </is>
      </c>
      <c r="H2141" t="inlineStr">
        <is>
          <t>Total Demand Assumption</t>
        </is>
      </c>
      <c r="I2141" t="n">
        <v>273</v>
      </c>
      <c r="J2141" t="n">
        <v>1566</v>
      </c>
    </row>
    <row r="2142">
      <c r="A2142" t="inlineStr">
        <is>
          <t>Kylie Makeup</t>
        </is>
      </c>
      <c r="B2142" t="inlineStr">
        <is>
          <t>Lips (01245)</t>
        </is>
      </c>
      <c r="C2142" t="inlineStr">
        <is>
          <t>Kylie Supple Kiss Lip Glaze (00006711)</t>
        </is>
      </c>
      <c r="D2142" s="1" t="n">
        <v>4064941130727</v>
      </c>
      <c r="E2142" t="inlineStr">
        <is>
          <t>KJ MU SPP GLZ LG 3 ML 005LOVABLE IV</t>
        </is>
      </c>
      <c r="F2142" t="inlineStr">
        <is>
          <t>P_US_ULTA</t>
        </is>
      </c>
      <c r="G2142" t="inlineStr">
        <is>
          <t>Month-2026.M09.W38</t>
        </is>
      </c>
      <c r="H2142" t="inlineStr">
        <is>
          <t>Consensus - Final</t>
        </is>
      </c>
      <c r="I2142" t="n">
        <v>384</v>
      </c>
      <c r="J2142" t="n">
        <v>2398</v>
      </c>
      <c r="L2142" t="n">
        <v>1401</v>
      </c>
      <c r="M2142" t="n">
        <v>841</v>
      </c>
      <c r="Q2142" t="n">
        <v>301</v>
      </c>
      <c r="R2142" t="n">
        <v>519</v>
      </c>
      <c r="T2142" t="n">
        <v>188</v>
      </c>
    </row>
    <row r="2143">
      <c r="A2143" t="inlineStr">
        <is>
          <t>Kylie Makeup</t>
        </is>
      </c>
      <c r="B2143" t="inlineStr">
        <is>
          <t>Lips (01245)</t>
        </is>
      </c>
      <c r="C2143" t="inlineStr">
        <is>
          <t>Kylie Supple Kiss Lip Glaze (00006711)</t>
        </is>
      </c>
      <c r="D2143" s="1" t="n">
        <v>4064941130727</v>
      </c>
      <c r="E2143" t="inlineStr">
        <is>
          <t>KJ MU SPP GLZ LG 3 ML 005LOVABLE IV</t>
        </is>
      </c>
      <c r="F2143" t="inlineStr">
        <is>
          <t>P_US_ULTA</t>
        </is>
      </c>
      <c r="G2143" t="inlineStr">
        <is>
          <t>Month-2026.M09.W38</t>
        </is>
      </c>
      <c r="H2143" t="inlineStr">
        <is>
          <t>Supply Cuts</t>
        </is>
      </c>
      <c r="J2143" t="n">
        <v>2</v>
      </c>
      <c r="K2143" t="n">
        <v>1152</v>
      </c>
    </row>
    <row r="2144">
      <c r="A2144" t="inlineStr">
        <is>
          <t>Kylie Makeup</t>
        </is>
      </c>
      <c r="B2144" t="inlineStr">
        <is>
          <t>Lips (01245)</t>
        </is>
      </c>
      <c r="C2144" t="inlineStr">
        <is>
          <t>Kylie Precision Pout Lip Liner (00006731)</t>
        </is>
      </c>
      <c r="D2144" s="1" t="n">
        <v>4064941130734</v>
      </c>
      <c r="E2144" t="inlineStr">
        <is>
          <t>KJ MU POUT LINPEN 1G PRECIS 627 24IV</t>
        </is>
      </c>
      <c r="F2144" t="inlineStr">
        <is>
          <t>P_US_ALL_OTHERS</t>
        </is>
      </c>
      <c r="G2144" t="inlineStr">
        <is>
          <t>CurrentWorkingView</t>
        </is>
      </c>
      <c r="H2144" t="inlineStr">
        <is>
          <t>Consensus - Final LY M</t>
        </is>
      </c>
      <c r="I2144" t="n">
        <v>15</v>
      </c>
      <c r="J2144" t="n">
        <v>15</v>
      </c>
      <c r="K2144" t="n">
        <v>23</v>
      </c>
      <c r="L2144" t="n">
        <v>12</v>
      </c>
      <c r="M2144" t="n">
        <v>2</v>
      </c>
      <c r="N2144" t="n">
        <v>5</v>
      </c>
      <c r="O2144" t="n">
        <v>4</v>
      </c>
      <c r="P2144" t="n">
        <v>20</v>
      </c>
      <c r="Q2144" t="n">
        <v>9</v>
      </c>
      <c r="R2144" t="n">
        <v>9</v>
      </c>
      <c r="S2144" t="n">
        <v>6</v>
      </c>
      <c r="T2144" t="n">
        <v>12</v>
      </c>
    </row>
    <row r="2145">
      <c r="A2145" t="inlineStr">
        <is>
          <t>Kylie Makeup</t>
        </is>
      </c>
      <c r="B2145" t="inlineStr">
        <is>
          <t>Lips (01245)</t>
        </is>
      </c>
      <c r="C2145" t="inlineStr">
        <is>
          <t>Kylie Precision Pout Lip Liner (00006731)</t>
        </is>
      </c>
      <c r="D2145" s="1" t="n">
        <v>4064941130734</v>
      </c>
      <c r="E2145" t="inlineStr">
        <is>
          <t>KJ MU POUT LINPEN 1G PRECIS 627 24IV</t>
        </is>
      </c>
      <c r="F2145" t="inlineStr">
        <is>
          <t>P_US_ALL_OTHERS</t>
        </is>
      </c>
      <c r="G2145" t="inlineStr">
        <is>
          <t>CurrentWorkingView</t>
        </is>
      </c>
      <c r="H2145" t="inlineStr">
        <is>
          <t>System FC - Final</t>
        </is>
      </c>
      <c r="I2145" t="n">
        <v>1</v>
      </c>
      <c r="J2145" t="n">
        <v>2</v>
      </c>
      <c r="K2145" t="n">
        <v>5</v>
      </c>
      <c r="L2145" t="n">
        <v>5</v>
      </c>
      <c r="M2145" t="n">
        <v>4</v>
      </c>
      <c r="N2145" t="n">
        <v>4</v>
      </c>
      <c r="O2145" t="n">
        <v>5</v>
      </c>
      <c r="P2145" t="n">
        <v>8</v>
      </c>
      <c r="Q2145" t="n">
        <v>5</v>
      </c>
      <c r="R2145" t="n">
        <v>5</v>
      </c>
      <c r="S2145" t="n">
        <v>4</v>
      </c>
      <c r="T2145" t="n">
        <v>5</v>
      </c>
    </row>
    <row r="2146">
      <c r="A2146" t="inlineStr">
        <is>
          <t>Kylie Makeup</t>
        </is>
      </c>
      <c r="B2146" t="inlineStr">
        <is>
          <t>Lips (01245)</t>
        </is>
      </c>
      <c r="C2146" t="inlineStr">
        <is>
          <t>Kylie Precision Pout Lip Liner (00006731)</t>
        </is>
      </c>
      <c r="D2146" s="1" t="n">
        <v>4064941130734</v>
      </c>
      <c r="E2146" t="inlineStr">
        <is>
          <t>KJ MU POUT LINPEN 1G PRECIS 627 24IV</t>
        </is>
      </c>
      <c r="F2146" t="inlineStr">
        <is>
          <t>P_US_ALL_OTHERS</t>
        </is>
      </c>
      <c r="G2146" t="inlineStr">
        <is>
          <t>CurrentWorkingView</t>
        </is>
      </c>
      <c r="H2146" t="inlineStr">
        <is>
          <t>EPOS</t>
        </is>
      </c>
      <c r="I2146" t="n">
        <v>0</v>
      </c>
    </row>
    <row r="2147">
      <c r="A2147" t="inlineStr">
        <is>
          <t>Kylie Makeup</t>
        </is>
      </c>
      <c r="B2147" t="inlineStr">
        <is>
          <t>Lips (01245)</t>
        </is>
      </c>
      <c r="C2147" t="inlineStr">
        <is>
          <t>Kylie Precision Pout Lip Liner (00006731)</t>
        </is>
      </c>
      <c r="D2147" s="1" t="n">
        <v>4064941130734</v>
      </c>
      <c r="E2147" t="inlineStr">
        <is>
          <t>KJ MU POUT LINPEN 1G PRECIS 627 24IV</t>
        </is>
      </c>
      <c r="F2147" t="inlineStr">
        <is>
          <t>P_US_ALL_OTHERS</t>
        </is>
      </c>
      <c r="G2147" t="inlineStr">
        <is>
          <t>CurrentWorkingView</t>
        </is>
      </c>
      <c r="H2147" t="inlineStr">
        <is>
          <t>Reasonability Adjustment</t>
        </is>
      </c>
      <c r="R2147" t="n">
        <v>-2</v>
      </c>
      <c r="S2147" t="n">
        <v>-5</v>
      </c>
      <c r="T2147" t="n">
        <v>-8</v>
      </c>
    </row>
    <row r="2148">
      <c r="A2148" t="inlineStr">
        <is>
          <t>Kylie Makeup</t>
        </is>
      </c>
      <c r="B2148" t="inlineStr">
        <is>
          <t>Lips (01245)</t>
        </is>
      </c>
      <c r="C2148" t="inlineStr">
        <is>
          <t>Kylie Precision Pout Lip Liner (00006731)</t>
        </is>
      </c>
      <c r="D2148" s="1" t="n">
        <v>4064941130734</v>
      </c>
      <c r="E2148" t="inlineStr">
        <is>
          <t>KJ MU POUT LINPEN 1G PRECIS 627 24IV</t>
        </is>
      </c>
      <c r="F2148" t="inlineStr">
        <is>
          <t>P_US_ALL_OTHERS</t>
        </is>
      </c>
      <c r="G2148" t="inlineStr">
        <is>
          <t>CurrentWorkingView</t>
        </is>
      </c>
      <c r="H2148" t="inlineStr">
        <is>
          <t>Total Demand Assumption</t>
        </is>
      </c>
    </row>
    <row r="2149">
      <c r="A2149" t="inlineStr">
        <is>
          <t>Kylie Makeup</t>
        </is>
      </c>
      <c r="B2149" t="inlineStr">
        <is>
          <t>Lips (01245)</t>
        </is>
      </c>
      <c r="C2149" t="inlineStr">
        <is>
          <t>Kylie Precision Pout Lip Liner (00006731)</t>
        </is>
      </c>
      <c r="D2149" s="1" t="n">
        <v>4064941130734</v>
      </c>
      <c r="E2149" t="inlineStr">
        <is>
          <t>KJ MU POUT LINPEN 1G PRECIS 627 24IV</t>
        </is>
      </c>
      <c r="F2149" t="inlineStr">
        <is>
          <t>P_US_ALL_OTHERS</t>
        </is>
      </c>
      <c r="G2149" t="inlineStr">
        <is>
          <t>CurrentWorkingView</t>
        </is>
      </c>
      <c r="H2149" t="inlineStr">
        <is>
          <t>Consensus - Final</t>
        </is>
      </c>
      <c r="I2149" t="n">
        <v>1</v>
      </c>
      <c r="J2149" t="n">
        <v>2</v>
      </c>
      <c r="K2149" t="n">
        <v>5.73942093541202</v>
      </c>
      <c r="L2149" t="n">
        <v>5</v>
      </c>
      <c r="M2149" t="n">
        <v>4</v>
      </c>
      <c r="N2149" t="n">
        <v>4</v>
      </c>
      <c r="O2149" t="n">
        <v>5</v>
      </c>
      <c r="P2149" t="n">
        <v>8</v>
      </c>
      <c r="Q2149" t="n">
        <v>5</v>
      </c>
      <c r="R2149" t="n">
        <v>3</v>
      </c>
    </row>
    <row r="2150">
      <c r="A2150" t="inlineStr">
        <is>
          <t>Kylie Makeup</t>
        </is>
      </c>
      <c r="B2150" t="inlineStr">
        <is>
          <t>Lips (01245)</t>
        </is>
      </c>
      <c r="C2150" t="inlineStr">
        <is>
          <t>Kylie Precision Pout Lip Liner (00006731)</t>
        </is>
      </c>
      <c r="D2150" s="1" t="n">
        <v>4064941130734</v>
      </c>
      <c r="E2150" t="inlineStr">
        <is>
          <t>KJ MU POUT LINPEN 1G PRECIS 627 24IV</t>
        </is>
      </c>
      <c r="F2150" t="inlineStr">
        <is>
          <t>P_US_ALL_OTHERS</t>
        </is>
      </c>
      <c r="G2150" t="inlineStr">
        <is>
          <t>CurrentWorkingView</t>
        </is>
      </c>
      <c r="H2150" t="inlineStr">
        <is>
          <t>Supply Cuts</t>
        </is>
      </c>
    </row>
    <row r="2151">
      <c r="A2151" t="inlineStr">
        <is>
          <t>Kylie Makeup</t>
        </is>
      </c>
      <c r="B2151" t="inlineStr">
        <is>
          <t>Lips (01245)</t>
        </is>
      </c>
      <c r="C2151" t="inlineStr">
        <is>
          <t>Kylie Precision Pout Lip Liner (00006731)</t>
        </is>
      </c>
      <c r="D2151" s="1" t="n">
        <v>4064941130734</v>
      </c>
      <c r="E2151" t="inlineStr">
        <is>
          <t>KJ MU POUT LINPEN 1G PRECIS 627 24IV</t>
        </is>
      </c>
      <c r="F2151" t="inlineStr">
        <is>
          <t>P_US_ALL_OTHERS</t>
        </is>
      </c>
      <c r="G2151" t="inlineStr">
        <is>
          <t>Month-2026.M09.W38</t>
        </is>
      </c>
      <c r="H2151" t="inlineStr">
        <is>
          <t>Consensus - Final LY M</t>
        </is>
      </c>
      <c r="I2151" t="n">
        <v>15</v>
      </c>
      <c r="J2151" t="n">
        <v>15</v>
      </c>
      <c r="K2151" t="n">
        <v>23</v>
      </c>
      <c r="L2151" t="n">
        <v>12</v>
      </c>
      <c r="M2151" t="n">
        <v>2</v>
      </c>
      <c r="N2151" t="n">
        <v>5</v>
      </c>
      <c r="O2151" t="n">
        <v>4</v>
      </c>
      <c r="P2151" t="n">
        <v>20</v>
      </c>
      <c r="Q2151" t="n">
        <v>9</v>
      </c>
      <c r="R2151" t="n">
        <v>9</v>
      </c>
      <c r="S2151" t="n">
        <v>6</v>
      </c>
      <c r="T2151" t="n">
        <v>12</v>
      </c>
    </row>
    <row r="2152">
      <c r="A2152" t="inlineStr">
        <is>
          <t>Kylie Makeup</t>
        </is>
      </c>
      <c r="B2152" t="inlineStr">
        <is>
          <t>Lips (01245)</t>
        </is>
      </c>
      <c r="C2152" t="inlineStr">
        <is>
          <t>Kylie Precision Pout Lip Liner (00006731)</t>
        </is>
      </c>
      <c r="D2152" s="1" t="n">
        <v>4064941130734</v>
      </c>
      <c r="E2152" t="inlineStr">
        <is>
          <t>KJ MU POUT LINPEN 1G PRECIS 627 24IV</t>
        </is>
      </c>
      <c r="F2152" t="inlineStr">
        <is>
          <t>P_US_ALL_OTHERS</t>
        </is>
      </c>
      <c r="G2152" t="inlineStr">
        <is>
          <t>Month-2026.M09.W38</t>
        </is>
      </c>
      <c r="H2152" t="inlineStr">
        <is>
          <t>System FC - Final</t>
        </is>
      </c>
      <c r="I2152" t="n">
        <v>1</v>
      </c>
      <c r="J2152" t="n">
        <v>2</v>
      </c>
      <c r="K2152" t="n">
        <v>7</v>
      </c>
      <c r="L2152" t="n">
        <v>5</v>
      </c>
      <c r="M2152" t="n">
        <v>4</v>
      </c>
      <c r="N2152" t="n">
        <v>5</v>
      </c>
      <c r="O2152" t="n">
        <v>9</v>
      </c>
      <c r="P2152" t="n">
        <v>16</v>
      </c>
      <c r="Q2152" t="n">
        <v>9</v>
      </c>
      <c r="R2152" t="n">
        <v>8</v>
      </c>
      <c r="S2152" t="n">
        <v>9</v>
      </c>
      <c r="T2152" t="n">
        <v>9</v>
      </c>
    </row>
    <row r="2153">
      <c r="A2153" t="inlineStr">
        <is>
          <t>Kylie Makeup</t>
        </is>
      </c>
      <c r="B2153" t="inlineStr">
        <is>
          <t>Lips (01245)</t>
        </is>
      </c>
      <c r="C2153" t="inlineStr">
        <is>
          <t>Kylie Precision Pout Lip Liner (00006731)</t>
        </is>
      </c>
      <c r="D2153" s="1" t="n">
        <v>4064941130734</v>
      </c>
      <c r="E2153" t="inlineStr">
        <is>
          <t>KJ MU POUT LINPEN 1G PRECIS 627 24IV</t>
        </is>
      </c>
      <c r="F2153" t="inlineStr">
        <is>
          <t>P_US_ALL_OTHERS</t>
        </is>
      </c>
      <c r="G2153" t="inlineStr">
        <is>
          <t>Month-2026.M09.W38</t>
        </is>
      </c>
      <c r="H2153" t="inlineStr">
        <is>
          <t>EPOS</t>
        </is>
      </c>
      <c r="I2153" t="n">
        <v>0</v>
      </c>
    </row>
    <row r="2154">
      <c r="A2154" t="inlineStr">
        <is>
          <t>Kylie Makeup</t>
        </is>
      </c>
      <c r="B2154" t="inlineStr">
        <is>
          <t>Lips (01245)</t>
        </is>
      </c>
      <c r="C2154" t="inlineStr">
        <is>
          <t>Kylie Precision Pout Lip Liner (00006731)</t>
        </is>
      </c>
      <c r="D2154" s="1" t="n">
        <v>4064941130734</v>
      </c>
      <c r="E2154" t="inlineStr">
        <is>
          <t>KJ MU POUT LINPEN 1G PRECIS 627 24IV</t>
        </is>
      </c>
      <c r="F2154" t="inlineStr">
        <is>
          <t>P_US_ALL_OTHERS</t>
        </is>
      </c>
      <c r="G2154" t="inlineStr">
        <is>
          <t>Month-2026.M09.W38</t>
        </is>
      </c>
      <c r="H2154" t="inlineStr">
        <is>
          <t>Reasonability Adjustment</t>
        </is>
      </c>
      <c r="R2154" t="n">
        <v>-2</v>
      </c>
      <c r="S2154" t="n">
        <v>-5</v>
      </c>
      <c r="T2154" t="n">
        <v>-8</v>
      </c>
    </row>
    <row r="2155">
      <c r="A2155" t="inlineStr">
        <is>
          <t>Kylie Makeup</t>
        </is>
      </c>
      <c r="B2155" t="inlineStr">
        <is>
          <t>Lips (01245)</t>
        </is>
      </c>
      <c r="C2155" t="inlineStr">
        <is>
          <t>Kylie Precision Pout Lip Liner (00006731)</t>
        </is>
      </c>
      <c r="D2155" s="1" t="n">
        <v>4064941130734</v>
      </c>
      <c r="E2155" t="inlineStr">
        <is>
          <t>KJ MU POUT LINPEN 1G PRECIS 627 24IV</t>
        </is>
      </c>
      <c r="F2155" t="inlineStr">
        <is>
          <t>P_US_ALL_OTHERS</t>
        </is>
      </c>
      <c r="G2155" t="inlineStr">
        <is>
          <t>Month-2026.M09.W38</t>
        </is>
      </c>
      <c r="H2155" t="inlineStr">
        <is>
          <t>Total Demand Assumption</t>
        </is>
      </c>
    </row>
    <row r="2156">
      <c r="A2156" t="inlineStr">
        <is>
          <t>Kylie Makeup</t>
        </is>
      </c>
      <c r="B2156" t="inlineStr">
        <is>
          <t>Lips (01245)</t>
        </is>
      </c>
      <c r="C2156" t="inlineStr">
        <is>
          <t>Kylie Precision Pout Lip Liner (00006731)</t>
        </is>
      </c>
      <c r="D2156" s="1" t="n">
        <v>4064941130734</v>
      </c>
      <c r="E2156" t="inlineStr">
        <is>
          <t>KJ MU POUT LINPEN 1G PRECIS 627 24IV</t>
        </is>
      </c>
      <c r="F2156" t="inlineStr">
        <is>
          <t>P_US_ALL_OTHERS</t>
        </is>
      </c>
      <c r="G2156" t="inlineStr">
        <is>
          <t>Month-2026.M09.W38</t>
        </is>
      </c>
      <c r="H2156" t="inlineStr">
        <is>
          <t>Consensus - Final</t>
        </is>
      </c>
      <c r="I2156" t="n">
        <v>1</v>
      </c>
      <c r="J2156" t="n">
        <v>2</v>
      </c>
      <c r="K2156" t="n">
        <v>5.73942093541202</v>
      </c>
      <c r="L2156" t="n">
        <v>5</v>
      </c>
      <c r="M2156" t="n">
        <v>4</v>
      </c>
      <c r="N2156" t="n">
        <v>5</v>
      </c>
      <c r="O2156" t="n">
        <v>9</v>
      </c>
      <c r="P2156" t="n">
        <v>16</v>
      </c>
      <c r="Q2156" t="n">
        <v>9</v>
      </c>
      <c r="R2156" t="n">
        <v>6</v>
      </c>
      <c r="S2156" t="n">
        <v>4</v>
      </c>
      <c r="T2156" t="n">
        <v>1</v>
      </c>
    </row>
    <row r="2157">
      <c r="A2157" t="inlineStr">
        <is>
          <t>Kylie Makeup</t>
        </is>
      </c>
      <c r="B2157" t="inlineStr">
        <is>
          <t>Lips (01245)</t>
        </is>
      </c>
      <c r="C2157" t="inlineStr">
        <is>
          <t>Kylie Precision Pout Lip Liner (00006731)</t>
        </is>
      </c>
      <c r="D2157" s="1" t="n">
        <v>4064941130734</v>
      </c>
      <c r="E2157" t="inlineStr">
        <is>
          <t>KJ MU POUT LINPEN 1G PRECIS 627 24IV</t>
        </is>
      </c>
      <c r="F2157" t="inlineStr">
        <is>
          <t>P_US_ALL_OTHERS</t>
        </is>
      </c>
      <c r="G2157" t="inlineStr">
        <is>
          <t>Month-2026.M09.W38</t>
        </is>
      </c>
      <c r="H2157" t="inlineStr">
        <is>
          <t>Supply Cuts</t>
        </is>
      </c>
    </row>
    <row r="2158">
      <c r="A2158" t="inlineStr">
        <is>
          <t>Kylie Makeup</t>
        </is>
      </c>
      <c r="B2158" t="inlineStr">
        <is>
          <t>Lips (01245)</t>
        </is>
      </c>
      <c r="C2158" t="inlineStr">
        <is>
          <t>Kylie Precision Pout Lip Liner (00006731)</t>
        </is>
      </c>
      <c r="D2158" s="1" t="n">
        <v>4064941130734</v>
      </c>
      <c r="E2158" t="inlineStr">
        <is>
          <t>KJ MU POUT LINPEN 1G PRECIS 627 24IV</t>
        </is>
      </c>
      <c r="F2158" t="inlineStr">
        <is>
          <t>P_US_FG</t>
        </is>
      </c>
      <c r="G2158" t="inlineStr">
        <is>
          <t>CurrentWorkingView</t>
        </is>
      </c>
      <c r="H2158" t="inlineStr">
        <is>
          <t>Consensus - Final LY M</t>
        </is>
      </c>
      <c r="I2158" t="n">
        <v>70</v>
      </c>
      <c r="Q2158" t="n">
        <v>5</v>
      </c>
      <c r="T2158" t="n">
        <v>65</v>
      </c>
    </row>
    <row r="2159">
      <c r="A2159" t="inlineStr">
        <is>
          <t>Kylie Makeup</t>
        </is>
      </c>
      <c r="B2159" t="inlineStr">
        <is>
          <t>Lips (01245)</t>
        </is>
      </c>
      <c r="C2159" t="inlineStr">
        <is>
          <t>Kylie Precision Pout Lip Liner (00006731)</t>
        </is>
      </c>
      <c r="D2159" s="1" t="n">
        <v>4064941130734</v>
      </c>
      <c r="E2159" t="inlineStr">
        <is>
          <t>KJ MU POUT LINPEN 1G PRECIS 627 24IV</t>
        </is>
      </c>
      <c r="F2159" t="inlineStr">
        <is>
          <t>P_US_FG</t>
        </is>
      </c>
      <c r="G2159" t="inlineStr">
        <is>
          <t>CurrentWorkingView</t>
        </is>
      </c>
      <c r="H2159" t="inlineStr">
        <is>
          <t>System FC - Final</t>
        </is>
      </c>
      <c r="J2159" t="n">
        <v>20</v>
      </c>
      <c r="K2159" t="n">
        <v>6</v>
      </c>
      <c r="L2159" t="n">
        <v>5</v>
      </c>
      <c r="M2159" t="n">
        <v>4</v>
      </c>
      <c r="N2159" t="n">
        <v>5</v>
      </c>
      <c r="O2159" t="n">
        <v>13</v>
      </c>
      <c r="P2159" t="n">
        <v>20</v>
      </c>
      <c r="Q2159" t="n">
        <v>13</v>
      </c>
      <c r="R2159" t="n">
        <v>8</v>
      </c>
      <c r="S2159" t="n">
        <v>14</v>
      </c>
      <c r="T2159" t="n">
        <v>12</v>
      </c>
    </row>
    <row r="2160">
      <c r="A2160" t="inlineStr">
        <is>
          <t>Kylie Makeup</t>
        </is>
      </c>
      <c r="B2160" t="inlineStr">
        <is>
          <t>Lips (01245)</t>
        </is>
      </c>
      <c r="C2160" t="inlineStr">
        <is>
          <t>Kylie Precision Pout Lip Liner (00006731)</t>
        </is>
      </c>
      <c r="D2160" s="1" t="n">
        <v>4064941130734</v>
      </c>
      <c r="E2160" t="inlineStr">
        <is>
          <t>KJ MU POUT LINPEN 1G PRECIS 627 24IV</t>
        </is>
      </c>
      <c r="F2160" t="inlineStr">
        <is>
          <t>P_US_FG</t>
        </is>
      </c>
      <c r="G2160" t="inlineStr">
        <is>
          <t>CurrentWorkingView</t>
        </is>
      </c>
      <c r="H2160" t="inlineStr">
        <is>
          <t>EPOS</t>
        </is>
      </c>
    </row>
    <row r="2161">
      <c r="A2161" t="inlineStr">
        <is>
          <t>Kylie Makeup</t>
        </is>
      </c>
      <c r="B2161" t="inlineStr">
        <is>
          <t>Lips (01245)</t>
        </is>
      </c>
      <c r="C2161" t="inlineStr">
        <is>
          <t>Kylie Precision Pout Lip Liner (00006731)</t>
        </is>
      </c>
      <c r="D2161" s="1" t="n">
        <v>4064941130734</v>
      </c>
      <c r="E2161" t="inlineStr">
        <is>
          <t>KJ MU POUT LINPEN 1G PRECIS 627 24IV</t>
        </is>
      </c>
      <c r="F2161" t="inlineStr">
        <is>
          <t>P_US_FG</t>
        </is>
      </c>
      <c r="G2161" t="inlineStr">
        <is>
          <t>CurrentWorkingView</t>
        </is>
      </c>
      <c r="H2161" t="inlineStr">
        <is>
          <t>Reasonability Adjustment</t>
        </is>
      </c>
    </row>
    <row r="2162">
      <c r="A2162" t="inlineStr">
        <is>
          <t>Kylie Makeup</t>
        </is>
      </c>
      <c r="B2162" t="inlineStr">
        <is>
          <t>Lips (01245)</t>
        </is>
      </c>
      <c r="C2162" t="inlineStr">
        <is>
          <t>Kylie Precision Pout Lip Liner (00006731)</t>
        </is>
      </c>
      <c r="D2162" s="1" t="n">
        <v>4064941130734</v>
      </c>
      <c r="E2162" t="inlineStr">
        <is>
          <t>KJ MU POUT LINPEN 1G PRECIS 627 24IV</t>
        </is>
      </c>
      <c r="F2162" t="inlineStr">
        <is>
          <t>P_US_FG</t>
        </is>
      </c>
      <c r="G2162" t="inlineStr">
        <is>
          <t>CurrentWorkingView</t>
        </is>
      </c>
      <c r="H2162" t="inlineStr">
        <is>
          <t>Total Demand Assumption</t>
        </is>
      </c>
    </row>
    <row r="2163">
      <c r="A2163" t="inlineStr">
        <is>
          <t>Kylie Makeup</t>
        </is>
      </c>
      <c r="B2163" t="inlineStr">
        <is>
          <t>Lips (01245)</t>
        </is>
      </c>
      <c r="C2163" t="inlineStr">
        <is>
          <t>Kylie Precision Pout Lip Liner (00006731)</t>
        </is>
      </c>
      <c r="D2163" s="1" t="n">
        <v>4064941130734</v>
      </c>
      <c r="E2163" t="inlineStr">
        <is>
          <t>KJ MU POUT LINPEN 1G PRECIS 627 24IV</t>
        </is>
      </c>
      <c r="F2163" t="inlineStr">
        <is>
          <t>P_US_FG</t>
        </is>
      </c>
      <c r="G2163" t="inlineStr">
        <is>
          <t>CurrentWorkingView</t>
        </is>
      </c>
      <c r="H2163" t="inlineStr">
        <is>
          <t>Consensus - Final</t>
        </is>
      </c>
      <c r="J2163" t="n">
        <v>20</v>
      </c>
      <c r="K2163" t="n">
        <v>0</v>
      </c>
    </row>
    <row r="2164">
      <c r="A2164" t="inlineStr">
        <is>
          <t>Kylie Makeup</t>
        </is>
      </c>
      <c r="B2164" t="inlineStr">
        <is>
          <t>Lips (01245)</t>
        </is>
      </c>
      <c r="C2164" t="inlineStr">
        <is>
          <t>Kylie Precision Pout Lip Liner (00006731)</t>
        </is>
      </c>
      <c r="D2164" s="1" t="n">
        <v>4064941130734</v>
      </c>
      <c r="E2164" t="inlineStr">
        <is>
          <t>KJ MU POUT LINPEN 1G PRECIS 627 24IV</t>
        </is>
      </c>
      <c r="F2164" t="inlineStr">
        <is>
          <t>P_US_FG</t>
        </is>
      </c>
      <c r="G2164" t="inlineStr">
        <is>
          <t>CurrentWorkingView</t>
        </is>
      </c>
      <c r="H2164" t="inlineStr">
        <is>
          <t>Supply Cuts</t>
        </is>
      </c>
    </row>
    <row r="2165">
      <c r="A2165" t="inlineStr">
        <is>
          <t>Kylie Makeup</t>
        </is>
      </c>
      <c r="B2165" t="inlineStr">
        <is>
          <t>Lips (01245)</t>
        </is>
      </c>
      <c r="C2165" t="inlineStr">
        <is>
          <t>Kylie Precision Pout Lip Liner (00006731)</t>
        </is>
      </c>
      <c r="D2165" s="1" t="n">
        <v>4064941130734</v>
      </c>
      <c r="E2165" t="inlineStr">
        <is>
          <t>KJ MU POUT LINPEN 1G PRECIS 627 24IV</t>
        </is>
      </c>
      <c r="F2165" t="inlineStr">
        <is>
          <t>P_US_FG</t>
        </is>
      </c>
      <c r="G2165" t="inlineStr">
        <is>
          <t>Month-2026.M09.W38</t>
        </is>
      </c>
      <c r="H2165" t="inlineStr">
        <is>
          <t>Consensus - Final LY M</t>
        </is>
      </c>
      <c r="I2165" t="n">
        <v>70</v>
      </c>
      <c r="Q2165" t="n">
        <v>5</v>
      </c>
      <c r="T2165" t="n">
        <v>65</v>
      </c>
    </row>
    <row r="2166">
      <c r="A2166" t="inlineStr">
        <is>
          <t>Kylie Makeup</t>
        </is>
      </c>
      <c r="B2166" t="inlineStr">
        <is>
          <t>Lips (01245)</t>
        </is>
      </c>
      <c r="C2166" t="inlineStr">
        <is>
          <t>Kylie Precision Pout Lip Liner (00006731)</t>
        </is>
      </c>
      <c r="D2166" s="1" t="n">
        <v>4064941130734</v>
      </c>
      <c r="E2166" t="inlineStr">
        <is>
          <t>KJ MU POUT LINPEN 1G PRECIS 627 24IV</t>
        </is>
      </c>
      <c r="F2166" t="inlineStr">
        <is>
          <t>P_US_FG</t>
        </is>
      </c>
      <c r="G2166" t="inlineStr">
        <is>
          <t>Month-2026.M09.W38</t>
        </is>
      </c>
      <c r="H2166" t="inlineStr">
        <is>
          <t>System FC - Final</t>
        </is>
      </c>
      <c r="J2166" t="n">
        <v>20</v>
      </c>
      <c r="K2166" t="n">
        <v>9</v>
      </c>
      <c r="L2166" t="n">
        <v>5</v>
      </c>
      <c r="M2166" t="n">
        <v>4</v>
      </c>
      <c r="N2166" t="n">
        <v>7</v>
      </c>
      <c r="O2166" t="n">
        <v>9</v>
      </c>
      <c r="P2166" t="n">
        <v>20</v>
      </c>
      <c r="Q2166" t="n">
        <v>13</v>
      </c>
      <c r="R2166" t="n">
        <v>5</v>
      </c>
      <c r="S2166" t="n">
        <v>13</v>
      </c>
      <c r="T2166" t="n">
        <v>12</v>
      </c>
    </row>
    <row r="2167">
      <c r="A2167" t="inlineStr">
        <is>
          <t>Kylie Makeup</t>
        </is>
      </c>
      <c r="B2167" t="inlineStr">
        <is>
          <t>Lips (01245)</t>
        </is>
      </c>
      <c r="C2167" t="inlineStr">
        <is>
          <t>Kylie Precision Pout Lip Liner (00006731)</t>
        </is>
      </c>
      <c r="D2167" s="1" t="n">
        <v>4064941130734</v>
      </c>
      <c r="E2167" t="inlineStr">
        <is>
          <t>KJ MU POUT LINPEN 1G PRECIS 627 24IV</t>
        </is>
      </c>
      <c r="F2167" t="inlineStr">
        <is>
          <t>P_US_FG</t>
        </is>
      </c>
      <c r="G2167" t="inlineStr">
        <is>
          <t>Month-2026.M09.W38</t>
        </is>
      </c>
      <c r="H2167" t="inlineStr">
        <is>
          <t>EPOS</t>
        </is>
      </c>
    </row>
    <row r="2168">
      <c r="A2168" t="inlineStr">
        <is>
          <t>Kylie Makeup</t>
        </is>
      </c>
      <c r="B2168" t="inlineStr">
        <is>
          <t>Lips (01245)</t>
        </is>
      </c>
      <c r="C2168" t="inlineStr">
        <is>
          <t>Kylie Precision Pout Lip Liner (00006731)</t>
        </is>
      </c>
      <c r="D2168" s="1" t="n">
        <v>4064941130734</v>
      </c>
      <c r="E2168" t="inlineStr">
        <is>
          <t>KJ MU POUT LINPEN 1G PRECIS 627 24IV</t>
        </is>
      </c>
      <c r="F2168" t="inlineStr">
        <is>
          <t>P_US_FG</t>
        </is>
      </c>
      <c r="G2168" t="inlineStr">
        <is>
          <t>Month-2026.M09.W38</t>
        </is>
      </c>
      <c r="H2168" t="inlineStr">
        <is>
          <t>Reasonability Adjustment</t>
        </is>
      </c>
    </row>
    <row r="2169">
      <c r="A2169" t="inlineStr">
        <is>
          <t>Kylie Makeup</t>
        </is>
      </c>
      <c r="B2169" t="inlineStr">
        <is>
          <t>Lips (01245)</t>
        </is>
      </c>
      <c r="C2169" t="inlineStr">
        <is>
          <t>Kylie Precision Pout Lip Liner (00006731)</t>
        </is>
      </c>
      <c r="D2169" s="1" t="n">
        <v>4064941130734</v>
      </c>
      <c r="E2169" t="inlineStr">
        <is>
          <t>KJ MU POUT LINPEN 1G PRECIS 627 24IV</t>
        </is>
      </c>
      <c r="F2169" t="inlineStr">
        <is>
          <t>P_US_FG</t>
        </is>
      </c>
      <c r="G2169" t="inlineStr">
        <is>
          <t>Month-2026.M09.W38</t>
        </is>
      </c>
      <c r="H2169" t="inlineStr">
        <is>
          <t>Total Demand Assumption</t>
        </is>
      </c>
    </row>
    <row r="2170">
      <c r="A2170" t="inlineStr">
        <is>
          <t>Kylie Makeup</t>
        </is>
      </c>
      <c r="B2170" t="inlineStr">
        <is>
          <t>Lips (01245)</t>
        </is>
      </c>
      <c r="C2170" t="inlineStr">
        <is>
          <t>Kylie Precision Pout Lip Liner (00006731)</t>
        </is>
      </c>
      <c r="D2170" s="1" t="n">
        <v>4064941130734</v>
      </c>
      <c r="E2170" t="inlineStr">
        <is>
          <t>KJ MU POUT LINPEN 1G PRECIS 627 24IV</t>
        </is>
      </c>
      <c r="F2170" t="inlineStr">
        <is>
          <t>P_US_FG</t>
        </is>
      </c>
      <c r="G2170" t="inlineStr">
        <is>
          <t>Month-2026.M09.W38</t>
        </is>
      </c>
      <c r="H2170" t="inlineStr">
        <is>
          <t>Consensus - Final</t>
        </is>
      </c>
      <c r="J2170" t="n">
        <v>20</v>
      </c>
      <c r="K2170" t="n">
        <v>0</v>
      </c>
    </row>
    <row r="2171">
      <c r="A2171" t="inlineStr">
        <is>
          <t>Kylie Makeup</t>
        </is>
      </c>
      <c r="B2171" t="inlineStr">
        <is>
          <t>Lips (01245)</t>
        </is>
      </c>
      <c r="C2171" t="inlineStr">
        <is>
          <t>Kylie Precision Pout Lip Liner (00006731)</t>
        </is>
      </c>
      <c r="D2171" s="1" t="n">
        <v>4064941130734</v>
      </c>
      <c r="E2171" t="inlineStr">
        <is>
          <t>KJ MU POUT LINPEN 1G PRECIS 627 24IV</t>
        </is>
      </c>
      <c r="F2171" t="inlineStr">
        <is>
          <t>P_US_FG</t>
        </is>
      </c>
      <c r="G2171" t="inlineStr">
        <is>
          <t>Month-2026.M09.W38</t>
        </is>
      </c>
      <c r="H2171" t="inlineStr">
        <is>
          <t>Supply Cuts</t>
        </is>
      </c>
    </row>
    <row r="2172">
      <c r="A2172" t="inlineStr">
        <is>
          <t>Kylie Makeup</t>
        </is>
      </c>
      <c r="B2172" t="inlineStr">
        <is>
          <t>Lips (01245)</t>
        </is>
      </c>
      <c r="C2172" t="inlineStr">
        <is>
          <t>Kylie Precision Pout Lip Liner (00006731)</t>
        </is>
      </c>
      <c r="D2172" s="1" t="n">
        <v>4064941130734</v>
      </c>
      <c r="E2172" t="inlineStr">
        <is>
          <t>KJ MU POUT LINPEN 1G PRECIS 627 24IV</t>
        </is>
      </c>
      <c r="F2172" t="inlineStr">
        <is>
          <t>P_US_ULTA</t>
        </is>
      </c>
      <c r="G2172" t="inlineStr">
        <is>
          <t>CurrentWorkingView</t>
        </is>
      </c>
      <c r="H2172" t="inlineStr">
        <is>
          <t>Consensus - Final LY M</t>
        </is>
      </c>
      <c r="I2172" t="n">
        <v>1768</v>
      </c>
      <c r="J2172" t="n">
        <v>1208</v>
      </c>
      <c r="K2172" t="n">
        <v>1348</v>
      </c>
      <c r="L2172" t="n">
        <v>1497</v>
      </c>
      <c r="M2172" t="n">
        <v>938</v>
      </c>
      <c r="N2172" t="n">
        <v>966</v>
      </c>
      <c r="O2172" t="n">
        <v>659</v>
      </c>
      <c r="P2172" t="n">
        <v>581</v>
      </c>
      <c r="Q2172" t="n">
        <v>6282</v>
      </c>
      <c r="R2172" t="n">
        <v>495</v>
      </c>
      <c r="S2172" t="n">
        <v>314</v>
      </c>
      <c r="T2172" t="n">
        <v>144</v>
      </c>
    </row>
    <row r="2173">
      <c r="A2173" t="inlineStr">
        <is>
          <t>Kylie Makeup</t>
        </is>
      </c>
      <c r="B2173" t="inlineStr">
        <is>
          <t>Lips (01245)</t>
        </is>
      </c>
      <c r="C2173" t="inlineStr">
        <is>
          <t>Kylie Precision Pout Lip Liner (00006731)</t>
        </is>
      </c>
      <c r="D2173" s="1" t="n">
        <v>4064941130734</v>
      </c>
      <c r="E2173" t="inlineStr">
        <is>
          <t>KJ MU POUT LINPEN 1G PRECIS 627 24IV</t>
        </is>
      </c>
      <c r="F2173" t="inlineStr">
        <is>
          <t>P_US_ULTA</t>
        </is>
      </c>
      <c r="G2173" t="inlineStr">
        <is>
          <t>CurrentWorkingView</t>
        </is>
      </c>
      <c r="H2173" t="inlineStr">
        <is>
          <t>System FC - Final</t>
        </is>
      </c>
      <c r="I2173" t="n">
        <v>432</v>
      </c>
      <c r="J2173" t="n">
        <v>1036</v>
      </c>
      <c r="K2173" t="n">
        <v>697</v>
      </c>
      <c r="L2173" t="n">
        <v>1355</v>
      </c>
      <c r="M2173" t="n">
        <v>1101</v>
      </c>
      <c r="N2173" t="n">
        <v>1484</v>
      </c>
      <c r="O2173" t="n">
        <v>952</v>
      </c>
      <c r="P2173" t="n">
        <v>1016</v>
      </c>
      <c r="Q2173" t="n">
        <v>1338</v>
      </c>
      <c r="R2173" t="n">
        <v>1170</v>
      </c>
      <c r="S2173" t="n">
        <v>1103</v>
      </c>
      <c r="T2173" t="n">
        <v>999</v>
      </c>
    </row>
    <row r="2174">
      <c r="A2174" t="inlineStr">
        <is>
          <t>Kylie Makeup</t>
        </is>
      </c>
      <c r="B2174" t="inlineStr">
        <is>
          <t>Lips (01245)</t>
        </is>
      </c>
      <c r="C2174" t="inlineStr">
        <is>
          <t>Kylie Precision Pout Lip Liner (00006731)</t>
        </is>
      </c>
      <c r="D2174" s="1" t="n">
        <v>4064941130734</v>
      </c>
      <c r="E2174" t="inlineStr">
        <is>
          <t>KJ MU POUT LINPEN 1G PRECIS 627 24IV</t>
        </is>
      </c>
      <c r="F2174" t="inlineStr">
        <is>
          <t>P_US_ULTA</t>
        </is>
      </c>
      <c r="G2174" t="inlineStr">
        <is>
          <t>CurrentWorkingView</t>
        </is>
      </c>
      <c r="H2174" t="inlineStr">
        <is>
          <t>EPOS</t>
        </is>
      </c>
      <c r="I2174" t="n">
        <v>716</v>
      </c>
    </row>
    <row r="2175">
      <c r="A2175" t="inlineStr">
        <is>
          <t>Kylie Makeup</t>
        </is>
      </c>
      <c r="B2175" t="inlineStr">
        <is>
          <t>Lips (01245)</t>
        </is>
      </c>
      <c r="C2175" t="inlineStr">
        <is>
          <t>Kylie Precision Pout Lip Liner (00006731)</t>
        </is>
      </c>
      <c r="D2175" s="1" t="n">
        <v>4064941130734</v>
      </c>
      <c r="E2175" t="inlineStr">
        <is>
          <t>KJ MU POUT LINPEN 1G PRECIS 627 24IV</t>
        </is>
      </c>
      <c r="F2175" t="inlineStr">
        <is>
          <t>P_US_ULTA</t>
        </is>
      </c>
      <c r="G2175" t="inlineStr">
        <is>
          <t>CurrentWorkingView</t>
        </is>
      </c>
      <c r="H2175" t="inlineStr">
        <is>
          <t>Reasonability Adjustment</t>
        </is>
      </c>
      <c r="R2175" t="n">
        <v>-149</v>
      </c>
      <c r="S2175" t="n">
        <v>-410</v>
      </c>
      <c r="T2175" t="n">
        <v>-844</v>
      </c>
    </row>
    <row r="2176">
      <c r="A2176" t="inlineStr">
        <is>
          <t>Kylie Makeup</t>
        </is>
      </c>
      <c r="B2176" t="inlineStr">
        <is>
          <t>Lips (01245)</t>
        </is>
      </c>
      <c r="C2176" t="inlineStr">
        <is>
          <t>Kylie Precision Pout Lip Liner (00006731)</t>
        </is>
      </c>
      <c r="D2176" s="1" t="n">
        <v>4064941130734</v>
      </c>
      <c r="E2176" t="inlineStr">
        <is>
          <t>KJ MU POUT LINPEN 1G PRECIS 627 24IV</t>
        </is>
      </c>
      <c r="F2176" t="inlineStr">
        <is>
          <t>P_US_ULTA</t>
        </is>
      </c>
      <c r="G2176" t="inlineStr">
        <is>
          <t>CurrentWorkingView</t>
        </is>
      </c>
      <c r="H2176" t="inlineStr">
        <is>
          <t>Total Demand Assumption</t>
        </is>
      </c>
    </row>
    <row r="2177">
      <c r="A2177" t="inlineStr">
        <is>
          <t>Kylie Makeup</t>
        </is>
      </c>
      <c r="B2177" t="inlineStr">
        <is>
          <t>Lips (01245)</t>
        </is>
      </c>
      <c r="C2177" t="inlineStr">
        <is>
          <t>Kylie Precision Pout Lip Liner (00006731)</t>
        </is>
      </c>
      <c r="D2177" s="1" t="n">
        <v>4064941130734</v>
      </c>
      <c r="E2177" t="inlineStr">
        <is>
          <t>KJ MU POUT LINPEN 1G PRECIS 627 24IV</t>
        </is>
      </c>
      <c r="F2177" t="inlineStr">
        <is>
          <t>P_US_ULTA</t>
        </is>
      </c>
      <c r="G2177" t="inlineStr">
        <is>
          <t>CurrentWorkingView</t>
        </is>
      </c>
      <c r="H2177" t="inlineStr">
        <is>
          <t>Consensus - Final</t>
        </is>
      </c>
      <c r="I2177" t="n">
        <v>432</v>
      </c>
      <c r="J2177" t="n">
        <v>1036</v>
      </c>
      <c r="K2177" t="n">
        <v>696.260579064588</v>
      </c>
      <c r="L2177" t="n">
        <v>1355</v>
      </c>
      <c r="M2177" t="n">
        <v>1101</v>
      </c>
      <c r="N2177" t="n">
        <v>1484</v>
      </c>
      <c r="O2177" t="n">
        <v>952</v>
      </c>
      <c r="P2177" t="n">
        <v>1016</v>
      </c>
      <c r="Q2177" t="n">
        <v>1338</v>
      </c>
      <c r="R2177" t="n">
        <v>1021</v>
      </c>
      <c r="S2177" t="n">
        <v>693</v>
      </c>
      <c r="T2177" t="n">
        <v>155</v>
      </c>
    </row>
    <row r="2178">
      <c r="A2178" t="inlineStr">
        <is>
          <t>Kylie Makeup</t>
        </is>
      </c>
      <c r="B2178" t="inlineStr">
        <is>
          <t>Lips (01245)</t>
        </is>
      </c>
      <c r="C2178" t="inlineStr">
        <is>
          <t>Kylie Precision Pout Lip Liner (00006731)</t>
        </is>
      </c>
      <c r="D2178" s="1" t="n">
        <v>4064941130734</v>
      </c>
      <c r="E2178" t="inlineStr">
        <is>
          <t>KJ MU POUT LINPEN 1G PRECIS 627 24IV</t>
        </is>
      </c>
      <c r="F2178" t="inlineStr">
        <is>
          <t>P_US_ULTA</t>
        </is>
      </c>
      <c r="G2178" t="inlineStr">
        <is>
          <t>CurrentWorkingView</t>
        </is>
      </c>
      <c r="H2178" t="inlineStr">
        <is>
          <t>Supply Cuts</t>
        </is>
      </c>
    </row>
    <row r="2179">
      <c r="A2179" t="inlineStr">
        <is>
          <t>Kylie Makeup</t>
        </is>
      </c>
      <c r="B2179" t="inlineStr">
        <is>
          <t>Lips (01245)</t>
        </is>
      </c>
      <c r="C2179" t="inlineStr">
        <is>
          <t>Kylie Precision Pout Lip Liner (00006731)</t>
        </is>
      </c>
      <c r="D2179" s="1" t="n">
        <v>4064941130734</v>
      </c>
      <c r="E2179" t="inlineStr">
        <is>
          <t>KJ MU POUT LINPEN 1G PRECIS 627 24IV</t>
        </is>
      </c>
      <c r="F2179" t="inlineStr">
        <is>
          <t>P_US_ULTA</t>
        </is>
      </c>
      <c r="G2179" t="inlineStr">
        <is>
          <t>Month-2026.M09.W38</t>
        </is>
      </c>
      <c r="H2179" t="inlineStr">
        <is>
          <t>Consensus - Final LY M</t>
        </is>
      </c>
      <c r="I2179" t="n">
        <v>1768</v>
      </c>
      <c r="J2179" t="n">
        <v>1208</v>
      </c>
      <c r="K2179" t="n">
        <v>1348</v>
      </c>
      <c r="L2179" t="n">
        <v>1497</v>
      </c>
      <c r="M2179" t="n">
        <v>938</v>
      </c>
      <c r="N2179" t="n">
        <v>966</v>
      </c>
      <c r="O2179" t="n">
        <v>659</v>
      </c>
      <c r="P2179" t="n">
        <v>581</v>
      </c>
      <c r="Q2179" t="n">
        <v>6282</v>
      </c>
      <c r="R2179" t="n">
        <v>495</v>
      </c>
      <c r="S2179" t="n">
        <v>314</v>
      </c>
      <c r="T2179" t="n">
        <v>144</v>
      </c>
    </row>
    <row r="2180">
      <c r="A2180" t="inlineStr">
        <is>
          <t>Kylie Makeup</t>
        </is>
      </c>
      <c r="B2180" t="inlineStr">
        <is>
          <t>Lips (01245)</t>
        </is>
      </c>
      <c r="C2180" t="inlineStr">
        <is>
          <t>Kylie Precision Pout Lip Liner (00006731)</t>
        </is>
      </c>
      <c r="D2180" s="1" t="n">
        <v>4064941130734</v>
      </c>
      <c r="E2180" t="inlineStr">
        <is>
          <t>KJ MU POUT LINPEN 1G PRECIS 627 24IV</t>
        </is>
      </c>
      <c r="F2180" t="inlineStr">
        <is>
          <t>P_US_ULTA</t>
        </is>
      </c>
      <c r="G2180" t="inlineStr">
        <is>
          <t>Month-2026.M09.W38</t>
        </is>
      </c>
      <c r="H2180" t="inlineStr">
        <is>
          <t>System FC - Final</t>
        </is>
      </c>
      <c r="I2180" t="n">
        <v>432</v>
      </c>
      <c r="J2180" t="n">
        <v>1036</v>
      </c>
      <c r="K2180" t="n">
        <v>861</v>
      </c>
      <c r="L2180" t="n">
        <v>877</v>
      </c>
      <c r="M2180" t="n">
        <v>506</v>
      </c>
      <c r="N2180" t="n">
        <v>921</v>
      </c>
      <c r="O2180" t="n">
        <v>625</v>
      </c>
      <c r="P2180" t="n">
        <v>540</v>
      </c>
      <c r="Q2180" t="n">
        <v>1054</v>
      </c>
      <c r="R2180" t="n">
        <v>647</v>
      </c>
      <c r="S2180" t="n">
        <v>726</v>
      </c>
      <c r="T2180" t="n">
        <v>999</v>
      </c>
    </row>
    <row r="2181">
      <c r="A2181" t="inlineStr">
        <is>
          <t>Kylie Makeup</t>
        </is>
      </c>
      <c r="B2181" t="inlineStr">
        <is>
          <t>Lips (01245)</t>
        </is>
      </c>
      <c r="C2181" t="inlineStr">
        <is>
          <t>Kylie Precision Pout Lip Liner (00006731)</t>
        </is>
      </c>
      <c r="D2181" s="1" t="n">
        <v>4064941130734</v>
      </c>
      <c r="E2181" t="inlineStr">
        <is>
          <t>KJ MU POUT LINPEN 1G PRECIS 627 24IV</t>
        </is>
      </c>
      <c r="F2181" t="inlineStr">
        <is>
          <t>P_US_ULTA</t>
        </is>
      </c>
      <c r="G2181" t="inlineStr">
        <is>
          <t>Month-2026.M09.W38</t>
        </is>
      </c>
      <c r="H2181" t="inlineStr">
        <is>
          <t>EPOS</t>
        </is>
      </c>
      <c r="I2181" t="n">
        <v>716</v>
      </c>
    </row>
    <row r="2182">
      <c r="A2182" t="inlineStr">
        <is>
          <t>Kylie Makeup</t>
        </is>
      </c>
      <c r="B2182" t="inlineStr">
        <is>
          <t>Lips (01245)</t>
        </is>
      </c>
      <c r="C2182" t="inlineStr">
        <is>
          <t>Kylie Precision Pout Lip Liner (00006731)</t>
        </is>
      </c>
      <c r="D2182" s="1" t="n">
        <v>4064941130734</v>
      </c>
      <c r="E2182" t="inlineStr">
        <is>
          <t>KJ MU POUT LINPEN 1G PRECIS 627 24IV</t>
        </is>
      </c>
      <c r="F2182" t="inlineStr">
        <is>
          <t>P_US_ULTA</t>
        </is>
      </c>
      <c r="G2182" t="inlineStr">
        <is>
          <t>Month-2026.M09.W38</t>
        </is>
      </c>
      <c r="H2182" t="inlineStr">
        <is>
          <t>Reasonability Adjustment</t>
        </is>
      </c>
      <c r="R2182" t="n">
        <v>-149</v>
      </c>
      <c r="S2182" t="n">
        <v>-410</v>
      </c>
      <c r="T2182" t="n">
        <v>-844</v>
      </c>
    </row>
    <row r="2183">
      <c r="A2183" t="inlineStr">
        <is>
          <t>Kylie Makeup</t>
        </is>
      </c>
      <c r="B2183" t="inlineStr">
        <is>
          <t>Lips (01245)</t>
        </is>
      </c>
      <c r="C2183" t="inlineStr">
        <is>
          <t>Kylie Precision Pout Lip Liner (00006731)</t>
        </is>
      </c>
      <c r="D2183" s="1" t="n">
        <v>4064941130734</v>
      </c>
      <c r="E2183" t="inlineStr">
        <is>
          <t>KJ MU POUT LINPEN 1G PRECIS 627 24IV</t>
        </is>
      </c>
      <c r="F2183" t="inlineStr">
        <is>
          <t>P_US_ULTA</t>
        </is>
      </c>
      <c r="G2183" t="inlineStr">
        <is>
          <t>Month-2026.M09.W38</t>
        </is>
      </c>
      <c r="H2183" t="inlineStr">
        <is>
          <t>Total Demand Assumption</t>
        </is>
      </c>
    </row>
    <row r="2184">
      <c r="A2184" t="inlineStr">
        <is>
          <t>Kylie Makeup</t>
        </is>
      </c>
      <c r="B2184" t="inlineStr">
        <is>
          <t>Lips (01245)</t>
        </is>
      </c>
      <c r="C2184" t="inlineStr">
        <is>
          <t>Kylie Precision Pout Lip Liner (00006731)</t>
        </is>
      </c>
      <c r="D2184" s="1" t="n">
        <v>4064941130734</v>
      </c>
      <c r="E2184" t="inlineStr">
        <is>
          <t>KJ MU POUT LINPEN 1G PRECIS 627 24IV</t>
        </is>
      </c>
      <c r="F2184" t="inlineStr">
        <is>
          <t>P_US_ULTA</t>
        </is>
      </c>
      <c r="G2184" t="inlineStr">
        <is>
          <t>Month-2026.M09.W38</t>
        </is>
      </c>
      <c r="H2184" t="inlineStr">
        <is>
          <t>Consensus - Final</t>
        </is>
      </c>
      <c r="I2184" t="n">
        <v>432</v>
      </c>
      <c r="J2184" t="n">
        <v>1036</v>
      </c>
      <c r="K2184" t="n">
        <v>696.260579064588</v>
      </c>
      <c r="L2184" t="n">
        <v>877</v>
      </c>
      <c r="M2184" t="n">
        <v>506</v>
      </c>
      <c r="N2184" t="n">
        <v>921</v>
      </c>
      <c r="O2184" t="n">
        <v>625</v>
      </c>
      <c r="P2184" t="n">
        <v>540</v>
      </c>
      <c r="Q2184" t="n">
        <v>1054</v>
      </c>
      <c r="R2184" t="n">
        <v>498</v>
      </c>
      <c r="S2184" t="n">
        <v>316</v>
      </c>
      <c r="T2184" t="n">
        <v>155</v>
      </c>
    </row>
    <row r="2185">
      <c r="A2185" t="inlineStr">
        <is>
          <t>Kylie Makeup</t>
        </is>
      </c>
      <c r="B2185" t="inlineStr">
        <is>
          <t>Lips (01245)</t>
        </is>
      </c>
      <c r="C2185" t="inlineStr">
        <is>
          <t>Kylie Precision Pout Lip Liner (00006731)</t>
        </is>
      </c>
      <c r="D2185" s="1" t="n">
        <v>4064941130734</v>
      </c>
      <c r="E2185" t="inlineStr">
        <is>
          <t>KJ MU POUT LINPEN 1G PRECIS 627 24IV</t>
        </is>
      </c>
      <c r="F2185" t="inlineStr">
        <is>
          <t>P_US_ULTA</t>
        </is>
      </c>
      <c r="G2185" t="inlineStr">
        <is>
          <t>Month-2026.M09.W38</t>
        </is>
      </c>
      <c r="H2185" t="inlineStr">
        <is>
          <t>Supply Cuts</t>
        </is>
      </c>
    </row>
    <row r="2186">
      <c r="A2186" t="inlineStr">
        <is>
          <t>Kylie Makeup</t>
        </is>
      </c>
      <c r="B2186" t="inlineStr">
        <is>
          <t>Lips (01245)</t>
        </is>
      </c>
      <c r="C2186" t="inlineStr">
        <is>
          <t>Kylie Precision Pout Lip Liner (00006731)</t>
        </is>
      </c>
      <c r="D2186" s="1" t="n">
        <v>4064941130741</v>
      </c>
      <c r="E2186" t="inlineStr">
        <is>
          <t>KJ MU POUT LINPEN 1G PRECIS 355 24IV</t>
        </is>
      </c>
      <c r="F2186" t="inlineStr">
        <is>
          <t>P_US_ALL_OTHERS</t>
        </is>
      </c>
      <c r="G2186" t="inlineStr">
        <is>
          <t>CurrentWorkingView</t>
        </is>
      </c>
      <c r="H2186" t="inlineStr">
        <is>
          <t>Consensus - Final LY M</t>
        </is>
      </c>
      <c r="I2186" t="n">
        <v>333</v>
      </c>
      <c r="J2186" t="n">
        <v>261</v>
      </c>
      <c r="K2186" t="n">
        <v>252</v>
      </c>
      <c r="L2186" t="n">
        <v>302</v>
      </c>
      <c r="M2186" t="n">
        <v>195</v>
      </c>
      <c r="N2186" t="n">
        <v>208</v>
      </c>
      <c r="O2186" t="n">
        <v>182</v>
      </c>
      <c r="P2186" t="n">
        <v>531</v>
      </c>
      <c r="Q2186" t="n">
        <v>163</v>
      </c>
      <c r="R2186" t="n">
        <v>190</v>
      </c>
      <c r="S2186" t="n">
        <v>227</v>
      </c>
      <c r="T2186" t="n">
        <v>235</v>
      </c>
    </row>
    <row r="2187">
      <c r="A2187" t="inlineStr">
        <is>
          <t>Kylie Makeup</t>
        </is>
      </c>
      <c r="B2187" t="inlineStr">
        <is>
          <t>Lips (01245)</t>
        </is>
      </c>
      <c r="C2187" t="inlineStr">
        <is>
          <t>Kylie Precision Pout Lip Liner (00006731)</t>
        </is>
      </c>
      <c r="D2187" s="1" t="n">
        <v>4064941130741</v>
      </c>
      <c r="E2187" t="inlineStr">
        <is>
          <t>KJ MU POUT LINPEN 1G PRECIS 355 24IV</t>
        </is>
      </c>
      <c r="F2187" t="inlineStr">
        <is>
          <t>P_US_ALL_OTHERS</t>
        </is>
      </c>
      <c r="G2187" t="inlineStr">
        <is>
          <t>CurrentWorkingView</t>
        </is>
      </c>
      <c r="H2187" t="inlineStr">
        <is>
          <t>System FC - Final</t>
        </is>
      </c>
      <c r="I2187" t="n">
        <v>218</v>
      </c>
      <c r="J2187" t="n">
        <v>307</v>
      </c>
      <c r="K2187" t="n">
        <v>242</v>
      </c>
      <c r="L2187" t="n">
        <v>185</v>
      </c>
      <c r="M2187" t="n">
        <v>155</v>
      </c>
      <c r="N2187" t="n">
        <v>203</v>
      </c>
      <c r="O2187" t="n">
        <v>323</v>
      </c>
      <c r="P2187" t="n">
        <v>576</v>
      </c>
      <c r="Q2187" t="n">
        <v>390</v>
      </c>
      <c r="R2187" t="n">
        <v>266</v>
      </c>
      <c r="S2187" t="n">
        <v>363</v>
      </c>
      <c r="T2187" t="n">
        <v>360</v>
      </c>
    </row>
    <row r="2188">
      <c r="A2188" t="inlineStr">
        <is>
          <t>Kylie Makeup</t>
        </is>
      </c>
      <c r="B2188" t="inlineStr">
        <is>
          <t>Lips (01245)</t>
        </is>
      </c>
      <c r="C2188" t="inlineStr">
        <is>
          <t>Kylie Precision Pout Lip Liner (00006731)</t>
        </is>
      </c>
      <c r="D2188" s="1" t="n">
        <v>4064941130741</v>
      </c>
      <c r="E2188" t="inlineStr">
        <is>
          <t>KJ MU POUT LINPEN 1G PRECIS 355 24IV</t>
        </is>
      </c>
      <c r="F2188" t="inlineStr">
        <is>
          <t>P_US_ALL_OTHERS</t>
        </is>
      </c>
      <c r="G2188" t="inlineStr">
        <is>
          <t>CurrentWorkingView</t>
        </is>
      </c>
      <c r="H2188" t="inlineStr">
        <is>
          <t>EPOS</t>
        </is>
      </c>
      <c r="I2188" t="n">
        <v>209</v>
      </c>
    </row>
    <row r="2189">
      <c r="A2189" t="inlineStr">
        <is>
          <t>Kylie Makeup</t>
        </is>
      </c>
      <c r="B2189" t="inlineStr">
        <is>
          <t>Lips (01245)</t>
        </is>
      </c>
      <c r="C2189" t="inlineStr">
        <is>
          <t>Kylie Precision Pout Lip Liner (00006731)</t>
        </is>
      </c>
      <c r="D2189" s="1" t="n">
        <v>4064941130741</v>
      </c>
      <c r="E2189" t="inlineStr">
        <is>
          <t>KJ MU POUT LINPEN 1G PRECIS 355 24IV</t>
        </is>
      </c>
      <c r="F2189" t="inlineStr">
        <is>
          <t>P_US_ALL_OTHERS</t>
        </is>
      </c>
      <c r="G2189" t="inlineStr">
        <is>
          <t>CurrentWorkingView</t>
        </is>
      </c>
      <c r="H2189" t="inlineStr">
        <is>
          <t>Reasonability Adjustment</t>
        </is>
      </c>
      <c r="R2189" t="n">
        <v>-145</v>
      </c>
      <c r="S2189" t="n">
        <v>-50</v>
      </c>
      <c r="T2189" t="n">
        <v>-84</v>
      </c>
    </row>
    <row r="2190">
      <c r="A2190" t="inlineStr">
        <is>
          <t>Kylie Makeup</t>
        </is>
      </c>
      <c r="B2190" t="inlineStr">
        <is>
          <t>Lips (01245)</t>
        </is>
      </c>
      <c r="C2190" t="inlineStr">
        <is>
          <t>Kylie Precision Pout Lip Liner (00006731)</t>
        </is>
      </c>
      <c r="D2190" s="1" t="n">
        <v>4064941130741</v>
      </c>
      <c r="E2190" t="inlineStr">
        <is>
          <t>KJ MU POUT LINPEN 1G PRECIS 355 24IV</t>
        </is>
      </c>
      <c r="F2190" t="inlineStr">
        <is>
          <t>P_US_ALL_OTHERS</t>
        </is>
      </c>
      <c r="G2190" t="inlineStr">
        <is>
          <t>CurrentWorkingView</t>
        </is>
      </c>
      <c r="H2190" t="inlineStr">
        <is>
          <t>Total Demand Assumption</t>
        </is>
      </c>
    </row>
    <row r="2191">
      <c r="A2191" t="inlineStr">
        <is>
          <t>Kylie Makeup</t>
        </is>
      </c>
      <c r="B2191" t="inlineStr">
        <is>
          <t>Lips (01245)</t>
        </is>
      </c>
      <c r="C2191" t="inlineStr">
        <is>
          <t>Kylie Precision Pout Lip Liner (00006731)</t>
        </is>
      </c>
      <c r="D2191" s="1" t="n">
        <v>4064941130741</v>
      </c>
      <c r="E2191" t="inlineStr">
        <is>
          <t>KJ MU POUT LINPEN 1G PRECIS 355 24IV</t>
        </is>
      </c>
      <c r="F2191" t="inlineStr">
        <is>
          <t>P_US_ALL_OTHERS</t>
        </is>
      </c>
      <c r="G2191" t="inlineStr">
        <is>
          <t>CurrentWorkingView</t>
        </is>
      </c>
      <c r="H2191" t="inlineStr">
        <is>
          <t>Consensus - Final</t>
        </is>
      </c>
      <c r="I2191" t="n">
        <v>218</v>
      </c>
      <c r="J2191" t="n">
        <v>307</v>
      </c>
      <c r="K2191" t="n">
        <v>296.533622559652</v>
      </c>
      <c r="L2191" t="n">
        <v>185</v>
      </c>
      <c r="M2191" t="n">
        <v>155</v>
      </c>
      <c r="N2191" t="n">
        <v>203</v>
      </c>
      <c r="O2191" t="n">
        <v>323</v>
      </c>
      <c r="P2191" t="n">
        <v>576</v>
      </c>
      <c r="Q2191" t="n">
        <v>390</v>
      </c>
      <c r="R2191" t="n">
        <v>121</v>
      </c>
      <c r="S2191" t="n">
        <v>313</v>
      </c>
      <c r="T2191" t="n">
        <v>276</v>
      </c>
    </row>
    <row r="2192">
      <c r="A2192" t="inlineStr">
        <is>
          <t>Kylie Makeup</t>
        </is>
      </c>
      <c r="B2192" t="inlineStr">
        <is>
          <t>Lips (01245)</t>
        </is>
      </c>
      <c r="C2192" t="inlineStr">
        <is>
          <t>Kylie Precision Pout Lip Liner (00006731)</t>
        </is>
      </c>
      <c r="D2192" s="1" t="n">
        <v>4064941130741</v>
      </c>
      <c r="E2192" t="inlineStr">
        <is>
          <t>KJ MU POUT LINPEN 1G PRECIS 355 24IV</t>
        </is>
      </c>
      <c r="F2192" t="inlineStr">
        <is>
          <t>P_US_ALL_OTHERS</t>
        </is>
      </c>
      <c r="G2192" t="inlineStr">
        <is>
          <t>CurrentWorkingView</t>
        </is>
      </c>
      <c r="H2192" t="inlineStr">
        <is>
          <t>Supply Cuts</t>
        </is>
      </c>
    </row>
    <row r="2193">
      <c r="A2193" t="inlineStr">
        <is>
          <t>Kylie Makeup</t>
        </is>
      </c>
      <c r="B2193" t="inlineStr">
        <is>
          <t>Lips (01245)</t>
        </is>
      </c>
      <c r="C2193" t="inlineStr">
        <is>
          <t>Kylie Precision Pout Lip Liner (00006731)</t>
        </is>
      </c>
      <c r="D2193" s="1" t="n">
        <v>4064941130741</v>
      </c>
      <c r="E2193" t="inlineStr">
        <is>
          <t>KJ MU POUT LINPEN 1G PRECIS 355 24IV</t>
        </is>
      </c>
      <c r="F2193" t="inlineStr">
        <is>
          <t>P_US_ALL_OTHERS</t>
        </is>
      </c>
      <c r="G2193" t="inlineStr">
        <is>
          <t>Month-2026.M09.W38</t>
        </is>
      </c>
      <c r="H2193" t="inlineStr">
        <is>
          <t>Consensus - Final LY M</t>
        </is>
      </c>
      <c r="I2193" t="n">
        <v>333</v>
      </c>
      <c r="J2193" t="n">
        <v>261</v>
      </c>
      <c r="K2193" t="n">
        <v>252</v>
      </c>
      <c r="L2193" t="n">
        <v>302</v>
      </c>
      <c r="M2193" t="n">
        <v>195</v>
      </c>
      <c r="N2193" t="n">
        <v>208</v>
      </c>
      <c r="O2193" t="n">
        <v>182</v>
      </c>
      <c r="P2193" t="n">
        <v>531</v>
      </c>
      <c r="Q2193" t="n">
        <v>163</v>
      </c>
      <c r="R2193" t="n">
        <v>190</v>
      </c>
      <c r="S2193" t="n">
        <v>227</v>
      </c>
      <c r="T2193" t="n">
        <v>235</v>
      </c>
    </row>
    <row r="2194">
      <c r="A2194" t="inlineStr">
        <is>
          <t>Kylie Makeup</t>
        </is>
      </c>
      <c r="B2194" t="inlineStr">
        <is>
          <t>Lips (01245)</t>
        </is>
      </c>
      <c r="C2194" t="inlineStr">
        <is>
          <t>Kylie Precision Pout Lip Liner (00006731)</t>
        </is>
      </c>
      <c r="D2194" s="1" t="n">
        <v>4064941130741</v>
      </c>
      <c r="E2194" t="inlineStr">
        <is>
          <t>KJ MU POUT LINPEN 1G PRECIS 355 24IV</t>
        </is>
      </c>
      <c r="F2194" t="inlineStr">
        <is>
          <t>P_US_ALL_OTHERS</t>
        </is>
      </c>
      <c r="G2194" t="inlineStr">
        <is>
          <t>Month-2026.M09.W38</t>
        </is>
      </c>
      <c r="H2194" t="inlineStr">
        <is>
          <t>System FC - Final</t>
        </is>
      </c>
      <c r="I2194" t="n">
        <v>218</v>
      </c>
      <c r="J2194" t="n">
        <v>307</v>
      </c>
      <c r="K2194" t="n">
        <v>317</v>
      </c>
      <c r="L2194" t="n">
        <v>191</v>
      </c>
      <c r="M2194" t="n">
        <v>158</v>
      </c>
      <c r="N2194" t="n">
        <v>211</v>
      </c>
      <c r="O2194" t="n">
        <v>340</v>
      </c>
      <c r="P2194" t="n">
        <v>632</v>
      </c>
      <c r="Q2194" t="n">
        <v>403</v>
      </c>
      <c r="R2194" t="n">
        <v>274</v>
      </c>
      <c r="S2194" t="n">
        <v>376</v>
      </c>
      <c r="T2194" t="n">
        <v>369</v>
      </c>
    </row>
    <row r="2195">
      <c r="A2195" t="inlineStr">
        <is>
          <t>Kylie Makeup</t>
        </is>
      </c>
      <c r="B2195" t="inlineStr">
        <is>
          <t>Lips (01245)</t>
        </is>
      </c>
      <c r="C2195" t="inlineStr">
        <is>
          <t>Kylie Precision Pout Lip Liner (00006731)</t>
        </is>
      </c>
      <c r="D2195" s="1" t="n">
        <v>4064941130741</v>
      </c>
      <c r="E2195" t="inlineStr">
        <is>
          <t>KJ MU POUT LINPEN 1G PRECIS 355 24IV</t>
        </is>
      </c>
      <c r="F2195" t="inlineStr">
        <is>
          <t>P_US_ALL_OTHERS</t>
        </is>
      </c>
      <c r="G2195" t="inlineStr">
        <is>
          <t>Month-2026.M09.W38</t>
        </is>
      </c>
      <c r="H2195" t="inlineStr">
        <is>
          <t>EPOS</t>
        </is>
      </c>
      <c r="I2195" t="n">
        <v>209</v>
      </c>
    </row>
    <row r="2196">
      <c r="A2196" t="inlineStr">
        <is>
          <t>Kylie Makeup</t>
        </is>
      </c>
      <c r="B2196" t="inlineStr">
        <is>
          <t>Lips (01245)</t>
        </is>
      </c>
      <c r="C2196" t="inlineStr">
        <is>
          <t>Kylie Precision Pout Lip Liner (00006731)</t>
        </is>
      </c>
      <c r="D2196" s="1" t="n">
        <v>4064941130741</v>
      </c>
      <c r="E2196" t="inlineStr">
        <is>
          <t>KJ MU POUT LINPEN 1G PRECIS 355 24IV</t>
        </is>
      </c>
      <c r="F2196" t="inlineStr">
        <is>
          <t>P_US_ALL_OTHERS</t>
        </is>
      </c>
      <c r="G2196" t="inlineStr">
        <is>
          <t>Month-2026.M09.W38</t>
        </is>
      </c>
      <c r="H2196" t="inlineStr">
        <is>
          <t>Reasonability Adjustment</t>
        </is>
      </c>
      <c r="R2196" t="n">
        <v>-145</v>
      </c>
      <c r="S2196" t="n">
        <v>-50</v>
      </c>
      <c r="T2196" t="n">
        <v>-84</v>
      </c>
    </row>
    <row r="2197">
      <c r="A2197" t="inlineStr">
        <is>
          <t>Kylie Makeup</t>
        </is>
      </c>
      <c r="B2197" t="inlineStr">
        <is>
          <t>Lips (01245)</t>
        </is>
      </c>
      <c r="C2197" t="inlineStr">
        <is>
          <t>Kylie Precision Pout Lip Liner (00006731)</t>
        </is>
      </c>
      <c r="D2197" s="1" t="n">
        <v>4064941130741</v>
      </c>
      <c r="E2197" t="inlineStr">
        <is>
          <t>KJ MU POUT LINPEN 1G PRECIS 355 24IV</t>
        </is>
      </c>
      <c r="F2197" t="inlineStr">
        <is>
          <t>P_US_ALL_OTHERS</t>
        </is>
      </c>
      <c r="G2197" t="inlineStr">
        <is>
          <t>Month-2026.M09.W38</t>
        </is>
      </c>
      <c r="H2197" t="inlineStr">
        <is>
          <t>Total Demand Assumption</t>
        </is>
      </c>
    </row>
    <row r="2198">
      <c r="A2198" t="inlineStr">
        <is>
          <t>Kylie Makeup</t>
        </is>
      </c>
      <c r="B2198" t="inlineStr">
        <is>
          <t>Lips (01245)</t>
        </is>
      </c>
      <c r="C2198" t="inlineStr">
        <is>
          <t>Kylie Precision Pout Lip Liner (00006731)</t>
        </is>
      </c>
      <c r="D2198" s="1" t="n">
        <v>4064941130741</v>
      </c>
      <c r="E2198" t="inlineStr">
        <is>
          <t>KJ MU POUT LINPEN 1G PRECIS 355 24IV</t>
        </is>
      </c>
      <c r="F2198" t="inlineStr">
        <is>
          <t>P_US_ALL_OTHERS</t>
        </is>
      </c>
      <c r="G2198" t="inlineStr">
        <is>
          <t>Month-2026.M09.W38</t>
        </is>
      </c>
      <c r="H2198" t="inlineStr">
        <is>
          <t>Consensus - Final</t>
        </is>
      </c>
      <c r="I2198" t="n">
        <v>218</v>
      </c>
      <c r="J2198" t="n">
        <v>307</v>
      </c>
      <c r="K2198" t="n">
        <v>296.533622559652</v>
      </c>
      <c r="L2198" t="n">
        <v>191</v>
      </c>
      <c r="M2198" t="n">
        <v>158</v>
      </c>
      <c r="N2198" t="n">
        <v>211</v>
      </c>
      <c r="O2198" t="n">
        <v>340</v>
      </c>
      <c r="P2198" t="n">
        <v>632</v>
      </c>
      <c r="Q2198" t="n">
        <v>403</v>
      </c>
      <c r="R2198" t="n">
        <v>129</v>
      </c>
      <c r="S2198" t="n">
        <v>326</v>
      </c>
      <c r="T2198" t="n">
        <v>285</v>
      </c>
    </row>
    <row r="2199">
      <c r="A2199" t="inlineStr">
        <is>
          <t>Kylie Makeup</t>
        </is>
      </c>
      <c r="B2199" t="inlineStr">
        <is>
          <t>Lips (01245)</t>
        </is>
      </c>
      <c r="C2199" t="inlineStr">
        <is>
          <t>Kylie Precision Pout Lip Liner (00006731)</t>
        </is>
      </c>
      <c r="D2199" s="1" t="n">
        <v>4064941130741</v>
      </c>
      <c r="E2199" t="inlineStr">
        <is>
          <t>KJ MU POUT LINPEN 1G PRECIS 355 24IV</t>
        </is>
      </c>
      <c r="F2199" t="inlineStr">
        <is>
          <t>P_US_ALL_OTHERS</t>
        </is>
      </c>
      <c r="G2199" t="inlineStr">
        <is>
          <t>Month-2026.M09.W38</t>
        </is>
      </c>
      <c r="H2199" t="inlineStr">
        <is>
          <t>Supply Cuts</t>
        </is>
      </c>
    </row>
    <row r="2200">
      <c r="A2200" t="inlineStr">
        <is>
          <t>Kylie Makeup</t>
        </is>
      </c>
      <c r="B2200" t="inlineStr">
        <is>
          <t>Lips (01245)</t>
        </is>
      </c>
      <c r="C2200" t="inlineStr">
        <is>
          <t>Kylie Precision Pout Lip Liner (00006731)</t>
        </is>
      </c>
      <c r="D2200" s="1" t="n">
        <v>4064941130741</v>
      </c>
      <c r="E2200" t="inlineStr">
        <is>
          <t>KJ MU POUT LINPEN 1G PRECIS 355 24IV</t>
        </is>
      </c>
      <c r="F2200" t="inlineStr">
        <is>
          <t>P_US_FG</t>
        </is>
      </c>
      <c r="G2200" t="inlineStr">
        <is>
          <t>CurrentWorkingView</t>
        </is>
      </c>
      <c r="H2200" t="inlineStr">
        <is>
          <t>Consensus - Final LY M</t>
        </is>
      </c>
      <c r="I2200" t="n">
        <v>30</v>
      </c>
      <c r="K2200" t="n">
        <v>2</v>
      </c>
      <c r="M2200" t="n">
        <v>170</v>
      </c>
      <c r="Q2200" t="n">
        <v>5</v>
      </c>
      <c r="R2200" t="n">
        <v>10</v>
      </c>
      <c r="S2200" t="n">
        <v>50</v>
      </c>
      <c r="T2200" t="n">
        <v>35</v>
      </c>
    </row>
    <row r="2201">
      <c r="A2201" t="inlineStr">
        <is>
          <t>Kylie Makeup</t>
        </is>
      </c>
      <c r="B2201" t="inlineStr">
        <is>
          <t>Lips (01245)</t>
        </is>
      </c>
      <c r="C2201" t="inlineStr">
        <is>
          <t>Kylie Precision Pout Lip Liner (00006731)</t>
        </is>
      </c>
      <c r="D2201" s="1" t="n">
        <v>4064941130741</v>
      </c>
      <c r="E2201" t="inlineStr">
        <is>
          <t>KJ MU POUT LINPEN 1G PRECIS 355 24IV</t>
        </is>
      </c>
      <c r="F2201" t="inlineStr">
        <is>
          <t>P_US_FG</t>
        </is>
      </c>
      <c r="G2201" t="inlineStr">
        <is>
          <t>CurrentWorkingView</t>
        </is>
      </c>
      <c r="H2201" t="inlineStr">
        <is>
          <t>System FC - Final</t>
        </is>
      </c>
      <c r="K2201" t="n">
        <v>9</v>
      </c>
      <c r="L2201" t="n">
        <v>10</v>
      </c>
      <c r="M2201" t="n">
        <v>11</v>
      </c>
      <c r="N2201" t="n">
        <v>12</v>
      </c>
      <c r="O2201" t="n">
        <v>18</v>
      </c>
      <c r="P2201" t="n">
        <v>32</v>
      </c>
      <c r="Q2201" t="n">
        <v>22</v>
      </c>
      <c r="R2201" t="n">
        <v>13</v>
      </c>
      <c r="S2201" t="n">
        <v>22</v>
      </c>
      <c r="T2201" t="n">
        <v>18</v>
      </c>
    </row>
    <row r="2202">
      <c r="A2202" t="inlineStr">
        <is>
          <t>Kylie Makeup</t>
        </is>
      </c>
      <c r="B2202" t="inlineStr">
        <is>
          <t>Lips (01245)</t>
        </is>
      </c>
      <c r="C2202" t="inlineStr">
        <is>
          <t>Kylie Precision Pout Lip Liner (00006731)</t>
        </is>
      </c>
      <c r="D2202" s="1" t="n">
        <v>4064941130741</v>
      </c>
      <c r="E2202" t="inlineStr">
        <is>
          <t>KJ MU POUT LINPEN 1G PRECIS 355 24IV</t>
        </is>
      </c>
      <c r="F2202" t="inlineStr">
        <is>
          <t>P_US_FG</t>
        </is>
      </c>
      <c r="G2202" t="inlineStr">
        <is>
          <t>CurrentWorkingView</t>
        </is>
      </c>
      <c r="H2202" t="inlineStr">
        <is>
          <t>EPOS</t>
        </is>
      </c>
    </row>
    <row r="2203">
      <c r="A2203" t="inlineStr">
        <is>
          <t>Kylie Makeup</t>
        </is>
      </c>
      <c r="B2203" t="inlineStr">
        <is>
          <t>Lips (01245)</t>
        </is>
      </c>
      <c r="C2203" t="inlineStr">
        <is>
          <t>Kylie Precision Pout Lip Liner (00006731)</t>
        </is>
      </c>
      <c r="D2203" s="1" t="n">
        <v>4064941130741</v>
      </c>
      <c r="E2203" t="inlineStr">
        <is>
          <t>KJ MU POUT LINPEN 1G PRECIS 355 24IV</t>
        </is>
      </c>
      <c r="F2203" t="inlineStr">
        <is>
          <t>P_US_FG</t>
        </is>
      </c>
      <c r="G2203" t="inlineStr">
        <is>
          <t>CurrentWorkingView</t>
        </is>
      </c>
      <c r="H2203" t="inlineStr">
        <is>
          <t>Reasonability Adjustment</t>
        </is>
      </c>
    </row>
    <row r="2204">
      <c r="A2204" t="inlineStr">
        <is>
          <t>Kylie Makeup</t>
        </is>
      </c>
      <c r="B2204" t="inlineStr">
        <is>
          <t>Lips (01245)</t>
        </is>
      </c>
      <c r="C2204" t="inlineStr">
        <is>
          <t>Kylie Precision Pout Lip Liner (00006731)</t>
        </is>
      </c>
      <c r="D2204" s="1" t="n">
        <v>4064941130741</v>
      </c>
      <c r="E2204" t="inlineStr">
        <is>
          <t>KJ MU POUT LINPEN 1G PRECIS 355 24IV</t>
        </is>
      </c>
      <c r="F2204" t="inlineStr">
        <is>
          <t>P_US_FG</t>
        </is>
      </c>
      <c r="G2204" t="inlineStr">
        <is>
          <t>CurrentWorkingView</t>
        </is>
      </c>
      <c r="H2204" t="inlineStr">
        <is>
          <t>Total Demand Assumption</t>
        </is>
      </c>
    </row>
    <row r="2205">
      <c r="A2205" t="inlineStr">
        <is>
          <t>Kylie Makeup</t>
        </is>
      </c>
      <c r="B2205" t="inlineStr">
        <is>
          <t>Lips (01245)</t>
        </is>
      </c>
      <c r="C2205" t="inlineStr">
        <is>
          <t>Kylie Precision Pout Lip Liner (00006731)</t>
        </is>
      </c>
      <c r="D2205" s="1" t="n">
        <v>4064941130741</v>
      </c>
      <c r="E2205" t="inlineStr">
        <is>
          <t>KJ MU POUT LINPEN 1G PRECIS 355 24IV</t>
        </is>
      </c>
      <c r="F2205" t="inlineStr">
        <is>
          <t>P_US_FG</t>
        </is>
      </c>
      <c r="G2205" t="inlineStr">
        <is>
          <t>CurrentWorkingView</t>
        </is>
      </c>
      <c r="H2205" t="inlineStr">
        <is>
          <t>Consensus - Final</t>
        </is>
      </c>
      <c r="K2205" t="n">
        <v>0</v>
      </c>
    </row>
    <row r="2206">
      <c r="A2206" t="inlineStr">
        <is>
          <t>Kylie Makeup</t>
        </is>
      </c>
      <c r="B2206" t="inlineStr">
        <is>
          <t>Lips (01245)</t>
        </is>
      </c>
      <c r="C2206" t="inlineStr">
        <is>
          <t>Kylie Precision Pout Lip Liner (00006731)</t>
        </is>
      </c>
      <c r="D2206" s="1" t="n">
        <v>4064941130741</v>
      </c>
      <c r="E2206" t="inlineStr">
        <is>
          <t>KJ MU POUT LINPEN 1G PRECIS 355 24IV</t>
        </is>
      </c>
      <c r="F2206" t="inlineStr">
        <is>
          <t>P_US_FG</t>
        </is>
      </c>
      <c r="G2206" t="inlineStr">
        <is>
          <t>CurrentWorkingView</t>
        </is>
      </c>
      <c r="H2206" t="inlineStr">
        <is>
          <t>Supply Cuts</t>
        </is>
      </c>
    </row>
    <row r="2207">
      <c r="A2207" t="inlineStr">
        <is>
          <t>Kylie Makeup</t>
        </is>
      </c>
      <c r="B2207" t="inlineStr">
        <is>
          <t>Lips (01245)</t>
        </is>
      </c>
      <c r="C2207" t="inlineStr">
        <is>
          <t>Kylie Precision Pout Lip Liner (00006731)</t>
        </is>
      </c>
      <c r="D2207" s="1" t="n">
        <v>4064941130741</v>
      </c>
      <c r="E2207" t="inlineStr">
        <is>
          <t>KJ MU POUT LINPEN 1G PRECIS 355 24IV</t>
        </is>
      </c>
      <c r="F2207" t="inlineStr">
        <is>
          <t>P_US_FG</t>
        </is>
      </c>
      <c r="G2207" t="inlineStr">
        <is>
          <t>Month-2026.M09.W38</t>
        </is>
      </c>
      <c r="H2207" t="inlineStr">
        <is>
          <t>Consensus - Final LY M</t>
        </is>
      </c>
      <c r="I2207" t="n">
        <v>30</v>
      </c>
      <c r="K2207" t="n">
        <v>2</v>
      </c>
      <c r="M2207" t="n">
        <v>170</v>
      </c>
      <c r="Q2207" t="n">
        <v>5</v>
      </c>
      <c r="R2207" t="n">
        <v>10</v>
      </c>
      <c r="S2207" t="n">
        <v>50</v>
      </c>
      <c r="T2207" t="n">
        <v>35</v>
      </c>
    </row>
    <row r="2208">
      <c r="A2208" t="inlineStr">
        <is>
          <t>Kylie Makeup</t>
        </is>
      </c>
      <c r="B2208" t="inlineStr">
        <is>
          <t>Lips (01245)</t>
        </is>
      </c>
      <c r="C2208" t="inlineStr">
        <is>
          <t>Kylie Precision Pout Lip Liner (00006731)</t>
        </is>
      </c>
      <c r="D2208" s="1" t="n">
        <v>4064941130741</v>
      </c>
      <c r="E2208" t="inlineStr">
        <is>
          <t>KJ MU POUT LINPEN 1G PRECIS 355 24IV</t>
        </is>
      </c>
      <c r="F2208" t="inlineStr">
        <is>
          <t>P_US_FG</t>
        </is>
      </c>
      <c r="G2208" t="inlineStr">
        <is>
          <t>Month-2026.M09.W38</t>
        </is>
      </c>
      <c r="H2208" t="inlineStr">
        <is>
          <t>System FC - Final</t>
        </is>
      </c>
      <c r="K2208" t="n">
        <v>14</v>
      </c>
      <c r="L2208" t="n">
        <v>11</v>
      </c>
      <c r="M2208" t="n">
        <v>8</v>
      </c>
      <c r="N2208" t="n">
        <v>9</v>
      </c>
      <c r="O2208" t="n">
        <v>18</v>
      </c>
      <c r="P2208" t="n">
        <v>32</v>
      </c>
      <c r="Q2208" t="n">
        <v>23</v>
      </c>
      <c r="R2208" t="n">
        <v>13</v>
      </c>
      <c r="S2208" t="n">
        <v>18</v>
      </c>
      <c r="T2208" t="n">
        <v>17</v>
      </c>
    </row>
    <row r="2209">
      <c r="A2209" t="inlineStr">
        <is>
          <t>Kylie Makeup</t>
        </is>
      </c>
      <c r="B2209" t="inlineStr">
        <is>
          <t>Lips (01245)</t>
        </is>
      </c>
      <c r="C2209" t="inlineStr">
        <is>
          <t>Kylie Precision Pout Lip Liner (00006731)</t>
        </is>
      </c>
      <c r="D2209" s="1" t="n">
        <v>4064941130741</v>
      </c>
      <c r="E2209" t="inlineStr">
        <is>
          <t>KJ MU POUT LINPEN 1G PRECIS 355 24IV</t>
        </is>
      </c>
      <c r="F2209" t="inlineStr">
        <is>
          <t>P_US_FG</t>
        </is>
      </c>
      <c r="G2209" t="inlineStr">
        <is>
          <t>Month-2026.M09.W38</t>
        </is>
      </c>
      <c r="H2209" t="inlineStr">
        <is>
          <t>EPOS</t>
        </is>
      </c>
    </row>
    <row r="2210">
      <c r="A2210" t="inlineStr">
        <is>
          <t>Kylie Makeup</t>
        </is>
      </c>
      <c r="B2210" t="inlineStr">
        <is>
          <t>Lips (01245)</t>
        </is>
      </c>
      <c r="C2210" t="inlineStr">
        <is>
          <t>Kylie Precision Pout Lip Liner (00006731)</t>
        </is>
      </c>
      <c r="D2210" s="1" t="n">
        <v>4064941130741</v>
      </c>
      <c r="E2210" t="inlineStr">
        <is>
          <t>KJ MU POUT LINPEN 1G PRECIS 355 24IV</t>
        </is>
      </c>
      <c r="F2210" t="inlineStr">
        <is>
          <t>P_US_FG</t>
        </is>
      </c>
      <c r="G2210" t="inlineStr">
        <is>
          <t>Month-2026.M09.W38</t>
        </is>
      </c>
      <c r="H2210" t="inlineStr">
        <is>
          <t>Reasonability Adjustment</t>
        </is>
      </c>
    </row>
    <row r="2211">
      <c r="A2211" t="inlineStr">
        <is>
          <t>Kylie Makeup</t>
        </is>
      </c>
      <c r="B2211" t="inlineStr">
        <is>
          <t>Lips (01245)</t>
        </is>
      </c>
      <c r="C2211" t="inlineStr">
        <is>
          <t>Kylie Precision Pout Lip Liner (00006731)</t>
        </is>
      </c>
      <c r="D2211" s="1" t="n">
        <v>4064941130741</v>
      </c>
      <c r="E2211" t="inlineStr">
        <is>
          <t>KJ MU POUT LINPEN 1G PRECIS 355 24IV</t>
        </is>
      </c>
      <c r="F2211" t="inlineStr">
        <is>
          <t>P_US_FG</t>
        </is>
      </c>
      <c r="G2211" t="inlineStr">
        <is>
          <t>Month-2026.M09.W38</t>
        </is>
      </c>
      <c r="H2211" t="inlineStr">
        <is>
          <t>Total Demand Assumption</t>
        </is>
      </c>
    </row>
    <row r="2212">
      <c r="A2212" t="inlineStr">
        <is>
          <t>Kylie Makeup</t>
        </is>
      </c>
      <c r="B2212" t="inlineStr">
        <is>
          <t>Lips (01245)</t>
        </is>
      </c>
      <c r="C2212" t="inlineStr">
        <is>
          <t>Kylie Precision Pout Lip Liner (00006731)</t>
        </is>
      </c>
      <c r="D2212" s="1" t="n">
        <v>4064941130741</v>
      </c>
      <c r="E2212" t="inlineStr">
        <is>
          <t>KJ MU POUT LINPEN 1G PRECIS 355 24IV</t>
        </is>
      </c>
      <c r="F2212" t="inlineStr">
        <is>
          <t>P_US_FG</t>
        </is>
      </c>
      <c r="G2212" t="inlineStr">
        <is>
          <t>Month-2026.M09.W38</t>
        </is>
      </c>
      <c r="H2212" t="inlineStr">
        <is>
          <t>Consensus - Final</t>
        </is>
      </c>
      <c r="K2212" t="n">
        <v>0</v>
      </c>
    </row>
    <row r="2213">
      <c r="A2213" t="inlineStr">
        <is>
          <t>Kylie Makeup</t>
        </is>
      </c>
      <c r="B2213" t="inlineStr">
        <is>
          <t>Lips (01245)</t>
        </is>
      </c>
      <c r="C2213" t="inlineStr">
        <is>
          <t>Kylie Precision Pout Lip Liner (00006731)</t>
        </is>
      </c>
      <c r="D2213" s="1" t="n">
        <v>4064941130741</v>
      </c>
      <c r="E2213" t="inlineStr">
        <is>
          <t>KJ MU POUT LINPEN 1G PRECIS 355 24IV</t>
        </is>
      </c>
      <c r="F2213" t="inlineStr">
        <is>
          <t>P_US_FG</t>
        </is>
      </c>
      <c r="G2213" t="inlineStr">
        <is>
          <t>Month-2026.M09.W38</t>
        </is>
      </c>
      <c r="H2213" t="inlineStr">
        <is>
          <t>Supply Cuts</t>
        </is>
      </c>
    </row>
    <row r="2214">
      <c r="A2214" t="inlineStr">
        <is>
          <t>Kylie Makeup</t>
        </is>
      </c>
      <c r="B2214" t="inlineStr">
        <is>
          <t>Lips (01245)</t>
        </is>
      </c>
      <c r="C2214" t="inlineStr">
        <is>
          <t>Kylie Precision Pout Lip Liner (00006731)</t>
        </is>
      </c>
      <c r="D2214" s="1" t="n">
        <v>4064941130741</v>
      </c>
      <c r="E2214" t="inlineStr">
        <is>
          <t>KJ MU POUT LINPEN 1G PRECIS 355 24IV</t>
        </is>
      </c>
      <c r="F2214" t="inlineStr">
        <is>
          <t>P_US_ULTA</t>
        </is>
      </c>
      <c r="G2214" t="inlineStr">
        <is>
          <t>CurrentWorkingView</t>
        </is>
      </c>
      <c r="H2214" t="inlineStr">
        <is>
          <t>Consensus - Final LY M</t>
        </is>
      </c>
      <c r="I2214" t="n">
        <v>3274</v>
      </c>
      <c r="J2214" t="n">
        <v>746</v>
      </c>
      <c r="K2214" t="n">
        <v>3873</v>
      </c>
      <c r="L2214" t="n">
        <v>2649</v>
      </c>
      <c r="M2214" t="n">
        <v>3215</v>
      </c>
      <c r="N2214" t="n">
        <v>2535</v>
      </c>
      <c r="O2214" t="n">
        <v>2649</v>
      </c>
      <c r="P2214" t="n">
        <v>2110</v>
      </c>
      <c r="Q2214" t="n">
        <v>9104</v>
      </c>
      <c r="R2214" t="n">
        <v>1436</v>
      </c>
      <c r="S2214" t="n">
        <v>2853</v>
      </c>
      <c r="T2214" t="n">
        <v>5468</v>
      </c>
    </row>
    <row r="2215">
      <c r="A2215" t="inlineStr">
        <is>
          <t>Kylie Makeup</t>
        </is>
      </c>
      <c r="B2215" t="inlineStr">
        <is>
          <t>Lips (01245)</t>
        </is>
      </c>
      <c r="C2215" t="inlineStr">
        <is>
          <t>Kylie Precision Pout Lip Liner (00006731)</t>
        </is>
      </c>
      <c r="D2215" s="1" t="n">
        <v>4064941130741</v>
      </c>
      <c r="E2215" t="inlineStr">
        <is>
          <t>KJ MU POUT LINPEN 1G PRECIS 355 24IV</t>
        </is>
      </c>
      <c r="F2215" t="inlineStr">
        <is>
          <t>P_US_ULTA</t>
        </is>
      </c>
      <c r="G2215" t="inlineStr">
        <is>
          <t>CurrentWorkingView</t>
        </is>
      </c>
      <c r="H2215" t="inlineStr">
        <is>
          <t>System FC - Final</t>
        </is>
      </c>
      <c r="I2215" t="n">
        <v>2769</v>
      </c>
      <c r="J2215" t="n">
        <v>2464</v>
      </c>
      <c r="K2215" t="n">
        <v>2477</v>
      </c>
      <c r="L2215" t="n">
        <v>2998</v>
      </c>
      <c r="M2215" t="n">
        <v>2996</v>
      </c>
      <c r="N2215" t="n">
        <v>2990</v>
      </c>
      <c r="O2215" t="n">
        <v>2989</v>
      </c>
      <c r="P2215" t="n">
        <v>2984</v>
      </c>
      <c r="Q2215" t="n">
        <v>2981</v>
      </c>
      <c r="R2215" t="n">
        <v>2978</v>
      </c>
      <c r="S2215" t="n">
        <v>2976</v>
      </c>
      <c r="T2215" t="n">
        <v>2974</v>
      </c>
    </row>
    <row r="2216">
      <c r="A2216" t="inlineStr">
        <is>
          <t>Kylie Makeup</t>
        </is>
      </c>
      <c r="B2216" t="inlineStr">
        <is>
          <t>Lips (01245)</t>
        </is>
      </c>
      <c r="C2216" t="inlineStr">
        <is>
          <t>Kylie Precision Pout Lip Liner (00006731)</t>
        </is>
      </c>
      <c r="D2216" s="1" t="n">
        <v>4064941130741</v>
      </c>
      <c r="E2216" t="inlineStr">
        <is>
          <t>KJ MU POUT LINPEN 1G PRECIS 355 24IV</t>
        </is>
      </c>
      <c r="F2216" t="inlineStr">
        <is>
          <t>P_US_ULTA</t>
        </is>
      </c>
      <c r="G2216" t="inlineStr">
        <is>
          <t>CurrentWorkingView</t>
        </is>
      </c>
      <c r="H2216" t="inlineStr">
        <is>
          <t>EPOS</t>
        </is>
      </c>
      <c r="I2216" t="n">
        <v>2304</v>
      </c>
    </row>
    <row r="2217">
      <c r="A2217" t="inlineStr">
        <is>
          <t>Kylie Makeup</t>
        </is>
      </c>
      <c r="B2217" t="inlineStr">
        <is>
          <t>Lips (01245)</t>
        </is>
      </c>
      <c r="C2217" t="inlineStr">
        <is>
          <t>Kylie Precision Pout Lip Liner (00006731)</t>
        </is>
      </c>
      <c r="D2217" s="1" t="n">
        <v>4064941130741</v>
      </c>
      <c r="E2217" t="inlineStr">
        <is>
          <t>KJ MU POUT LINPEN 1G PRECIS 355 24IV</t>
        </is>
      </c>
      <c r="F2217" t="inlineStr">
        <is>
          <t>P_US_ULTA</t>
        </is>
      </c>
      <c r="G2217" t="inlineStr">
        <is>
          <t>CurrentWorkingView</t>
        </is>
      </c>
      <c r="H2217" t="inlineStr">
        <is>
          <t>Reasonability Adjustment</t>
        </is>
      </c>
      <c r="P2217" t="n">
        <v>-1500</v>
      </c>
      <c r="Q2217" t="n">
        <v>-1000</v>
      </c>
      <c r="R2217" t="n">
        <v>-1683</v>
      </c>
      <c r="S2217" t="n">
        <v>-426</v>
      </c>
      <c r="T2217" t="n">
        <v>-916</v>
      </c>
    </row>
    <row r="2218">
      <c r="A2218" t="inlineStr">
        <is>
          <t>Kylie Makeup</t>
        </is>
      </c>
      <c r="B2218" t="inlineStr">
        <is>
          <t>Lips (01245)</t>
        </is>
      </c>
      <c r="C2218" t="inlineStr">
        <is>
          <t>Kylie Precision Pout Lip Liner (00006731)</t>
        </is>
      </c>
      <c r="D2218" s="1" t="n">
        <v>4064941130741</v>
      </c>
      <c r="E2218" t="inlineStr">
        <is>
          <t>KJ MU POUT LINPEN 1G PRECIS 355 24IV</t>
        </is>
      </c>
      <c r="F2218" t="inlineStr">
        <is>
          <t>P_US_ULTA</t>
        </is>
      </c>
      <c r="G2218" t="inlineStr">
        <is>
          <t>CurrentWorkingView</t>
        </is>
      </c>
      <c r="H2218" t="inlineStr">
        <is>
          <t>Total Demand Assumption</t>
        </is>
      </c>
    </row>
    <row r="2219">
      <c r="A2219" t="inlineStr">
        <is>
          <t>Kylie Makeup</t>
        </is>
      </c>
      <c r="B2219" t="inlineStr">
        <is>
          <t>Lips (01245)</t>
        </is>
      </c>
      <c r="C2219" t="inlineStr">
        <is>
          <t>Kylie Precision Pout Lip Liner (00006731)</t>
        </is>
      </c>
      <c r="D2219" s="1" t="n">
        <v>4064941130741</v>
      </c>
      <c r="E2219" t="inlineStr">
        <is>
          <t>KJ MU POUT LINPEN 1G PRECIS 355 24IV</t>
        </is>
      </c>
      <c r="F2219" t="inlineStr">
        <is>
          <t>P_US_ULTA</t>
        </is>
      </c>
      <c r="G2219" t="inlineStr">
        <is>
          <t>CurrentWorkingView</t>
        </is>
      </c>
      <c r="H2219" t="inlineStr">
        <is>
          <t>Consensus - Final</t>
        </is>
      </c>
      <c r="I2219" t="n">
        <v>2769</v>
      </c>
      <c r="J2219" t="n">
        <v>2464</v>
      </c>
      <c r="K2219" t="n">
        <v>2539.46637744034</v>
      </c>
      <c r="L2219" t="n">
        <v>2998</v>
      </c>
      <c r="M2219" t="n">
        <v>2996</v>
      </c>
      <c r="N2219" t="n">
        <v>2990</v>
      </c>
      <c r="O2219" t="n">
        <v>2989</v>
      </c>
      <c r="P2219" t="n">
        <v>1484</v>
      </c>
      <c r="Q2219" t="n">
        <v>1981</v>
      </c>
      <c r="R2219" t="n">
        <v>1295</v>
      </c>
      <c r="S2219" t="n">
        <v>2550</v>
      </c>
      <c r="T2219" t="n">
        <v>2058</v>
      </c>
    </row>
    <row r="2220">
      <c r="A2220" t="inlineStr">
        <is>
          <t>Kylie Makeup</t>
        </is>
      </c>
      <c r="B2220" t="inlineStr">
        <is>
          <t>Lips (01245)</t>
        </is>
      </c>
      <c r="C2220" t="inlineStr">
        <is>
          <t>Kylie Precision Pout Lip Liner (00006731)</t>
        </is>
      </c>
      <c r="D2220" s="1" t="n">
        <v>4064941130741</v>
      </c>
      <c r="E2220" t="inlineStr">
        <is>
          <t>KJ MU POUT LINPEN 1G PRECIS 355 24IV</t>
        </is>
      </c>
      <c r="F2220" t="inlineStr">
        <is>
          <t>P_US_ULTA</t>
        </is>
      </c>
      <c r="G2220" t="inlineStr">
        <is>
          <t>CurrentWorkingView</t>
        </is>
      </c>
      <c r="H2220" t="inlineStr">
        <is>
          <t>Supply Cuts</t>
        </is>
      </c>
    </row>
    <row r="2221">
      <c r="A2221" t="inlineStr">
        <is>
          <t>Kylie Makeup</t>
        </is>
      </c>
      <c r="B2221" t="inlineStr">
        <is>
          <t>Lips (01245)</t>
        </is>
      </c>
      <c r="C2221" t="inlineStr">
        <is>
          <t>Kylie Precision Pout Lip Liner (00006731)</t>
        </is>
      </c>
      <c r="D2221" s="1" t="n">
        <v>4064941130741</v>
      </c>
      <c r="E2221" t="inlineStr">
        <is>
          <t>KJ MU POUT LINPEN 1G PRECIS 355 24IV</t>
        </is>
      </c>
      <c r="F2221" t="inlineStr">
        <is>
          <t>P_US_ULTA</t>
        </is>
      </c>
      <c r="G2221" t="inlineStr">
        <is>
          <t>Month-2026.M09.W38</t>
        </is>
      </c>
      <c r="H2221" t="inlineStr">
        <is>
          <t>Consensus - Final LY M</t>
        </is>
      </c>
      <c r="I2221" t="n">
        <v>3274</v>
      </c>
      <c r="J2221" t="n">
        <v>746</v>
      </c>
      <c r="K2221" t="n">
        <v>3873</v>
      </c>
      <c r="L2221" t="n">
        <v>2649</v>
      </c>
      <c r="M2221" t="n">
        <v>3215</v>
      </c>
      <c r="N2221" t="n">
        <v>2535</v>
      </c>
      <c r="O2221" t="n">
        <v>2649</v>
      </c>
      <c r="P2221" t="n">
        <v>2110</v>
      </c>
      <c r="Q2221" t="n">
        <v>9104</v>
      </c>
      <c r="R2221" t="n">
        <v>1436</v>
      </c>
      <c r="S2221" t="n">
        <v>2853</v>
      </c>
      <c r="T2221" t="n">
        <v>5468</v>
      </c>
    </row>
    <row r="2222">
      <c r="A2222" t="inlineStr">
        <is>
          <t>Kylie Makeup</t>
        </is>
      </c>
      <c r="B2222" t="inlineStr">
        <is>
          <t>Lips (01245)</t>
        </is>
      </c>
      <c r="C2222" t="inlineStr">
        <is>
          <t>Kylie Precision Pout Lip Liner (00006731)</t>
        </is>
      </c>
      <c r="D2222" s="1" t="n">
        <v>4064941130741</v>
      </c>
      <c r="E2222" t="inlineStr">
        <is>
          <t>KJ MU POUT LINPEN 1G PRECIS 355 24IV</t>
        </is>
      </c>
      <c r="F2222" t="inlineStr">
        <is>
          <t>P_US_ULTA</t>
        </is>
      </c>
      <c r="G2222" t="inlineStr">
        <is>
          <t>Month-2026.M09.W38</t>
        </is>
      </c>
      <c r="H2222" t="inlineStr">
        <is>
          <t>System FC - Final</t>
        </is>
      </c>
      <c r="I2222" t="n">
        <v>2769</v>
      </c>
      <c r="J2222" t="n">
        <v>2464</v>
      </c>
      <c r="K2222" t="n">
        <v>2715</v>
      </c>
      <c r="L2222" t="n">
        <v>3202</v>
      </c>
      <c r="M2222" t="n">
        <v>3198</v>
      </c>
      <c r="N2222" t="n">
        <v>3193</v>
      </c>
      <c r="O2222" t="n">
        <v>3189</v>
      </c>
      <c r="P2222" t="n">
        <v>3188</v>
      </c>
      <c r="Q2222" t="n">
        <v>3184</v>
      </c>
      <c r="R2222" t="n">
        <v>3180</v>
      </c>
      <c r="S2222" t="n">
        <v>3180</v>
      </c>
      <c r="T2222" t="n">
        <v>4020</v>
      </c>
    </row>
    <row r="2223">
      <c r="A2223" t="inlineStr">
        <is>
          <t>Kylie Makeup</t>
        </is>
      </c>
      <c r="B2223" t="inlineStr">
        <is>
          <t>Lips (01245)</t>
        </is>
      </c>
      <c r="C2223" t="inlineStr">
        <is>
          <t>Kylie Precision Pout Lip Liner (00006731)</t>
        </is>
      </c>
      <c r="D2223" s="1" t="n">
        <v>4064941130741</v>
      </c>
      <c r="E2223" t="inlineStr">
        <is>
          <t>KJ MU POUT LINPEN 1G PRECIS 355 24IV</t>
        </is>
      </c>
      <c r="F2223" t="inlineStr">
        <is>
          <t>P_US_ULTA</t>
        </is>
      </c>
      <c r="G2223" t="inlineStr">
        <is>
          <t>Month-2026.M09.W38</t>
        </is>
      </c>
      <c r="H2223" t="inlineStr">
        <is>
          <t>EPOS</t>
        </is>
      </c>
      <c r="I2223" t="n">
        <v>2304</v>
      </c>
    </row>
    <row r="2224">
      <c r="A2224" t="inlineStr">
        <is>
          <t>Kylie Makeup</t>
        </is>
      </c>
      <c r="B2224" t="inlineStr">
        <is>
          <t>Lips (01245)</t>
        </is>
      </c>
      <c r="C2224" t="inlineStr">
        <is>
          <t>Kylie Precision Pout Lip Liner (00006731)</t>
        </is>
      </c>
      <c r="D2224" s="1" t="n">
        <v>4064941130741</v>
      </c>
      <c r="E2224" t="inlineStr">
        <is>
          <t>KJ MU POUT LINPEN 1G PRECIS 355 24IV</t>
        </is>
      </c>
      <c r="F2224" t="inlineStr">
        <is>
          <t>P_US_ULTA</t>
        </is>
      </c>
      <c r="G2224" t="inlineStr">
        <is>
          <t>Month-2026.M09.W38</t>
        </is>
      </c>
      <c r="H2224" t="inlineStr">
        <is>
          <t>Reasonability Adjustment</t>
        </is>
      </c>
      <c r="P2224" t="n">
        <v>-1500</v>
      </c>
      <c r="Q2224" t="n">
        <v>-1000</v>
      </c>
      <c r="R2224" t="n">
        <v>-1683</v>
      </c>
      <c r="S2224" t="n">
        <v>-426</v>
      </c>
      <c r="T2224" t="n">
        <v>-916</v>
      </c>
    </row>
    <row r="2225">
      <c r="A2225" t="inlineStr">
        <is>
          <t>Kylie Makeup</t>
        </is>
      </c>
      <c r="B2225" t="inlineStr">
        <is>
          <t>Lips (01245)</t>
        </is>
      </c>
      <c r="C2225" t="inlineStr">
        <is>
          <t>Kylie Precision Pout Lip Liner (00006731)</t>
        </is>
      </c>
      <c r="D2225" s="1" t="n">
        <v>4064941130741</v>
      </c>
      <c r="E2225" t="inlineStr">
        <is>
          <t>KJ MU POUT LINPEN 1G PRECIS 355 24IV</t>
        </is>
      </c>
      <c r="F2225" t="inlineStr">
        <is>
          <t>P_US_ULTA</t>
        </is>
      </c>
      <c r="G2225" t="inlineStr">
        <is>
          <t>Month-2026.M09.W38</t>
        </is>
      </c>
      <c r="H2225" t="inlineStr">
        <is>
          <t>Total Demand Assumption</t>
        </is>
      </c>
    </row>
    <row r="2226">
      <c r="A2226" t="inlineStr">
        <is>
          <t>Kylie Makeup</t>
        </is>
      </c>
      <c r="B2226" t="inlineStr">
        <is>
          <t>Lips (01245)</t>
        </is>
      </c>
      <c r="C2226" t="inlineStr">
        <is>
          <t>Kylie Precision Pout Lip Liner (00006731)</t>
        </is>
      </c>
      <c r="D2226" s="1" t="n">
        <v>4064941130741</v>
      </c>
      <c r="E2226" t="inlineStr">
        <is>
          <t>KJ MU POUT LINPEN 1G PRECIS 355 24IV</t>
        </is>
      </c>
      <c r="F2226" t="inlineStr">
        <is>
          <t>P_US_ULTA</t>
        </is>
      </c>
      <c r="G2226" t="inlineStr">
        <is>
          <t>Month-2026.M09.W38</t>
        </is>
      </c>
      <c r="H2226" t="inlineStr">
        <is>
          <t>Consensus - Final</t>
        </is>
      </c>
      <c r="I2226" t="n">
        <v>2769</v>
      </c>
      <c r="J2226" t="n">
        <v>2464</v>
      </c>
      <c r="K2226" t="n">
        <v>2539.46637744034</v>
      </c>
      <c r="L2226" t="n">
        <v>3202</v>
      </c>
      <c r="M2226" t="n">
        <v>3198</v>
      </c>
      <c r="N2226" t="n">
        <v>3193</v>
      </c>
      <c r="O2226" t="n">
        <v>3189</v>
      </c>
      <c r="P2226" t="n">
        <v>1688</v>
      </c>
      <c r="Q2226" t="n">
        <v>2184</v>
      </c>
      <c r="R2226" t="n">
        <v>1497</v>
      </c>
      <c r="S2226" t="n">
        <v>2754</v>
      </c>
      <c r="T2226" t="n">
        <v>3104</v>
      </c>
    </row>
    <row r="2227">
      <c r="A2227" t="inlineStr">
        <is>
          <t>Kylie Makeup</t>
        </is>
      </c>
      <c r="B2227" t="inlineStr">
        <is>
          <t>Lips (01245)</t>
        </is>
      </c>
      <c r="C2227" t="inlineStr">
        <is>
          <t>Kylie Precision Pout Lip Liner (00006731)</t>
        </is>
      </c>
      <c r="D2227" s="1" t="n">
        <v>4064941130741</v>
      </c>
      <c r="E2227" t="inlineStr">
        <is>
          <t>KJ MU POUT LINPEN 1G PRECIS 355 24IV</t>
        </is>
      </c>
      <c r="F2227" t="inlineStr">
        <is>
          <t>P_US_ULTA</t>
        </is>
      </c>
      <c r="G2227" t="inlineStr">
        <is>
          <t>Month-2026.M09.W38</t>
        </is>
      </c>
      <c r="H2227" t="inlineStr">
        <is>
          <t>Supply Cuts</t>
        </is>
      </c>
    </row>
    <row r="2228">
      <c r="A2228" t="inlineStr">
        <is>
          <t>Kylie Makeup</t>
        </is>
      </c>
      <c r="B2228" t="inlineStr">
        <is>
          <t>Lips (01245)</t>
        </is>
      </c>
      <c r="C2228" t="inlineStr">
        <is>
          <t>Kylie Supple Kiss Lip Glaze (00006711)</t>
        </is>
      </c>
      <c r="D2228" s="1" t="n">
        <v>4064941133551</v>
      </c>
      <c r="E2228" t="inlineStr">
        <is>
          <t>KJ MU SPP GLZ LG 3 ML 006LOVER GIRL IV</t>
        </is>
      </c>
      <c r="F2228" t="inlineStr">
        <is>
          <t>P_US_ALL_OTHERS</t>
        </is>
      </c>
      <c r="G2228" t="inlineStr">
        <is>
          <t>CurrentWorkingView</t>
        </is>
      </c>
      <c r="H2228" t="inlineStr">
        <is>
          <t>Consensus - Final LY M</t>
        </is>
      </c>
      <c r="I2228" t="n">
        <v>182</v>
      </c>
      <c r="J2228" t="n">
        <v>216</v>
      </c>
      <c r="K2228" t="n">
        <v>487</v>
      </c>
      <c r="L2228" t="n">
        <v>103</v>
      </c>
      <c r="M2228" t="n">
        <v>84</v>
      </c>
      <c r="N2228" t="n">
        <v>91</v>
      </c>
      <c r="O2228" t="n">
        <v>127</v>
      </c>
      <c r="P2228" t="n">
        <v>254</v>
      </c>
      <c r="Q2228" t="n">
        <v>126</v>
      </c>
      <c r="R2228" t="n">
        <v>134</v>
      </c>
      <c r="S2228" t="n">
        <v>106</v>
      </c>
      <c r="T2228" t="n">
        <v>115</v>
      </c>
    </row>
    <row r="2229">
      <c r="A2229" t="inlineStr">
        <is>
          <t>Kylie Makeup</t>
        </is>
      </c>
      <c r="B2229" t="inlineStr">
        <is>
          <t>Lips (01245)</t>
        </is>
      </c>
      <c r="C2229" t="inlineStr">
        <is>
          <t>Kylie Supple Kiss Lip Glaze (00006711)</t>
        </is>
      </c>
      <c r="D2229" s="1" t="n">
        <v>4064941133551</v>
      </c>
      <c r="E2229" t="inlineStr">
        <is>
          <t>KJ MU SPP GLZ LG 3 ML 006LOVER GIRL IV</t>
        </is>
      </c>
      <c r="F2229" t="inlineStr">
        <is>
          <t>P_US_ALL_OTHERS</t>
        </is>
      </c>
      <c r="G2229" t="inlineStr">
        <is>
          <t>CurrentWorkingView</t>
        </is>
      </c>
      <c r="H2229" t="inlineStr">
        <is>
          <t>System FC - Final</t>
        </is>
      </c>
      <c r="I2229" t="n">
        <v>114</v>
      </c>
      <c r="J2229" t="n">
        <v>161</v>
      </c>
      <c r="K2229" t="n">
        <v>88</v>
      </c>
      <c r="L2229" t="n">
        <v>195</v>
      </c>
      <c r="M2229" t="n">
        <v>85</v>
      </c>
      <c r="N2229" t="n">
        <v>324</v>
      </c>
      <c r="O2229" t="n">
        <v>164</v>
      </c>
      <c r="P2229" t="n">
        <v>240</v>
      </c>
      <c r="Q2229" t="n">
        <v>168</v>
      </c>
      <c r="R2229" t="n">
        <v>163</v>
      </c>
      <c r="S2229" t="n">
        <v>146</v>
      </c>
      <c r="T2229" t="n">
        <v>95</v>
      </c>
    </row>
    <row r="2230">
      <c r="A2230" t="inlineStr">
        <is>
          <t>Kylie Makeup</t>
        </is>
      </c>
      <c r="B2230" t="inlineStr">
        <is>
          <t>Lips (01245)</t>
        </is>
      </c>
      <c r="C2230" t="inlineStr">
        <is>
          <t>Kylie Supple Kiss Lip Glaze (00006711)</t>
        </is>
      </c>
      <c r="D2230" s="1" t="n">
        <v>4064941133551</v>
      </c>
      <c r="E2230" t="inlineStr">
        <is>
          <t>KJ MU SPP GLZ LG 3 ML 006LOVER GIRL IV</t>
        </is>
      </c>
      <c r="F2230" t="inlineStr">
        <is>
          <t>P_US_ALL_OTHERS</t>
        </is>
      </c>
      <c r="G2230" t="inlineStr">
        <is>
          <t>CurrentWorkingView</t>
        </is>
      </c>
      <c r="H2230" t="inlineStr">
        <is>
          <t>EPOS</t>
        </is>
      </c>
      <c r="I2230" t="n">
        <v>116</v>
      </c>
    </row>
    <row r="2231">
      <c r="A2231" t="inlineStr">
        <is>
          <t>Kylie Makeup</t>
        </is>
      </c>
      <c r="B2231" t="inlineStr">
        <is>
          <t>Lips (01245)</t>
        </is>
      </c>
      <c r="C2231" t="inlineStr">
        <is>
          <t>Kylie Supple Kiss Lip Glaze (00006711)</t>
        </is>
      </c>
      <c r="D2231" s="1" t="n">
        <v>4064941133551</v>
      </c>
      <c r="E2231" t="inlineStr">
        <is>
          <t>KJ MU SPP GLZ LG 3 ML 006LOVER GIRL IV</t>
        </is>
      </c>
      <c r="F2231" t="inlineStr">
        <is>
          <t>P_US_ALL_OTHERS</t>
        </is>
      </c>
      <c r="G2231" t="inlineStr">
        <is>
          <t>CurrentWorkingView</t>
        </is>
      </c>
      <c r="H2231" t="inlineStr">
        <is>
          <t>Reasonability Adjustment</t>
        </is>
      </c>
      <c r="T2231" t="n">
        <v>-207</v>
      </c>
    </row>
    <row r="2232">
      <c r="A2232" t="inlineStr">
        <is>
          <t>Kylie Makeup</t>
        </is>
      </c>
      <c r="B2232" t="inlineStr">
        <is>
          <t>Lips (01245)</t>
        </is>
      </c>
      <c r="C2232" t="inlineStr">
        <is>
          <t>Kylie Supple Kiss Lip Glaze (00006711)</t>
        </is>
      </c>
      <c r="D2232" s="1" t="n">
        <v>4064941133551</v>
      </c>
      <c r="E2232" t="inlineStr">
        <is>
          <t>KJ MU SPP GLZ LG 3 ML 006LOVER GIRL IV</t>
        </is>
      </c>
      <c r="F2232" t="inlineStr">
        <is>
          <t>P_US_ALL_OTHERS</t>
        </is>
      </c>
      <c r="G2232" t="inlineStr">
        <is>
          <t>CurrentWorkingView</t>
        </is>
      </c>
      <c r="H2232" t="inlineStr">
        <is>
          <t>Total Demand Assumption</t>
        </is>
      </c>
    </row>
    <row r="2233">
      <c r="A2233" t="inlineStr">
        <is>
          <t>Kylie Makeup</t>
        </is>
      </c>
      <c r="B2233" t="inlineStr">
        <is>
          <t>Lips (01245)</t>
        </is>
      </c>
      <c r="C2233" t="inlineStr">
        <is>
          <t>Kylie Supple Kiss Lip Glaze (00006711)</t>
        </is>
      </c>
      <c r="D2233" s="1" t="n">
        <v>4064941133551</v>
      </c>
      <c r="E2233" t="inlineStr">
        <is>
          <t>KJ MU SPP GLZ LG 3 ML 006LOVER GIRL IV</t>
        </is>
      </c>
      <c r="F2233" t="inlineStr">
        <is>
          <t>P_US_ALL_OTHERS</t>
        </is>
      </c>
      <c r="G2233" t="inlineStr">
        <is>
          <t>CurrentWorkingView</t>
        </is>
      </c>
      <c r="H2233" t="inlineStr">
        <is>
          <t>Consensus - Final</t>
        </is>
      </c>
      <c r="I2233" t="n">
        <v>114</v>
      </c>
      <c r="J2233" t="n">
        <v>161</v>
      </c>
      <c r="K2233" t="n">
        <v>189</v>
      </c>
      <c r="L2233" t="n">
        <v>195</v>
      </c>
      <c r="M2233" t="n">
        <v>85</v>
      </c>
      <c r="N2233" t="n">
        <v>324</v>
      </c>
      <c r="O2233" t="n">
        <v>164</v>
      </c>
      <c r="P2233" t="n">
        <v>240</v>
      </c>
      <c r="Q2233" t="n">
        <v>168</v>
      </c>
      <c r="R2233" t="n">
        <v>163</v>
      </c>
      <c r="S2233" t="n">
        <v>146</v>
      </c>
    </row>
    <row r="2234">
      <c r="A2234" t="inlineStr">
        <is>
          <t>Kylie Makeup</t>
        </is>
      </c>
      <c r="B2234" t="inlineStr">
        <is>
          <t>Lips (01245)</t>
        </is>
      </c>
      <c r="C2234" t="inlineStr">
        <is>
          <t>Kylie Supple Kiss Lip Glaze (00006711)</t>
        </is>
      </c>
      <c r="D2234" s="1" t="n">
        <v>4064941133551</v>
      </c>
      <c r="E2234" t="inlineStr">
        <is>
          <t>KJ MU SPP GLZ LG 3 ML 006LOVER GIRL IV</t>
        </is>
      </c>
      <c r="F2234" t="inlineStr">
        <is>
          <t>P_US_ALL_OTHERS</t>
        </is>
      </c>
      <c r="G2234" t="inlineStr">
        <is>
          <t>CurrentWorkingView</t>
        </is>
      </c>
      <c r="H2234" t="inlineStr">
        <is>
          <t>Supply Cuts</t>
        </is>
      </c>
    </row>
    <row r="2235">
      <c r="A2235" t="inlineStr">
        <is>
          <t>Kylie Makeup</t>
        </is>
      </c>
      <c r="B2235" t="inlineStr">
        <is>
          <t>Lips (01245)</t>
        </is>
      </c>
      <c r="C2235" t="inlineStr">
        <is>
          <t>Kylie Supple Kiss Lip Glaze (00006711)</t>
        </is>
      </c>
      <c r="D2235" s="1" t="n">
        <v>4064941133551</v>
      </c>
      <c r="E2235" t="inlineStr">
        <is>
          <t>KJ MU SPP GLZ LG 3 ML 006LOVER GIRL IV</t>
        </is>
      </c>
      <c r="F2235" t="inlineStr">
        <is>
          <t>P_US_ALL_OTHERS</t>
        </is>
      </c>
      <c r="G2235" t="inlineStr">
        <is>
          <t>Month-2026.M09.W38</t>
        </is>
      </c>
      <c r="H2235" t="inlineStr">
        <is>
          <t>Consensus - Final LY M</t>
        </is>
      </c>
      <c r="I2235" t="n">
        <v>182</v>
      </c>
      <c r="J2235" t="n">
        <v>216</v>
      </c>
      <c r="K2235" t="n">
        <v>487</v>
      </c>
      <c r="L2235" t="n">
        <v>103</v>
      </c>
      <c r="M2235" t="n">
        <v>84</v>
      </c>
      <c r="N2235" t="n">
        <v>91</v>
      </c>
      <c r="O2235" t="n">
        <v>127</v>
      </c>
      <c r="P2235" t="n">
        <v>254</v>
      </c>
      <c r="Q2235" t="n">
        <v>126</v>
      </c>
      <c r="R2235" t="n">
        <v>134</v>
      </c>
      <c r="S2235" t="n">
        <v>106</v>
      </c>
      <c r="T2235" t="n">
        <v>115</v>
      </c>
    </row>
    <row r="2236">
      <c r="A2236" t="inlineStr">
        <is>
          <t>Kylie Makeup</t>
        </is>
      </c>
      <c r="B2236" t="inlineStr">
        <is>
          <t>Lips (01245)</t>
        </is>
      </c>
      <c r="C2236" t="inlineStr">
        <is>
          <t>Kylie Supple Kiss Lip Glaze (00006711)</t>
        </is>
      </c>
      <c r="D2236" s="1" t="n">
        <v>4064941133551</v>
      </c>
      <c r="E2236" t="inlineStr">
        <is>
          <t>KJ MU SPP GLZ LG 3 ML 006LOVER GIRL IV</t>
        </is>
      </c>
      <c r="F2236" t="inlineStr">
        <is>
          <t>P_US_ALL_OTHERS</t>
        </is>
      </c>
      <c r="G2236" t="inlineStr">
        <is>
          <t>Month-2026.M09.W38</t>
        </is>
      </c>
      <c r="H2236" t="inlineStr">
        <is>
          <t>System FC - Final</t>
        </is>
      </c>
      <c r="I2236" t="n">
        <v>114</v>
      </c>
      <c r="J2236" t="n">
        <v>161</v>
      </c>
      <c r="K2236" t="n">
        <v>122</v>
      </c>
      <c r="L2236" t="n">
        <v>182</v>
      </c>
      <c r="M2236" t="n">
        <v>108</v>
      </c>
      <c r="N2236" t="n">
        <v>296</v>
      </c>
      <c r="O2236" t="n">
        <v>173</v>
      </c>
      <c r="P2236" t="n">
        <v>244</v>
      </c>
      <c r="Q2236" t="n">
        <v>155</v>
      </c>
      <c r="R2236" t="n">
        <v>215</v>
      </c>
      <c r="S2236" t="n">
        <v>124</v>
      </c>
      <c r="T2236" t="n">
        <v>81</v>
      </c>
    </row>
    <row r="2237">
      <c r="A2237" t="inlineStr">
        <is>
          <t>Kylie Makeup</t>
        </is>
      </c>
      <c r="B2237" t="inlineStr">
        <is>
          <t>Lips (01245)</t>
        </is>
      </c>
      <c r="C2237" t="inlineStr">
        <is>
          <t>Kylie Supple Kiss Lip Glaze (00006711)</t>
        </is>
      </c>
      <c r="D2237" s="1" t="n">
        <v>4064941133551</v>
      </c>
      <c r="E2237" t="inlineStr">
        <is>
          <t>KJ MU SPP GLZ LG 3 ML 006LOVER GIRL IV</t>
        </is>
      </c>
      <c r="F2237" t="inlineStr">
        <is>
          <t>P_US_ALL_OTHERS</t>
        </is>
      </c>
      <c r="G2237" t="inlineStr">
        <is>
          <t>Month-2026.M09.W38</t>
        </is>
      </c>
      <c r="H2237" t="inlineStr">
        <is>
          <t>EPOS</t>
        </is>
      </c>
      <c r="I2237" t="n">
        <v>116</v>
      </c>
    </row>
    <row r="2238">
      <c r="A2238" t="inlineStr">
        <is>
          <t>Kylie Makeup</t>
        </is>
      </c>
      <c r="B2238" t="inlineStr">
        <is>
          <t>Lips (01245)</t>
        </is>
      </c>
      <c r="C2238" t="inlineStr">
        <is>
          <t>Kylie Supple Kiss Lip Glaze (00006711)</t>
        </is>
      </c>
      <c r="D2238" s="1" t="n">
        <v>4064941133551</v>
      </c>
      <c r="E2238" t="inlineStr">
        <is>
          <t>KJ MU SPP GLZ LG 3 ML 006LOVER GIRL IV</t>
        </is>
      </c>
      <c r="F2238" t="inlineStr">
        <is>
          <t>P_US_ALL_OTHERS</t>
        </is>
      </c>
      <c r="G2238" t="inlineStr">
        <is>
          <t>Month-2026.M09.W38</t>
        </is>
      </c>
      <c r="H2238" t="inlineStr">
        <is>
          <t>Reasonability Adjustment</t>
        </is>
      </c>
      <c r="T2238" t="n">
        <v>-207</v>
      </c>
    </row>
    <row r="2239">
      <c r="A2239" t="inlineStr">
        <is>
          <t>Kylie Makeup</t>
        </is>
      </c>
      <c r="B2239" t="inlineStr">
        <is>
          <t>Lips (01245)</t>
        </is>
      </c>
      <c r="C2239" t="inlineStr">
        <is>
          <t>Kylie Supple Kiss Lip Glaze (00006711)</t>
        </is>
      </c>
      <c r="D2239" s="1" t="n">
        <v>4064941133551</v>
      </c>
      <c r="E2239" t="inlineStr">
        <is>
          <t>KJ MU SPP GLZ LG 3 ML 006LOVER GIRL IV</t>
        </is>
      </c>
      <c r="F2239" t="inlineStr">
        <is>
          <t>P_US_ALL_OTHERS</t>
        </is>
      </c>
      <c r="G2239" t="inlineStr">
        <is>
          <t>Month-2026.M09.W38</t>
        </is>
      </c>
      <c r="H2239" t="inlineStr">
        <is>
          <t>Total Demand Assumption</t>
        </is>
      </c>
    </row>
    <row r="2240">
      <c r="A2240" t="inlineStr">
        <is>
          <t>Kylie Makeup</t>
        </is>
      </c>
      <c r="B2240" t="inlineStr">
        <is>
          <t>Lips (01245)</t>
        </is>
      </c>
      <c r="C2240" t="inlineStr">
        <is>
          <t>Kylie Supple Kiss Lip Glaze (00006711)</t>
        </is>
      </c>
      <c r="D2240" s="1" t="n">
        <v>4064941133551</v>
      </c>
      <c r="E2240" t="inlineStr">
        <is>
          <t>KJ MU SPP GLZ LG 3 ML 006LOVER GIRL IV</t>
        </is>
      </c>
      <c r="F2240" t="inlineStr">
        <is>
          <t>P_US_ALL_OTHERS</t>
        </is>
      </c>
      <c r="G2240" t="inlineStr">
        <is>
          <t>Month-2026.M09.W38</t>
        </is>
      </c>
      <c r="H2240" t="inlineStr">
        <is>
          <t>Consensus - Final</t>
        </is>
      </c>
      <c r="I2240" t="n">
        <v>114</v>
      </c>
      <c r="J2240" t="n">
        <v>161</v>
      </c>
      <c r="K2240" t="n">
        <v>189</v>
      </c>
      <c r="L2240" t="n">
        <v>182</v>
      </c>
      <c r="M2240" t="n">
        <v>108</v>
      </c>
      <c r="N2240" t="n">
        <v>296</v>
      </c>
      <c r="O2240" t="n">
        <v>173</v>
      </c>
      <c r="P2240" t="n">
        <v>244</v>
      </c>
      <c r="Q2240" t="n">
        <v>155</v>
      </c>
      <c r="R2240" t="n">
        <v>215</v>
      </c>
      <c r="S2240" t="n">
        <v>124</v>
      </c>
    </row>
    <row r="2241">
      <c r="A2241" t="inlineStr">
        <is>
          <t>Kylie Makeup</t>
        </is>
      </c>
      <c r="B2241" t="inlineStr">
        <is>
          <t>Lips (01245)</t>
        </is>
      </c>
      <c r="C2241" t="inlineStr">
        <is>
          <t>Kylie Supple Kiss Lip Glaze (00006711)</t>
        </is>
      </c>
      <c r="D2241" s="1" t="n">
        <v>4064941133551</v>
      </c>
      <c r="E2241" t="inlineStr">
        <is>
          <t>KJ MU SPP GLZ LG 3 ML 006LOVER GIRL IV</t>
        </is>
      </c>
      <c r="F2241" t="inlineStr">
        <is>
          <t>P_US_ALL_OTHERS</t>
        </is>
      </c>
      <c r="G2241" t="inlineStr">
        <is>
          <t>Month-2026.M09.W38</t>
        </is>
      </c>
      <c r="H2241" t="inlineStr">
        <is>
          <t>Supply Cuts</t>
        </is>
      </c>
    </row>
    <row r="2242">
      <c r="A2242" t="inlineStr">
        <is>
          <t>Kylie Makeup</t>
        </is>
      </c>
      <c r="B2242" t="inlineStr">
        <is>
          <t>Lips (01245)</t>
        </is>
      </c>
      <c r="C2242" t="inlineStr">
        <is>
          <t>Kylie Supple Kiss Lip Glaze (00006711)</t>
        </is>
      </c>
      <c r="D2242" s="1" t="n">
        <v>4064941133551</v>
      </c>
      <c r="E2242" t="inlineStr">
        <is>
          <t>KJ MU SPP GLZ LG 3 ML 006LOVER GIRL IV</t>
        </is>
      </c>
      <c r="F2242" t="inlineStr">
        <is>
          <t>P_US_FG</t>
        </is>
      </c>
      <c r="G2242" t="inlineStr">
        <is>
          <t>CurrentWorkingView</t>
        </is>
      </c>
      <c r="H2242" t="inlineStr">
        <is>
          <t>Consensus - Final LY M</t>
        </is>
      </c>
      <c r="O2242" t="n">
        <v>5</v>
      </c>
      <c r="Q2242" t="n">
        <v>27</v>
      </c>
      <c r="R2242" t="n">
        <v>60</v>
      </c>
      <c r="T2242" t="n">
        <v>15</v>
      </c>
    </row>
    <row r="2243">
      <c r="A2243" t="inlineStr">
        <is>
          <t>Kylie Makeup</t>
        </is>
      </c>
      <c r="B2243" t="inlineStr">
        <is>
          <t>Lips (01245)</t>
        </is>
      </c>
      <c r="C2243" t="inlineStr">
        <is>
          <t>Kylie Supple Kiss Lip Glaze (00006711)</t>
        </is>
      </c>
      <c r="D2243" s="1" t="n">
        <v>4064941133551</v>
      </c>
      <c r="E2243" t="inlineStr">
        <is>
          <t>KJ MU SPP GLZ LG 3 ML 006LOVER GIRL IV</t>
        </is>
      </c>
      <c r="F2243" t="inlineStr">
        <is>
          <t>P_US_FG</t>
        </is>
      </c>
      <c r="G2243" t="inlineStr">
        <is>
          <t>CurrentWorkingView</t>
        </is>
      </c>
      <c r="H2243" t="inlineStr">
        <is>
          <t>System FC - Final</t>
        </is>
      </c>
      <c r="J2243" t="n">
        <v>30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1156</v>
      </c>
      <c r="T2243" t="n">
        <v>0</v>
      </c>
    </row>
    <row r="2244">
      <c r="A2244" t="inlineStr">
        <is>
          <t>Kylie Makeup</t>
        </is>
      </c>
      <c r="B2244" t="inlineStr">
        <is>
          <t>Lips (01245)</t>
        </is>
      </c>
      <c r="C2244" t="inlineStr">
        <is>
          <t>Kylie Supple Kiss Lip Glaze (00006711)</t>
        </is>
      </c>
      <c r="D2244" s="1" t="n">
        <v>4064941133551</v>
      </c>
      <c r="E2244" t="inlineStr">
        <is>
          <t>KJ MU SPP GLZ LG 3 ML 006LOVER GIRL IV</t>
        </is>
      </c>
      <c r="F2244" t="inlineStr">
        <is>
          <t>P_US_FG</t>
        </is>
      </c>
      <c r="G2244" t="inlineStr">
        <is>
          <t>CurrentWorkingView</t>
        </is>
      </c>
      <c r="H2244" t="inlineStr">
        <is>
          <t>EPOS</t>
        </is>
      </c>
    </row>
    <row r="2245">
      <c r="A2245" t="inlineStr">
        <is>
          <t>Kylie Makeup</t>
        </is>
      </c>
      <c r="B2245" t="inlineStr">
        <is>
          <t>Lips (01245)</t>
        </is>
      </c>
      <c r="C2245" t="inlineStr">
        <is>
          <t>Kylie Supple Kiss Lip Glaze (00006711)</t>
        </is>
      </c>
      <c r="D2245" s="1" t="n">
        <v>4064941133551</v>
      </c>
      <c r="E2245" t="inlineStr">
        <is>
          <t>KJ MU SPP GLZ LG 3 ML 006LOVER GIRL IV</t>
        </is>
      </c>
      <c r="F2245" t="inlineStr">
        <is>
          <t>P_US_FG</t>
        </is>
      </c>
      <c r="G2245" t="inlineStr">
        <is>
          <t>CurrentWorkingView</t>
        </is>
      </c>
      <c r="H2245" t="inlineStr">
        <is>
          <t>Reasonability Adjustment</t>
        </is>
      </c>
    </row>
    <row r="2246">
      <c r="A2246" t="inlineStr">
        <is>
          <t>Kylie Makeup</t>
        </is>
      </c>
      <c r="B2246" t="inlineStr">
        <is>
          <t>Lips (01245)</t>
        </is>
      </c>
      <c r="C2246" t="inlineStr">
        <is>
          <t>Kylie Supple Kiss Lip Glaze (00006711)</t>
        </is>
      </c>
      <c r="D2246" s="1" t="n">
        <v>4064941133551</v>
      </c>
      <c r="E2246" t="inlineStr">
        <is>
          <t>KJ MU SPP GLZ LG 3 ML 006LOVER GIRL IV</t>
        </is>
      </c>
      <c r="F2246" t="inlineStr">
        <is>
          <t>P_US_FG</t>
        </is>
      </c>
      <c r="G2246" t="inlineStr">
        <is>
          <t>CurrentWorkingView</t>
        </is>
      </c>
      <c r="H2246" t="inlineStr">
        <is>
          <t>Total Demand Assumption</t>
        </is>
      </c>
    </row>
    <row r="2247">
      <c r="A2247" t="inlineStr">
        <is>
          <t>Kylie Makeup</t>
        </is>
      </c>
      <c r="B2247" t="inlineStr">
        <is>
          <t>Lips (01245)</t>
        </is>
      </c>
      <c r="C2247" t="inlineStr">
        <is>
          <t>Kylie Supple Kiss Lip Glaze (00006711)</t>
        </is>
      </c>
      <c r="D2247" s="1" t="n">
        <v>4064941133551</v>
      </c>
      <c r="E2247" t="inlineStr">
        <is>
          <t>KJ MU SPP GLZ LG 3 ML 006LOVER GIRL IV</t>
        </is>
      </c>
      <c r="F2247" t="inlineStr">
        <is>
          <t>P_US_FG</t>
        </is>
      </c>
      <c r="G2247" t="inlineStr">
        <is>
          <t>CurrentWorkingView</t>
        </is>
      </c>
      <c r="H2247" t="inlineStr">
        <is>
          <t>Consensus - Final</t>
        </is>
      </c>
      <c r="J2247" t="n">
        <v>30</v>
      </c>
      <c r="K2247" t="n">
        <v>0</v>
      </c>
    </row>
    <row r="2248">
      <c r="A2248" t="inlineStr">
        <is>
          <t>Kylie Makeup</t>
        </is>
      </c>
      <c r="B2248" t="inlineStr">
        <is>
          <t>Lips (01245)</t>
        </is>
      </c>
      <c r="C2248" t="inlineStr">
        <is>
          <t>Kylie Supple Kiss Lip Glaze (00006711)</t>
        </is>
      </c>
      <c r="D2248" s="1" t="n">
        <v>4064941133551</v>
      </c>
      <c r="E2248" t="inlineStr">
        <is>
          <t>KJ MU SPP GLZ LG 3 ML 006LOVER GIRL IV</t>
        </is>
      </c>
      <c r="F2248" t="inlineStr">
        <is>
          <t>P_US_FG</t>
        </is>
      </c>
      <c r="G2248" t="inlineStr">
        <is>
          <t>CurrentWorkingView</t>
        </is>
      </c>
      <c r="H2248" t="inlineStr">
        <is>
          <t>Supply Cuts</t>
        </is>
      </c>
    </row>
    <row r="2249">
      <c r="A2249" t="inlineStr">
        <is>
          <t>Kylie Makeup</t>
        </is>
      </c>
      <c r="B2249" t="inlineStr">
        <is>
          <t>Lips (01245)</t>
        </is>
      </c>
      <c r="C2249" t="inlineStr">
        <is>
          <t>Kylie Supple Kiss Lip Glaze (00006711)</t>
        </is>
      </c>
      <c r="D2249" s="1" t="n">
        <v>4064941133551</v>
      </c>
      <c r="E2249" t="inlineStr">
        <is>
          <t>KJ MU SPP GLZ LG 3 ML 006LOVER GIRL IV</t>
        </is>
      </c>
      <c r="F2249" t="inlineStr">
        <is>
          <t>P_US_FG</t>
        </is>
      </c>
      <c r="G2249" t="inlineStr">
        <is>
          <t>Month-2026.M09.W38</t>
        </is>
      </c>
      <c r="H2249" t="inlineStr">
        <is>
          <t>Consensus - Final LY M</t>
        </is>
      </c>
      <c r="O2249" t="n">
        <v>5</v>
      </c>
      <c r="Q2249" t="n">
        <v>27</v>
      </c>
      <c r="R2249" t="n">
        <v>60</v>
      </c>
      <c r="T2249" t="n">
        <v>15</v>
      </c>
    </row>
    <row r="2250">
      <c r="A2250" t="inlineStr">
        <is>
          <t>Kylie Makeup</t>
        </is>
      </c>
      <c r="B2250" t="inlineStr">
        <is>
          <t>Lips (01245)</t>
        </is>
      </c>
      <c r="C2250" t="inlineStr">
        <is>
          <t>Kylie Supple Kiss Lip Glaze (00006711)</t>
        </is>
      </c>
      <c r="D2250" s="1" t="n">
        <v>4064941133551</v>
      </c>
      <c r="E2250" t="inlineStr">
        <is>
          <t>KJ MU SPP GLZ LG 3 ML 006LOVER GIRL IV</t>
        </is>
      </c>
      <c r="F2250" t="inlineStr">
        <is>
          <t>P_US_FG</t>
        </is>
      </c>
      <c r="G2250" t="inlineStr">
        <is>
          <t>Month-2026.M09.W38</t>
        </is>
      </c>
      <c r="H2250" t="inlineStr">
        <is>
          <t>System FC - Final</t>
        </is>
      </c>
      <c r="J2250" t="n">
        <v>30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1093</v>
      </c>
      <c r="T2250" t="n">
        <v>0</v>
      </c>
    </row>
    <row r="2251">
      <c r="A2251" t="inlineStr">
        <is>
          <t>Kylie Makeup</t>
        </is>
      </c>
      <c r="B2251" t="inlineStr">
        <is>
          <t>Lips (01245)</t>
        </is>
      </c>
      <c r="C2251" t="inlineStr">
        <is>
          <t>Kylie Supple Kiss Lip Glaze (00006711)</t>
        </is>
      </c>
      <c r="D2251" s="1" t="n">
        <v>4064941133551</v>
      </c>
      <c r="E2251" t="inlineStr">
        <is>
          <t>KJ MU SPP GLZ LG 3 ML 006LOVER GIRL IV</t>
        </is>
      </c>
      <c r="F2251" t="inlineStr">
        <is>
          <t>P_US_FG</t>
        </is>
      </c>
      <c r="G2251" t="inlineStr">
        <is>
          <t>Month-2026.M09.W38</t>
        </is>
      </c>
      <c r="H2251" t="inlineStr">
        <is>
          <t>EPOS</t>
        </is>
      </c>
    </row>
    <row r="2252">
      <c r="A2252" t="inlineStr">
        <is>
          <t>Kylie Makeup</t>
        </is>
      </c>
      <c r="B2252" t="inlineStr">
        <is>
          <t>Lips (01245)</t>
        </is>
      </c>
      <c r="C2252" t="inlineStr">
        <is>
          <t>Kylie Supple Kiss Lip Glaze (00006711)</t>
        </is>
      </c>
      <c r="D2252" s="1" t="n">
        <v>4064941133551</v>
      </c>
      <c r="E2252" t="inlineStr">
        <is>
          <t>KJ MU SPP GLZ LG 3 ML 006LOVER GIRL IV</t>
        </is>
      </c>
      <c r="F2252" t="inlineStr">
        <is>
          <t>P_US_FG</t>
        </is>
      </c>
      <c r="G2252" t="inlineStr">
        <is>
          <t>Month-2026.M09.W38</t>
        </is>
      </c>
      <c r="H2252" t="inlineStr">
        <is>
          <t>Reasonability Adjustment</t>
        </is>
      </c>
    </row>
    <row r="2253">
      <c r="A2253" t="inlineStr">
        <is>
          <t>Kylie Makeup</t>
        </is>
      </c>
      <c r="B2253" t="inlineStr">
        <is>
          <t>Lips (01245)</t>
        </is>
      </c>
      <c r="C2253" t="inlineStr">
        <is>
          <t>Kylie Supple Kiss Lip Glaze (00006711)</t>
        </is>
      </c>
      <c r="D2253" s="1" t="n">
        <v>4064941133551</v>
      </c>
      <c r="E2253" t="inlineStr">
        <is>
          <t>KJ MU SPP GLZ LG 3 ML 006LOVER GIRL IV</t>
        </is>
      </c>
      <c r="F2253" t="inlineStr">
        <is>
          <t>P_US_FG</t>
        </is>
      </c>
      <c r="G2253" t="inlineStr">
        <is>
          <t>Month-2026.M09.W38</t>
        </is>
      </c>
      <c r="H2253" t="inlineStr">
        <is>
          <t>Total Demand Assumption</t>
        </is>
      </c>
    </row>
    <row r="2254">
      <c r="A2254" t="inlineStr">
        <is>
          <t>Kylie Makeup</t>
        </is>
      </c>
      <c r="B2254" t="inlineStr">
        <is>
          <t>Lips (01245)</t>
        </is>
      </c>
      <c r="C2254" t="inlineStr">
        <is>
          <t>Kylie Supple Kiss Lip Glaze (00006711)</t>
        </is>
      </c>
      <c r="D2254" s="1" t="n">
        <v>4064941133551</v>
      </c>
      <c r="E2254" t="inlineStr">
        <is>
          <t>KJ MU SPP GLZ LG 3 ML 006LOVER GIRL IV</t>
        </is>
      </c>
      <c r="F2254" t="inlineStr">
        <is>
          <t>P_US_FG</t>
        </is>
      </c>
      <c r="G2254" t="inlineStr">
        <is>
          <t>Month-2026.M09.W38</t>
        </is>
      </c>
      <c r="H2254" t="inlineStr">
        <is>
          <t>Consensus - Final</t>
        </is>
      </c>
      <c r="J2254" t="n">
        <v>30</v>
      </c>
      <c r="K2254" t="n">
        <v>0</v>
      </c>
    </row>
    <row r="2255">
      <c r="A2255" t="inlineStr">
        <is>
          <t>Kylie Makeup</t>
        </is>
      </c>
      <c r="B2255" t="inlineStr">
        <is>
          <t>Lips (01245)</t>
        </is>
      </c>
      <c r="C2255" t="inlineStr">
        <is>
          <t>Kylie Supple Kiss Lip Glaze (00006711)</t>
        </is>
      </c>
      <c r="D2255" s="1" t="n">
        <v>4064941133551</v>
      </c>
      <c r="E2255" t="inlineStr">
        <is>
          <t>KJ MU SPP GLZ LG 3 ML 006LOVER GIRL IV</t>
        </is>
      </c>
      <c r="F2255" t="inlineStr">
        <is>
          <t>P_US_FG</t>
        </is>
      </c>
      <c r="G2255" t="inlineStr">
        <is>
          <t>Month-2026.M09.W38</t>
        </is>
      </c>
      <c r="H2255" t="inlineStr">
        <is>
          <t>Supply Cuts</t>
        </is>
      </c>
    </row>
    <row r="2256">
      <c r="A2256" t="inlineStr">
        <is>
          <t>Kylie Makeup</t>
        </is>
      </c>
      <c r="B2256" t="inlineStr">
        <is>
          <t>Lips (01245)</t>
        </is>
      </c>
      <c r="C2256" t="inlineStr">
        <is>
          <t>Kylie Supple Kiss Lip Glaze (00006711)</t>
        </is>
      </c>
      <c r="D2256" s="1" t="n">
        <v>4064941133551</v>
      </c>
      <c r="E2256" t="inlineStr">
        <is>
          <t>KJ MU SPP GLZ LG 3 ML 006LOVER GIRL IV</t>
        </is>
      </c>
      <c r="F2256" t="inlineStr">
        <is>
          <t>P_US_ULTA</t>
        </is>
      </c>
      <c r="G2256" t="inlineStr">
        <is>
          <t>CurrentWorkingView</t>
        </is>
      </c>
      <c r="H2256" t="inlineStr">
        <is>
          <t>Consensus - Final LY M</t>
        </is>
      </c>
      <c r="I2256" t="n">
        <v>1152</v>
      </c>
      <c r="J2256" t="n">
        <v>960</v>
      </c>
      <c r="K2256" t="n">
        <v>1152</v>
      </c>
      <c r="L2256" t="n">
        <v>2208</v>
      </c>
      <c r="M2256" t="n">
        <v>768</v>
      </c>
      <c r="N2256" t="n">
        <v>672</v>
      </c>
      <c r="O2256" t="n">
        <v>864</v>
      </c>
      <c r="P2256" t="n">
        <v>384</v>
      </c>
      <c r="Q2256" t="n">
        <v>480</v>
      </c>
      <c r="R2256" t="n">
        <v>288</v>
      </c>
      <c r="S2256" t="n">
        <v>864</v>
      </c>
      <c r="T2256" t="n">
        <v>576</v>
      </c>
    </row>
    <row r="2257">
      <c r="A2257" t="inlineStr">
        <is>
          <t>Kylie Makeup</t>
        </is>
      </c>
      <c r="B2257" t="inlineStr">
        <is>
          <t>Lips (01245)</t>
        </is>
      </c>
      <c r="C2257" t="inlineStr">
        <is>
          <t>Kylie Supple Kiss Lip Glaze (00006711)</t>
        </is>
      </c>
      <c r="D2257" s="1" t="n">
        <v>4064941133551</v>
      </c>
      <c r="E2257" t="inlineStr">
        <is>
          <t>KJ MU SPP GLZ LG 3 ML 006LOVER GIRL IV</t>
        </is>
      </c>
      <c r="F2257" t="inlineStr">
        <is>
          <t>P_US_ULTA</t>
        </is>
      </c>
      <c r="G2257" t="inlineStr">
        <is>
          <t>CurrentWorkingView</t>
        </is>
      </c>
      <c r="H2257" t="inlineStr">
        <is>
          <t>System FC - Final</t>
        </is>
      </c>
      <c r="I2257" t="n">
        <v>480</v>
      </c>
      <c r="J2257" t="n">
        <v>5472</v>
      </c>
      <c r="K2257" t="n">
        <v>1368</v>
      </c>
      <c r="L2257" t="n">
        <v>1523</v>
      </c>
      <c r="M2257" t="n">
        <v>1621</v>
      </c>
      <c r="N2257" t="n">
        <v>1670</v>
      </c>
      <c r="O2257" t="n">
        <v>1696</v>
      </c>
      <c r="P2257" t="n">
        <v>1708</v>
      </c>
      <c r="Q2257" t="n">
        <v>1714</v>
      </c>
      <c r="R2257" t="n">
        <v>1715</v>
      </c>
      <c r="S2257" t="n">
        <v>1718</v>
      </c>
      <c r="T2257" t="n">
        <v>1719</v>
      </c>
    </row>
    <row r="2258">
      <c r="A2258" t="inlineStr">
        <is>
          <t>Kylie Makeup</t>
        </is>
      </c>
      <c r="B2258" t="inlineStr">
        <is>
          <t>Lips (01245)</t>
        </is>
      </c>
      <c r="C2258" t="inlineStr">
        <is>
          <t>Kylie Supple Kiss Lip Glaze (00006711)</t>
        </is>
      </c>
      <c r="D2258" s="1" t="n">
        <v>4064941133551</v>
      </c>
      <c r="E2258" t="inlineStr">
        <is>
          <t>KJ MU SPP GLZ LG 3 ML 006LOVER GIRL IV</t>
        </is>
      </c>
      <c r="F2258" t="inlineStr">
        <is>
          <t>P_US_ULTA</t>
        </is>
      </c>
      <c r="G2258" t="inlineStr">
        <is>
          <t>CurrentWorkingView</t>
        </is>
      </c>
      <c r="H2258" t="inlineStr">
        <is>
          <t>EPOS</t>
        </is>
      </c>
      <c r="I2258" t="n">
        <v>517</v>
      </c>
    </row>
    <row r="2259">
      <c r="A2259" t="inlineStr">
        <is>
          <t>Kylie Makeup</t>
        </is>
      </c>
      <c r="B2259" t="inlineStr">
        <is>
          <t>Lips (01245)</t>
        </is>
      </c>
      <c r="C2259" t="inlineStr">
        <is>
          <t>Kylie Supple Kiss Lip Glaze (00006711)</t>
        </is>
      </c>
      <c r="D2259" s="1" t="n">
        <v>4064941133551</v>
      </c>
      <c r="E2259" t="inlineStr">
        <is>
          <t>KJ MU SPP GLZ LG 3 ML 006LOVER GIRL IV</t>
        </is>
      </c>
      <c r="F2259" t="inlineStr">
        <is>
          <t>P_US_ULTA</t>
        </is>
      </c>
      <c r="G2259" t="inlineStr">
        <is>
          <t>CurrentWorkingView</t>
        </is>
      </c>
      <c r="H2259" t="inlineStr">
        <is>
          <t>Reasonability Adjustment</t>
        </is>
      </c>
      <c r="T2259" t="n">
        <v>-1000</v>
      </c>
    </row>
    <row r="2260">
      <c r="A2260" t="inlineStr">
        <is>
          <t>Kylie Makeup</t>
        </is>
      </c>
      <c r="B2260" t="inlineStr">
        <is>
          <t>Lips (01245)</t>
        </is>
      </c>
      <c r="C2260" t="inlineStr">
        <is>
          <t>Kylie Supple Kiss Lip Glaze (00006711)</t>
        </is>
      </c>
      <c r="D2260" s="1" t="n">
        <v>4064941133551</v>
      </c>
      <c r="E2260" t="inlineStr">
        <is>
          <t>KJ MU SPP GLZ LG 3 ML 006LOVER GIRL IV</t>
        </is>
      </c>
      <c r="F2260" t="inlineStr">
        <is>
          <t>P_US_ULTA</t>
        </is>
      </c>
      <c r="G2260" t="inlineStr">
        <is>
          <t>CurrentWorkingView</t>
        </is>
      </c>
      <c r="H2260" t="inlineStr">
        <is>
          <t>Total Demand Assumption</t>
        </is>
      </c>
      <c r="I2260" t="n">
        <v>832</v>
      </c>
      <c r="J2260" t="n">
        <v>3730</v>
      </c>
    </row>
    <row r="2261">
      <c r="A2261" t="inlineStr">
        <is>
          <t>Kylie Makeup</t>
        </is>
      </c>
      <c r="B2261" t="inlineStr">
        <is>
          <t>Lips (01245)</t>
        </is>
      </c>
      <c r="C2261" t="inlineStr">
        <is>
          <t>Kylie Supple Kiss Lip Glaze (00006711)</t>
        </is>
      </c>
      <c r="D2261" s="1" t="n">
        <v>4064941133551</v>
      </c>
      <c r="E2261" t="inlineStr">
        <is>
          <t>KJ MU SPP GLZ LG 3 ML 006LOVER GIRL IV</t>
        </is>
      </c>
      <c r="F2261" t="inlineStr">
        <is>
          <t>P_US_ULTA</t>
        </is>
      </c>
      <c r="G2261" t="inlineStr">
        <is>
          <t>CurrentWorkingView</t>
        </is>
      </c>
      <c r="H2261" t="inlineStr">
        <is>
          <t>Consensus - Final</t>
        </is>
      </c>
      <c r="I2261" t="n">
        <v>480</v>
      </c>
      <c r="J2261" t="n">
        <v>5472</v>
      </c>
      <c r="K2261" t="n">
        <v>1248</v>
      </c>
      <c r="L2261" t="n">
        <v>1523</v>
      </c>
      <c r="M2261" t="n">
        <v>1621</v>
      </c>
      <c r="N2261" t="n">
        <v>1670</v>
      </c>
      <c r="O2261" t="n">
        <v>1696</v>
      </c>
      <c r="P2261" t="n">
        <v>1708</v>
      </c>
      <c r="Q2261" t="n">
        <v>1714</v>
      </c>
      <c r="R2261" t="n">
        <v>1715</v>
      </c>
      <c r="S2261" t="n">
        <v>1718</v>
      </c>
      <c r="T2261" t="n">
        <v>719</v>
      </c>
    </row>
    <row r="2262">
      <c r="A2262" t="inlineStr">
        <is>
          <t>Kylie Makeup</t>
        </is>
      </c>
      <c r="B2262" t="inlineStr">
        <is>
          <t>Lips (01245)</t>
        </is>
      </c>
      <c r="C2262" t="inlineStr">
        <is>
          <t>Kylie Supple Kiss Lip Glaze (00006711)</t>
        </is>
      </c>
      <c r="D2262" s="1" t="n">
        <v>4064941133551</v>
      </c>
      <c r="E2262" t="inlineStr">
        <is>
          <t>KJ MU SPP GLZ LG 3 ML 006LOVER GIRL IV</t>
        </is>
      </c>
      <c r="F2262" t="inlineStr">
        <is>
          <t>P_US_ULTA</t>
        </is>
      </c>
      <c r="G2262" t="inlineStr">
        <is>
          <t>CurrentWorkingView</t>
        </is>
      </c>
      <c r="H2262" t="inlineStr">
        <is>
          <t>Supply Cuts</t>
        </is>
      </c>
    </row>
    <row r="2263">
      <c r="A2263" t="inlineStr">
        <is>
          <t>Kylie Makeup</t>
        </is>
      </c>
      <c r="B2263" t="inlineStr">
        <is>
          <t>Lips (01245)</t>
        </is>
      </c>
      <c r="C2263" t="inlineStr">
        <is>
          <t>Kylie Supple Kiss Lip Glaze (00006711)</t>
        </is>
      </c>
      <c r="D2263" s="1" t="n">
        <v>4064941133551</v>
      </c>
      <c r="E2263" t="inlineStr">
        <is>
          <t>KJ MU SPP GLZ LG 3 ML 006LOVER GIRL IV</t>
        </is>
      </c>
      <c r="F2263" t="inlineStr">
        <is>
          <t>P_US_ULTA</t>
        </is>
      </c>
      <c r="G2263" t="inlineStr">
        <is>
          <t>Month-2026.M09.W38</t>
        </is>
      </c>
      <c r="H2263" t="inlineStr">
        <is>
          <t>Consensus - Final LY M</t>
        </is>
      </c>
      <c r="I2263" t="n">
        <v>1152</v>
      </c>
      <c r="J2263" t="n">
        <v>960</v>
      </c>
      <c r="K2263" t="n">
        <v>1152</v>
      </c>
      <c r="L2263" t="n">
        <v>2208</v>
      </c>
      <c r="M2263" t="n">
        <v>768</v>
      </c>
      <c r="N2263" t="n">
        <v>672</v>
      </c>
      <c r="O2263" t="n">
        <v>864</v>
      </c>
      <c r="P2263" t="n">
        <v>384</v>
      </c>
      <c r="Q2263" t="n">
        <v>480</v>
      </c>
      <c r="R2263" t="n">
        <v>288</v>
      </c>
      <c r="S2263" t="n">
        <v>864</v>
      </c>
      <c r="T2263" t="n">
        <v>576</v>
      </c>
    </row>
    <row r="2264">
      <c r="A2264" t="inlineStr">
        <is>
          <t>Kylie Makeup</t>
        </is>
      </c>
      <c r="B2264" t="inlineStr">
        <is>
          <t>Lips (01245)</t>
        </is>
      </c>
      <c r="C2264" t="inlineStr">
        <is>
          <t>Kylie Supple Kiss Lip Glaze (00006711)</t>
        </is>
      </c>
      <c r="D2264" s="1" t="n">
        <v>4064941133551</v>
      </c>
      <c r="E2264" t="inlineStr">
        <is>
          <t>KJ MU SPP GLZ LG 3 ML 006LOVER GIRL IV</t>
        </is>
      </c>
      <c r="F2264" t="inlineStr">
        <is>
          <t>P_US_ULTA</t>
        </is>
      </c>
      <c r="G2264" t="inlineStr">
        <is>
          <t>Month-2026.M09.W38</t>
        </is>
      </c>
      <c r="H2264" t="inlineStr">
        <is>
          <t>System FC - Final</t>
        </is>
      </c>
      <c r="I2264" t="n">
        <v>480</v>
      </c>
      <c r="J2264" t="n">
        <v>5472</v>
      </c>
      <c r="K2264" t="n">
        <v>1452</v>
      </c>
      <c r="L2264" t="n">
        <v>354</v>
      </c>
      <c r="M2264" t="n">
        <v>354</v>
      </c>
      <c r="N2264" t="n">
        <v>350</v>
      </c>
      <c r="O2264" t="n">
        <v>350</v>
      </c>
      <c r="P2264" t="n">
        <v>348</v>
      </c>
      <c r="Q2264" t="n">
        <v>346</v>
      </c>
      <c r="R2264" t="n">
        <v>351</v>
      </c>
      <c r="S2264" t="n">
        <v>346</v>
      </c>
      <c r="T2264" t="n">
        <v>350</v>
      </c>
    </row>
    <row r="2265">
      <c r="A2265" t="inlineStr">
        <is>
          <t>Kylie Makeup</t>
        </is>
      </c>
      <c r="B2265" t="inlineStr">
        <is>
          <t>Lips (01245)</t>
        </is>
      </c>
      <c r="C2265" t="inlineStr">
        <is>
          <t>Kylie Supple Kiss Lip Glaze (00006711)</t>
        </is>
      </c>
      <c r="D2265" s="1" t="n">
        <v>4064941133551</v>
      </c>
      <c r="E2265" t="inlineStr">
        <is>
          <t>KJ MU SPP GLZ LG 3 ML 006LOVER GIRL IV</t>
        </is>
      </c>
      <c r="F2265" t="inlineStr">
        <is>
          <t>P_US_ULTA</t>
        </is>
      </c>
      <c r="G2265" t="inlineStr">
        <is>
          <t>Month-2026.M09.W38</t>
        </is>
      </c>
      <c r="H2265" t="inlineStr">
        <is>
          <t>EPOS</t>
        </is>
      </c>
      <c r="I2265" t="n">
        <v>517</v>
      </c>
    </row>
    <row r="2266">
      <c r="A2266" t="inlineStr">
        <is>
          <t>Kylie Makeup</t>
        </is>
      </c>
      <c r="B2266" t="inlineStr">
        <is>
          <t>Lips (01245)</t>
        </is>
      </c>
      <c r="C2266" t="inlineStr">
        <is>
          <t>Kylie Supple Kiss Lip Glaze (00006711)</t>
        </is>
      </c>
      <c r="D2266" s="1" t="n">
        <v>4064941133551</v>
      </c>
      <c r="E2266" t="inlineStr">
        <is>
          <t>KJ MU SPP GLZ LG 3 ML 006LOVER GIRL IV</t>
        </is>
      </c>
      <c r="F2266" t="inlineStr">
        <is>
          <t>P_US_ULTA</t>
        </is>
      </c>
      <c r="G2266" t="inlineStr">
        <is>
          <t>Month-2026.M09.W38</t>
        </is>
      </c>
      <c r="H2266" t="inlineStr">
        <is>
          <t>Reasonability Adjustment</t>
        </is>
      </c>
      <c r="T2266" t="n">
        <v>-1000</v>
      </c>
    </row>
    <row r="2267">
      <c r="A2267" t="inlineStr">
        <is>
          <t>Kylie Makeup</t>
        </is>
      </c>
      <c r="B2267" t="inlineStr">
        <is>
          <t>Lips (01245)</t>
        </is>
      </c>
      <c r="C2267" t="inlineStr">
        <is>
          <t>Kylie Supple Kiss Lip Glaze (00006711)</t>
        </is>
      </c>
      <c r="D2267" s="1" t="n">
        <v>4064941133551</v>
      </c>
      <c r="E2267" t="inlineStr">
        <is>
          <t>KJ MU SPP GLZ LG 3 ML 006LOVER GIRL IV</t>
        </is>
      </c>
      <c r="F2267" t="inlineStr">
        <is>
          <t>P_US_ULTA</t>
        </is>
      </c>
      <c r="G2267" t="inlineStr">
        <is>
          <t>Month-2026.M09.W38</t>
        </is>
      </c>
      <c r="H2267" t="inlineStr">
        <is>
          <t>Total Demand Assumption</t>
        </is>
      </c>
      <c r="I2267" t="n">
        <v>832</v>
      </c>
      <c r="J2267" t="n">
        <v>3730</v>
      </c>
    </row>
    <row r="2268">
      <c r="A2268" t="inlineStr">
        <is>
          <t>Kylie Makeup</t>
        </is>
      </c>
      <c r="B2268" t="inlineStr">
        <is>
          <t>Lips (01245)</t>
        </is>
      </c>
      <c r="C2268" t="inlineStr">
        <is>
          <t>Kylie Supple Kiss Lip Glaze (00006711)</t>
        </is>
      </c>
      <c r="D2268" s="1" t="n">
        <v>4064941133551</v>
      </c>
      <c r="E2268" t="inlineStr">
        <is>
          <t>KJ MU SPP GLZ LG 3 ML 006LOVER GIRL IV</t>
        </is>
      </c>
      <c r="F2268" t="inlineStr">
        <is>
          <t>P_US_ULTA</t>
        </is>
      </c>
      <c r="G2268" t="inlineStr">
        <is>
          <t>Month-2026.M09.W38</t>
        </is>
      </c>
      <c r="H2268" t="inlineStr">
        <is>
          <t>Consensus - Final</t>
        </is>
      </c>
      <c r="I2268" t="n">
        <v>480</v>
      </c>
      <c r="J2268" t="n">
        <v>5472</v>
      </c>
      <c r="K2268" t="n">
        <v>1248</v>
      </c>
      <c r="L2268" t="n">
        <v>354</v>
      </c>
      <c r="M2268" t="n">
        <v>354</v>
      </c>
      <c r="N2268" t="n">
        <v>350</v>
      </c>
      <c r="O2268" t="n">
        <v>350</v>
      </c>
      <c r="P2268" t="n">
        <v>348</v>
      </c>
      <c r="Q2268" t="n">
        <v>346</v>
      </c>
      <c r="R2268" t="n">
        <v>351</v>
      </c>
      <c r="S2268" t="n">
        <v>346</v>
      </c>
    </row>
    <row r="2269">
      <c r="A2269" t="inlineStr">
        <is>
          <t>Kylie Makeup</t>
        </is>
      </c>
      <c r="B2269" t="inlineStr">
        <is>
          <t>Lips (01245)</t>
        </is>
      </c>
      <c r="C2269" t="inlineStr">
        <is>
          <t>Kylie Supple Kiss Lip Glaze (00006711)</t>
        </is>
      </c>
      <c r="D2269" s="1" t="n">
        <v>4064941133551</v>
      </c>
      <c r="E2269" t="inlineStr">
        <is>
          <t>KJ MU SPP GLZ LG 3 ML 006LOVER GIRL IV</t>
        </is>
      </c>
      <c r="F2269" t="inlineStr">
        <is>
          <t>P_US_ULTA</t>
        </is>
      </c>
      <c r="G2269" t="inlineStr">
        <is>
          <t>Month-2026.M09.W38</t>
        </is>
      </c>
      <c r="H2269" t="inlineStr">
        <is>
          <t>Supply Cuts</t>
        </is>
      </c>
    </row>
    <row r="2270">
      <c r="A2270" t="inlineStr">
        <is>
          <t>Kylie Makeup</t>
        </is>
      </c>
      <c r="B2270" t="inlineStr">
        <is>
          <t>Face (01243)</t>
        </is>
      </c>
      <c r="C2270" t="inlineStr">
        <is>
          <t>Kylie Hybrid Blush (00006713)</t>
        </is>
      </c>
      <c r="D2270" s="1" t="n">
        <v>4064941147084</v>
      </c>
      <c r="E2270" t="inlineStr">
        <is>
          <t>KJ MU HYB BLSH PWDBLU2.5G 356SMRSB 25IV</t>
        </is>
      </c>
      <c r="F2270" t="inlineStr">
        <is>
          <t>P_US_ALL_OTHERS</t>
        </is>
      </c>
      <c r="G2270" t="inlineStr">
        <is>
          <t>CurrentWorkingView</t>
        </is>
      </c>
      <c r="H2270" t="inlineStr">
        <is>
          <t>Consensus - Final LY M</t>
        </is>
      </c>
      <c r="I2270" t="n">
        <v>1237</v>
      </c>
      <c r="J2270" t="n">
        <v>92</v>
      </c>
      <c r="K2270" t="n">
        <v>96</v>
      </c>
      <c r="L2270" t="n">
        <v>117</v>
      </c>
      <c r="M2270" t="n">
        <v>392</v>
      </c>
      <c r="N2270" t="n">
        <v>93</v>
      </c>
      <c r="O2270" t="n">
        <v>103</v>
      </c>
      <c r="P2270" t="n">
        <v>303</v>
      </c>
      <c r="Q2270" t="n">
        <v>86.0000000000333</v>
      </c>
      <c r="R2270" t="n">
        <v>7</v>
      </c>
      <c r="S2270" t="n">
        <v>168</v>
      </c>
      <c r="T2270" t="n">
        <v>38</v>
      </c>
    </row>
    <row r="2271">
      <c r="A2271" t="inlineStr">
        <is>
          <t>Kylie Makeup</t>
        </is>
      </c>
      <c r="B2271" t="inlineStr">
        <is>
          <t>Face (01243)</t>
        </is>
      </c>
      <c r="C2271" t="inlineStr">
        <is>
          <t>Kylie Hybrid Blush (00006713)</t>
        </is>
      </c>
      <c r="D2271" s="1" t="n">
        <v>4064941147084</v>
      </c>
      <c r="E2271" t="inlineStr">
        <is>
          <t>KJ MU HYB BLSH PWDBLU2.5G 356SMRSB 25IV</t>
        </is>
      </c>
      <c r="F2271" t="inlineStr">
        <is>
          <t>P_US_ALL_OTHERS</t>
        </is>
      </c>
      <c r="G2271" t="inlineStr">
        <is>
          <t>CurrentWorkingView</t>
        </is>
      </c>
      <c r="H2271" t="inlineStr">
        <is>
          <t>System FC - Final</t>
        </is>
      </c>
      <c r="I2271" t="n">
        <v>166</v>
      </c>
      <c r="J2271" t="n">
        <v>106</v>
      </c>
      <c r="K2271" t="n">
        <v>56</v>
      </c>
      <c r="L2271" t="n">
        <v>123</v>
      </c>
      <c r="M2271" t="n">
        <v>112</v>
      </c>
      <c r="N2271" t="n">
        <v>115</v>
      </c>
      <c r="O2271" t="n">
        <v>115</v>
      </c>
      <c r="P2271" t="n">
        <v>112</v>
      </c>
      <c r="Q2271" t="n">
        <v>115</v>
      </c>
      <c r="R2271" t="n">
        <v>115</v>
      </c>
      <c r="S2271" t="n">
        <v>115</v>
      </c>
      <c r="T2271" t="n">
        <v>115</v>
      </c>
    </row>
    <row r="2272">
      <c r="A2272" t="inlineStr">
        <is>
          <t>Kylie Makeup</t>
        </is>
      </c>
      <c r="B2272" t="inlineStr">
        <is>
          <t>Face (01243)</t>
        </is>
      </c>
      <c r="C2272" t="inlineStr">
        <is>
          <t>Kylie Hybrid Blush (00006713)</t>
        </is>
      </c>
      <c r="D2272" s="1" t="n">
        <v>4064941147084</v>
      </c>
      <c r="E2272" t="inlineStr">
        <is>
          <t>KJ MU HYB BLSH PWDBLU2.5G 356SMRSB 25IV</t>
        </is>
      </c>
      <c r="F2272" t="inlineStr">
        <is>
          <t>P_US_ALL_OTHERS</t>
        </is>
      </c>
      <c r="G2272" t="inlineStr">
        <is>
          <t>CurrentWorkingView</t>
        </is>
      </c>
      <c r="H2272" t="inlineStr">
        <is>
          <t>EPOS</t>
        </is>
      </c>
      <c r="I2272" t="n">
        <v>36</v>
      </c>
    </row>
    <row r="2273">
      <c r="A2273" t="inlineStr">
        <is>
          <t>Kylie Makeup</t>
        </is>
      </c>
      <c r="B2273" t="inlineStr">
        <is>
          <t>Face (01243)</t>
        </is>
      </c>
      <c r="C2273" t="inlineStr">
        <is>
          <t>Kylie Hybrid Blush (00006713)</t>
        </is>
      </c>
      <c r="D2273" s="1" t="n">
        <v>4064941147084</v>
      </c>
      <c r="E2273" t="inlineStr">
        <is>
          <t>KJ MU HYB BLSH PWDBLU2.5G 356SMRSB 25IV</t>
        </is>
      </c>
      <c r="F2273" t="inlineStr">
        <is>
          <t>P_US_ALL_OTHERS</t>
        </is>
      </c>
      <c r="G2273" t="inlineStr">
        <is>
          <t>CurrentWorkingView</t>
        </is>
      </c>
      <c r="H2273" t="inlineStr">
        <is>
          <t>Reasonability Adjustment</t>
        </is>
      </c>
      <c r="J2273" t="n">
        <v>44</v>
      </c>
      <c r="T2273" t="n">
        <v>-24</v>
      </c>
    </row>
    <row r="2274">
      <c r="A2274" t="inlineStr">
        <is>
          <t>Kylie Makeup</t>
        </is>
      </c>
      <c r="B2274" t="inlineStr">
        <is>
          <t>Face (01243)</t>
        </is>
      </c>
      <c r="C2274" t="inlineStr">
        <is>
          <t>Kylie Hybrid Blush (00006713)</t>
        </is>
      </c>
      <c r="D2274" s="1" t="n">
        <v>4064941147084</v>
      </c>
      <c r="E2274" t="inlineStr">
        <is>
          <t>KJ MU HYB BLSH PWDBLU2.5G 356SMRSB 25IV</t>
        </is>
      </c>
      <c r="F2274" t="inlineStr">
        <is>
          <t>P_US_ALL_OTHERS</t>
        </is>
      </c>
      <c r="G2274" t="inlineStr">
        <is>
          <t>CurrentWorkingView</t>
        </is>
      </c>
      <c r="H2274" t="inlineStr">
        <is>
          <t>Total Demand Assumption</t>
        </is>
      </c>
    </row>
    <row r="2275">
      <c r="A2275" t="inlineStr">
        <is>
          <t>Kylie Makeup</t>
        </is>
      </c>
      <c r="B2275" t="inlineStr">
        <is>
          <t>Face (01243)</t>
        </is>
      </c>
      <c r="C2275" t="inlineStr">
        <is>
          <t>Kylie Hybrid Blush (00006713)</t>
        </is>
      </c>
      <c r="D2275" s="1" t="n">
        <v>4064941147084</v>
      </c>
      <c r="E2275" t="inlineStr">
        <is>
          <t>KJ MU HYB BLSH PWDBLU2.5G 356SMRSB 25IV</t>
        </is>
      </c>
      <c r="F2275" t="inlineStr">
        <is>
          <t>P_US_ALL_OTHERS</t>
        </is>
      </c>
      <c r="G2275" t="inlineStr">
        <is>
          <t>CurrentWorkingView</t>
        </is>
      </c>
      <c r="H2275" t="inlineStr">
        <is>
          <t>Consensus - Final</t>
        </is>
      </c>
      <c r="I2275" t="n">
        <v>166</v>
      </c>
      <c r="J2275" t="n">
        <v>106</v>
      </c>
      <c r="K2275" t="n">
        <v>1507</v>
      </c>
      <c r="L2275" t="n">
        <v>123</v>
      </c>
      <c r="M2275" t="n">
        <v>112</v>
      </c>
      <c r="N2275" t="n">
        <v>115</v>
      </c>
      <c r="O2275" t="n">
        <v>115</v>
      </c>
      <c r="P2275" t="n">
        <v>112</v>
      </c>
      <c r="Q2275" t="n">
        <v>115</v>
      </c>
      <c r="R2275" t="n">
        <v>115</v>
      </c>
      <c r="S2275" t="n">
        <v>115</v>
      </c>
      <c r="T2275" t="n">
        <v>91</v>
      </c>
    </row>
    <row r="2276">
      <c r="A2276" t="inlineStr">
        <is>
          <t>Kylie Makeup</t>
        </is>
      </c>
      <c r="B2276" t="inlineStr">
        <is>
          <t>Face (01243)</t>
        </is>
      </c>
      <c r="C2276" t="inlineStr">
        <is>
          <t>Kylie Hybrid Blush (00006713)</t>
        </is>
      </c>
      <c r="D2276" s="1" t="n">
        <v>4064941147084</v>
      </c>
      <c r="E2276" t="inlineStr">
        <is>
          <t>KJ MU HYB BLSH PWDBLU2.5G 356SMRSB 25IV</t>
        </is>
      </c>
      <c r="F2276" t="inlineStr">
        <is>
          <t>P_US_ALL_OTHERS</t>
        </is>
      </c>
      <c r="G2276" t="inlineStr">
        <is>
          <t>CurrentWorkingView</t>
        </is>
      </c>
      <c r="H2276" t="inlineStr">
        <is>
          <t>Supply Cuts</t>
        </is>
      </c>
    </row>
    <row r="2277">
      <c r="A2277" t="inlineStr">
        <is>
          <t>Kylie Makeup</t>
        </is>
      </c>
      <c r="B2277" t="inlineStr">
        <is>
          <t>Face (01243)</t>
        </is>
      </c>
      <c r="C2277" t="inlineStr">
        <is>
          <t>Kylie Hybrid Blush (00006713)</t>
        </is>
      </c>
      <c r="D2277" s="1" t="n">
        <v>4064941147084</v>
      </c>
      <c r="E2277" t="inlineStr">
        <is>
          <t>KJ MU HYB BLSH PWDBLU2.5G 356SMRSB 25IV</t>
        </is>
      </c>
      <c r="F2277" t="inlineStr">
        <is>
          <t>P_US_ALL_OTHERS</t>
        </is>
      </c>
      <c r="G2277" t="inlineStr">
        <is>
          <t>Month-2026.M09.W38</t>
        </is>
      </c>
      <c r="H2277" t="inlineStr">
        <is>
          <t>Consensus - Final LY M</t>
        </is>
      </c>
      <c r="I2277" t="n">
        <v>1237</v>
      </c>
      <c r="J2277" t="n">
        <v>92</v>
      </c>
      <c r="K2277" t="n">
        <v>96</v>
      </c>
      <c r="L2277" t="n">
        <v>117</v>
      </c>
      <c r="M2277" t="n">
        <v>392</v>
      </c>
      <c r="N2277" t="n">
        <v>93</v>
      </c>
      <c r="O2277" t="n">
        <v>103</v>
      </c>
      <c r="P2277" t="n">
        <v>303</v>
      </c>
      <c r="Q2277" t="n">
        <v>86.0000000000333</v>
      </c>
      <c r="R2277" t="n">
        <v>7</v>
      </c>
      <c r="S2277" t="n">
        <v>168</v>
      </c>
      <c r="T2277" t="n">
        <v>38</v>
      </c>
    </row>
    <row r="2278">
      <c r="A2278" t="inlineStr">
        <is>
          <t>Kylie Makeup</t>
        </is>
      </c>
      <c r="B2278" t="inlineStr">
        <is>
          <t>Face (01243)</t>
        </is>
      </c>
      <c r="C2278" t="inlineStr">
        <is>
          <t>Kylie Hybrid Blush (00006713)</t>
        </is>
      </c>
      <c r="D2278" s="1" t="n">
        <v>4064941147084</v>
      </c>
      <c r="E2278" t="inlineStr">
        <is>
          <t>KJ MU HYB BLSH PWDBLU2.5G 356SMRSB 25IV</t>
        </is>
      </c>
      <c r="F2278" t="inlineStr">
        <is>
          <t>P_US_ALL_OTHERS</t>
        </is>
      </c>
      <c r="G2278" t="inlineStr">
        <is>
          <t>Month-2026.M09.W38</t>
        </is>
      </c>
      <c r="H2278" t="inlineStr">
        <is>
          <t>System FC - Final</t>
        </is>
      </c>
      <c r="I2278" t="n">
        <v>166</v>
      </c>
      <c r="J2278" t="n">
        <v>106</v>
      </c>
      <c r="K2278" t="n">
        <v>76</v>
      </c>
      <c r="L2278" t="n">
        <v>133</v>
      </c>
      <c r="M2278" t="n">
        <v>124</v>
      </c>
      <c r="N2278" t="n">
        <v>121</v>
      </c>
      <c r="O2278" t="n">
        <v>124</v>
      </c>
      <c r="P2278" t="n">
        <v>124</v>
      </c>
      <c r="Q2278" t="n">
        <v>124</v>
      </c>
      <c r="R2278" t="n">
        <v>125</v>
      </c>
      <c r="S2278" t="n">
        <v>124</v>
      </c>
      <c r="T2278" t="n">
        <v>124</v>
      </c>
    </row>
    <row r="2279">
      <c r="A2279" t="inlineStr">
        <is>
          <t>Kylie Makeup</t>
        </is>
      </c>
      <c r="B2279" t="inlineStr">
        <is>
          <t>Face (01243)</t>
        </is>
      </c>
      <c r="C2279" t="inlineStr">
        <is>
          <t>Kylie Hybrid Blush (00006713)</t>
        </is>
      </c>
      <c r="D2279" s="1" t="n">
        <v>4064941147084</v>
      </c>
      <c r="E2279" t="inlineStr">
        <is>
          <t>KJ MU HYB BLSH PWDBLU2.5G 356SMRSB 25IV</t>
        </is>
      </c>
      <c r="F2279" t="inlineStr">
        <is>
          <t>P_US_ALL_OTHERS</t>
        </is>
      </c>
      <c r="G2279" t="inlineStr">
        <is>
          <t>Month-2026.M09.W38</t>
        </is>
      </c>
      <c r="H2279" t="inlineStr">
        <is>
          <t>EPOS</t>
        </is>
      </c>
      <c r="I2279" t="n">
        <v>36</v>
      </c>
    </row>
    <row r="2280">
      <c r="A2280" t="inlineStr">
        <is>
          <t>Kylie Makeup</t>
        </is>
      </c>
      <c r="B2280" t="inlineStr">
        <is>
          <t>Face (01243)</t>
        </is>
      </c>
      <c r="C2280" t="inlineStr">
        <is>
          <t>Kylie Hybrid Blush (00006713)</t>
        </is>
      </c>
      <c r="D2280" s="1" t="n">
        <v>4064941147084</v>
      </c>
      <c r="E2280" t="inlineStr">
        <is>
          <t>KJ MU HYB BLSH PWDBLU2.5G 356SMRSB 25IV</t>
        </is>
      </c>
      <c r="F2280" t="inlineStr">
        <is>
          <t>P_US_ALL_OTHERS</t>
        </is>
      </c>
      <c r="G2280" t="inlineStr">
        <is>
          <t>Month-2026.M09.W38</t>
        </is>
      </c>
      <c r="H2280" t="inlineStr">
        <is>
          <t>Reasonability Adjustment</t>
        </is>
      </c>
      <c r="J2280" t="n">
        <v>44</v>
      </c>
      <c r="T2280" t="n">
        <v>-24</v>
      </c>
    </row>
    <row r="2281">
      <c r="A2281" t="inlineStr">
        <is>
          <t>Kylie Makeup</t>
        </is>
      </c>
      <c r="B2281" t="inlineStr">
        <is>
          <t>Face (01243)</t>
        </is>
      </c>
      <c r="C2281" t="inlineStr">
        <is>
          <t>Kylie Hybrid Blush (00006713)</t>
        </is>
      </c>
      <c r="D2281" s="1" t="n">
        <v>4064941147084</v>
      </c>
      <c r="E2281" t="inlineStr">
        <is>
          <t>KJ MU HYB BLSH PWDBLU2.5G 356SMRSB 25IV</t>
        </is>
      </c>
      <c r="F2281" t="inlineStr">
        <is>
          <t>P_US_ALL_OTHERS</t>
        </is>
      </c>
      <c r="G2281" t="inlineStr">
        <is>
          <t>Month-2026.M09.W38</t>
        </is>
      </c>
      <c r="H2281" t="inlineStr">
        <is>
          <t>Total Demand Assumption</t>
        </is>
      </c>
    </row>
    <row r="2282">
      <c r="A2282" t="inlineStr">
        <is>
          <t>Kylie Makeup</t>
        </is>
      </c>
      <c r="B2282" t="inlineStr">
        <is>
          <t>Face (01243)</t>
        </is>
      </c>
      <c r="C2282" t="inlineStr">
        <is>
          <t>Kylie Hybrid Blush (00006713)</t>
        </is>
      </c>
      <c r="D2282" s="1" t="n">
        <v>4064941147084</v>
      </c>
      <c r="E2282" t="inlineStr">
        <is>
          <t>KJ MU HYB BLSH PWDBLU2.5G 356SMRSB 25IV</t>
        </is>
      </c>
      <c r="F2282" t="inlineStr">
        <is>
          <t>P_US_ALL_OTHERS</t>
        </is>
      </c>
      <c r="G2282" t="inlineStr">
        <is>
          <t>Month-2026.M09.W38</t>
        </is>
      </c>
      <c r="H2282" t="inlineStr">
        <is>
          <t>Consensus - Final</t>
        </is>
      </c>
      <c r="I2282" t="n">
        <v>166</v>
      </c>
      <c r="J2282" t="n">
        <v>106</v>
      </c>
      <c r="K2282" t="n">
        <v>1507</v>
      </c>
      <c r="L2282" t="n">
        <v>133</v>
      </c>
      <c r="M2282" t="n">
        <v>124</v>
      </c>
      <c r="N2282" t="n">
        <v>121</v>
      </c>
      <c r="O2282" t="n">
        <v>124</v>
      </c>
      <c r="P2282" t="n">
        <v>124</v>
      </c>
      <c r="Q2282" t="n">
        <v>124</v>
      </c>
      <c r="R2282" t="n">
        <v>125</v>
      </c>
      <c r="S2282" t="n">
        <v>124</v>
      </c>
      <c r="T2282" t="n">
        <v>100</v>
      </c>
    </row>
    <row r="2283">
      <c r="A2283" t="inlineStr">
        <is>
          <t>Kylie Makeup</t>
        </is>
      </c>
      <c r="B2283" t="inlineStr">
        <is>
          <t>Face (01243)</t>
        </is>
      </c>
      <c r="C2283" t="inlineStr">
        <is>
          <t>Kylie Hybrid Blush (00006713)</t>
        </is>
      </c>
      <c r="D2283" s="1" t="n">
        <v>4064941147084</v>
      </c>
      <c r="E2283" t="inlineStr">
        <is>
          <t>KJ MU HYB BLSH PWDBLU2.5G 356SMRSB 25IV</t>
        </is>
      </c>
      <c r="F2283" t="inlineStr">
        <is>
          <t>P_US_ALL_OTHERS</t>
        </is>
      </c>
      <c r="G2283" t="inlineStr">
        <is>
          <t>Month-2026.M09.W38</t>
        </is>
      </c>
      <c r="H2283" t="inlineStr">
        <is>
          <t>Supply Cuts</t>
        </is>
      </c>
    </row>
    <row r="2284">
      <c r="A2284" t="inlineStr">
        <is>
          <t>Kylie Makeup</t>
        </is>
      </c>
      <c r="B2284" t="inlineStr">
        <is>
          <t>Face (01243)</t>
        </is>
      </c>
      <c r="C2284" t="inlineStr">
        <is>
          <t>Kylie Hybrid Blush (00006713)</t>
        </is>
      </c>
      <c r="D2284" s="1" t="n">
        <v>4064941147084</v>
      </c>
      <c r="E2284" t="inlineStr">
        <is>
          <t>KJ MU HYB BLSH PWDBLU2.5G 356SMRSB 25IV</t>
        </is>
      </c>
      <c r="F2284" t="inlineStr">
        <is>
          <t>P_US_FG</t>
        </is>
      </c>
      <c r="G2284" t="inlineStr">
        <is>
          <t>CurrentWorkingView</t>
        </is>
      </c>
      <c r="H2284" t="inlineStr">
        <is>
          <t>Consensus - Final LY M</t>
        </is>
      </c>
      <c r="I2284" t="n">
        <v>438</v>
      </c>
      <c r="L2284" t="n">
        <v>32</v>
      </c>
      <c r="M2284" t="n">
        <v>51</v>
      </c>
      <c r="O2284" t="n">
        <v>100</v>
      </c>
      <c r="P2284" t="n">
        <v>30</v>
      </c>
      <c r="Q2284" t="n">
        <v>16</v>
      </c>
      <c r="S2284" t="n">
        <v>1</v>
      </c>
      <c r="T2284" t="n">
        <v>110</v>
      </c>
    </row>
    <row r="2285">
      <c r="A2285" t="inlineStr">
        <is>
          <t>Kylie Makeup</t>
        </is>
      </c>
      <c r="B2285" t="inlineStr">
        <is>
          <t>Face (01243)</t>
        </is>
      </c>
      <c r="C2285" t="inlineStr">
        <is>
          <t>Kylie Hybrid Blush (00006713)</t>
        </is>
      </c>
      <c r="D2285" s="1" t="n">
        <v>4064941147084</v>
      </c>
      <c r="E2285" t="inlineStr">
        <is>
          <t>KJ MU HYB BLSH PWDBLU2.5G 356SMRSB 25IV</t>
        </is>
      </c>
      <c r="F2285" t="inlineStr">
        <is>
          <t>P_US_FG</t>
        </is>
      </c>
      <c r="G2285" t="inlineStr">
        <is>
          <t>CurrentWorkingView</t>
        </is>
      </c>
      <c r="H2285" t="inlineStr">
        <is>
          <t>System FC - Final</t>
        </is>
      </c>
      <c r="K2285" t="n">
        <v>25</v>
      </c>
      <c r="L2285" t="n">
        <v>40</v>
      </c>
      <c r="M2285" t="n">
        <v>42</v>
      </c>
      <c r="N2285" t="n">
        <v>40</v>
      </c>
      <c r="O2285" t="n">
        <v>40</v>
      </c>
      <c r="P2285" t="n">
        <v>40</v>
      </c>
      <c r="Q2285" t="n">
        <v>40</v>
      </c>
      <c r="R2285" t="n">
        <v>43</v>
      </c>
      <c r="S2285" t="n">
        <v>40</v>
      </c>
      <c r="T2285" t="n">
        <v>42</v>
      </c>
    </row>
    <row r="2286">
      <c r="A2286" t="inlineStr">
        <is>
          <t>Kylie Makeup</t>
        </is>
      </c>
      <c r="B2286" t="inlineStr">
        <is>
          <t>Face (01243)</t>
        </is>
      </c>
      <c r="C2286" t="inlineStr">
        <is>
          <t>Kylie Hybrid Blush (00006713)</t>
        </is>
      </c>
      <c r="D2286" s="1" t="n">
        <v>4064941147084</v>
      </c>
      <c r="E2286" t="inlineStr">
        <is>
          <t>KJ MU HYB BLSH PWDBLU2.5G 356SMRSB 25IV</t>
        </is>
      </c>
      <c r="F2286" t="inlineStr">
        <is>
          <t>P_US_FG</t>
        </is>
      </c>
      <c r="G2286" t="inlineStr">
        <is>
          <t>CurrentWorkingView</t>
        </is>
      </c>
      <c r="H2286" t="inlineStr">
        <is>
          <t>EPOS</t>
        </is>
      </c>
    </row>
    <row r="2287">
      <c r="A2287" t="inlineStr">
        <is>
          <t>Kylie Makeup</t>
        </is>
      </c>
      <c r="B2287" t="inlineStr">
        <is>
          <t>Face (01243)</t>
        </is>
      </c>
      <c r="C2287" t="inlineStr">
        <is>
          <t>Kylie Hybrid Blush (00006713)</t>
        </is>
      </c>
      <c r="D2287" s="1" t="n">
        <v>4064941147084</v>
      </c>
      <c r="E2287" t="inlineStr">
        <is>
          <t>KJ MU HYB BLSH PWDBLU2.5G 356SMRSB 25IV</t>
        </is>
      </c>
      <c r="F2287" t="inlineStr">
        <is>
          <t>P_US_FG</t>
        </is>
      </c>
      <c r="G2287" t="inlineStr">
        <is>
          <t>CurrentWorkingView</t>
        </is>
      </c>
      <c r="H2287" t="inlineStr">
        <is>
          <t>Reasonability Adjustment</t>
        </is>
      </c>
    </row>
    <row r="2288">
      <c r="A2288" t="inlineStr">
        <is>
          <t>Kylie Makeup</t>
        </is>
      </c>
      <c r="B2288" t="inlineStr">
        <is>
          <t>Face (01243)</t>
        </is>
      </c>
      <c r="C2288" t="inlineStr">
        <is>
          <t>Kylie Hybrid Blush (00006713)</t>
        </is>
      </c>
      <c r="D2288" s="1" t="n">
        <v>4064941147084</v>
      </c>
      <c r="E2288" t="inlineStr">
        <is>
          <t>KJ MU HYB BLSH PWDBLU2.5G 356SMRSB 25IV</t>
        </is>
      </c>
      <c r="F2288" t="inlineStr">
        <is>
          <t>P_US_FG</t>
        </is>
      </c>
      <c r="G2288" t="inlineStr">
        <is>
          <t>CurrentWorkingView</t>
        </is>
      </c>
      <c r="H2288" t="inlineStr">
        <is>
          <t>Total Demand Assumption</t>
        </is>
      </c>
    </row>
    <row r="2289">
      <c r="A2289" t="inlineStr">
        <is>
          <t>Kylie Makeup</t>
        </is>
      </c>
      <c r="B2289" t="inlineStr">
        <is>
          <t>Face (01243)</t>
        </is>
      </c>
      <c r="C2289" t="inlineStr">
        <is>
          <t>Kylie Hybrid Blush (00006713)</t>
        </is>
      </c>
      <c r="D2289" s="1" t="n">
        <v>4064941147084</v>
      </c>
      <c r="E2289" t="inlineStr">
        <is>
          <t>KJ MU HYB BLSH PWDBLU2.5G 356SMRSB 25IV</t>
        </is>
      </c>
      <c r="F2289" t="inlineStr">
        <is>
          <t>P_US_FG</t>
        </is>
      </c>
      <c r="G2289" t="inlineStr">
        <is>
          <t>CurrentWorkingView</t>
        </is>
      </c>
      <c r="H2289" t="inlineStr">
        <is>
          <t>Consensus - Final</t>
        </is>
      </c>
      <c r="K2289" t="n">
        <v>0</v>
      </c>
    </row>
    <row r="2290">
      <c r="A2290" t="inlineStr">
        <is>
          <t>Kylie Makeup</t>
        </is>
      </c>
      <c r="B2290" t="inlineStr">
        <is>
          <t>Face (01243)</t>
        </is>
      </c>
      <c r="C2290" t="inlineStr">
        <is>
          <t>Kylie Hybrid Blush (00006713)</t>
        </is>
      </c>
      <c r="D2290" s="1" t="n">
        <v>4064941147084</v>
      </c>
      <c r="E2290" t="inlineStr">
        <is>
          <t>KJ MU HYB BLSH PWDBLU2.5G 356SMRSB 25IV</t>
        </is>
      </c>
      <c r="F2290" t="inlineStr">
        <is>
          <t>P_US_FG</t>
        </is>
      </c>
      <c r="G2290" t="inlineStr">
        <is>
          <t>CurrentWorkingView</t>
        </is>
      </c>
      <c r="H2290" t="inlineStr">
        <is>
          <t>Supply Cuts</t>
        </is>
      </c>
    </row>
    <row r="2291">
      <c r="A2291" t="inlineStr">
        <is>
          <t>Kylie Makeup</t>
        </is>
      </c>
      <c r="B2291" t="inlineStr">
        <is>
          <t>Face (01243)</t>
        </is>
      </c>
      <c r="C2291" t="inlineStr">
        <is>
          <t>Kylie Hybrid Blush (00006713)</t>
        </is>
      </c>
      <c r="D2291" s="1" t="n">
        <v>4064941147084</v>
      </c>
      <c r="E2291" t="inlineStr">
        <is>
          <t>KJ MU HYB BLSH PWDBLU2.5G 356SMRSB 25IV</t>
        </is>
      </c>
      <c r="F2291" t="inlineStr">
        <is>
          <t>P_US_FG</t>
        </is>
      </c>
      <c r="G2291" t="inlineStr">
        <is>
          <t>Month-2026.M09.W38</t>
        </is>
      </c>
      <c r="H2291" t="inlineStr">
        <is>
          <t>Consensus - Final LY M</t>
        </is>
      </c>
      <c r="I2291" t="n">
        <v>438</v>
      </c>
      <c r="L2291" t="n">
        <v>32</v>
      </c>
      <c r="M2291" t="n">
        <v>51</v>
      </c>
      <c r="O2291" t="n">
        <v>100</v>
      </c>
      <c r="P2291" t="n">
        <v>30</v>
      </c>
      <c r="Q2291" t="n">
        <v>16</v>
      </c>
      <c r="S2291" t="n">
        <v>1</v>
      </c>
      <c r="T2291" t="n">
        <v>110</v>
      </c>
    </row>
    <row r="2292">
      <c r="A2292" t="inlineStr">
        <is>
          <t>Kylie Makeup</t>
        </is>
      </c>
      <c r="B2292" t="inlineStr">
        <is>
          <t>Face (01243)</t>
        </is>
      </c>
      <c r="C2292" t="inlineStr">
        <is>
          <t>Kylie Hybrid Blush (00006713)</t>
        </is>
      </c>
      <c r="D2292" s="1" t="n">
        <v>4064941147084</v>
      </c>
      <c r="E2292" t="inlineStr">
        <is>
          <t>KJ MU HYB BLSH PWDBLU2.5G 356SMRSB 25IV</t>
        </is>
      </c>
      <c r="F2292" t="inlineStr">
        <is>
          <t>P_US_FG</t>
        </is>
      </c>
      <c r="G2292" t="inlineStr">
        <is>
          <t>Month-2026.M09.W38</t>
        </is>
      </c>
      <c r="H2292" t="inlineStr">
        <is>
          <t>System FC - Final</t>
        </is>
      </c>
      <c r="K2292" t="n">
        <v>37</v>
      </c>
      <c r="L2292" t="n">
        <v>48</v>
      </c>
      <c r="M2292" t="n">
        <v>52</v>
      </c>
      <c r="N2292" t="n">
        <v>49</v>
      </c>
      <c r="O2292" t="n">
        <v>49</v>
      </c>
      <c r="P2292" t="n">
        <v>52</v>
      </c>
      <c r="Q2292" t="n">
        <v>49</v>
      </c>
      <c r="R2292" t="n">
        <v>51</v>
      </c>
      <c r="S2292" t="n">
        <v>49</v>
      </c>
      <c r="T2292" t="n">
        <v>30</v>
      </c>
    </row>
    <row r="2293">
      <c r="A2293" t="inlineStr">
        <is>
          <t>Kylie Makeup</t>
        </is>
      </c>
      <c r="B2293" t="inlineStr">
        <is>
          <t>Face (01243)</t>
        </is>
      </c>
      <c r="C2293" t="inlineStr">
        <is>
          <t>Kylie Hybrid Blush (00006713)</t>
        </is>
      </c>
      <c r="D2293" s="1" t="n">
        <v>4064941147084</v>
      </c>
      <c r="E2293" t="inlineStr">
        <is>
          <t>KJ MU HYB BLSH PWDBLU2.5G 356SMRSB 25IV</t>
        </is>
      </c>
      <c r="F2293" t="inlineStr">
        <is>
          <t>P_US_FG</t>
        </is>
      </c>
      <c r="G2293" t="inlineStr">
        <is>
          <t>Month-2026.M09.W38</t>
        </is>
      </c>
      <c r="H2293" t="inlineStr">
        <is>
          <t>EPOS</t>
        </is>
      </c>
    </row>
    <row r="2294">
      <c r="A2294" t="inlineStr">
        <is>
          <t>Kylie Makeup</t>
        </is>
      </c>
      <c r="B2294" t="inlineStr">
        <is>
          <t>Face (01243)</t>
        </is>
      </c>
      <c r="C2294" t="inlineStr">
        <is>
          <t>Kylie Hybrid Blush (00006713)</t>
        </is>
      </c>
      <c r="D2294" s="1" t="n">
        <v>4064941147084</v>
      </c>
      <c r="E2294" t="inlineStr">
        <is>
          <t>KJ MU HYB BLSH PWDBLU2.5G 356SMRSB 25IV</t>
        </is>
      </c>
      <c r="F2294" t="inlineStr">
        <is>
          <t>P_US_FG</t>
        </is>
      </c>
      <c r="G2294" t="inlineStr">
        <is>
          <t>Month-2026.M09.W38</t>
        </is>
      </c>
      <c r="H2294" t="inlineStr">
        <is>
          <t>Reasonability Adjustment</t>
        </is>
      </c>
    </row>
    <row r="2295">
      <c r="A2295" t="inlineStr">
        <is>
          <t>Kylie Makeup</t>
        </is>
      </c>
      <c r="B2295" t="inlineStr">
        <is>
          <t>Face (01243)</t>
        </is>
      </c>
      <c r="C2295" t="inlineStr">
        <is>
          <t>Kylie Hybrid Blush (00006713)</t>
        </is>
      </c>
      <c r="D2295" s="1" t="n">
        <v>4064941147084</v>
      </c>
      <c r="E2295" t="inlineStr">
        <is>
          <t>KJ MU HYB BLSH PWDBLU2.5G 356SMRSB 25IV</t>
        </is>
      </c>
      <c r="F2295" t="inlineStr">
        <is>
          <t>P_US_FG</t>
        </is>
      </c>
      <c r="G2295" t="inlineStr">
        <is>
          <t>Month-2026.M09.W38</t>
        </is>
      </c>
      <c r="H2295" t="inlineStr">
        <is>
          <t>Total Demand Assumption</t>
        </is>
      </c>
    </row>
    <row r="2296">
      <c r="A2296" t="inlineStr">
        <is>
          <t>Kylie Makeup</t>
        </is>
      </c>
      <c r="B2296" t="inlineStr">
        <is>
          <t>Face (01243)</t>
        </is>
      </c>
      <c r="C2296" t="inlineStr">
        <is>
          <t>Kylie Hybrid Blush (00006713)</t>
        </is>
      </c>
      <c r="D2296" s="1" t="n">
        <v>4064941147084</v>
      </c>
      <c r="E2296" t="inlineStr">
        <is>
          <t>KJ MU HYB BLSH PWDBLU2.5G 356SMRSB 25IV</t>
        </is>
      </c>
      <c r="F2296" t="inlineStr">
        <is>
          <t>P_US_FG</t>
        </is>
      </c>
      <c r="G2296" t="inlineStr">
        <is>
          <t>Month-2026.M09.W38</t>
        </is>
      </c>
      <c r="H2296" t="inlineStr">
        <is>
          <t>Consensus - Final</t>
        </is>
      </c>
      <c r="K2296" t="n">
        <v>0</v>
      </c>
    </row>
    <row r="2297">
      <c r="A2297" t="inlineStr">
        <is>
          <t>Kylie Makeup</t>
        </is>
      </c>
      <c r="B2297" t="inlineStr">
        <is>
          <t>Face (01243)</t>
        </is>
      </c>
      <c r="C2297" t="inlineStr">
        <is>
          <t>Kylie Hybrid Blush (00006713)</t>
        </is>
      </c>
      <c r="D2297" s="1" t="n">
        <v>4064941147084</v>
      </c>
      <c r="E2297" t="inlineStr">
        <is>
          <t>KJ MU HYB BLSH PWDBLU2.5G 356SMRSB 25IV</t>
        </is>
      </c>
      <c r="F2297" t="inlineStr">
        <is>
          <t>P_US_FG</t>
        </is>
      </c>
      <c r="G2297" t="inlineStr">
        <is>
          <t>Month-2026.M09.W38</t>
        </is>
      </c>
      <c r="H2297" t="inlineStr">
        <is>
          <t>Supply Cuts</t>
        </is>
      </c>
    </row>
    <row r="2298">
      <c r="A2298" t="inlineStr">
        <is>
          <t>Kylie Makeup</t>
        </is>
      </c>
      <c r="B2298" t="inlineStr">
        <is>
          <t>Face (01243)</t>
        </is>
      </c>
      <c r="C2298" t="inlineStr">
        <is>
          <t>Kylie Hybrid Blush (00006713)</t>
        </is>
      </c>
      <c r="D2298" s="1" t="n">
        <v>4064941147084</v>
      </c>
      <c r="E2298" t="inlineStr">
        <is>
          <t>KJ MU HYB BLSH PWDBLU2.5G 356SMRSB 25IV</t>
        </is>
      </c>
      <c r="F2298" t="inlineStr">
        <is>
          <t>P_US_ULTA</t>
        </is>
      </c>
      <c r="G2298" t="inlineStr">
        <is>
          <t>CurrentWorkingView</t>
        </is>
      </c>
      <c r="H2298" t="inlineStr">
        <is>
          <t>Consensus - Final LY M</t>
        </is>
      </c>
      <c r="I2298" t="n">
        <v>144</v>
      </c>
      <c r="J2298" t="n">
        <v>360</v>
      </c>
      <c r="K2298" t="n">
        <v>936</v>
      </c>
      <c r="L2298" t="n">
        <v>216</v>
      </c>
      <c r="M2298" t="n">
        <v>864</v>
      </c>
      <c r="N2298" t="n">
        <v>216</v>
      </c>
      <c r="O2298" t="n">
        <v>576</v>
      </c>
      <c r="P2298" t="n">
        <v>1368</v>
      </c>
      <c r="Q2298" t="n">
        <v>5826</v>
      </c>
      <c r="R2298" t="n">
        <v>1840</v>
      </c>
      <c r="S2298" t="n">
        <v>576</v>
      </c>
      <c r="T2298" t="n">
        <v>288</v>
      </c>
    </row>
    <row r="2299">
      <c r="A2299" t="inlineStr">
        <is>
          <t>Kylie Makeup</t>
        </is>
      </c>
      <c r="B2299" t="inlineStr">
        <is>
          <t>Face (01243)</t>
        </is>
      </c>
      <c r="C2299" t="inlineStr">
        <is>
          <t>Kylie Hybrid Blush (00006713)</t>
        </is>
      </c>
      <c r="D2299" s="1" t="n">
        <v>4064941147084</v>
      </c>
      <c r="E2299" t="inlineStr">
        <is>
          <t>KJ MU HYB BLSH PWDBLU2.5G 356SMRSB 25IV</t>
        </is>
      </c>
      <c r="F2299" t="inlineStr">
        <is>
          <t>P_US_ULTA</t>
        </is>
      </c>
      <c r="G2299" t="inlineStr">
        <is>
          <t>CurrentWorkingView</t>
        </is>
      </c>
      <c r="H2299" t="inlineStr">
        <is>
          <t>System FC - Final</t>
        </is>
      </c>
      <c r="I2299" t="n">
        <v>648</v>
      </c>
      <c r="J2299" t="n">
        <v>5112</v>
      </c>
      <c r="K2299" t="n">
        <v>3976</v>
      </c>
      <c r="L2299" t="n">
        <v>2590</v>
      </c>
      <c r="M2299" t="n">
        <v>3240</v>
      </c>
      <c r="N2299" t="n">
        <v>2617</v>
      </c>
      <c r="O2299" t="n">
        <v>2817</v>
      </c>
      <c r="P2299" t="n">
        <v>2892</v>
      </c>
      <c r="Q2299" t="n">
        <v>2772</v>
      </c>
      <c r="R2299" t="n">
        <v>2828</v>
      </c>
      <c r="S2299" t="n">
        <v>2830</v>
      </c>
      <c r="T2299" t="n">
        <v>2811</v>
      </c>
    </row>
    <row r="2300">
      <c r="A2300" t="inlineStr">
        <is>
          <t>Kylie Makeup</t>
        </is>
      </c>
      <c r="B2300" t="inlineStr">
        <is>
          <t>Face (01243)</t>
        </is>
      </c>
      <c r="C2300" t="inlineStr">
        <is>
          <t>Kylie Hybrid Blush (00006713)</t>
        </is>
      </c>
      <c r="D2300" s="1" t="n">
        <v>4064941147084</v>
      </c>
      <c r="E2300" t="inlineStr">
        <is>
          <t>KJ MU HYB BLSH PWDBLU2.5G 356SMRSB 25IV</t>
        </is>
      </c>
      <c r="F2300" t="inlineStr">
        <is>
          <t>P_US_ULTA</t>
        </is>
      </c>
      <c r="G2300" t="inlineStr">
        <is>
          <t>CurrentWorkingView</t>
        </is>
      </c>
      <c r="H2300" t="inlineStr">
        <is>
          <t>EPOS</t>
        </is>
      </c>
      <c r="I2300" t="n">
        <v>571</v>
      </c>
    </row>
    <row r="2301">
      <c r="A2301" t="inlineStr">
        <is>
          <t>Kylie Makeup</t>
        </is>
      </c>
      <c r="B2301" t="inlineStr">
        <is>
          <t>Face (01243)</t>
        </is>
      </c>
      <c r="C2301" t="inlineStr">
        <is>
          <t>Kylie Hybrid Blush (00006713)</t>
        </is>
      </c>
      <c r="D2301" s="1" t="n">
        <v>4064941147084</v>
      </c>
      <c r="E2301" t="inlineStr">
        <is>
          <t>KJ MU HYB BLSH PWDBLU2.5G 356SMRSB 25IV</t>
        </is>
      </c>
      <c r="F2301" t="inlineStr">
        <is>
          <t>P_US_ULTA</t>
        </is>
      </c>
      <c r="G2301" t="inlineStr">
        <is>
          <t>CurrentWorkingView</t>
        </is>
      </c>
      <c r="H2301" t="inlineStr">
        <is>
          <t>Reasonability Adjustment</t>
        </is>
      </c>
      <c r="J2301" t="n">
        <v>456</v>
      </c>
      <c r="T2301" t="n">
        <v>-276</v>
      </c>
    </row>
    <row r="2302">
      <c r="A2302" t="inlineStr">
        <is>
          <t>Kylie Makeup</t>
        </is>
      </c>
      <c r="B2302" t="inlineStr">
        <is>
          <t>Face (01243)</t>
        </is>
      </c>
      <c r="C2302" t="inlineStr">
        <is>
          <t>Kylie Hybrid Blush (00006713)</t>
        </is>
      </c>
      <c r="D2302" s="1" t="n">
        <v>4064941147084</v>
      </c>
      <c r="E2302" t="inlineStr">
        <is>
          <t>KJ MU HYB BLSH PWDBLU2.5G 356SMRSB 25IV</t>
        </is>
      </c>
      <c r="F2302" t="inlineStr">
        <is>
          <t>P_US_ULTA</t>
        </is>
      </c>
      <c r="G2302" t="inlineStr">
        <is>
          <t>CurrentWorkingView</t>
        </is>
      </c>
      <c r="H2302" t="inlineStr">
        <is>
          <t>Total Demand Assumption</t>
        </is>
      </c>
      <c r="I2302" t="n">
        <v>859</v>
      </c>
      <c r="J2302" t="n">
        <v>4297</v>
      </c>
    </row>
    <row r="2303">
      <c r="A2303" t="inlineStr">
        <is>
          <t>Kylie Makeup</t>
        </is>
      </c>
      <c r="B2303" t="inlineStr">
        <is>
          <t>Face (01243)</t>
        </is>
      </c>
      <c r="C2303" t="inlineStr">
        <is>
          <t>Kylie Hybrid Blush (00006713)</t>
        </is>
      </c>
      <c r="D2303" s="1" t="n">
        <v>4064941147084</v>
      </c>
      <c r="E2303" t="inlineStr">
        <is>
          <t>KJ MU HYB BLSH PWDBLU2.5G 356SMRSB 25IV</t>
        </is>
      </c>
      <c r="F2303" t="inlineStr">
        <is>
          <t>P_US_ULTA</t>
        </is>
      </c>
      <c r="G2303" t="inlineStr">
        <is>
          <t>CurrentWorkingView</t>
        </is>
      </c>
      <c r="H2303" t="inlineStr">
        <is>
          <t>Consensus - Final</t>
        </is>
      </c>
      <c r="I2303" t="n">
        <v>648</v>
      </c>
      <c r="J2303" t="n">
        <v>5112</v>
      </c>
      <c r="K2303" t="n">
        <v>3816</v>
      </c>
      <c r="L2303" t="n">
        <v>2590</v>
      </c>
      <c r="M2303" t="n">
        <v>3240</v>
      </c>
      <c r="N2303" t="n">
        <v>2617</v>
      </c>
      <c r="O2303" t="n">
        <v>2817</v>
      </c>
      <c r="P2303" t="n">
        <v>2892</v>
      </c>
      <c r="Q2303" t="n">
        <v>2772</v>
      </c>
      <c r="R2303" t="n">
        <v>2828</v>
      </c>
      <c r="S2303" t="n">
        <v>2830</v>
      </c>
      <c r="T2303" t="n">
        <v>2535</v>
      </c>
    </row>
    <row r="2304">
      <c r="A2304" t="inlineStr">
        <is>
          <t>Kylie Makeup</t>
        </is>
      </c>
      <c r="B2304" t="inlineStr">
        <is>
          <t>Face (01243)</t>
        </is>
      </c>
      <c r="C2304" t="inlineStr">
        <is>
          <t>Kylie Hybrid Blush (00006713)</t>
        </is>
      </c>
      <c r="D2304" s="1" t="n">
        <v>4064941147084</v>
      </c>
      <c r="E2304" t="inlineStr">
        <is>
          <t>KJ MU HYB BLSH PWDBLU2.5G 356SMRSB 25IV</t>
        </is>
      </c>
      <c r="F2304" t="inlineStr">
        <is>
          <t>P_US_ULTA</t>
        </is>
      </c>
      <c r="G2304" t="inlineStr">
        <is>
          <t>CurrentWorkingView</t>
        </is>
      </c>
      <c r="H2304" t="inlineStr">
        <is>
          <t>Supply Cuts</t>
        </is>
      </c>
    </row>
    <row r="2305">
      <c r="A2305" t="inlineStr">
        <is>
          <t>Kylie Makeup</t>
        </is>
      </c>
      <c r="B2305" t="inlineStr">
        <is>
          <t>Face (01243)</t>
        </is>
      </c>
      <c r="C2305" t="inlineStr">
        <is>
          <t>Kylie Hybrid Blush (00006713)</t>
        </is>
      </c>
      <c r="D2305" s="1" t="n">
        <v>4064941147084</v>
      </c>
      <c r="E2305" t="inlineStr">
        <is>
          <t>KJ MU HYB BLSH PWDBLU2.5G 356SMRSB 25IV</t>
        </is>
      </c>
      <c r="F2305" t="inlineStr">
        <is>
          <t>P_US_ULTA</t>
        </is>
      </c>
      <c r="G2305" t="inlineStr">
        <is>
          <t>Month-2026.M09.W38</t>
        </is>
      </c>
      <c r="H2305" t="inlineStr">
        <is>
          <t>Consensus - Final LY M</t>
        </is>
      </c>
      <c r="I2305" t="n">
        <v>144</v>
      </c>
      <c r="J2305" t="n">
        <v>360</v>
      </c>
      <c r="K2305" t="n">
        <v>936</v>
      </c>
      <c r="L2305" t="n">
        <v>216</v>
      </c>
      <c r="M2305" t="n">
        <v>864</v>
      </c>
      <c r="N2305" t="n">
        <v>216</v>
      </c>
      <c r="O2305" t="n">
        <v>576</v>
      </c>
      <c r="P2305" t="n">
        <v>1368</v>
      </c>
      <c r="Q2305" t="n">
        <v>5826</v>
      </c>
      <c r="R2305" t="n">
        <v>1840</v>
      </c>
      <c r="S2305" t="n">
        <v>576</v>
      </c>
      <c r="T2305" t="n">
        <v>288</v>
      </c>
    </row>
    <row r="2306">
      <c r="A2306" t="inlineStr">
        <is>
          <t>Kylie Makeup</t>
        </is>
      </c>
      <c r="B2306" t="inlineStr">
        <is>
          <t>Face (01243)</t>
        </is>
      </c>
      <c r="C2306" t="inlineStr">
        <is>
          <t>Kylie Hybrid Blush (00006713)</t>
        </is>
      </c>
      <c r="D2306" s="1" t="n">
        <v>4064941147084</v>
      </c>
      <c r="E2306" t="inlineStr">
        <is>
          <t>KJ MU HYB BLSH PWDBLU2.5G 356SMRSB 25IV</t>
        </is>
      </c>
      <c r="F2306" t="inlineStr">
        <is>
          <t>P_US_ULTA</t>
        </is>
      </c>
      <c r="G2306" t="inlineStr">
        <is>
          <t>Month-2026.M09.W38</t>
        </is>
      </c>
      <c r="H2306" t="inlineStr">
        <is>
          <t>System FC - Final</t>
        </is>
      </c>
      <c r="I2306" t="n">
        <v>648</v>
      </c>
      <c r="J2306" t="n">
        <v>5112</v>
      </c>
      <c r="K2306" t="n">
        <v>2648</v>
      </c>
      <c r="L2306" t="n">
        <v>544</v>
      </c>
      <c r="M2306" t="n">
        <v>510</v>
      </c>
      <c r="N2306" t="n">
        <v>510</v>
      </c>
      <c r="O2306" t="n">
        <v>522</v>
      </c>
      <c r="P2306" t="n">
        <v>512</v>
      </c>
      <c r="Q2306" t="n">
        <v>514</v>
      </c>
      <c r="R2306" t="n">
        <v>518</v>
      </c>
      <c r="S2306" t="n">
        <v>514</v>
      </c>
      <c r="T2306" t="n">
        <v>515</v>
      </c>
    </row>
    <row r="2307">
      <c r="A2307" t="inlineStr">
        <is>
          <t>Kylie Makeup</t>
        </is>
      </c>
      <c r="B2307" t="inlineStr">
        <is>
          <t>Face (01243)</t>
        </is>
      </c>
      <c r="C2307" t="inlineStr">
        <is>
          <t>Kylie Hybrid Blush (00006713)</t>
        </is>
      </c>
      <c r="D2307" s="1" t="n">
        <v>4064941147084</v>
      </c>
      <c r="E2307" t="inlineStr">
        <is>
          <t>KJ MU HYB BLSH PWDBLU2.5G 356SMRSB 25IV</t>
        </is>
      </c>
      <c r="F2307" t="inlineStr">
        <is>
          <t>P_US_ULTA</t>
        </is>
      </c>
      <c r="G2307" t="inlineStr">
        <is>
          <t>Month-2026.M09.W38</t>
        </is>
      </c>
      <c r="H2307" t="inlineStr">
        <is>
          <t>EPOS</t>
        </is>
      </c>
      <c r="I2307" t="n">
        <v>571</v>
      </c>
    </row>
    <row r="2308">
      <c r="A2308" t="inlineStr">
        <is>
          <t>Kylie Makeup</t>
        </is>
      </c>
      <c r="B2308" t="inlineStr">
        <is>
          <t>Face (01243)</t>
        </is>
      </c>
      <c r="C2308" t="inlineStr">
        <is>
          <t>Kylie Hybrid Blush (00006713)</t>
        </is>
      </c>
      <c r="D2308" s="1" t="n">
        <v>4064941147084</v>
      </c>
      <c r="E2308" t="inlineStr">
        <is>
          <t>KJ MU HYB BLSH PWDBLU2.5G 356SMRSB 25IV</t>
        </is>
      </c>
      <c r="F2308" t="inlineStr">
        <is>
          <t>P_US_ULTA</t>
        </is>
      </c>
      <c r="G2308" t="inlineStr">
        <is>
          <t>Month-2026.M09.W38</t>
        </is>
      </c>
      <c r="H2308" t="inlineStr">
        <is>
          <t>Reasonability Adjustment</t>
        </is>
      </c>
      <c r="J2308" t="n">
        <v>456</v>
      </c>
      <c r="T2308" t="n">
        <v>-276</v>
      </c>
    </row>
    <row r="2309">
      <c r="A2309" t="inlineStr">
        <is>
          <t>Kylie Makeup</t>
        </is>
      </c>
      <c r="B2309" t="inlineStr">
        <is>
          <t>Face (01243)</t>
        </is>
      </c>
      <c r="C2309" t="inlineStr">
        <is>
          <t>Kylie Hybrid Blush (00006713)</t>
        </is>
      </c>
      <c r="D2309" s="1" t="n">
        <v>4064941147084</v>
      </c>
      <c r="E2309" t="inlineStr">
        <is>
          <t>KJ MU HYB BLSH PWDBLU2.5G 356SMRSB 25IV</t>
        </is>
      </c>
      <c r="F2309" t="inlineStr">
        <is>
          <t>P_US_ULTA</t>
        </is>
      </c>
      <c r="G2309" t="inlineStr">
        <is>
          <t>Month-2026.M09.W38</t>
        </is>
      </c>
      <c r="H2309" t="inlineStr">
        <is>
          <t>Total Demand Assumption</t>
        </is>
      </c>
      <c r="I2309" t="n">
        <v>859</v>
      </c>
      <c r="J2309" t="n">
        <v>4297</v>
      </c>
    </row>
    <row r="2310">
      <c r="A2310" t="inlineStr">
        <is>
          <t>Kylie Makeup</t>
        </is>
      </c>
      <c r="B2310" t="inlineStr">
        <is>
          <t>Face (01243)</t>
        </is>
      </c>
      <c r="C2310" t="inlineStr">
        <is>
          <t>Kylie Hybrid Blush (00006713)</t>
        </is>
      </c>
      <c r="D2310" s="1" t="n">
        <v>4064941147084</v>
      </c>
      <c r="E2310" t="inlineStr">
        <is>
          <t>KJ MU HYB BLSH PWDBLU2.5G 356SMRSB 25IV</t>
        </is>
      </c>
      <c r="F2310" t="inlineStr">
        <is>
          <t>P_US_ULTA</t>
        </is>
      </c>
      <c r="G2310" t="inlineStr">
        <is>
          <t>Month-2026.M09.W38</t>
        </is>
      </c>
      <c r="H2310" t="inlineStr">
        <is>
          <t>Consensus - Final</t>
        </is>
      </c>
      <c r="I2310" t="n">
        <v>648</v>
      </c>
      <c r="J2310" t="n">
        <v>5112</v>
      </c>
      <c r="K2310" t="n">
        <v>2376</v>
      </c>
      <c r="L2310" t="n">
        <v>544</v>
      </c>
      <c r="M2310" t="n">
        <v>510</v>
      </c>
      <c r="N2310" t="n">
        <v>510</v>
      </c>
      <c r="O2310" t="n">
        <v>522</v>
      </c>
      <c r="P2310" t="n">
        <v>512</v>
      </c>
      <c r="Q2310" t="n">
        <v>514</v>
      </c>
      <c r="R2310" t="n">
        <v>518</v>
      </c>
      <c r="S2310" t="n">
        <v>514</v>
      </c>
      <c r="T2310" t="n">
        <v>239</v>
      </c>
    </row>
    <row r="2311">
      <c r="A2311" t="inlineStr">
        <is>
          <t>Kylie Makeup</t>
        </is>
      </c>
      <c r="B2311" t="inlineStr">
        <is>
          <t>Face (01243)</t>
        </is>
      </c>
      <c r="C2311" t="inlineStr">
        <is>
          <t>Kylie Hybrid Blush (00006713)</t>
        </is>
      </c>
      <c r="D2311" s="1" t="n">
        <v>4064941147084</v>
      </c>
      <c r="E2311" t="inlineStr">
        <is>
          <t>KJ MU HYB BLSH PWDBLU2.5G 356SMRSB 25IV</t>
        </is>
      </c>
      <c r="F2311" t="inlineStr">
        <is>
          <t>P_US_ULTA</t>
        </is>
      </c>
      <c r="G2311" t="inlineStr">
        <is>
          <t>Month-2026.M09.W38</t>
        </is>
      </c>
      <c r="H2311" t="inlineStr">
        <is>
          <t>Supply Cuts</t>
        </is>
      </c>
    </row>
    <row r="2312">
      <c r="A2312" t="inlineStr">
        <is>
          <t>Kylie Makeup</t>
        </is>
      </c>
      <c r="B2312" t="inlineStr">
        <is>
          <t>Face (01243)</t>
        </is>
      </c>
      <c r="C2312" t="inlineStr">
        <is>
          <t>Kylie Hybrid Blush (00006713)</t>
        </is>
      </c>
      <c r="D2312" s="1" t="n">
        <v>4064941147091</v>
      </c>
      <c r="E2312" t="inlineStr">
        <is>
          <t>KJ MU HYB BLSH PWDBLU2.5G 354PNKPL 25IV</t>
        </is>
      </c>
      <c r="F2312" t="inlineStr">
        <is>
          <t>P_US_ALL_OTHERS</t>
        </is>
      </c>
      <c r="G2312" t="inlineStr">
        <is>
          <t>CurrentWorkingView</t>
        </is>
      </c>
      <c r="H2312" t="inlineStr">
        <is>
          <t>Consensus - Final LY M</t>
        </is>
      </c>
      <c r="I2312" t="n">
        <v>1247</v>
      </c>
      <c r="J2312" t="n">
        <v>84</v>
      </c>
      <c r="K2312" t="n">
        <v>29</v>
      </c>
      <c r="L2312" t="n">
        <v>20</v>
      </c>
      <c r="M2312" t="n">
        <v>266</v>
      </c>
      <c r="N2312" t="n">
        <v>79</v>
      </c>
      <c r="O2312" t="n">
        <v>47</v>
      </c>
      <c r="P2312" t="n">
        <v>145</v>
      </c>
      <c r="Q2312" t="n">
        <v>50</v>
      </c>
      <c r="R2312" t="n">
        <v>55</v>
      </c>
      <c r="S2312" t="n">
        <v>51</v>
      </c>
      <c r="T2312" t="n">
        <v>30</v>
      </c>
    </row>
    <row r="2313">
      <c r="A2313" t="inlineStr">
        <is>
          <t>Kylie Makeup</t>
        </is>
      </c>
      <c r="B2313" t="inlineStr">
        <is>
          <t>Face (01243)</t>
        </is>
      </c>
      <c r="C2313" t="inlineStr">
        <is>
          <t>Kylie Hybrid Blush (00006713)</t>
        </is>
      </c>
      <c r="D2313" s="1" t="n">
        <v>4064941147091</v>
      </c>
      <c r="E2313" t="inlineStr">
        <is>
          <t>KJ MU HYB BLSH PWDBLU2.5G 354PNKPL 25IV</t>
        </is>
      </c>
      <c r="F2313" t="inlineStr">
        <is>
          <t>P_US_ALL_OTHERS</t>
        </is>
      </c>
      <c r="G2313" t="inlineStr">
        <is>
          <t>CurrentWorkingView</t>
        </is>
      </c>
      <c r="H2313" t="inlineStr">
        <is>
          <t>System FC - Final</t>
        </is>
      </c>
      <c r="I2313" t="n">
        <v>49</v>
      </c>
      <c r="J2313" t="n">
        <v>114</v>
      </c>
      <c r="K2313" t="n">
        <v>57</v>
      </c>
      <c r="L2313" t="n">
        <v>76</v>
      </c>
      <c r="M2313" t="n">
        <v>85</v>
      </c>
      <c r="N2313" t="n">
        <v>76</v>
      </c>
      <c r="O2313" t="n">
        <v>80</v>
      </c>
      <c r="P2313" t="n">
        <v>80</v>
      </c>
      <c r="Q2313" t="n">
        <v>80</v>
      </c>
      <c r="R2313" t="n">
        <v>77</v>
      </c>
      <c r="S2313" t="n">
        <v>80</v>
      </c>
      <c r="T2313" t="n">
        <v>78</v>
      </c>
    </row>
    <row r="2314">
      <c r="A2314" t="inlineStr">
        <is>
          <t>Kylie Makeup</t>
        </is>
      </c>
      <c r="B2314" t="inlineStr">
        <is>
          <t>Face (01243)</t>
        </is>
      </c>
      <c r="C2314" t="inlineStr">
        <is>
          <t>Kylie Hybrid Blush (00006713)</t>
        </is>
      </c>
      <c r="D2314" s="1" t="n">
        <v>4064941147091</v>
      </c>
      <c r="E2314" t="inlineStr">
        <is>
          <t>KJ MU HYB BLSH PWDBLU2.5G 354PNKPL 25IV</t>
        </is>
      </c>
      <c r="F2314" t="inlineStr">
        <is>
          <t>P_US_ALL_OTHERS</t>
        </is>
      </c>
      <c r="G2314" t="inlineStr">
        <is>
          <t>CurrentWorkingView</t>
        </is>
      </c>
      <c r="H2314" t="inlineStr">
        <is>
          <t>EPOS</t>
        </is>
      </c>
      <c r="I2314" t="n">
        <v>57</v>
      </c>
    </row>
    <row r="2315">
      <c r="A2315" t="inlineStr">
        <is>
          <t>Kylie Makeup</t>
        </is>
      </c>
      <c r="B2315" t="inlineStr">
        <is>
          <t>Face (01243)</t>
        </is>
      </c>
      <c r="C2315" t="inlineStr">
        <is>
          <t>Kylie Hybrid Blush (00006713)</t>
        </is>
      </c>
      <c r="D2315" s="1" t="n">
        <v>4064941147091</v>
      </c>
      <c r="E2315" t="inlineStr">
        <is>
          <t>KJ MU HYB BLSH PWDBLU2.5G 354PNKPL 25IV</t>
        </is>
      </c>
      <c r="F2315" t="inlineStr">
        <is>
          <t>P_US_ALL_OTHERS</t>
        </is>
      </c>
      <c r="G2315" t="inlineStr">
        <is>
          <t>CurrentWorkingView</t>
        </is>
      </c>
      <c r="H2315" t="inlineStr">
        <is>
          <t>Reasonability Adjustment</t>
        </is>
      </c>
      <c r="J2315" t="n">
        <v>13</v>
      </c>
      <c r="L2315" t="n">
        <v>-5</v>
      </c>
      <c r="M2315" t="n">
        <v>-5</v>
      </c>
      <c r="N2315" t="n">
        <v>-6</v>
      </c>
      <c r="T2315" t="n">
        <v>-7</v>
      </c>
    </row>
    <row r="2316">
      <c r="A2316" t="inlineStr">
        <is>
          <t>Kylie Makeup</t>
        </is>
      </c>
      <c r="B2316" t="inlineStr">
        <is>
          <t>Face (01243)</t>
        </is>
      </c>
      <c r="C2316" t="inlineStr">
        <is>
          <t>Kylie Hybrid Blush (00006713)</t>
        </is>
      </c>
      <c r="D2316" s="1" t="n">
        <v>4064941147091</v>
      </c>
      <c r="E2316" t="inlineStr">
        <is>
          <t>KJ MU HYB BLSH PWDBLU2.5G 354PNKPL 25IV</t>
        </is>
      </c>
      <c r="F2316" t="inlineStr">
        <is>
          <t>P_US_ALL_OTHERS</t>
        </is>
      </c>
      <c r="G2316" t="inlineStr">
        <is>
          <t>CurrentWorkingView</t>
        </is>
      </c>
      <c r="H2316" t="inlineStr">
        <is>
          <t>Total Demand Assumption</t>
        </is>
      </c>
    </row>
    <row r="2317">
      <c r="A2317" t="inlineStr">
        <is>
          <t>Kylie Makeup</t>
        </is>
      </c>
      <c r="B2317" t="inlineStr">
        <is>
          <t>Face (01243)</t>
        </is>
      </c>
      <c r="C2317" t="inlineStr">
        <is>
          <t>Kylie Hybrid Blush (00006713)</t>
        </is>
      </c>
      <c r="D2317" s="1" t="n">
        <v>4064941147091</v>
      </c>
      <c r="E2317" t="inlineStr">
        <is>
          <t>KJ MU HYB BLSH PWDBLU2.5G 354PNKPL 25IV</t>
        </is>
      </c>
      <c r="F2317" t="inlineStr">
        <is>
          <t>P_US_ALL_OTHERS</t>
        </is>
      </c>
      <c r="G2317" t="inlineStr">
        <is>
          <t>CurrentWorkingView</t>
        </is>
      </c>
      <c r="H2317" t="inlineStr">
        <is>
          <t>Consensus - Final</t>
        </is>
      </c>
      <c r="I2317" t="n">
        <v>49</v>
      </c>
      <c r="J2317" t="n">
        <v>114</v>
      </c>
      <c r="K2317" t="n">
        <v>375.5</v>
      </c>
      <c r="L2317" t="n">
        <v>71</v>
      </c>
      <c r="M2317" t="n">
        <v>80</v>
      </c>
      <c r="N2317" t="n">
        <v>70</v>
      </c>
      <c r="O2317" t="n">
        <v>80</v>
      </c>
      <c r="P2317" t="n">
        <v>80</v>
      </c>
      <c r="Q2317" t="n">
        <v>80</v>
      </c>
      <c r="R2317" t="n">
        <v>77</v>
      </c>
      <c r="S2317" t="n">
        <v>80</v>
      </c>
      <c r="T2317" t="n">
        <v>71</v>
      </c>
    </row>
    <row r="2318">
      <c r="A2318" t="inlineStr">
        <is>
          <t>Kylie Makeup</t>
        </is>
      </c>
      <c r="B2318" t="inlineStr">
        <is>
          <t>Face (01243)</t>
        </is>
      </c>
      <c r="C2318" t="inlineStr">
        <is>
          <t>Kylie Hybrid Blush (00006713)</t>
        </is>
      </c>
      <c r="D2318" s="1" t="n">
        <v>4064941147091</v>
      </c>
      <c r="E2318" t="inlineStr">
        <is>
          <t>KJ MU HYB BLSH PWDBLU2.5G 354PNKPL 25IV</t>
        </is>
      </c>
      <c r="F2318" t="inlineStr">
        <is>
          <t>P_US_ALL_OTHERS</t>
        </is>
      </c>
      <c r="G2318" t="inlineStr">
        <is>
          <t>CurrentWorkingView</t>
        </is>
      </c>
      <c r="H2318" t="inlineStr">
        <is>
          <t>Supply Cuts</t>
        </is>
      </c>
    </row>
    <row r="2319">
      <c r="A2319" t="inlineStr">
        <is>
          <t>Kylie Makeup</t>
        </is>
      </c>
      <c r="B2319" t="inlineStr">
        <is>
          <t>Face (01243)</t>
        </is>
      </c>
      <c r="C2319" t="inlineStr">
        <is>
          <t>Kylie Hybrid Blush (00006713)</t>
        </is>
      </c>
      <c r="D2319" s="1" t="n">
        <v>4064941147091</v>
      </c>
      <c r="E2319" t="inlineStr">
        <is>
          <t>KJ MU HYB BLSH PWDBLU2.5G 354PNKPL 25IV</t>
        </is>
      </c>
      <c r="F2319" t="inlineStr">
        <is>
          <t>P_US_ALL_OTHERS</t>
        </is>
      </c>
      <c r="G2319" t="inlineStr">
        <is>
          <t>Month-2026.M09.W38</t>
        </is>
      </c>
      <c r="H2319" t="inlineStr">
        <is>
          <t>Consensus - Final LY M</t>
        </is>
      </c>
      <c r="I2319" t="n">
        <v>1247</v>
      </c>
      <c r="J2319" t="n">
        <v>84</v>
      </c>
      <c r="K2319" t="n">
        <v>29</v>
      </c>
      <c r="L2319" t="n">
        <v>20</v>
      </c>
      <c r="M2319" t="n">
        <v>266</v>
      </c>
      <c r="N2319" t="n">
        <v>79</v>
      </c>
      <c r="O2319" t="n">
        <v>47</v>
      </c>
      <c r="P2319" t="n">
        <v>145</v>
      </c>
      <c r="Q2319" t="n">
        <v>50</v>
      </c>
      <c r="R2319" t="n">
        <v>55</v>
      </c>
      <c r="S2319" t="n">
        <v>51</v>
      </c>
      <c r="T2319" t="n">
        <v>30</v>
      </c>
    </row>
    <row r="2320">
      <c r="A2320" t="inlineStr">
        <is>
          <t>Kylie Makeup</t>
        </is>
      </c>
      <c r="B2320" t="inlineStr">
        <is>
          <t>Face (01243)</t>
        </is>
      </c>
      <c r="C2320" t="inlineStr">
        <is>
          <t>Kylie Hybrid Blush (00006713)</t>
        </is>
      </c>
      <c r="D2320" s="1" t="n">
        <v>4064941147091</v>
      </c>
      <c r="E2320" t="inlineStr">
        <is>
          <t>KJ MU HYB BLSH PWDBLU2.5G 354PNKPL 25IV</t>
        </is>
      </c>
      <c r="F2320" t="inlineStr">
        <is>
          <t>P_US_ALL_OTHERS</t>
        </is>
      </c>
      <c r="G2320" t="inlineStr">
        <is>
          <t>Month-2026.M09.W38</t>
        </is>
      </c>
      <c r="H2320" t="inlineStr">
        <is>
          <t>System FC - Final</t>
        </is>
      </c>
      <c r="I2320" t="n">
        <v>49</v>
      </c>
      <c r="J2320" t="n">
        <v>114</v>
      </c>
      <c r="K2320" t="n">
        <v>64</v>
      </c>
      <c r="L2320" t="n">
        <v>45</v>
      </c>
      <c r="M2320" t="n">
        <v>42</v>
      </c>
      <c r="N2320" t="n">
        <v>44</v>
      </c>
      <c r="O2320" t="n">
        <v>44</v>
      </c>
      <c r="P2320" t="n">
        <v>44</v>
      </c>
      <c r="Q2320" t="n">
        <v>44</v>
      </c>
      <c r="R2320" t="n">
        <v>43</v>
      </c>
      <c r="S2320" t="n">
        <v>44</v>
      </c>
      <c r="T2320" t="n">
        <v>52</v>
      </c>
    </row>
    <row r="2321">
      <c r="A2321" t="inlineStr">
        <is>
          <t>Kylie Makeup</t>
        </is>
      </c>
      <c r="B2321" t="inlineStr">
        <is>
          <t>Face (01243)</t>
        </is>
      </c>
      <c r="C2321" t="inlineStr">
        <is>
          <t>Kylie Hybrid Blush (00006713)</t>
        </is>
      </c>
      <c r="D2321" s="1" t="n">
        <v>4064941147091</v>
      </c>
      <c r="E2321" t="inlineStr">
        <is>
          <t>KJ MU HYB BLSH PWDBLU2.5G 354PNKPL 25IV</t>
        </is>
      </c>
      <c r="F2321" t="inlineStr">
        <is>
          <t>P_US_ALL_OTHERS</t>
        </is>
      </c>
      <c r="G2321" t="inlineStr">
        <is>
          <t>Month-2026.M09.W38</t>
        </is>
      </c>
      <c r="H2321" t="inlineStr">
        <is>
          <t>EPOS</t>
        </is>
      </c>
      <c r="I2321" t="n">
        <v>57</v>
      </c>
    </row>
    <row r="2322">
      <c r="A2322" t="inlineStr">
        <is>
          <t>Kylie Makeup</t>
        </is>
      </c>
      <c r="B2322" t="inlineStr">
        <is>
          <t>Face (01243)</t>
        </is>
      </c>
      <c r="C2322" t="inlineStr">
        <is>
          <t>Kylie Hybrid Blush (00006713)</t>
        </is>
      </c>
      <c r="D2322" s="1" t="n">
        <v>4064941147091</v>
      </c>
      <c r="E2322" t="inlineStr">
        <is>
          <t>KJ MU HYB BLSH PWDBLU2.5G 354PNKPL 25IV</t>
        </is>
      </c>
      <c r="F2322" t="inlineStr">
        <is>
          <t>P_US_ALL_OTHERS</t>
        </is>
      </c>
      <c r="G2322" t="inlineStr">
        <is>
          <t>Month-2026.M09.W38</t>
        </is>
      </c>
      <c r="H2322" t="inlineStr">
        <is>
          <t>Reasonability Adjustment</t>
        </is>
      </c>
      <c r="J2322" t="n">
        <v>13</v>
      </c>
      <c r="L2322" t="n">
        <v>-5</v>
      </c>
      <c r="M2322" t="n">
        <v>-5</v>
      </c>
      <c r="N2322" t="n">
        <v>-6</v>
      </c>
      <c r="T2322" t="n">
        <v>-7</v>
      </c>
    </row>
    <row r="2323">
      <c r="A2323" t="inlineStr">
        <is>
          <t>Kylie Makeup</t>
        </is>
      </c>
      <c r="B2323" t="inlineStr">
        <is>
          <t>Face (01243)</t>
        </is>
      </c>
      <c r="C2323" t="inlineStr">
        <is>
          <t>Kylie Hybrid Blush (00006713)</t>
        </is>
      </c>
      <c r="D2323" s="1" t="n">
        <v>4064941147091</v>
      </c>
      <c r="E2323" t="inlineStr">
        <is>
          <t>KJ MU HYB BLSH PWDBLU2.5G 354PNKPL 25IV</t>
        </is>
      </c>
      <c r="F2323" t="inlineStr">
        <is>
          <t>P_US_ALL_OTHERS</t>
        </is>
      </c>
      <c r="G2323" t="inlineStr">
        <is>
          <t>Month-2026.M09.W38</t>
        </is>
      </c>
      <c r="H2323" t="inlineStr">
        <is>
          <t>Total Demand Assumption</t>
        </is>
      </c>
    </row>
    <row r="2324">
      <c r="A2324" t="inlineStr">
        <is>
          <t>Kylie Makeup</t>
        </is>
      </c>
      <c r="B2324" t="inlineStr">
        <is>
          <t>Face (01243)</t>
        </is>
      </c>
      <c r="C2324" t="inlineStr">
        <is>
          <t>Kylie Hybrid Blush (00006713)</t>
        </is>
      </c>
      <c r="D2324" s="1" t="n">
        <v>4064941147091</v>
      </c>
      <c r="E2324" t="inlineStr">
        <is>
          <t>KJ MU HYB BLSH PWDBLU2.5G 354PNKPL 25IV</t>
        </is>
      </c>
      <c r="F2324" t="inlineStr">
        <is>
          <t>P_US_ALL_OTHERS</t>
        </is>
      </c>
      <c r="G2324" t="inlineStr">
        <is>
          <t>Month-2026.M09.W38</t>
        </is>
      </c>
      <c r="H2324" t="inlineStr">
        <is>
          <t>Consensus - Final</t>
        </is>
      </c>
      <c r="I2324" t="n">
        <v>49</v>
      </c>
      <c r="J2324" t="n">
        <v>114</v>
      </c>
      <c r="K2324" t="n">
        <v>375.5</v>
      </c>
      <c r="L2324" t="n">
        <v>40</v>
      </c>
      <c r="M2324" t="n">
        <v>37</v>
      </c>
      <c r="N2324" t="n">
        <v>38</v>
      </c>
      <c r="O2324" t="n">
        <v>44</v>
      </c>
      <c r="P2324" t="n">
        <v>44</v>
      </c>
      <c r="Q2324" t="n">
        <v>44</v>
      </c>
      <c r="R2324" t="n">
        <v>43</v>
      </c>
      <c r="S2324" t="n">
        <v>44</v>
      </c>
      <c r="T2324" t="n">
        <v>45</v>
      </c>
    </row>
    <row r="2325">
      <c r="A2325" t="inlineStr">
        <is>
          <t>Kylie Makeup</t>
        </is>
      </c>
      <c r="B2325" t="inlineStr">
        <is>
          <t>Face (01243)</t>
        </is>
      </c>
      <c r="C2325" t="inlineStr">
        <is>
          <t>Kylie Hybrid Blush (00006713)</t>
        </is>
      </c>
      <c r="D2325" s="1" t="n">
        <v>4064941147091</v>
      </c>
      <c r="E2325" t="inlineStr">
        <is>
          <t>KJ MU HYB BLSH PWDBLU2.5G 354PNKPL 25IV</t>
        </is>
      </c>
      <c r="F2325" t="inlineStr">
        <is>
          <t>P_US_ALL_OTHERS</t>
        </is>
      </c>
      <c r="G2325" t="inlineStr">
        <is>
          <t>Month-2026.M09.W38</t>
        </is>
      </c>
      <c r="H2325" t="inlineStr">
        <is>
          <t>Supply Cuts</t>
        </is>
      </c>
    </row>
    <row r="2326">
      <c r="A2326" t="inlineStr">
        <is>
          <t>Kylie Makeup</t>
        </is>
      </c>
      <c r="B2326" t="inlineStr">
        <is>
          <t>Face (01243)</t>
        </is>
      </c>
      <c r="C2326" t="inlineStr">
        <is>
          <t>Kylie Hybrid Blush (00006713)</t>
        </is>
      </c>
      <c r="D2326" s="1" t="n">
        <v>4064941147091</v>
      </c>
      <c r="E2326" t="inlineStr">
        <is>
          <t>KJ MU HYB BLSH PWDBLU2.5G 354PNKPL 25IV</t>
        </is>
      </c>
      <c r="F2326" t="inlineStr">
        <is>
          <t>P_US_FG</t>
        </is>
      </c>
      <c r="G2326" t="inlineStr">
        <is>
          <t>CurrentWorkingView</t>
        </is>
      </c>
      <c r="H2326" t="inlineStr">
        <is>
          <t>Consensus - Final LY M</t>
        </is>
      </c>
      <c r="I2326" t="n">
        <v>464</v>
      </c>
      <c r="J2326" t="n">
        <v>3</v>
      </c>
      <c r="L2326" t="n">
        <v>32</v>
      </c>
      <c r="O2326" t="n">
        <v>100</v>
      </c>
      <c r="P2326" t="n">
        <v>30</v>
      </c>
      <c r="Q2326" t="n">
        <v>29</v>
      </c>
      <c r="T2326" t="n">
        <v>60</v>
      </c>
    </row>
    <row r="2327">
      <c r="A2327" t="inlineStr">
        <is>
          <t>Kylie Makeup</t>
        </is>
      </c>
      <c r="B2327" t="inlineStr">
        <is>
          <t>Face (01243)</t>
        </is>
      </c>
      <c r="C2327" t="inlineStr">
        <is>
          <t>Kylie Hybrid Blush (00006713)</t>
        </is>
      </c>
      <c r="D2327" s="1" t="n">
        <v>4064941147091</v>
      </c>
      <c r="E2327" t="inlineStr">
        <is>
          <t>KJ MU HYB BLSH PWDBLU2.5G 354PNKPL 25IV</t>
        </is>
      </c>
      <c r="F2327" t="inlineStr">
        <is>
          <t>P_US_FG</t>
        </is>
      </c>
      <c r="G2327" t="inlineStr">
        <is>
          <t>CurrentWorkingView</t>
        </is>
      </c>
      <c r="H2327" t="inlineStr">
        <is>
          <t>System FC - Final</t>
        </is>
      </c>
      <c r="K2327" t="n">
        <v>18</v>
      </c>
      <c r="L2327" t="n">
        <v>35</v>
      </c>
      <c r="M2327" t="n">
        <v>34</v>
      </c>
      <c r="N2327" t="n">
        <v>35</v>
      </c>
      <c r="O2327" t="n">
        <v>35</v>
      </c>
      <c r="P2327" t="n">
        <v>36</v>
      </c>
      <c r="Q2327" t="n">
        <v>35</v>
      </c>
      <c r="R2327" t="n">
        <v>35</v>
      </c>
      <c r="S2327" t="n">
        <v>35</v>
      </c>
      <c r="T2327" t="n">
        <v>34</v>
      </c>
    </row>
    <row r="2328">
      <c r="A2328" t="inlineStr">
        <is>
          <t>Kylie Makeup</t>
        </is>
      </c>
      <c r="B2328" t="inlineStr">
        <is>
          <t>Face (01243)</t>
        </is>
      </c>
      <c r="C2328" t="inlineStr">
        <is>
          <t>Kylie Hybrid Blush (00006713)</t>
        </is>
      </c>
      <c r="D2328" s="1" t="n">
        <v>4064941147091</v>
      </c>
      <c r="E2328" t="inlineStr">
        <is>
          <t>KJ MU HYB BLSH PWDBLU2.5G 354PNKPL 25IV</t>
        </is>
      </c>
      <c r="F2328" t="inlineStr">
        <is>
          <t>P_US_FG</t>
        </is>
      </c>
      <c r="G2328" t="inlineStr">
        <is>
          <t>CurrentWorkingView</t>
        </is>
      </c>
      <c r="H2328" t="inlineStr">
        <is>
          <t>EPOS</t>
        </is>
      </c>
    </row>
    <row r="2329">
      <c r="A2329" t="inlineStr">
        <is>
          <t>Kylie Makeup</t>
        </is>
      </c>
      <c r="B2329" t="inlineStr">
        <is>
          <t>Face (01243)</t>
        </is>
      </c>
      <c r="C2329" t="inlineStr">
        <is>
          <t>Kylie Hybrid Blush (00006713)</t>
        </is>
      </c>
      <c r="D2329" s="1" t="n">
        <v>4064941147091</v>
      </c>
      <c r="E2329" t="inlineStr">
        <is>
          <t>KJ MU HYB BLSH PWDBLU2.5G 354PNKPL 25IV</t>
        </is>
      </c>
      <c r="F2329" t="inlineStr">
        <is>
          <t>P_US_FG</t>
        </is>
      </c>
      <c r="G2329" t="inlineStr">
        <is>
          <t>CurrentWorkingView</t>
        </is>
      </c>
      <c r="H2329" t="inlineStr">
        <is>
          <t>Reasonability Adjustment</t>
        </is>
      </c>
    </row>
    <row r="2330">
      <c r="A2330" t="inlineStr">
        <is>
          <t>Kylie Makeup</t>
        </is>
      </c>
      <c r="B2330" t="inlineStr">
        <is>
          <t>Face (01243)</t>
        </is>
      </c>
      <c r="C2330" t="inlineStr">
        <is>
          <t>Kylie Hybrid Blush (00006713)</t>
        </is>
      </c>
      <c r="D2330" s="1" t="n">
        <v>4064941147091</v>
      </c>
      <c r="E2330" t="inlineStr">
        <is>
          <t>KJ MU HYB BLSH PWDBLU2.5G 354PNKPL 25IV</t>
        </is>
      </c>
      <c r="F2330" t="inlineStr">
        <is>
          <t>P_US_FG</t>
        </is>
      </c>
      <c r="G2330" t="inlineStr">
        <is>
          <t>CurrentWorkingView</t>
        </is>
      </c>
      <c r="H2330" t="inlineStr">
        <is>
          <t>Total Demand Assumption</t>
        </is>
      </c>
    </row>
    <row r="2331">
      <c r="A2331" t="inlineStr">
        <is>
          <t>Kylie Makeup</t>
        </is>
      </c>
      <c r="B2331" t="inlineStr">
        <is>
          <t>Face (01243)</t>
        </is>
      </c>
      <c r="C2331" t="inlineStr">
        <is>
          <t>Kylie Hybrid Blush (00006713)</t>
        </is>
      </c>
      <c r="D2331" s="1" t="n">
        <v>4064941147091</v>
      </c>
      <c r="E2331" t="inlineStr">
        <is>
          <t>KJ MU HYB BLSH PWDBLU2.5G 354PNKPL 25IV</t>
        </is>
      </c>
      <c r="F2331" t="inlineStr">
        <is>
          <t>P_US_FG</t>
        </is>
      </c>
      <c r="G2331" t="inlineStr">
        <is>
          <t>CurrentWorkingView</t>
        </is>
      </c>
      <c r="H2331" t="inlineStr">
        <is>
          <t>Consensus - Final</t>
        </is>
      </c>
      <c r="K2331" t="n">
        <v>0</v>
      </c>
    </row>
    <row r="2332">
      <c r="A2332" t="inlineStr">
        <is>
          <t>Kylie Makeup</t>
        </is>
      </c>
      <c r="B2332" t="inlineStr">
        <is>
          <t>Face (01243)</t>
        </is>
      </c>
      <c r="C2332" t="inlineStr">
        <is>
          <t>Kylie Hybrid Blush (00006713)</t>
        </is>
      </c>
      <c r="D2332" s="1" t="n">
        <v>4064941147091</v>
      </c>
      <c r="E2332" t="inlineStr">
        <is>
          <t>KJ MU HYB BLSH PWDBLU2.5G 354PNKPL 25IV</t>
        </is>
      </c>
      <c r="F2332" t="inlineStr">
        <is>
          <t>P_US_FG</t>
        </is>
      </c>
      <c r="G2332" t="inlineStr">
        <is>
          <t>CurrentWorkingView</t>
        </is>
      </c>
      <c r="H2332" t="inlineStr">
        <is>
          <t>Supply Cuts</t>
        </is>
      </c>
    </row>
    <row r="2333">
      <c r="A2333" t="inlineStr">
        <is>
          <t>Kylie Makeup</t>
        </is>
      </c>
      <c r="B2333" t="inlineStr">
        <is>
          <t>Face (01243)</t>
        </is>
      </c>
      <c r="C2333" t="inlineStr">
        <is>
          <t>Kylie Hybrid Blush (00006713)</t>
        </is>
      </c>
      <c r="D2333" s="1" t="n">
        <v>4064941147091</v>
      </c>
      <c r="E2333" t="inlineStr">
        <is>
          <t>KJ MU HYB BLSH PWDBLU2.5G 354PNKPL 25IV</t>
        </is>
      </c>
      <c r="F2333" t="inlineStr">
        <is>
          <t>P_US_FG</t>
        </is>
      </c>
      <c r="G2333" t="inlineStr">
        <is>
          <t>Month-2026.M09.W38</t>
        </is>
      </c>
      <c r="H2333" t="inlineStr">
        <is>
          <t>Consensus - Final LY M</t>
        </is>
      </c>
      <c r="I2333" t="n">
        <v>464</v>
      </c>
      <c r="J2333" t="n">
        <v>3</v>
      </c>
      <c r="L2333" t="n">
        <v>32</v>
      </c>
      <c r="O2333" t="n">
        <v>100</v>
      </c>
      <c r="P2333" t="n">
        <v>30</v>
      </c>
      <c r="Q2333" t="n">
        <v>29</v>
      </c>
      <c r="T2333" t="n">
        <v>60</v>
      </c>
    </row>
    <row r="2334">
      <c r="A2334" t="inlineStr">
        <is>
          <t>Kylie Makeup</t>
        </is>
      </c>
      <c r="B2334" t="inlineStr">
        <is>
          <t>Face (01243)</t>
        </is>
      </c>
      <c r="C2334" t="inlineStr">
        <is>
          <t>Kylie Hybrid Blush (00006713)</t>
        </is>
      </c>
      <c r="D2334" s="1" t="n">
        <v>4064941147091</v>
      </c>
      <c r="E2334" t="inlineStr">
        <is>
          <t>KJ MU HYB BLSH PWDBLU2.5G 354PNKPL 25IV</t>
        </is>
      </c>
      <c r="F2334" t="inlineStr">
        <is>
          <t>P_US_FG</t>
        </is>
      </c>
      <c r="G2334" t="inlineStr">
        <is>
          <t>Month-2026.M09.W38</t>
        </is>
      </c>
      <c r="H2334" t="inlineStr">
        <is>
          <t>System FC - Final</t>
        </is>
      </c>
      <c r="K2334" t="n">
        <v>27</v>
      </c>
      <c r="L2334" t="n">
        <v>35</v>
      </c>
      <c r="M2334" t="n">
        <v>38</v>
      </c>
      <c r="N2334" t="n">
        <v>36</v>
      </c>
      <c r="O2334" t="n">
        <v>36</v>
      </c>
      <c r="P2334" t="n">
        <v>36</v>
      </c>
      <c r="Q2334" t="n">
        <v>36</v>
      </c>
      <c r="R2334" t="n">
        <v>38</v>
      </c>
      <c r="S2334" t="n">
        <v>35</v>
      </c>
      <c r="T2334" t="n">
        <v>21</v>
      </c>
    </row>
    <row r="2335">
      <c r="A2335" t="inlineStr">
        <is>
          <t>Kylie Makeup</t>
        </is>
      </c>
      <c r="B2335" t="inlineStr">
        <is>
          <t>Face (01243)</t>
        </is>
      </c>
      <c r="C2335" t="inlineStr">
        <is>
          <t>Kylie Hybrid Blush (00006713)</t>
        </is>
      </c>
      <c r="D2335" s="1" t="n">
        <v>4064941147091</v>
      </c>
      <c r="E2335" t="inlineStr">
        <is>
          <t>KJ MU HYB BLSH PWDBLU2.5G 354PNKPL 25IV</t>
        </is>
      </c>
      <c r="F2335" t="inlineStr">
        <is>
          <t>P_US_FG</t>
        </is>
      </c>
      <c r="G2335" t="inlineStr">
        <is>
          <t>Month-2026.M09.W38</t>
        </is>
      </c>
      <c r="H2335" t="inlineStr">
        <is>
          <t>EPOS</t>
        </is>
      </c>
    </row>
    <row r="2336">
      <c r="A2336" t="inlineStr">
        <is>
          <t>Kylie Makeup</t>
        </is>
      </c>
      <c r="B2336" t="inlineStr">
        <is>
          <t>Face (01243)</t>
        </is>
      </c>
      <c r="C2336" t="inlineStr">
        <is>
          <t>Kylie Hybrid Blush (00006713)</t>
        </is>
      </c>
      <c r="D2336" s="1" t="n">
        <v>4064941147091</v>
      </c>
      <c r="E2336" t="inlineStr">
        <is>
          <t>KJ MU HYB BLSH PWDBLU2.5G 354PNKPL 25IV</t>
        </is>
      </c>
      <c r="F2336" t="inlineStr">
        <is>
          <t>P_US_FG</t>
        </is>
      </c>
      <c r="G2336" t="inlineStr">
        <is>
          <t>Month-2026.M09.W38</t>
        </is>
      </c>
      <c r="H2336" t="inlineStr">
        <is>
          <t>Reasonability Adjustment</t>
        </is>
      </c>
    </row>
    <row r="2337">
      <c r="A2337" t="inlineStr">
        <is>
          <t>Kylie Makeup</t>
        </is>
      </c>
      <c r="B2337" t="inlineStr">
        <is>
          <t>Face (01243)</t>
        </is>
      </c>
      <c r="C2337" t="inlineStr">
        <is>
          <t>Kylie Hybrid Blush (00006713)</t>
        </is>
      </c>
      <c r="D2337" s="1" t="n">
        <v>4064941147091</v>
      </c>
      <c r="E2337" t="inlineStr">
        <is>
          <t>KJ MU HYB BLSH PWDBLU2.5G 354PNKPL 25IV</t>
        </is>
      </c>
      <c r="F2337" t="inlineStr">
        <is>
          <t>P_US_FG</t>
        </is>
      </c>
      <c r="G2337" t="inlineStr">
        <is>
          <t>Month-2026.M09.W38</t>
        </is>
      </c>
      <c r="H2337" t="inlineStr">
        <is>
          <t>Total Demand Assumption</t>
        </is>
      </c>
    </row>
    <row r="2338">
      <c r="A2338" t="inlineStr">
        <is>
          <t>Kylie Makeup</t>
        </is>
      </c>
      <c r="B2338" t="inlineStr">
        <is>
          <t>Face (01243)</t>
        </is>
      </c>
      <c r="C2338" t="inlineStr">
        <is>
          <t>Kylie Hybrid Blush (00006713)</t>
        </is>
      </c>
      <c r="D2338" s="1" t="n">
        <v>4064941147091</v>
      </c>
      <c r="E2338" t="inlineStr">
        <is>
          <t>KJ MU HYB BLSH PWDBLU2.5G 354PNKPL 25IV</t>
        </is>
      </c>
      <c r="F2338" t="inlineStr">
        <is>
          <t>P_US_FG</t>
        </is>
      </c>
      <c r="G2338" t="inlineStr">
        <is>
          <t>Month-2026.M09.W38</t>
        </is>
      </c>
      <c r="H2338" t="inlineStr">
        <is>
          <t>Consensus - Final</t>
        </is>
      </c>
      <c r="K2338" t="n">
        <v>0</v>
      </c>
    </row>
    <row r="2339">
      <c r="A2339" t="inlineStr">
        <is>
          <t>Kylie Makeup</t>
        </is>
      </c>
      <c r="B2339" t="inlineStr">
        <is>
          <t>Face (01243)</t>
        </is>
      </c>
      <c r="C2339" t="inlineStr">
        <is>
          <t>Kylie Hybrid Blush (00006713)</t>
        </is>
      </c>
      <c r="D2339" s="1" t="n">
        <v>4064941147091</v>
      </c>
      <c r="E2339" t="inlineStr">
        <is>
          <t>KJ MU HYB BLSH PWDBLU2.5G 354PNKPL 25IV</t>
        </is>
      </c>
      <c r="F2339" t="inlineStr">
        <is>
          <t>P_US_FG</t>
        </is>
      </c>
      <c r="G2339" t="inlineStr">
        <is>
          <t>Month-2026.M09.W38</t>
        </is>
      </c>
      <c r="H2339" t="inlineStr">
        <is>
          <t>Supply Cuts</t>
        </is>
      </c>
    </row>
    <row r="2340">
      <c r="A2340" t="inlineStr">
        <is>
          <t>Kylie Makeup</t>
        </is>
      </c>
      <c r="B2340" t="inlineStr">
        <is>
          <t>Face (01243)</t>
        </is>
      </c>
      <c r="C2340" t="inlineStr">
        <is>
          <t>Kylie Hybrid Blush (00006713)</t>
        </is>
      </c>
      <c r="D2340" s="1" t="n">
        <v>4064941147091</v>
      </c>
      <c r="E2340" t="inlineStr">
        <is>
          <t>KJ MU HYB BLSH PWDBLU2.5G 354PNKPL 25IV</t>
        </is>
      </c>
      <c r="F2340" t="inlineStr">
        <is>
          <t>P_US_ULTA</t>
        </is>
      </c>
      <c r="G2340" t="inlineStr">
        <is>
          <t>CurrentWorkingView</t>
        </is>
      </c>
      <c r="H2340" t="inlineStr">
        <is>
          <t>Consensus - Final LY M</t>
        </is>
      </c>
      <c r="J2340" t="n">
        <v>504</v>
      </c>
      <c r="K2340" t="n">
        <v>1080</v>
      </c>
      <c r="L2340" t="n">
        <v>504</v>
      </c>
      <c r="M2340" t="n">
        <v>1224</v>
      </c>
      <c r="N2340" t="n">
        <v>360</v>
      </c>
      <c r="O2340" t="n">
        <v>504</v>
      </c>
      <c r="P2340" t="n">
        <v>1584</v>
      </c>
      <c r="Q2340" t="n">
        <v>1944</v>
      </c>
      <c r="R2340" t="n">
        <v>1152</v>
      </c>
      <c r="S2340" t="n">
        <v>1872</v>
      </c>
      <c r="T2340" t="n">
        <v>1080</v>
      </c>
    </row>
    <row r="2341">
      <c r="A2341" t="inlineStr">
        <is>
          <t>Kylie Makeup</t>
        </is>
      </c>
      <c r="B2341" t="inlineStr">
        <is>
          <t>Face (01243)</t>
        </is>
      </c>
      <c r="C2341" t="inlineStr">
        <is>
          <t>Kylie Hybrid Blush (00006713)</t>
        </is>
      </c>
      <c r="D2341" s="1" t="n">
        <v>4064941147091</v>
      </c>
      <c r="E2341" t="inlineStr">
        <is>
          <t>KJ MU HYB BLSH PWDBLU2.5G 354PNKPL 25IV</t>
        </is>
      </c>
      <c r="F2341" t="inlineStr">
        <is>
          <t>P_US_ULTA</t>
        </is>
      </c>
      <c r="G2341" t="inlineStr">
        <is>
          <t>CurrentWorkingView</t>
        </is>
      </c>
      <c r="H2341" t="inlineStr">
        <is>
          <t>System FC - Final</t>
        </is>
      </c>
      <c r="I2341" t="n">
        <v>1224</v>
      </c>
      <c r="J2341" t="n">
        <v>5040</v>
      </c>
      <c r="K2341" t="n">
        <v>2414</v>
      </c>
      <c r="L2341" t="n">
        <v>1293</v>
      </c>
      <c r="M2341" t="n">
        <v>1293</v>
      </c>
      <c r="N2341" t="n">
        <v>1294</v>
      </c>
      <c r="O2341" t="n">
        <v>1293</v>
      </c>
      <c r="P2341" t="n">
        <v>1296</v>
      </c>
      <c r="Q2341" t="n">
        <v>1293</v>
      </c>
      <c r="R2341" t="n">
        <v>1295</v>
      </c>
      <c r="S2341" t="n">
        <v>1294</v>
      </c>
      <c r="T2341" t="n">
        <v>1295</v>
      </c>
    </row>
    <row r="2342">
      <c r="A2342" t="inlineStr">
        <is>
          <t>Kylie Makeup</t>
        </is>
      </c>
      <c r="B2342" t="inlineStr">
        <is>
          <t>Face (01243)</t>
        </is>
      </c>
      <c r="C2342" t="inlineStr">
        <is>
          <t>Kylie Hybrid Blush (00006713)</t>
        </is>
      </c>
      <c r="D2342" s="1" t="n">
        <v>4064941147091</v>
      </c>
      <c r="E2342" t="inlineStr">
        <is>
          <t>KJ MU HYB BLSH PWDBLU2.5G 354PNKPL 25IV</t>
        </is>
      </c>
      <c r="F2342" t="inlineStr">
        <is>
          <t>P_US_ULTA</t>
        </is>
      </c>
      <c r="G2342" t="inlineStr">
        <is>
          <t>CurrentWorkingView</t>
        </is>
      </c>
      <c r="H2342" t="inlineStr">
        <is>
          <t>EPOS</t>
        </is>
      </c>
      <c r="I2342" t="n">
        <v>594</v>
      </c>
    </row>
    <row r="2343">
      <c r="A2343" t="inlineStr">
        <is>
          <t>Kylie Makeup</t>
        </is>
      </c>
      <c r="B2343" t="inlineStr">
        <is>
          <t>Face (01243)</t>
        </is>
      </c>
      <c r="C2343" t="inlineStr">
        <is>
          <t>Kylie Hybrid Blush (00006713)</t>
        </is>
      </c>
      <c r="D2343" s="1" t="n">
        <v>4064941147091</v>
      </c>
      <c r="E2343" t="inlineStr">
        <is>
          <t>KJ MU HYB BLSH PWDBLU2.5G 354PNKPL 25IV</t>
        </is>
      </c>
      <c r="F2343" t="inlineStr">
        <is>
          <t>P_US_ULTA</t>
        </is>
      </c>
      <c r="G2343" t="inlineStr">
        <is>
          <t>CurrentWorkingView</t>
        </is>
      </c>
      <c r="H2343" t="inlineStr">
        <is>
          <t>Reasonability Adjustment</t>
        </is>
      </c>
      <c r="J2343" t="n">
        <v>387</v>
      </c>
      <c r="L2343" t="n">
        <v>-195</v>
      </c>
      <c r="M2343" t="n">
        <v>-195</v>
      </c>
      <c r="N2343" t="n">
        <v>-194</v>
      </c>
      <c r="T2343" t="n">
        <v>-193</v>
      </c>
    </row>
    <row r="2344">
      <c r="A2344" t="inlineStr">
        <is>
          <t>Kylie Makeup</t>
        </is>
      </c>
      <c r="B2344" t="inlineStr">
        <is>
          <t>Face (01243)</t>
        </is>
      </c>
      <c r="C2344" t="inlineStr">
        <is>
          <t>Kylie Hybrid Blush (00006713)</t>
        </is>
      </c>
      <c r="D2344" s="1" t="n">
        <v>4064941147091</v>
      </c>
      <c r="E2344" t="inlineStr">
        <is>
          <t>KJ MU HYB BLSH PWDBLU2.5G 354PNKPL 25IV</t>
        </is>
      </c>
      <c r="F2344" t="inlineStr">
        <is>
          <t>P_US_ULTA</t>
        </is>
      </c>
      <c r="G2344" t="inlineStr">
        <is>
          <t>CurrentWorkingView</t>
        </is>
      </c>
      <c r="H2344" t="inlineStr">
        <is>
          <t>Total Demand Assumption</t>
        </is>
      </c>
      <c r="I2344" t="n">
        <v>657</v>
      </c>
      <c r="J2344" t="n">
        <v>3284</v>
      </c>
    </row>
    <row r="2345">
      <c r="A2345" t="inlineStr">
        <is>
          <t>Kylie Makeup</t>
        </is>
      </c>
      <c r="B2345" t="inlineStr">
        <is>
          <t>Face (01243)</t>
        </is>
      </c>
      <c r="C2345" t="inlineStr">
        <is>
          <t>Kylie Hybrid Blush (00006713)</t>
        </is>
      </c>
      <c r="D2345" s="1" t="n">
        <v>4064941147091</v>
      </c>
      <c r="E2345" t="inlineStr">
        <is>
          <t>KJ MU HYB BLSH PWDBLU2.5G 354PNKPL 25IV</t>
        </is>
      </c>
      <c r="F2345" t="inlineStr">
        <is>
          <t>P_US_ULTA</t>
        </is>
      </c>
      <c r="G2345" t="inlineStr">
        <is>
          <t>CurrentWorkingView</t>
        </is>
      </c>
      <c r="H2345" t="inlineStr">
        <is>
          <t>Consensus - Final</t>
        </is>
      </c>
      <c r="I2345" t="n">
        <v>1224</v>
      </c>
      <c r="J2345" t="n">
        <v>5040</v>
      </c>
      <c r="K2345" t="n">
        <v>1872</v>
      </c>
      <c r="L2345" t="n">
        <v>1098</v>
      </c>
      <c r="M2345" t="n">
        <v>1105</v>
      </c>
      <c r="N2345" t="n">
        <v>1100</v>
      </c>
      <c r="O2345" t="n">
        <v>1293</v>
      </c>
      <c r="P2345" t="n">
        <v>1296</v>
      </c>
      <c r="Q2345" t="n">
        <v>1293</v>
      </c>
      <c r="R2345" t="n">
        <v>1295</v>
      </c>
      <c r="S2345" t="n">
        <v>1294</v>
      </c>
      <c r="T2345" t="n">
        <v>1102</v>
      </c>
    </row>
    <row r="2346">
      <c r="A2346" t="inlineStr">
        <is>
          <t>Kylie Makeup</t>
        </is>
      </c>
      <c r="B2346" t="inlineStr">
        <is>
          <t>Face (01243)</t>
        </is>
      </c>
      <c r="C2346" t="inlineStr">
        <is>
          <t>Kylie Hybrid Blush (00006713)</t>
        </is>
      </c>
      <c r="D2346" s="1" t="n">
        <v>4064941147091</v>
      </c>
      <c r="E2346" t="inlineStr">
        <is>
          <t>KJ MU HYB BLSH PWDBLU2.5G 354PNKPL 25IV</t>
        </is>
      </c>
      <c r="F2346" t="inlineStr">
        <is>
          <t>P_US_ULTA</t>
        </is>
      </c>
      <c r="G2346" t="inlineStr">
        <is>
          <t>CurrentWorkingView</t>
        </is>
      </c>
      <c r="H2346" t="inlineStr">
        <is>
          <t>Supply Cuts</t>
        </is>
      </c>
    </row>
    <row r="2347">
      <c r="A2347" t="inlineStr">
        <is>
          <t>Kylie Makeup</t>
        </is>
      </c>
      <c r="B2347" t="inlineStr">
        <is>
          <t>Face (01243)</t>
        </is>
      </c>
      <c r="C2347" t="inlineStr">
        <is>
          <t>Kylie Hybrid Blush (00006713)</t>
        </is>
      </c>
      <c r="D2347" s="1" t="n">
        <v>4064941147091</v>
      </c>
      <c r="E2347" t="inlineStr">
        <is>
          <t>KJ MU HYB BLSH PWDBLU2.5G 354PNKPL 25IV</t>
        </is>
      </c>
      <c r="F2347" t="inlineStr">
        <is>
          <t>P_US_ULTA</t>
        </is>
      </c>
      <c r="G2347" t="inlineStr">
        <is>
          <t>Month-2026.M09.W38</t>
        </is>
      </c>
      <c r="H2347" t="inlineStr">
        <is>
          <t>Consensus - Final LY M</t>
        </is>
      </c>
      <c r="J2347" t="n">
        <v>504</v>
      </c>
      <c r="K2347" t="n">
        <v>1080</v>
      </c>
      <c r="L2347" t="n">
        <v>504</v>
      </c>
      <c r="M2347" t="n">
        <v>1224</v>
      </c>
      <c r="N2347" t="n">
        <v>360</v>
      </c>
      <c r="O2347" t="n">
        <v>504</v>
      </c>
      <c r="P2347" t="n">
        <v>1584</v>
      </c>
      <c r="Q2347" t="n">
        <v>1944</v>
      </c>
      <c r="R2347" t="n">
        <v>1152</v>
      </c>
      <c r="S2347" t="n">
        <v>1872</v>
      </c>
      <c r="T2347" t="n">
        <v>1080</v>
      </c>
    </row>
    <row r="2348">
      <c r="A2348" t="inlineStr">
        <is>
          <t>Kylie Makeup</t>
        </is>
      </c>
      <c r="B2348" t="inlineStr">
        <is>
          <t>Face (01243)</t>
        </is>
      </c>
      <c r="C2348" t="inlineStr">
        <is>
          <t>Kylie Hybrid Blush (00006713)</t>
        </is>
      </c>
      <c r="D2348" s="1" t="n">
        <v>4064941147091</v>
      </c>
      <c r="E2348" t="inlineStr">
        <is>
          <t>KJ MU HYB BLSH PWDBLU2.5G 354PNKPL 25IV</t>
        </is>
      </c>
      <c r="F2348" t="inlineStr">
        <is>
          <t>P_US_ULTA</t>
        </is>
      </c>
      <c r="G2348" t="inlineStr">
        <is>
          <t>Month-2026.M09.W38</t>
        </is>
      </c>
      <c r="H2348" t="inlineStr">
        <is>
          <t>System FC - Final</t>
        </is>
      </c>
      <c r="I2348" t="n">
        <v>1224</v>
      </c>
      <c r="J2348" t="n">
        <v>5040</v>
      </c>
      <c r="K2348" t="n">
        <v>2022</v>
      </c>
      <c r="L2348" t="n">
        <v>1095</v>
      </c>
      <c r="M2348" t="n">
        <v>1092</v>
      </c>
      <c r="N2348" t="n">
        <v>1094</v>
      </c>
      <c r="O2348" t="n">
        <v>1094</v>
      </c>
      <c r="P2348" t="n">
        <v>1096</v>
      </c>
      <c r="Q2348" t="n">
        <v>1094</v>
      </c>
      <c r="R2348" t="n">
        <v>1093</v>
      </c>
      <c r="S2348" t="n">
        <v>1094</v>
      </c>
      <c r="T2348" t="n">
        <v>1252</v>
      </c>
    </row>
    <row r="2349">
      <c r="A2349" t="inlineStr">
        <is>
          <t>Kylie Makeup</t>
        </is>
      </c>
      <c r="B2349" t="inlineStr">
        <is>
          <t>Face (01243)</t>
        </is>
      </c>
      <c r="C2349" t="inlineStr">
        <is>
          <t>Kylie Hybrid Blush (00006713)</t>
        </is>
      </c>
      <c r="D2349" s="1" t="n">
        <v>4064941147091</v>
      </c>
      <c r="E2349" t="inlineStr">
        <is>
          <t>KJ MU HYB BLSH PWDBLU2.5G 354PNKPL 25IV</t>
        </is>
      </c>
      <c r="F2349" t="inlineStr">
        <is>
          <t>P_US_ULTA</t>
        </is>
      </c>
      <c r="G2349" t="inlineStr">
        <is>
          <t>Month-2026.M09.W38</t>
        </is>
      </c>
      <c r="H2349" t="inlineStr">
        <is>
          <t>EPOS</t>
        </is>
      </c>
      <c r="I2349" t="n">
        <v>594</v>
      </c>
    </row>
    <row r="2350">
      <c r="A2350" t="inlineStr">
        <is>
          <t>Kylie Makeup</t>
        </is>
      </c>
      <c r="B2350" t="inlineStr">
        <is>
          <t>Face (01243)</t>
        </is>
      </c>
      <c r="C2350" t="inlineStr">
        <is>
          <t>Kylie Hybrid Blush (00006713)</t>
        </is>
      </c>
      <c r="D2350" s="1" t="n">
        <v>4064941147091</v>
      </c>
      <c r="E2350" t="inlineStr">
        <is>
          <t>KJ MU HYB BLSH PWDBLU2.5G 354PNKPL 25IV</t>
        </is>
      </c>
      <c r="F2350" t="inlineStr">
        <is>
          <t>P_US_ULTA</t>
        </is>
      </c>
      <c r="G2350" t="inlineStr">
        <is>
          <t>Month-2026.M09.W38</t>
        </is>
      </c>
      <c r="H2350" t="inlineStr">
        <is>
          <t>Reasonability Adjustment</t>
        </is>
      </c>
      <c r="J2350" t="n">
        <v>387</v>
      </c>
      <c r="L2350" t="n">
        <v>-195</v>
      </c>
      <c r="M2350" t="n">
        <v>-195</v>
      </c>
      <c r="N2350" t="n">
        <v>-194</v>
      </c>
      <c r="T2350" t="n">
        <v>-193</v>
      </c>
    </row>
    <row r="2351">
      <c r="A2351" t="inlineStr">
        <is>
          <t>Kylie Makeup</t>
        </is>
      </c>
      <c r="B2351" t="inlineStr">
        <is>
          <t>Face (01243)</t>
        </is>
      </c>
      <c r="C2351" t="inlineStr">
        <is>
          <t>Kylie Hybrid Blush (00006713)</t>
        </is>
      </c>
      <c r="D2351" s="1" t="n">
        <v>4064941147091</v>
      </c>
      <c r="E2351" t="inlineStr">
        <is>
          <t>KJ MU HYB BLSH PWDBLU2.5G 354PNKPL 25IV</t>
        </is>
      </c>
      <c r="F2351" t="inlineStr">
        <is>
          <t>P_US_ULTA</t>
        </is>
      </c>
      <c r="G2351" t="inlineStr">
        <is>
          <t>Month-2026.M09.W38</t>
        </is>
      </c>
      <c r="H2351" t="inlineStr">
        <is>
          <t>Total Demand Assumption</t>
        </is>
      </c>
      <c r="I2351" t="n">
        <v>657</v>
      </c>
      <c r="J2351" t="n">
        <v>3284</v>
      </c>
    </row>
    <row r="2352">
      <c r="A2352" t="inlineStr">
        <is>
          <t>Kylie Makeup</t>
        </is>
      </c>
      <c r="B2352" t="inlineStr">
        <is>
          <t>Face (01243)</t>
        </is>
      </c>
      <c r="C2352" t="inlineStr">
        <is>
          <t>Kylie Hybrid Blush (00006713)</t>
        </is>
      </c>
      <c r="D2352" s="1" t="n">
        <v>4064941147091</v>
      </c>
      <c r="E2352" t="inlineStr">
        <is>
          <t>KJ MU HYB BLSH PWDBLU2.5G 354PNKPL 25IV</t>
        </is>
      </c>
      <c r="F2352" t="inlineStr">
        <is>
          <t>P_US_ULTA</t>
        </is>
      </c>
      <c r="G2352" t="inlineStr">
        <is>
          <t>Month-2026.M09.W38</t>
        </is>
      </c>
      <c r="H2352" t="inlineStr">
        <is>
          <t>Consensus - Final</t>
        </is>
      </c>
      <c r="I2352" t="n">
        <v>1224</v>
      </c>
      <c r="J2352" t="n">
        <v>5040</v>
      </c>
      <c r="K2352" t="n">
        <v>1556.5</v>
      </c>
      <c r="L2352" t="n">
        <v>900</v>
      </c>
      <c r="M2352" t="n">
        <v>897</v>
      </c>
      <c r="N2352" t="n">
        <v>900</v>
      </c>
      <c r="O2352" t="n">
        <v>1094</v>
      </c>
      <c r="P2352" t="n">
        <v>1096</v>
      </c>
      <c r="Q2352" t="n">
        <v>1094</v>
      </c>
      <c r="R2352" t="n">
        <v>1093</v>
      </c>
      <c r="S2352" t="n">
        <v>1094</v>
      </c>
      <c r="T2352" t="n">
        <v>1059</v>
      </c>
    </row>
    <row r="2353">
      <c r="A2353" t="inlineStr">
        <is>
          <t>Kylie Makeup</t>
        </is>
      </c>
      <c r="B2353" t="inlineStr">
        <is>
          <t>Face (01243)</t>
        </is>
      </c>
      <c r="C2353" t="inlineStr">
        <is>
          <t>Kylie Hybrid Blush (00006713)</t>
        </is>
      </c>
      <c r="D2353" s="1" t="n">
        <v>4064941147091</v>
      </c>
      <c r="E2353" t="inlineStr">
        <is>
          <t>KJ MU HYB BLSH PWDBLU2.5G 354PNKPL 25IV</t>
        </is>
      </c>
      <c r="F2353" t="inlineStr">
        <is>
          <t>P_US_ULTA</t>
        </is>
      </c>
      <c r="G2353" t="inlineStr">
        <is>
          <t>Month-2026.M09.W38</t>
        </is>
      </c>
      <c r="H2353" t="inlineStr">
        <is>
          <t>Supply Cuts</t>
        </is>
      </c>
    </row>
    <row r="2354">
      <c r="A2354" t="inlineStr">
        <is>
          <t>Kylie Makeup</t>
        </is>
      </c>
      <c r="B2354" t="inlineStr">
        <is>
          <t>Face (01243)</t>
        </is>
      </c>
      <c r="C2354" t="inlineStr">
        <is>
          <t>Kylie Hybrid Blush (00006713)</t>
        </is>
      </c>
      <c r="D2354" s="1" t="n">
        <v>4064941147107</v>
      </c>
      <c r="E2354" t="inlineStr">
        <is>
          <t>KJ MU HYB BLSH PWDBLU2.5G 355PETAL 25IV</t>
        </is>
      </c>
      <c r="F2354" t="inlineStr">
        <is>
          <t>P_US_ALL_OTHERS</t>
        </is>
      </c>
      <c r="G2354" t="inlineStr">
        <is>
          <t>CurrentWorkingView</t>
        </is>
      </c>
      <c r="H2354" t="inlineStr">
        <is>
          <t>Consensus - Final LY M</t>
        </is>
      </c>
      <c r="I2354" t="n">
        <v>1252</v>
      </c>
      <c r="J2354" t="n">
        <v>84</v>
      </c>
      <c r="K2354" t="n">
        <v>83</v>
      </c>
      <c r="L2354" t="n">
        <v>302</v>
      </c>
      <c r="M2354" t="n">
        <v>532</v>
      </c>
      <c r="N2354" t="n">
        <v>139</v>
      </c>
      <c r="O2354" t="n">
        <v>80</v>
      </c>
      <c r="P2354" t="n">
        <v>254</v>
      </c>
      <c r="Q2354" t="n">
        <v>72</v>
      </c>
      <c r="R2354" t="n">
        <v>220</v>
      </c>
      <c r="S2354" t="n">
        <v>180</v>
      </c>
      <c r="T2354" t="n">
        <v>52</v>
      </c>
    </row>
    <row r="2355">
      <c r="A2355" t="inlineStr">
        <is>
          <t>Kylie Makeup</t>
        </is>
      </c>
      <c r="B2355" t="inlineStr">
        <is>
          <t>Face (01243)</t>
        </is>
      </c>
      <c r="C2355" t="inlineStr">
        <is>
          <t>Kylie Hybrid Blush (00006713)</t>
        </is>
      </c>
      <c r="D2355" s="1" t="n">
        <v>4064941147107</v>
      </c>
      <c r="E2355" t="inlineStr">
        <is>
          <t>KJ MU HYB BLSH PWDBLU2.5G 355PETAL 25IV</t>
        </is>
      </c>
      <c r="F2355" t="inlineStr">
        <is>
          <t>P_US_ALL_OTHERS</t>
        </is>
      </c>
      <c r="G2355" t="inlineStr">
        <is>
          <t>CurrentWorkingView</t>
        </is>
      </c>
      <c r="H2355" t="inlineStr">
        <is>
          <t>System FC - Final</t>
        </is>
      </c>
      <c r="I2355" t="n">
        <v>187</v>
      </c>
      <c r="J2355" t="n">
        <v>157</v>
      </c>
      <c r="K2355" t="n">
        <v>128</v>
      </c>
      <c r="L2355" t="n">
        <v>159</v>
      </c>
      <c r="M2355" t="n">
        <v>150</v>
      </c>
      <c r="N2355" t="n">
        <v>146</v>
      </c>
      <c r="O2355" t="n">
        <v>151</v>
      </c>
      <c r="P2355" t="n">
        <v>148</v>
      </c>
      <c r="Q2355" t="n">
        <v>150</v>
      </c>
      <c r="R2355" t="n">
        <v>150</v>
      </c>
      <c r="S2355" t="n">
        <v>151</v>
      </c>
      <c r="T2355" t="n">
        <v>150</v>
      </c>
    </row>
    <row r="2356">
      <c r="A2356" t="inlineStr">
        <is>
          <t>Kylie Makeup</t>
        </is>
      </c>
      <c r="B2356" t="inlineStr">
        <is>
          <t>Face (01243)</t>
        </is>
      </c>
      <c r="C2356" t="inlineStr">
        <is>
          <t>Kylie Hybrid Blush (00006713)</t>
        </is>
      </c>
      <c r="D2356" s="1" t="n">
        <v>4064941147107</v>
      </c>
      <c r="E2356" t="inlineStr">
        <is>
          <t>KJ MU HYB BLSH PWDBLU2.5G 355PETAL 25IV</t>
        </is>
      </c>
      <c r="F2356" t="inlineStr">
        <is>
          <t>P_US_ALL_OTHERS</t>
        </is>
      </c>
      <c r="G2356" t="inlineStr">
        <is>
          <t>CurrentWorkingView</t>
        </is>
      </c>
      <c r="H2356" t="inlineStr">
        <is>
          <t>EPOS</t>
        </is>
      </c>
      <c r="I2356" t="n">
        <v>119</v>
      </c>
    </row>
    <row r="2357">
      <c r="A2357" t="inlineStr">
        <is>
          <t>Kylie Makeup</t>
        </is>
      </c>
      <c r="B2357" t="inlineStr">
        <is>
          <t>Face (01243)</t>
        </is>
      </c>
      <c r="C2357" t="inlineStr">
        <is>
          <t>Kylie Hybrid Blush (00006713)</t>
        </is>
      </c>
      <c r="D2357" s="1" t="n">
        <v>4064941147107</v>
      </c>
      <c r="E2357" t="inlineStr">
        <is>
          <t>KJ MU HYB BLSH PWDBLU2.5G 355PETAL 25IV</t>
        </is>
      </c>
      <c r="F2357" t="inlineStr">
        <is>
          <t>P_US_ALL_OTHERS</t>
        </is>
      </c>
      <c r="G2357" t="inlineStr">
        <is>
          <t>CurrentWorkingView</t>
        </is>
      </c>
      <c r="H2357" t="inlineStr">
        <is>
          <t>Reasonability Adjustment</t>
        </is>
      </c>
      <c r="J2357" t="n">
        <v>60</v>
      </c>
      <c r="T2357" t="n">
        <v>-31</v>
      </c>
    </row>
    <row r="2358">
      <c r="A2358" t="inlineStr">
        <is>
          <t>Kylie Makeup</t>
        </is>
      </c>
      <c r="B2358" t="inlineStr">
        <is>
          <t>Face (01243)</t>
        </is>
      </c>
      <c r="C2358" t="inlineStr">
        <is>
          <t>Kylie Hybrid Blush (00006713)</t>
        </is>
      </c>
      <c r="D2358" s="1" t="n">
        <v>4064941147107</v>
      </c>
      <c r="E2358" t="inlineStr">
        <is>
          <t>KJ MU HYB BLSH PWDBLU2.5G 355PETAL 25IV</t>
        </is>
      </c>
      <c r="F2358" t="inlineStr">
        <is>
          <t>P_US_ALL_OTHERS</t>
        </is>
      </c>
      <c r="G2358" t="inlineStr">
        <is>
          <t>CurrentWorkingView</t>
        </is>
      </c>
      <c r="H2358" t="inlineStr">
        <is>
          <t>Total Demand Assumption</t>
        </is>
      </c>
    </row>
    <row r="2359">
      <c r="A2359" t="inlineStr">
        <is>
          <t>Kylie Makeup</t>
        </is>
      </c>
      <c r="B2359" t="inlineStr">
        <is>
          <t>Face (01243)</t>
        </is>
      </c>
      <c r="C2359" t="inlineStr">
        <is>
          <t>Kylie Hybrid Blush (00006713)</t>
        </is>
      </c>
      <c r="D2359" s="1" t="n">
        <v>4064941147107</v>
      </c>
      <c r="E2359" t="inlineStr">
        <is>
          <t>KJ MU HYB BLSH PWDBLU2.5G 355PETAL 25IV</t>
        </is>
      </c>
      <c r="F2359" t="inlineStr">
        <is>
          <t>P_US_ALL_OTHERS</t>
        </is>
      </c>
      <c r="G2359" t="inlineStr">
        <is>
          <t>CurrentWorkingView</t>
        </is>
      </c>
      <c r="H2359" t="inlineStr">
        <is>
          <t>Consensus - Final</t>
        </is>
      </c>
      <c r="I2359" t="n">
        <v>187</v>
      </c>
      <c r="J2359" t="n">
        <v>157</v>
      </c>
      <c r="K2359" t="n">
        <v>2081</v>
      </c>
      <c r="L2359" t="n">
        <v>159</v>
      </c>
      <c r="M2359" t="n">
        <v>150</v>
      </c>
      <c r="N2359" t="n">
        <v>146</v>
      </c>
      <c r="O2359" t="n">
        <v>151</v>
      </c>
      <c r="P2359" t="n">
        <v>148</v>
      </c>
      <c r="Q2359" t="n">
        <v>150</v>
      </c>
      <c r="R2359" t="n">
        <v>150</v>
      </c>
      <c r="S2359" t="n">
        <v>151</v>
      </c>
      <c r="T2359" t="n">
        <v>119</v>
      </c>
    </row>
    <row r="2360">
      <c r="A2360" t="inlineStr">
        <is>
          <t>Kylie Makeup</t>
        </is>
      </c>
      <c r="B2360" t="inlineStr">
        <is>
          <t>Face (01243)</t>
        </is>
      </c>
      <c r="C2360" t="inlineStr">
        <is>
          <t>Kylie Hybrid Blush (00006713)</t>
        </is>
      </c>
      <c r="D2360" s="1" t="n">
        <v>4064941147107</v>
      </c>
      <c r="E2360" t="inlineStr">
        <is>
          <t>KJ MU HYB BLSH PWDBLU2.5G 355PETAL 25IV</t>
        </is>
      </c>
      <c r="F2360" t="inlineStr">
        <is>
          <t>P_US_ALL_OTHERS</t>
        </is>
      </c>
      <c r="G2360" t="inlineStr">
        <is>
          <t>CurrentWorkingView</t>
        </is>
      </c>
      <c r="H2360" t="inlineStr">
        <is>
          <t>Supply Cuts</t>
        </is>
      </c>
    </row>
    <row r="2361">
      <c r="A2361" t="inlineStr">
        <is>
          <t>Kylie Makeup</t>
        </is>
      </c>
      <c r="B2361" t="inlineStr">
        <is>
          <t>Face (01243)</t>
        </is>
      </c>
      <c r="C2361" t="inlineStr">
        <is>
          <t>Kylie Hybrid Blush (00006713)</t>
        </is>
      </c>
      <c r="D2361" s="1" t="n">
        <v>4064941147107</v>
      </c>
      <c r="E2361" t="inlineStr">
        <is>
          <t>KJ MU HYB BLSH PWDBLU2.5G 355PETAL 25IV</t>
        </is>
      </c>
      <c r="F2361" t="inlineStr">
        <is>
          <t>P_US_ALL_OTHERS</t>
        </is>
      </c>
      <c r="G2361" t="inlineStr">
        <is>
          <t>Month-2026.M09.W38</t>
        </is>
      </c>
      <c r="H2361" t="inlineStr">
        <is>
          <t>Consensus - Final LY M</t>
        </is>
      </c>
      <c r="I2361" t="n">
        <v>1252</v>
      </c>
      <c r="J2361" t="n">
        <v>84</v>
      </c>
      <c r="K2361" t="n">
        <v>83</v>
      </c>
      <c r="L2361" t="n">
        <v>302</v>
      </c>
      <c r="M2361" t="n">
        <v>532</v>
      </c>
      <c r="N2361" t="n">
        <v>139</v>
      </c>
      <c r="O2361" t="n">
        <v>80</v>
      </c>
      <c r="P2361" t="n">
        <v>254</v>
      </c>
      <c r="Q2361" t="n">
        <v>72</v>
      </c>
      <c r="R2361" t="n">
        <v>220</v>
      </c>
      <c r="S2361" t="n">
        <v>180</v>
      </c>
      <c r="T2361" t="n">
        <v>52</v>
      </c>
    </row>
    <row r="2362">
      <c r="A2362" t="inlineStr">
        <is>
          <t>Kylie Makeup</t>
        </is>
      </c>
      <c r="B2362" t="inlineStr">
        <is>
          <t>Face (01243)</t>
        </is>
      </c>
      <c r="C2362" t="inlineStr">
        <is>
          <t>Kylie Hybrid Blush (00006713)</t>
        </is>
      </c>
      <c r="D2362" s="1" t="n">
        <v>4064941147107</v>
      </c>
      <c r="E2362" t="inlineStr">
        <is>
          <t>KJ MU HYB BLSH PWDBLU2.5G 355PETAL 25IV</t>
        </is>
      </c>
      <c r="F2362" t="inlineStr">
        <is>
          <t>P_US_ALL_OTHERS</t>
        </is>
      </c>
      <c r="G2362" t="inlineStr">
        <is>
          <t>Month-2026.M09.W38</t>
        </is>
      </c>
      <c r="H2362" t="inlineStr">
        <is>
          <t>System FC - Final</t>
        </is>
      </c>
      <c r="I2362" t="n">
        <v>187</v>
      </c>
      <c r="J2362" t="n">
        <v>157</v>
      </c>
      <c r="K2362" t="n">
        <v>148</v>
      </c>
      <c r="L2362" t="n">
        <v>150</v>
      </c>
      <c r="M2362" t="n">
        <v>138</v>
      </c>
      <c r="N2362" t="n">
        <v>138</v>
      </c>
      <c r="O2362" t="n">
        <v>142</v>
      </c>
      <c r="P2362" t="n">
        <v>140</v>
      </c>
      <c r="Q2362" t="n">
        <v>142</v>
      </c>
      <c r="R2362" t="n">
        <v>142</v>
      </c>
      <c r="S2362" t="n">
        <v>142</v>
      </c>
      <c r="T2362" t="n">
        <v>145</v>
      </c>
    </row>
    <row r="2363">
      <c r="A2363" t="inlineStr">
        <is>
          <t>Kylie Makeup</t>
        </is>
      </c>
      <c r="B2363" t="inlineStr">
        <is>
          <t>Face (01243)</t>
        </is>
      </c>
      <c r="C2363" t="inlineStr">
        <is>
          <t>Kylie Hybrid Blush (00006713)</t>
        </is>
      </c>
      <c r="D2363" s="1" t="n">
        <v>4064941147107</v>
      </c>
      <c r="E2363" t="inlineStr">
        <is>
          <t>KJ MU HYB BLSH PWDBLU2.5G 355PETAL 25IV</t>
        </is>
      </c>
      <c r="F2363" t="inlineStr">
        <is>
          <t>P_US_ALL_OTHERS</t>
        </is>
      </c>
      <c r="G2363" t="inlineStr">
        <is>
          <t>Month-2026.M09.W38</t>
        </is>
      </c>
      <c r="H2363" t="inlineStr">
        <is>
          <t>EPOS</t>
        </is>
      </c>
      <c r="I2363" t="n">
        <v>119</v>
      </c>
    </row>
    <row r="2364">
      <c r="A2364" t="inlineStr">
        <is>
          <t>Kylie Makeup</t>
        </is>
      </c>
      <c r="B2364" t="inlineStr">
        <is>
          <t>Face (01243)</t>
        </is>
      </c>
      <c r="C2364" t="inlineStr">
        <is>
          <t>Kylie Hybrid Blush (00006713)</t>
        </is>
      </c>
      <c r="D2364" s="1" t="n">
        <v>4064941147107</v>
      </c>
      <c r="E2364" t="inlineStr">
        <is>
          <t>KJ MU HYB BLSH PWDBLU2.5G 355PETAL 25IV</t>
        </is>
      </c>
      <c r="F2364" t="inlineStr">
        <is>
          <t>P_US_ALL_OTHERS</t>
        </is>
      </c>
      <c r="G2364" t="inlineStr">
        <is>
          <t>Month-2026.M09.W38</t>
        </is>
      </c>
      <c r="H2364" t="inlineStr">
        <is>
          <t>Reasonability Adjustment</t>
        </is>
      </c>
      <c r="J2364" t="n">
        <v>60</v>
      </c>
      <c r="T2364" t="n">
        <v>-31</v>
      </c>
    </row>
    <row r="2365">
      <c r="A2365" t="inlineStr">
        <is>
          <t>Kylie Makeup</t>
        </is>
      </c>
      <c r="B2365" t="inlineStr">
        <is>
          <t>Face (01243)</t>
        </is>
      </c>
      <c r="C2365" t="inlineStr">
        <is>
          <t>Kylie Hybrid Blush (00006713)</t>
        </is>
      </c>
      <c r="D2365" s="1" t="n">
        <v>4064941147107</v>
      </c>
      <c r="E2365" t="inlineStr">
        <is>
          <t>KJ MU HYB BLSH PWDBLU2.5G 355PETAL 25IV</t>
        </is>
      </c>
      <c r="F2365" t="inlineStr">
        <is>
          <t>P_US_ALL_OTHERS</t>
        </is>
      </c>
      <c r="G2365" t="inlineStr">
        <is>
          <t>Month-2026.M09.W38</t>
        </is>
      </c>
      <c r="H2365" t="inlineStr">
        <is>
          <t>Total Demand Assumption</t>
        </is>
      </c>
    </row>
    <row r="2366">
      <c r="A2366" t="inlineStr">
        <is>
          <t>Kylie Makeup</t>
        </is>
      </c>
      <c r="B2366" t="inlineStr">
        <is>
          <t>Face (01243)</t>
        </is>
      </c>
      <c r="C2366" t="inlineStr">
        <is>
          <t>Kylie Hybrid Blush (00006713)</t>
        </is>
      </c>
      <c r="D2366" s="1" t="n">
        <v>4064941147107</v>
      </c>
      <c r="E2366" t="inlineStr">
        <is>
          <t>KJ MU HYB BLSH PWDBLU2.5G 355PETAL 25IV</t>
        </is>
      </c>
      <c r="F2366" t="inlineStr">
        <is>
          <t>P_US_ALL_OTHERS</t>
        </is>
      </c>
      <c r="G2366" t="inlineStr">
        <is>
          <t>Month-2026.M09.W38</t>
        </is>
      </c>
      <c r="H2366" t="inlineStr">
        <is>
          <t>Consensus - Final</t>
        </is>
      </c>
      <c r="I2366" t="n">
        <v>187</v>
      </c>
      <c r="J2366" t="n">
        <v>157</v>
      </c>
      <c r="K2366" t="n">
        <v>2081</v>
      </c>
      <c r="L2366" t="n">
        <v>150</v>
      </c>
      <c r="M2366" t="n">
        <v>138</v>
      </c>
      <c r="N2366" t="n">
        <v>138</v>
      </c>
      <c r="O2366" t="n">
        <v>142</v>
      </c>
      <c r="P2366" t="n">
        <v>140</v>
      </c>
      <c r="Q2366" t="n">
        <v>142</v>
      </c>
      <c r="R2366" t="n">
        <v>142</v>
      </c>
      <c r="S2366" t="n">
        <v>142</v>
      </c>
      <c r="T2366" t="n">
        <v>114</v>
      </c>
    </row>
    <row r="2367">
      <c r="A2367" t="inlineStr">
        <is>
          <t>Kylie Makeup</t>
        </is>
      </c>
      <c r="B2367" t="inlineStr">
        <is>
          <t>Face (01243)</t>
        </is>
      </c>
      <c r="C2367" t="inlineStr">
        <is>
          <t>Kylie Hybrid Blush (00006713)</t>
        </is>
      </c>
      <c r="D2367" s="1" t="n">
        <v>4064941147107</v>
      </c>
      <c r="E2367" t="inlineStr">
        <is>
          <t>KJ MU HYB BLSH PWDBLU2.5G 355PETAL 25IV</t>
        </is>
      </c>
      <c r="F2367" t="inlineStr">
        <is>
          <t>P_US_ALL_OTHERS</t>
        </is>
      </c>
      <c r="G2367" t="inlineStr">
        <is>
          <t>Month-2026.M09.W38</t>
        </is>
      </c>
      <c r="H2367" t="inlineStr">
        <is>
          <t>Supply Cuts</t>
        </is>
      </c>
    </row>
    <row r="2368">
      <c r="A2368" t="inlineStr">
        <is>
          <t>Kylie Makeup</t>
        </is>
      </c>
      <c r="B2368" t="inlineStr">
        <is>
          <t>Face (01243)</t>
        </is>
      </c>
      <c r="C2368" t="inlineStr">
        <is>
          <t>Kylie Hybrid Blush (00006713)</t>
        </is>
      </c>
      <c r="D2368" s="1" t="n">
        <v>4064941147107</v>
      </c>
      <c r="E2368" t="inlineStr">
        <is>
          <t>KJ MU HYB BLSH PWDBLU2.5G 355PETAL 25IV</t>
        </is>
      </c>
      <c r="F2368" t="inlineStr">
        <is>
          <t>P_US_FG</t>
        </is>
      </c>
      <c r="G2368" t="inlineStr">
        <is>
          <t>CurrentWorkingView</t>
        </is>
      </c>
      <c r="H2368" t="inlineStr">
        <is>
          <t>Consensus - Final LY M</t>
        </is>
      </c>
      <c r="I2368" t="n">
        <v>443</v>
      </c>
      <c r="L2368" t="n">
        <v>32</v>
      </c>
      <c r="O2368" t="n">
        <v>100</v>
      </c>
      <c r="P2368" t="n">
        <v>30</v>
      </c>
      <c r="Q2368" t="n">
        <v>24</v>
      </c>
      <c r="T2368" t="n">
        <v>60</v>
      </c>
    </row>
    <row r="2369">
      <c r="A2369" t="inlineStr">
        <is>
          <t>Kylie Makeup</t>
        </is>
      </c>
      <c r="B2369" t="inlineStr">
        <is>
          <t>Face (01243)</t>
        </is>
      </c>
      <c r="C2369" t="inlineStr">
        <is>
          <t>Kylie Hybrid Blush (00006713)</t>
        </is>
      </c>
      <c r="D2369" s="1" t="n">
        <v>4064941147107</v>
      </c>
      <c r="E2369" t="inlineStr">
        <is>
          <t>KJ MU HYB BLSH PWDBLU2.5G 355PETAL 25IV</t>
        </is>
      </c>
      <c r="F2369" t="inlineStr">
        <is>
          <t>P_US_FG</t>
        </is>
      </c>
      <c r="G2369" t="inlineStr">
        <is>
          <t>CurrentWorkingView</t>
        </is>
      </c>
      <c r="H2369" t="inlineStr">
        <is>
          <t>System FC - Final</t>
        </is>
      </c>
      <c r="K2369" t="n">
        <v>13</v>
      </c>
      <c r="L2369" t="n">
        <v>8</v>
      </c>
      <c r="M2369" t="n">
        <v>8</v>
      </c>
      <c r="N2369" t="n">
        <v>13</v>
      </c>
      <c r="O2369" t="n">
        <v>9</v>
      </c>
      <c r="P2369" t="n">
        <v>8</v>
      </c>
      <c r="Q2369" t="n">
        <v>9</v>
      </c>
      <c r="R2369" t="n">
        <v>9</v>
      </c>
      <c r="S2369" t="n">
        <v>9</v>
      </c>
      <c r="T2369" t="n">
        <v>9</v>
      </c>
    </row>
    <row r="2370">
      <c r="A2370" t="inlineStr">
        <is>
          <t>Kylie Makeup</t>
        </is>
      </c>
      <c r="B2370" t="inlineStr">
        <is>
          <t>Face (01243)</t>
        </is>
      </c>
      <c r="C2370" t="inlineStr">
        <is>
          <t>Kylie Hybrid Blush (00006713)</t>
        </is>
      </c>
      <c r="D2370" s="1" t="n">
        <v>4064941147107</v>
      </c>
      <c r="E2370" t="inlineStr">
        <is>
          <t>KJ MU HYB BLSH PWDBLU2.5G 355PETAL 25IV</t>
        </is>
      </c>
      <c r="F2370" t="inlineStr">
        <is>
          <t>P_US_FG</t>
        </is>
      </c>
      <c r="G2370" t="inlineStr">
        <is>
          <t>CurrentWorkingView</t>
        </is>
      </c>
      <c r="H2370" t="inlineStr">
        <is>
          <t>EPOS</t>
        </is>
      </c>
    </row>
    <row r="2371">
      <c r="A2371" t="inlineStr">
        <is>
          <t>Kylie Makeup</t>
        </is>
      </c>
      <c r="B2371" t="inlineStr">
        <is>
          <t>Face (01243)</t>
        </is>
      </c>
      <c r="C2371" t="inlineStr">
        <is>
          <t>Kylie Hybrid Blush (00006713)</t>
        </is>
      </c>
      <c r="D2371" s="1" t="n">
        <v>4064941147107</v>
      </c>
      <c r="E2371" t="inlineStr">
        <is>
          <t>KJ MU HYB BLSH PWDBLU2.5G 355PETAL 25IV</t>
        </is>
      </c>
      <c r="F2371" t="inlineStr">
        <is>
          <t>P_US_FG</t>
        </is>
      </c>
      <c r="G2371" t="inlineStr">
        <is>
          <t>CurrentWorkingView</t>
        </is>
      </c>
      <c r="H2371" t="inlineStr">
        <is>
          <t>Reasonability Adjustment</t>
        </is>
      </c>
    </row>
    <row r="2372">
      <c r="A2372" t="inlineStr">
        <is>
          <t>Kylie Makeup</t>
        </is>
      </c>
      <c r="B2372" t="inlineStr">
        <is>
          <t>Face (01243)</t>
        </is>
      </c>
      <c r="C2372" t="inlineStr">
        <is>
          <t>Kylie Hybrid Blush (00006713)</t>
        </is>
      </c>
      <c r="D2372" s="1" t="n">
        <v>4064941147107</v>
      </c>
      <c r="E2372" t="inlineStr">
        <is>
          <t>KJ MU HYB BLSH PWDBLU2.5G 355PETAL 25IV</t>
        </is>
      </c>
      <c r="F2372" t="inlineStr">
        <is>
          <t>P_US_FG</t>
        </is>
      </c>
      <c r="G2372" t="inlineStr">
        <is>
          <t>CurrentWorkingView</t>
        </is>
      </c>
      <c r="H2372" t="inlineStr">
        <is>
          <t>Total Demand Assumption</t>
        </is>
      </c>
    </row>
    <row r="2373">
      <c r="A2373" t="inlineStr">
        <is>
          <t>Kylie Makeup</t>
        </is>
      </c>
      <c r="B2373" t="inlineStr">
        <is>
          <t>Face (01243)</t>
        </is>
      </c>
      <c r="C2373" t="inlineStr">
        <is>
          <t>Kylie Hybrid Blush (00006713)</t>
        </is>
      </c>
      <c r="D2373" s="1" t="n">
        <v>4064941147107</v>
      </c>
      <c r="E2373" t="inlineStr">
        <is>
          <t>KJ MU HYB BLSH PWDBLU2.5G 355PETAL 25IV</t>
        </is>
      </c>
      <c r="F2373" t="inlineStr">
        <is>
          <t>P_US_FG</t>
        </is>
      </c>
      <c r="G2373" t="inlineStr">
        <is>
          <t>CurrentWorkingView</t>
        </is>
      </c>
      <c r="H2373" t="inlineStr">
        <is>
          <t>Consensus - Final</t>
        </is>
      </c>
      <c r="K2373" t="n">
        <v>0</v>
      </c>
    </row>
    <row r="2374">
      <c r="A2374" t="inlineStr">
        <is>
          <t>Kylie Makeup</t>
        </is>
      </c>
      <c r="B2374" t="inlineStr">
        <is>
          <t>Face (01243)</t>
        </is>
      </c>
      <c r="C2374" t="inlineStr">
        <is>
          <t>Kylie Hybrid Blush (00006713)</t>
        </is>
      </c>
      <c r="D2374" s="1" t="n">
        <v>4064941147107</v>
      </c>
      <c r="E2374" t="inlineStr">
        <is>
          <t>KJ MU HYB BLSH PWDBLU2.5G 355PETAL 25IV</t>
        </is>
      </c>
      <c r="F2374" t="inlineStr">
        <is>
          <t>P_US_FG</t>
        </is>
      </c>
      <c r="G2374" t="inlineStr">
        <is>
          <t>CurrentWorkingView</t>
        </is>
      </c>
      <c r="H2374" t="inlineStr">
        <is>
          <t>Supply Cuts</t>
        </is>
      </c>
    </row>
    <row r="2375">
      <c r="A2375" t="inlineStr">
        <is>
          <t>Kylie Makeup</t>
        </is>
      </c>
      <c r="B2375" t="inlineStr">
        <is>
          <t>Face (01243)</t>
        </is>
      </c>
      <c r="C2375" t="inlineStr">
        <is>
          <t>Kylie Hybrid Blush (00006713)</t>
        </is>
      </c>
      <c r="D2375" s="1" t="n">
        <v>4064941147107</v>
      </c>
      <c r="E2375" t="inlineStr">
        <is>
          <t>KJ MU HYB BLSH PWDBLU2.5G 355PETAL 25IV</t>
        </is>
      </c>
      <c r="F2375" t="inlineStr">
        <is>
          <t>P_US_FG</t>
        </is>
      </c>
      <c r="G2375" t="inlineStr">
        <is>
          <t>Month-2026.M09.W38</t>
        </is>
      </c>
      <c r="H2375" t="inlineStr">
        <is>
          <t>Consensus - Final LY M</t>
        </is>
      </c>
      <c r="I2375" t="n">
        <v>443</v>
      </c>
      <c r="L2375" t="n">
        <v>32</v>
      </c>
      <c r="O2375" t="n">
        <v>100</v>
      </c>
      <c r="P2375" t="n">
        <v>30</v>
      </c>
      <c r="Q2375" t="n">
        <v>24</v>
      </c>
      <c r="T2375" t="n">
        <v>60</v>
      </c>
    </row>
    <row r="2376">
      <c r="A2376" t="inlineStr">
        <is>
          <t>Kylie Makeup</t>
        </is>
      </c>
      <c r="B2376" t="inlineStr">
        <is>
          <t>Face (01243)</t>
        </is>
      </c>
      <c r="C2376" t="inlineStr">
        <is>
          <t>Kylie Hybrid Blush (00006713)</t>
        </is>
      </c>
      <c r="D2376" s="1" t="n">
        <v>4064941147107</v>
      </c>
      <c r="E2376" t="inlineStr">
        <is>
          <t>KJ MU HYB BLSH PWDBLU2.5G 355PETAL 25IV</t>
        </is>
      </c>
      <c r="F2376" t="inlineStr">
        <is>
          <t>P_US_FG</t>
        </is>
      </c>
      <c r="G2376" t="inlineStr">
        <is>
          <t>Month-2026.M09.W38</t>
        </is>
      </c>
      <c r="H2376" t="inlineStr">
        <is>
          <t>System FC - Final</t>
        </is>
      </c>
      <c r="K2376" t="n">
        <v>19</v>
      </c>
      <c r="L2376" t="n">
        <v>16</v>
      </c>
      <c r="M2376" t="n">
        <v>22</v>
      </c>
      <c r="N2376" t="n">
        <v>22</v>
      </c>
      <c r="O2376" t="n">
        <v>18</v>
      </c>
      <c r="P2376" t="n">
        <v>20</v>
      </c>
      <c r="Q2376" t="n">
        <v>22</v>
      </c>
      <c r="R2376" t="n">
        <v>21</v>
      </c>
      <c r="S2376" t="n">
        <v>22</v>
      </c>
      <c r="T2376" t="n">
        <v>14</v>
      </c>
    </row>
    <row r="2377">
      <c r="A2377" t="inlineStr">
        <is>
          <t>Kylie Makeup</t>
        </is>
      </c>
      <c r="B2377" t="inlineStr">
        <is>
          <t>Face (01243)</t>
        </is>
      </c>
      <c r="C2377" t="inlineStr">
        <is>
          <t>Kylie Hybrid Blush (00006713)</t>
        </is>
      </c>
      <c r="D2377" s="1" t="n">
        <v>4064941147107</v>
      </c>
      <c r="E2377" t="inlineStr">
        <is>
          <t>KJ MU HYB BLSH PWDBLU2.5G 355PETAL 25IV</t>
        </is>
      </c>
      <c r="F2377" t="inlineStr">
        <is>
          <t>P_US_FG</t>
        </is>
      </c>
      <c r="G2377" t="inlineStr">
        <is>
          <t>Month-2026.M09.W38</t>
        </is>
      </c>
      <c r="H2377" t="inlineStr">
        <is>
          <t>EPOS</t>
        </is>
      </c>
    </row>
    <row r="2378">
      <c r="A2378" t="inlineStr">
        <is>
          <t>Kylie Makeup</t>
        </is>
      </c>
      <c r="B2378" t="inlineStr">
        <is>
          <t>Face (01243)</t>
        </is>
      </c>
      <c r="C2378" t="inlineStr">
        <is>
          <t>Kylie Hybrid Blush (00006713)</t>
        </is>
      </c>
      <c r="D2378" s="1" t="n">
        <v>4064941147107</v>
      </c>
      <c r="E2378" t="inlineStr">
        <is>
          <t>KJ MU HYB BLSH PWDBLU2.5G 355PETAL 25IV</t>
        </is>
      </c>
      <c r="F2378" t="inlineStr">
        <is>
          <t>P_US_FG</t>
        </is>
      </c>
      <c r="G2378" t="inlineStr">
        <is>
          <t>Month-2026.M09.W38</t>
        </is>
      </c>
      <c r="H2378" t="inlineStr">
        <is>
          <t>Reasonability Adjustment</t>
        </is>
      </c>
    </row>
    <row r="2379">
      <c r="A2379" t="inlineStr">
        <is>
          <t>Kylie Makeup</t>
        </is>
      </c>
      <c r="B2379" t="inlineStr">
        <is>
          <t>Face (01243)</t>
        </is>
      </c>
      <c r="C2379" t="inlineStr">
        <is>
          <t>Kylie Hybrid Blush (00006713)</t>
        </is>
      </c>
      <c r="D2379" s="1" t="n">
        <v>4064941147107</v>
      </c>
      <c r="E2379" t="inlineStr">
        <is>
          <t>KJ MU HYB BLSH PWDBLU2.5G 355PETAL 25IV</t>
        </is>
      </c>
      <c r="F2379" t="inlineStr">
        <is>
          <t>P_US_FG</t>
        </is>
      </c>
      <c r="G2379" t="inlineStr">
        <is>
          <t>Month-2026.M09.W38</t>
        </is>
      </c>
      <c r="H2379" t="inlineStr">
        <is>
          <t>Total Demand Assumption</t>
        </is>
      </c>
    </row>
    <row r="2380">
      <c r="A2380" t="inlineStr">
        <is>
          <t>Kylie Makeup</t>
        </is>
      </c>
      <c r="B2380" t="inlineStr">
        <is>
          <t>Face (01243)</t>
        </is>
      </c>
      <c r="C2380" t="inlineStr">
        <is>
          <t>Kylie Hybrid Blush (00006713)</t>
        </is>
      </c>
      <c r="D2380" s="1" t="n">
        <v>4064941147107</v>
      </c>
      <c r="E2380" t="inlineStr">
        <is>
          <t>KJ MU HYB BLSH PWDBLU2.5G 355PETAL 25IV</t>
        </is>
      </c>
      <c r="F2380" t="inlineStr">
        <is>
          <t>P_US_FG</t>
        </is>
      </c>
      <c r="G2380" t="inlineStr">
        <is>
          <t>Month-2026.M09.W38</t>
        </is>
      </c>
      <c r="H2380" t="inlineStr">
        <is>
          <t>Consensus - Final</t>
        </is>
      </c>
      <c r="K2380" t="n">
        <v>0</v>
      </c>
    </row>
    <row r="2381">
      <c r="A2381" t="inlineStr">
        <is>
          <t>Kylie Makeup</t>
        </is>
      </c>
      <c r="B2381" t="inlineStr">
        <is>
          <t>Face (01243)</t>
        </is>
      </c>
      <c r="C2381" t="inlineStr">
        <is>
          <t>Kylie Hybrid Blush (00006713)</t>
        </is>
      </c>
      <c r="D2381" s="1" t="n">
        <v>4064941147107</v>
      </c>
      <c r="E2381" t="inlineStr">
        <is>
          <t>KJ MU HYB BLSH PWDBLU2.5G 355PETAL 25IV</t>
        </is>
      </c>
      <c r="F2381" t="inlineStr">
        <is>
          <t>P_US_FG</t>
        </is>
      </c>
      <c r="G2381" t="inlineStr">
        <is>
          <t>Month-2026.M09.W38</t>
        </is>
      </c>
      <c r="H2381" t="inlineStr">
        <is>
          <t>Supply Cuts</t>
        </is>
      </c>
    </row>
    <row r="2382">
      <c r="A2382" t="inlineStr">
        <is>
          <t>Kylie Makeup</t>
        </is>
      </c>
      <c r="B2382" t="inlineStr">
        <is>
          <t>Face (01243)</t>
        </is>
      </c>
      <c r="C2382" t="inlineStr">
        <is>
          <t>Kylie Hybrid Blush (00006713)</t>
        </is>
      </c>
      <c r="D2382" s="1" t="n">
        <v>4064941147107</v>
      </c>
      <c r="E2382" t="inlineStr">
        <is>
          <t>KJ MU HYB BLSH PWDBLU2.5G 355PETAL 25IV</t>
        </is>
      </c>
      <c r="F2382" t="inlineStr">
        <is>
          <t>P_US_ULTA</t>
        </is>
      </c>
      <c r="G2382" t="inlineStr">
        <is>
          <t>CurrentWorkingView</t>
        </is>
      </c>
      <c r="H2382" t="inlineStr">
        <is>
          <t>Consensus - Final LY M</t>
        </is>
      </c>
      <c r="I2382" t="n">
        <v>72</v>
      </c>
      <c r="J2382" t="n">
        <v>648</v>
      </c>
      <c r="K2382" t="n">
        <v>504</v>
      </c>
      <c r="L2382" t="n">
        <v>1224</v>
      </c>
      <c r="M2382" t="n">
        <v>1512</v>
      </c>
      <c r="N2382" t="n">
        <v>360</v>
      </c>
      <c r="O2382" t="n">
        <v>864</v>
      </c>
      <c r="P2382" t="n">
        <v>1512</v>
      </c>
      <c r="Q2382" t="n">
        <v>2808</v>
      </c>
      <c r="R2382" t="n">
        <v>1512</v>
      </c>
      <c r="S2382" t="n">
        <v>1800</v>
      </c>
      <c r="T2382" t="n">
        <v>1512</v>
      </c>
    </row>
    <row r="2383">
      <c r="A2383" t="inlineStr">
        <is>
          <t>Kylie Makeup</t>
        </is>
      </c>
      <c r="B2383" t="inlineStr">
        <is>
          <t>Face (01243)</t>
        </is>
      </c>
      <c r="C2383" t="inlineStr">
        <is>
          <t>Kylie Hybrid Blush (00006713)</t>
        </is>
      </c>
      <c r="D2383" s="1" t="n">
        <v>4064941147107</v>
      </c>
      <c r="E2383" t="inlineStr">
        <is>
          <t>KJ MU HYB BLSH PWDBLU2.5G 355PETAL 25IV</t>
        </is>
      </c>
      <c r="F2383" t="inlineStr">
        <is>
          <t>P_US_ULTA</t>
        </is>
      </c>
      <c r="G2383" t="inlineStr">
        <is>
          <t>CurrentWorkingView</t>
        </is>
      </c>
      <c r="H2383" t="inlineStr">
        <is>
          <t>System FC - Final</t>
        </is>
      </c>
      <c r="I2383" t="n">
        <v>1440</v>
      </c>
      <c r="J2383" t="n">
        <v>7848</v>
      </c>
      <c r="K2383" t="n">
        <v>5571</v>
      </c>
      <c r="L2383" t="n">
        <v>1674</v>
      </c>
      <c r="M2383" t="n">
        <v>1676</v>
      </c>
      <c r="N2383" t="n">
        <v>1674</v>
      </c>
      <c r="O2383" t="n">
        <v>1674</v>
      </c>
      <c r="P2383" t="n">
        <v>1676</v>
      </c>
      <c r="Q2383" t="n">
        <v>1674</v>
      </c>
      <c r="R2383" t="n">
        <v>1675</v>
      </c>
      <c r="S2383" t="n">
        <v>1674</v>
      </c>
      <c r="T2383" t="n">
        <v>1676</v>
      </c>
    </row>
    <row r="2384">
      <c r="A2384" t="inlineStr">
        <is>
          <t>Kylie Makeup</t>
        </is>
      </c>
      <c r="B2384" t="inlineStr">
        <is>
          <t>Face (01243)</t>
        </is>
      </c>
      <c r="C2384" t="inlineStr">
        <is>
          <t>Kylie Hybrid Blush (00006713)</t>
        </is>
      </c>
      <c r="D2384" s="1" t="n">
        <v>4064941147107</v>
      </c>
      <c r="E2384" t="inlineStr">
        <is>
          <t>KJ MU HYB BLSH PWDBLU2.5G 355PETAL 25IV</t>
        </is>
      </c>
      <c r="F2384" t="inlineStr">
        <is>
          <t>P_US_ULTA</t>
        </is>
      </c>
      <c r="G2384" t="inlineStr">
        <is>
          <t>CurrentWorkingView</t>
        </is>
      </c>
      <c r="H2384" t="inlineStr">
        <is>
          <t>EPOS</t>
        </is>
      </c>
      <c r="I2384" t="n">
        <v>899</v>
      </c>
    </row>
    <row r="2385">
      <c r="A2385" t="inlineStr">
        <is>
          <t>Kylie Makeup</t>
        </is>
      </c>
      <c r="B2385" t="inlineStr">
        <is>
          <t>Face (01243)</t>
        </is>
      </c>
      <c r="C2385" t="inlineStr">
        <is>
          <t>Kylie Hybrid Blush (00006713)</t>
        </is>
      </c>
      <c r="D2385" s="1" t="n">
        <v>4064941147107</v>
      </c>
      <c r="E2385" t="inlineStr">
        <is>
          <t>KJ MU HYB BLSH PWDBLU2.5G 355PETAL 25IV</t>
        </is>
      </c>
      <c r="F2385" t="inlineStr">
        <is>
          <t>P_US_ULTA</t>
        </is>
      </c>
      <c r="G2385" t="inlineStr">
        <is>
          <t>CurrentWorkingView</t>
        </is>
      </c>
      <c r="H2385" t="inlineStr">
        <is>
          <t>Reasonability Adjustment</t>
        </is>
      </c>
      <c r="J2385" t="n">
        <v>640</v>
      </c>
      <c r="T2385" t="n">
        <v>-469</v>
      </c>
    </row>
    <row r="2386">
      <c r="A2386" t="inlineStr">
        <is>
          <t>Kylie Makeup</t>
        </is>
      </c>
      <c r="B2386" t="inlineStr">
        <is>
          <t>Face (01243)</t>
        </is>
      </c>
      <c r="C2386" t="inlineStr">
        <is>
          <t>Kylie Hybrid Blush (00006713)</t>
        </is>
      </c>
      <c r="D2386" s="1" t="n">
        <v>4064941147107</v>
      </c>
      <c r="E2386" t="inlineStr">
        <is>
          <t>KJ MU HYB BLSH PWDBLU2.5G 355PETAL 25IV</t>
        </is>
      </c>
      <c r="F2386" t="inlineStr">
        <is>
          <t>P_US_ULTA</t>
        </is>
      </c>
      <c r="G2386" t="inlineStr">
        <is>
          <t>CurrentWorkingView</t>
        </is>
      </c>
      <c r="H2386" t="inlineStr">
        <is>
          <t>Total Demand Assumption</t>
        </is>
      </c>
      <c r="I2386" t="n">
        <v>1041</v>
      </c>
      <c r="J2386" t="n">
        <v>5204</v>
      </c>
    </row>
    <row r="2387">
      <c r="A2387" t="inlineStr">
        <is>
          <t>Kylie Makeup</t>
        </is>
      </c>
      <c r="B2387" t="inlineStr">
        <is>
          <t>Face (01243)</t>
        </is>
      </c>
      <c r="C2387" t="inlineStr">
        <is>
          <t>Kylie Hybrid Blush (00006713)</t>
        </is>
      </c>
      <c r="D2387" s="1" t="n">
        <v>4064941147107</v>
      </c>
      <c r="E2387" t="inlineStr">
        <is>
          <t>KJ MU HYB BLSH PWDBLU2.5G 355PETAL 25IV</t>
        </is>
      </c>
      <c r="F2387" t="inlineStr">
        <is>
          <t>P_US_ULTA</t>
        </is>
      </c>
      <c r="G2387" t="inlineStr">
        <is>
          <t>CurrentWorkingView</t>
        </is>
      </c>
      <c r="H2387" t="inlineStr">
        <is>
          <t>Consensus - Final</t>
        </is>
      </c>
      <c r="I2387" t="n">
        <v>1440</v>
      </c>
      <c r="J2387" t="n">
        <v>7848</v>
      </c>
      <c r="K2387" t="n">
        <v>4896</v>
      </c>
      <c r="L2387" t="n">
        <v>1674</v>
      </c>
      <c r="M2387" t="n">
        <v>1676</v>
      </c>
      <c r="N2387" t="n">
        <v>1674</v>
      </c>
      <c r="O2387" t="n">
        <v>1674</v>
      </c>
      <c r="P2387" t="n">
        <v>1676</v>
      </c>
      <c r="Q2387" t="n">
        <v>1674</v>
      </c>
      <c r="R2387" t="n">
        <v>1675</v>
      </c>
      <c r="S2387" t="n">
        <v>1674</v>
      </c>
      <c r="T2387" t="n">
        <v>1207</v>
      </c>
    </row>
    <row r="2388">
      <c r="A2388" t="inlineStr">
        <is>
          <t>Kylie Makeup</t>
        </is>
      </c>
      <c r="B2388" t="inlineStr">
        <is>
          <t>Face (01243)</t>
        </is>
      </c>
      <c r="C2388" t="inlineStr">
        <is>
          <t>Kylie Hybrid Blush (00006713)</t>
        </is>
      </c>
      <c r="D2388" s="1" t="n">
        <v>4064941147107</v>
      </c>
      <c r="E2388" t="inlineStr">
        <is>
          <t>KJ MU HYB BLSH PWDBLU2.5G 355PETAL 25IV</t>
        </is>
      </c>
      <c r="F2388" t="inlineStr">
        <is>
          <t>P_US_ULTA</t>
        </is>
      </c>
      <c r="G2388" t="inlineStr">
        <is>
          <t>CurrentWorkingView</t>
        </is>
      </c>
      <c r="H2388" t="inlineStr">
        <is>
          <t>Supply Cuts</t>
        </is>
      </c>
    </row>
    <row r="2389">
      <c r="A2389" t="inlineStr">
        <is>
          <t>Kylie Makeup</t>
        </is>
      </c>
      <c r="B2389" t="inlineStr">
        <is>
          <t>Face (01243)</t>
        </is>
      </c>
      <c r="C2389" t="inlineStr">
        <is>
          <t>Kylie Hybrid Blush (00006713)</t>
        </is>
      </c>
      <c r="D2389" s="1" t="n">
        <v>4064941147107</v>
      </c>
      <c r="E2389" t="inlineStr">
        <is>
          <t>KJ MU HYB BLSH PWDBLU2.5G 355PETAL 25IV</t>
        </is>
      </c>
      <c r="F2389" t="inlineStr">
        <is>
          <t>P_US_ULTA</t>
        </is>
      </c>
      <c r="G2389" t="inlineStr">
        <is>
          <t>Month-2026.M09.W38</t>
        </is>
      </c>
      <c r="H2389" t="inlineStr">
        <is>
          <t>Consensus - Final LY M</t>
        </is>
      </c>
      <c r="I2389" t="n">
        <v>72</v>
      </c>
      <c r="J2389" t="n">
        <v>648</v>
      </c>
      <c r="K2389" t="n">
        <v>504</v>
      </c>
      <c r="L2389" t="n">
        <v>1224</v>
      </c>
      <c r="M2389" t="n">
        <v>1512</v>
      </c>
      <c r="N2389" t="n">
        <v>360</v>
      </c>
      <c r="O2389" t="n">
        <v>864</v>
      </c>
      <c r="P2389" t="n">
        <v>1512</v>
      </c>
      <c r="Q2389" t="n">
        <v>2808</v>
      </c>
      <c r="R2389" t="n">
        <v>1512</v>
      </c>
      <c r="S2389" t="n">
        <v>1800</v>
      </c>
      <c r="T2389" t="n">
        <v>1512</v>
      </c>
    </row>
    <row r="2390">
      <c r="A2390" t="inlineStr">
        <is>
          <t>Kylie Makeup</t>
        </is>
      </c>
      <c r="B2390" t="inlineStr">
        <is>
          <t>Face (01243)</t>
        </is>
      </c>
      <c r="C2390" t="inlineStr">
        <is>
          <t>Kylie Hybrid Blush (00006713)</t>
        </is>
      </c>
      <c r="D2390" s="1" t="n">
        <v>4064941147107</v>
      </c>
      <c r="E2390" t="inlineStr">
        <is>
          <t>KJ MU HYB BLSH PWDBLU2.5G 355PETAL 25IV</t>
        </is>
      </c>
      <c r="F2390" t="inlineStr">
        <is>
          <t>P_US_ULTA</t>
        </is>
      </c>
      <c r="G2390" t="inlineStr">
        <is>
          <t>Month-2026.M09.W38</t>
        </is>
      </c>
      <c r="H2390" t="inlineStr">
        <is>
          <t>System FC - Final</t>
        </is>
      </c>
      <c r="I2390" t="n">
        <v>1440</v>
      </c>
      <c r="J2390" t="n">
        <v>7848</v>
      </c>
      <c r="K2390" t="n">
        <v>3945</v>
      </c>
      <c r="L2390" t="n">
        <v>1360</v>
      </c>
      <c r="M2390" t="n">
        <v>1358</v>
      </c>
      <c r="N2390" t="n">
        <v>1360</v>
      </c>
      <c r="O2390" t="n">
        <v>1360</v>
      </c>
      <c r="P2390" t="n">
        <v>1360</v>
      </c>
      <c r="Q2390" t="n">
        <v>1360</v>
      </c>
      <c r="R2390" t="n">
        <v>1359</v>
      </c>
      <c r="S2390" t="n">
        <v>1360</v>
      </c>
      <c r="T2390" t="n">
        <v>1521</v>
      </c>
    </row>
    <row r="2391">
      <c r="A2391" t="inlineStr">
        <is>
          <t>Kylie Makeup</t>
        </is>
      </c>
      <c r="B2391" t="inlineStr">
        <is>
          <t>Face (01243)</t>
        </is>
      </c>
      <c r="C2391" t="inlineStr">
        <is>
          <t>Kylie Hybrid Blush (00006713)</t>
        </is>
      </c>
      <c r="D2391" s="1" t="n">
        <v>4064941147107</v>
      </c>
      <c r="E2391" t="inlineStr">
        <is>
          <t>KJ MU HYB BLSH PWDBLU2.5G 355PETAL 25IV</t>
        </is>
      </c>
      <c r="F2391" t="inlineStr">
        <is>
          <t>P_US_ULTA</t>
        </is>
      </c>
      <c r="G2391" t="inlineStr">
        <is>
          <t>Month-2026.M09.W38</t>
        </is>
      </c>
      <c r="H2391" t="inlineStr">
        <is>
          <t>EPOS</t>
        </is>
      </c>
      <c r="I2391" t="n">
        <v>899</v>
      </c>
    </row>
    <row r="2392">
      <c r="A2392" t="inlineStr">
        <is>
          <t>Kylie Makeup</t>
        </is>
      </c>
      <c r="B2392" t="inlineStr">
        <is>
          <t>Face (01243)</t>
        </is>
      </c>
      <c r="C2392" t="inlineStr">
        <is>
          <t>Kylie Hybrid Blush (00006713)</t>
        </is>
      </c>
      <c r="D2392" s="1" t="n">
        <v>4064941147107</v>
      </c>
      <c r="E2392" t="inlineStr">
        <is>
          <t>KJ MU HYB BLSH PWDBLU2.5G 355PETAL 25IV</t>
        </is>
      </c>
      <c r="F2392" t="inlineStr">
        <is>
          <t>P_US_ULTA</t>
        </is>
      </c>
      <c r="G2392" t="inlineStr">
        <is>
          <t>Month-2026.M09.W38</t>
        </is>
      </c>
      <c r="H2392" t="inlineStr">
        <is>
          <t>Reasonability Adjustment</t>
        </is>
      </c>
      <c r="J2392" t="n">
        <v>640</v>
      </c>
      <c r="T2392" t="n">
        <v>-469</v>
      </c>
    </row>
    <row r="2393">
      <c r="A2393" t="inlineStr">
        <is>
          <t>Kylie Makeup</t>
        </is>
      </c>
      <c r="B2393" t="inlineStr">
        <is>
          <t>Face (01243)</t>
        </is>
      </c>
      <c r="C2393" t="inlineStr">
        <is>
          <t>Kylie Hybrid Blush (00006713)</t>
        </is>
      </c>
      <c r="D2393" s="1" t="n">
        <v>4064941147107</v>
      </c>
      <c r="E2393" t="inlineStr">
        <is>
          <t>KJ MU HYB BLSH PWDBLU2.5G 355PETAL 25IV</t>
        </is>
      </c>
      <c r="F2393" t="inlineStr">
        <is>
          <t>P_US_ULTA</t>
        </is>
      </c>
      <c r="G2393" t="inlineStr">
        <is>
          <t>Month-2026.M09.W38</t>
        </is>
      </c>
      <c r="H2393" t="inlineStr">
        <is>
          <t>Total Demand Assumption</t>
        </is>
      </c>
      <c r="I2393" t="n">
        <v>1041</v>
      </c>
      <c r="J2393" t="n">
        <v>5204</v>
      </c>
    </row>
    <row r="2394">
      <c r="A2394" t="inlineStr">
        <is>
          <t>Kylie Makeup</t>
        </is>
      </c>
      <c r="B2394" t="inlineStr">
        <is>
          <t>Face (01243)</t>
        </is>
      </c>
      <c r="C2394" t="inlineStr">
        <is>
          <t>Kylie Hybrid Blush (00006713)</t>
        </is>
      </c>
      <c r="D2394" s="1" t="n">
        <v>4064941147107</v>
      </c>
      <c r="E2394" t="inlineStr">
        <is>
          <t>KJ MU HYB BLSH PWDBLU2.5G 355PETAL 25IV</t>
        </is>
      </c>
      <c r="F2394" t="inlineStr">
        <is>
          <t>P_US_ULTA</t>
        </is>
      </c>
      <c r="G2394" t="inlineStr">
        <is>
          <t>Month-2026.M09.W38</t>
        </is>
      </c>
      <c r="H2394" t="inlineStr">
        <is>
          <t>Consensus - Final</t>
        </is>
      </c>
      <c r="I2394" t="n">
        <v>1440</v>
      </c>
      <c r="J2394" t="n">
        <v>7848</v>
      </c>
      <c r="K2394" t="n">
        <v>2952</v>
      </c>
      <c r="L2394" t="n">
        <v>1360</v>
      </c>
      <c r="M2394" t="n">
        <v>1358</v>
      </c>
      <c r="N2394" t="n">
        <v>1360</v>
      </c>
      <c r="O2394" t="n">
        <v>1360</v>
      </c>
      <c r="P2394" t="n">
        <v>1360</v>
      </c>
      <c r="Q2394" t="n">
        <v>1360</v>
      </c>
      <c r="R2394" t="n">
        <v>1359</v>
      </c>
      <c r="S2394" t="n">
        <v>1360</v>
      </c>
      <c r="T2394" t="n">
        <v>1052</v>
      </c>
    </row>
    <row r="2395">
      <c r="A2395" t="inlineStr">
        <is>
          <t>Kylie Makeup</t>
        </is>
      </c>
      <c r="B2395" t="inlineStr">
        <is>
          <t>Face (01243)</t>
        </is>
      </c>
      <c r="C2395" t="inlineStr">
        <is>
          <t>Kylie Hybrid Blush (00006713)</t>
        </is>
      </c>
      <c r="D2395" s="1" t="n">
        <v>4064941147107</v>
      </c>
      <c r="E2395" t="inlineStr">
        <is>
          <t>KJ MU HYB BLSH PWDBLU2.5G 355PETAL 25IV</t>
        </is>
      </c>
      <c r="F2395" t="inlineStr">
        <is>
          <t>P_US_ULTA</t>
        </is>
      </c>
      <c r="G2395" t="inlineStr">
        <is>
          <t>Month-2026.M09.W38</t>
        </is>
      </c>
      <c r="H2395" t="inlineStr">
        <is>
          <t>Supply Cuts</t>
        </is>
      </c>
    </row>
    <row r="2396">
      <c r="A2396" t="inlineStr">
        <is>
          <t>Kylie Makeup</t>
        </is>
      </c>
      <c r="B2396" t="inlineStr">
        <is>
          <t>Face (01243)</t>
        </is>
      </c>
      <c r="C2396" t="inlineStr">
        <is>
          <t>Kylie Hybrid Blush (00006713)</t>
        </is>
      </c>
      <c r="D2396" s="1" t="n">
        <v>4064941147114</v>
      </c>
      <c r="E2396" t="inlineStr">
        <is>
          <t>KJ MU HYB BLSH PWDBLU2.5G 353WTRKS 25IV</t>
        </is>
      </c>
      <c r="F2396" t="inlineStr">
        <is>
          <t>P_US_ALL_OTHERS</t>
        </is>
      </c>
      <c r="G2396" t="inlineStr">
        <is>
          <t>CurrentWorkingView</t>
        </is>
      </c>
      <c r="H2396" t="inlineStr">
        <is>
          <t>Consensus - Final LY M</t>
        </is>
      </c>
      <c r="I2396" t="n">
        <v>1262</v>
      </c>
      <c r="J2396" t="n">
        <v>84</v>
      </c>
      <c r="K2396" t="n">
        <v>53</v>
      </c>
      <c r="L2396" t="n">
        <v>199</v>
      </c>
      <c r="M2396" t="n">
        <v>502</v>
      </c>
      <c r="N2396" t="n">
        <v>280</v>
      </c>
      <c r="O2396" t="n">
        <v>213</v>
      </c>
      <c r="P2396" t="n">
        <v>582</v>
      </c>
      <c r="Q2396" t="n">
        <v>116</v>
      </c>
      <c r="R2396" t="n">
        <v>320</v>
      </c>
      <c r="S2396" t="n">
        <v>506</v>
      </c>
      <c r="T2396" t="n">
        <v>9</v>
      </c>
    </row>
    <row r="2397">
      <c r="A2397" t="inlineStr">
        <is>
          <t>Kylie Makeup</t>
        </is>
      </c>
      <c r="B2397" t="inlineStr">
        <is>
          <t>Face (01243)</t>
        </is>
      </c>
      <c r="C2397" t="inlineStr">
        <is>
          <t>Kylie Hybrid Blush (00006713)</t>
        </is>
      </c>
      <c r="D2397" s="1" t="n">
        <v>4064941147114</v>
      </c>
      <c r="E2397" t="inlineStr">
        <is>
          <t>KJ MU HYB BLSH PWDBLU2.5G 353WTRKS 25IV</t>
        </is>
      </c>
      <c r="F2397" t="inlineStr">
        <is>
          <t>P_US_ALL_OTHERS</t>
        </is>
      </c>
      <c r="G2397" t="inlineStr">
        <is>
          <t>CurrentWorkingView</t>
        </is>
      </c>
      <c r="H2397" t="inlineStr">
        <is>
          <t>System FC - Final</t>
        </is>
      </c>
      <c r="I2397" t="n">
        <v>511</v>
      </c>
      <c r="J2397" t="n">
        <v>333</v>
      </c>
      <c r="K2397" t="n">
        <v>255</v>
      </c>
      <c r="L2397" t="n">
        <v>377</v>
      </c>
      <c r="M2397" t="n">
        <v>329</v>
      </c>
      <c r="N2397" t="n">
        <v>332</v>
      </c>
      <c r="O2397" t="n">
        <v>345</v>
      </c>
      <c r="P2397" t="n">
        <v>336</v>
      </c>
      <c r="Q2397" t="n">
        <v>337</v>
      </c>
      <c r="R2397" t="n">
        <v>339</v>
      </c>
      <c r="S2397" t="n">
        <v>337</v>
      </c>
      <c r="T2397" t="n">
        <v>339</v>
      </c>
    </row>
    <row r="2398">
      <c r="A2398" t="inlineStr">
        <is>
          <t>Kylie Makeup</t>
        </is>
      </c>
      <c r="B2398" t="inlineStr">
        <is>
          <t>Face (01243)</t>
        </is>
      </c>
      <c r="C2398" t="inlineStr">
        <is>
          <t>Kylie Hybrid Blush (00006713)</t>
        </is>
      </c>
      <c r="D2398" s="1" t="n">
        <v>4064941147114</v>
      </c>
      <c r="E2398" t="inlineStr">
        <is>
          <t>KJ MU HYB BLSH PWDBLU2.5G 353WTRKS 25IV</t>
        </is>
      </c>
      <c r="F2398" t="inlineStr">
        <is>
          <t>P_US_ALL_OTHERS</t>
        </is>
      </c>
      <c r="G2398" t="inlineStr">
        <is>
          <t>CurrentWorkingView</t>
        </is>
      </c>
      <c r="H2398" t="inlineStr">
        <is>
          <t>EPOS</t>
        </is>
      </c>
      <c r="I2398" t="n">
        <v>163</v>
      </c>
    </row>
    <row r="2399">
      <c r="A2399" t="inlineStr">
        <is>
          <t>Kylie Makeup</t>
        </is>
      </c>
      <c r="B2399" t="inlineStr">
        <is>
          <t>Face (01243)</t>
        </is>
      </c>
      <c r="C2399" t="inlineStr">
        <is>
          <t>Kylie Hybrid Blush (00006713)</t>
        </is>
      </c>
      <c r="D2399" s="1" t="n">
        <v>4064941147114</v>
      </c>
      <c r="E2399" t="inlineStr">
        <is>
          <t>KJ MU HYB BLSH PWDBLU2.5G 353WTRKS 25IV</t>
        </is>
      </c>
      <c r="F2399" t="inlineStr">
        <is>
          <t>P_US_ALL_OTHERS</t>
        </is>
      </c>
      <c r="G2399" t="inlineStr">
        <is>
          <t>CurrentWorkingView</t>
        </is>
      </c>
      <c r="H2399" t="inlineStr">
        <is>
          <t>Reasonability Adjustment</t>
        </is>
      </c>
      <c r="I2399" t="n">
        <v>222</v>
      </c>
      <c r="J2399" t="n">
        <v>294</v>
      </c>
      <c r="R2399" t="n">
        <v>-238</v>
      </c>
      <c r="T2399" t="n">
        <v>-267</v>
      </c>
    </row>
    <row r="2400">
      <c r="A2400" t="inlineStr">
        <is>
          <t>Kylie Makeup</t>
        </is>
      </c>
      <c r="B2400" t="inlineStr">
        <is>
          <t>Face (01243)</t>
        </is>
      </c>
      <c r="C2400" t="inlineStr">
        <is>
          <t>Kylie Hybrid Blush (00006713)</t>
        </is>
      </c>
      <c r="D2400" s="1" t="n">
        <v>4064941147114</v>
      </c>
      <c r="E2400" t="inlineStr">
        <is>
          <t>KJ MU HYB BLSH PWDBLU2.5G 353WTRKS 25IV</t>
        </is>
      </c>
      <c r="F2400" t="inlineStr">
        <is>
          <t>P_US_ALL_OTHERS</t>
        </is>
      </c>
      <c r="G2400" t="inlineStr">
        <is>
          <t>CurrentWorkingView</t>
        </is>
      </c>
      <c r="H2400" t="inlineStr">
        <is>
          <t>Total Demand Assumption</t>
        </is>
      </c>
    </row>
    <row r="2401">
      <c r="A2401" t="inlineStr">
        <is>
          <t>Kylie Makeup</t>
        </is>
      </c>
      <c r="B2401" t="inlineStr">
        <is>
          <t>Face (01243)</t>
        </is>
      </c>
      <c r="C2401" t="inlineStr">
        <is>
          <t>Kylie Hybrid Blush (00006713)</t>
        </is>
      </c>
      <c r="D2401" s="1" t="n">
        <v>4064941147114</v>
      </c>
      <c r="E2401" t="inlineStr">
        <is>
          <t>KJ MU HYB BLSH PWDBLU2.5G 353WTRKS 25IV</t>
        </is>
      </c>
      <c r="F2401" t="inlineStr">
        <is>
          <t>P_US_ALL_OTHERS</t>
        </is>
      </c>
      <c r="G2401" t="inlineStr">
        <is>
          <t>CurrentWorkingView</t>
        </is>
      </c>
      <c r="H2401" t="inlineStr">
        <is>
          <t>Consensus - Final</t>
        </is>
      </c>
      <c r="I2401" t="n">
        <v>511</v>
      </c>
      <c r="J2401" t="n">
        <v>333</v>
      </c>
      <c r="K2401" t="n">
        <v>398.062068965517</v>
      </c>
      <c r="L2401" t="n">
        <v>377</v>
      </c>
      <c r="M2401" t="n">
        <v>329</v>
      </c>
      <c r="N2401" t="n">
        <v>332</v>
      </c>
      <c r="O2401" t="n">
        <v>345</v>
      </c>
      <c r="P2401" t="n">
        <v>336</v>
      </c>
      <c r="Q2401" t="n">
        <v>337</v>
      </c>
      <c r="R2401" t="n">
        <v>101</v>
      </c>
      <c r="S2401" t="n">
        <v>337</v>
      </c>
      <c r="T2401" t="n">
        <v>72</v>
      </c>
    </row>
    <row r="2402">
      <c r="A2402" t="inlineStr">
        <is>
          <t>Kylie Makeup</t>
        </is>
      </c>
      <c r="B2402" t="inlineStr">
        <is>
          <t>Face (01243)</t>
        </is>
      </c>
      <c r="C2402" t="inlineStr">
        <is>
          <t>Kylie Hybrid Blush (00006713)</t>
        </is>
      </c>
      <c r="D2402" s="1" t="n">
        <v>4064941147114</v>
      </c>
      <c r="E2402" t="inlineStr">
        <is>
          <t>KJ MU HYB BLSH PWDBLU2.5G 353WTRKS 25IV</t>
        </is>
      </c>
      <c r="F2402" t="inlineStr">
        <is>
          <t>P_US_ALL_OTHERS</t>
        </is>
      </c>
      <c r="G2402" t="inlineStr">
        <is>
          <t>CurrentWorkingView</t>
        </is>
      </c>
      <c r="H2402" t="inlineStr">
        <is>
          <t>Supply Cuts</t>
        </is>
      </c>
    </row>
    <row r="2403">
      <c r="A2403" t="inlineStr">
        <is>
          <t>Kylie Makeup</t>
        </is>
      </c>
      <c r="B2403" t="inlineStr">
        <is>
          <t>Face (01243)</t>
        </is>
      </c>
      <c r="C2403" t="inlineStr">
        <is>
          <t>Kylie Hybrid Blush (00006713)</t>
        </is>
      </c>
      <c r="D2403" s="1" t="n">
        <v>4064941147114</v>
      </c>
      <c r="E2403" t="inlineStr">
        <is>
          <t>KJ MU HYB BLSH PWDBLU2.5G 353WTRKS 25IV</t>
        </is>
      </c>
      <c r="F2403" t="inlineStr">
        <is>
          <t>P_US_ALL_OTHERS</t>
        </is>
      </c>
      <c r="G2403" t="inlineStr">
        <is>
          <t>Month-2026.M09.W38</t>
        </is>
      </c>
      <c r="H2403" t="inlineStr">
        <is>
          <t>Consensus - Final LY M</t>
        </is>
      </c>
      <c r="I2403" t="n">
        <v>1262</v>
      </c>
      <c r="J2403" t="n">
        <v>84</v>
      </c>
      <c r="K2403" t="n">
        <v>53</v>
      </c>
      <c r="L2403" t="n">
        <v>199</v>
      </c>
      <c r="M2403" t="n">
        <v>502</v>
      </c>
      <c r="N2403" t="n">
        <v>280</v>
      </c>
      <c r="O2403" t="n">
        <v>213</v>
      </c>
      <c r="P2403" t="n">
        <v>582</v>
      </c>
      <c r="Q2403" t="n">
        <v>116</v>
      </c>
      <c r="R2403" t="n">
        <v>320</v>
      </c>
      <c r="S2403" t="n">
        <v>506</v>
      </c>
      <c r="T2403" t="n">
        <v>9</v>
      </c>
    </row>
    <row r="2404">
      <c r="A2404" t="inlineStr">
        <is>
          <t>Kylie Makeup</t>
        </is>
      </c>
      <c r="B2404" t="inlineStr">
        <is>
          <t>Face (01243)</t>
        </is>
      </c>
      <c r="C2404" t="inlineStr">
        <is>
          <t>Kylie Hybrid Blush (00006713)</t>
        </is>
      </c>
      <c r="D2404" s="1" t="n">
        <v>4064941147114</v>
      </c>
      <c r="E2404" t="inlineStr">
        <is>
          <t>KJ MU HYB BLSH PWDBLU2.5G 353WTRKS 25IV</t>
        </is>
      </c>
      <c r="F2404" t="inlineStr">
        <is>
          <t>P_US_ALL_OTHERS</t>
        </is>
      </c>
      <c r="G2404" t="inlineStr">
        <is>
          <t>Month-2026.M09.W38</t>
        </is>
      </c>
      <c r="H2404" t="inlineStr">
        <is>
          <t>System FC - Final</t>
        </is>
      </c>
      <c r="I2404" t="n">
        <v>511</v>
      </c>
      <c r="J2404" t="n">
        <v>333</v>
      </c>
      <c r="K2404" t="n">
        <v>310</v>
      </c>
      <c r="L2404" t="n">
        <v>381</v>
      </c>
      <c r="M2404" t="n">
        <v>338</v>
      </c>
      <c r="N2404" t="n">
        <v>336</v>
      </c>
      <c r="O2404" t="n">
        <v>350</v>
      </c>
      <c r="P2404" t="n">
        <v>340</v>
      </c>
      <c r="Q2404" t="n">
        <v>341</v>
      </c>
      <c r="R2404" t="n">
        <v>343</v>
      </c>
      <c r="S2404" t="n">
        <v>341</v>
      </c>
      <c r="T2404" t="n">
        <v>321</v>
      </c>
    </row>
    <row r="2405">
      <c r="A2405" t="inlineStr">
        <is>
          <t>Kylie Makeup</t>
        </is>
      </c>
      <c r="B2405" t="inlineStr">
        <is>
          <t>Face (01243)</t>
        </is>
      </c>
      <c r="C2405" t="inlineStr">
        <is>
          <t>Kylie Hybrid Blush (00006713)</t>
        </is>
      </c>
      <c r="D2405" s="1" t="n">
        <v>4064941147114</v>
      </c>
      <c r="E2405" t="inlineStr">
        <is>
          <t>KJ MU HYB BLSH PWDBLU2.5G 353WTRKS 25IV</t>
        </is>
      </c>
      <c r="F2405" t="inlineStr">
        <is>
          <t>P_US_ALL_OTHERS</t>
        </is>
      </c>
      <c r="G2405" t="inlineStr">
        <is>
          <t>Month-2026.M09.W38</t>
        </is>
      </c>
      <c r="H2405" t="inlineStr">
        <is>
          <t>EPOS</t>
        </is>
      </c>
      <c r="I2405" t="n">
        <v>163</v>
      </c>
    </row>
    <row r="2406">
      <c r="A2406" t="inlineStr">
        <is>
          <t>Kylie Makeup</t>
        </is>
      </c>
      <c r="B2406" t="inlineStr">
        <is>
          <t>Face (01243)</t>
        </is>
      </c>
      <c r="C2406" t="inlineStr">
        <is>
          <t>Kylie Hybrid Blush (00006713)</t>
        </is>
      </c>
      <c r="D2406" s="1" t="n">
        <v>4064941147114</v>
      </c>
      <c r="E2406" t="inlineStr">
        <is>
          <t>KJ MU HYB BLSH PWDBLU2.5G 353WTRKS 25IV</t>
        </is>
      </c>
      <c r="F2406" t="inlineStr">
        <is>
          <t>P_US_ALL_OTHERS</t>
        </is>
      </c>
      <c r="G2406" t="inlineStr">
        <is>
          <t>Month-2026.M09.W38</t>
        </is>
      </c>
      <c r="H2406" t="inlineStr">
        <is>
          <t>Reasonability Adjustment</t>
        </is>
      </c>
      <c r="I2406" t="n">
        <v>222</v>
      </c>
      <c r="J2406" t="n">
        <v>294</v>
      </c>
      <c r="R2406" t="n">
        <v>-238</v>
      </c>
      <c r="T2406" t="n">
        <v>-267</v>
      </c>
    </row>
    <row r="2407">
      <c r="A2407" t="inlineStr">
        <is>
          <t>Kylie Makeup</t>
        </is>
      </c>
      <c r="B2407" t="inlineStr">
        <is>
          <t>Face (01243)</t>
        </is>
      </c>
      <c r="C2407" t="inlineStr">
        <is>
          <t>Kylie Hybrid Blush (00006713)</t>
        </is>
      </c>
      <c r="D2407" s="1" t="n">
        <v>4064941147114</v>
      </c>
      <c r="E2407" t="inlineStr">
        <is>
          <t>KJ MU HYB BLSH PWDBLU2.5G 353WTRKS 25IV</t>
        </is>
      </c>
      <c r="F2407" t="inlineStr">
        <is>
          <t>P_US_ALL_OTHERS</t>
        </is>
      </c>
      <c r="G2407" t="inlineStr">
        <is>
          <t>Month-2026.M09.W38</t>
        </is>
      </c>
      <c r="H2407" t="inlineStr">
        <is>
          <t>Total Demand Assumption</t>
        </is>
      </c>
    </row>
    <row r="2408">
      <c r="A2408" t="inlineStr">
        <is>
          <t>Kylie Makeup</t>
        </is>
      </c>
      <c r="B2408" t="inlineStr">
        <is>
          <t>Face (01243)</t>
        </is>
      </c>
      <c r="C2408" t="inlineStr">
        <is>
          <t>Kylie Hybrid Blush (00006713)</t>
        </is>
      </c>
      <c r="D2408" s="1" t="n">
        <v>4064941147114</v>
      </c>
      <c r="E2408" t="inlineStr">
        <is>
          <t>KJ MU HYB BLSH PWDBLU2.5G 353WTRKS 25IV</t>
        </is>
      </c>
      <c r="F2408" t="inlineStr">
        <is>
          <t>P_US_ALL_OTHERS</t>
        </is>
      </c>
      <c r="G2408" t="inlineStr">
        <is>
          <t>Month-2026.M09.W38</t>
        </is>
      </c>
      <c r="H2408" t="inlineStr">
        <is>
          <t>Consensus - Final</t>
        </is>
      </c>
      <c r="I2408" t="n">
        <v>511</v>
      </c>
      <c r="J2408" t="n">
        <v>333</v>
      </c>
      <c r="K2408" t="n">
        <v>398.062068965517</v>
      </c>
      <c r="L2408" t="n">
        <v>381</v>
      </c>
      <c r="M2408" t="n">
        <v>338</v>
      </c>
      <c r="N2408" t="n">
        <v>336</v>
      </c>
      <c r="O2408" t="n">
        <v>350</v>
      </c>
      <c r="P2408" t="n">
        <v>340</v>
      </c>
      <c r="Q2408" t="n">
        <v>341</v>
      </c>
      <c r="R2408" t="n">
        <v>105</v>
      </c>
      <c r="S2408" t="n">
        <v>341</v>
      </c>
      <c r="T2408" t="n">
        <v>54</v>
      </c>
    </row>
    <row r="2409">
      <c r="A2409" t="inlineStr">
        <is>
          <t>Kylie Makeup</t>
        </is>
      </c>
      <c r="B2409" t="inlineStr">
        <is>
          <t>Face (01243)</t>
        </is>
      </c>
      <c r="C2409" t="inlineStr">
        <is>
          <t>Kylie Hybrid Blush (00006713)</t>
        </is>
      </c>
      <c r="D2409" s="1" t="n">
        <v>4064941147114</v>
      </c>
      <c r="E2409" t="inlineStr">
        <is>
          <t>KJ MU HYB BLSH PWDBLU2.5G 353WTRKS 25IV</t>
        </is>
      </c>
      <c r="F2409" t="inlineStr">
        <is>
          <t>P_US_ALL_OTHERS</t>
        </is>
      </c>
      <c r="G2409" t="inlineStr">
        <is>
          <t>Month-2026.M09.W38</t>
        </is>
      </c>
      <c r="H2409" t="inlineStr">
        <is>
          <t>Supply Cuts</t>
        </is>
      </c>
    </row>
    <row r="2410">
      <c r="A2410" t="inlineStr">
        <is>
          <t>Kylie Makeup</t>
        </is>
      </c>
      <c r="B2410" t="inlineStr">
        <is>
          <t>Face (01243)</t>
        </is>
      </c>
      <c r="C2410" t="inlineStr">
        <is>
          <t>Kylie Hybrid Blush (00006713)</t>
        </is>
      </c>
      <c r="D2410" s="1" t="n">
        <v>4064941147114</v>
      </c>
      <c r="E2410" t="inlineStr">
        <is>
          <t>KJ MU HYB BLSH PWDBLU2.5G 353WTRKS 25IV</t>
        </is>
      </c>
      <c r="F2410" t="inlineStr">
        <is>
          <t>P_US_FG</t>
        </is>
      </c>
      <c r="G2410" t="inlineStr">
        <is>
          <t>CurrentWorkingView</t>
        </is>
      </c>
      <c r="H2410" t="inlineStr">
        <is>
          <t>Consensus - Final LY M</t>
        </is>
      </c>
      <c r="I2410" t="n">
        <v>434</v>
      </c>
      <c r="K2410" t="n">
        <v>300</v>
      </c>
      <c r="L2410" t="n">
        <v>32</v>
      </c>
      <c r="M2410" t="n">
        <v>48</v>
      </c>
      <c r="O2410" t="n">
        <v>100</v>
      </c>
      <c r="P2410" t="n">
        <v>30</v>
      </c>
      <c r="Q2410" t="n">
        <v>1134</v>
      </c>
      <c r="T2410" t="n">
        <v>40</v>
      </c>
    </row>
    <row r="2411">
      <c r="A2411" t="inlineStr">
        <is>
          <t>Kylie Makeup</t>
        </is>
      </c>
      <c r="B2411" t="inlineStr">
        <is>
          <t>Face (01243)</t>
        </is>
      </c>
      <c r="C2411" t="inlineStr">
        <is>
          <t>Kylie Hybrid Blush (00006713)</t>
        </is>
      </c>
      <c r="D2411" s="1" t="n">
        <v>4064941147114</v>
      </c>
      <c r="E2411" t="inlineStr">
        <is>
          <t>KJ MU HYB BLSH PWDBLU2.5G 353WTRKS 25IV</t>
        </is>
      </c>
      <c r="F2411" t="inlineStr">
        <is>
          <t>P_US_FG</t>
        </is>
      </c>
      <c r="G2411" t="inlineStr">
        <is>
          <t>CurrentWorkingView</t>
        </is>
      </c>
      <c r="H2411" t="inlineStr">
        <is>
          <t>System FC - Final</t>
        </is>
      </c>
      <c r="J2411" t="n">
        <v>30</v>
      </c>
      <c r="K2411" t="n">
        <v>47</v>
      </c>
      <c r="L2411" t="n">
        <v>68</v>
      </c>
      <c r="M2411" t="n">
        <v>64</v>
      </c>
      <c r="N2411" t="n">
        <v>67</v>
      </c>
      <c r="O2411" t="n">
        <v>66</v>
      </c>
      <c r="P2411" t="n">
        <v>68</v>
      </c>
      <c r="Q2411" t="n">
        <v>66</v>
      </c>
      <c r="R2411" t="n">
        <v>65</v>
      </c>
      <c r="S2411" t="n">
        <v>67</v>
      </c>
      <c r="T2411" t="n">
        <v>65</v>
      </c>
    </row>
    <row r="2412">
      <c r="A2412" t="inlineStr">
        <is>
          <t>Kylie Makeup</t>
        </is>
      </c>
      <c r="B2412" t="inlineStr">
        <is>
          <t>Face (01243)</t>
        </is>
      </c>
      <c r="C2412" t="inlineStr">
        <is>
          <t>Kylie Hybrid Blush (00006713)</t>
        </is>
      </c>
      <c r="D2412" s="1" t="n">
        <v>4064941147114</v>
      </c>
      <c r="E2412" t="inlineStr">
        <is>
          <t>KJ MU HYB BLSH PWDBLU2.5G 353WTRKS 25IV</t>
        </is>
      </c>
      <c r="F2412" t="inlineStr">
        <is>
          <t>P_US_FG</t>
        </is>
      </c>
      <c r="G2412" t="inlineStr">
        <is>
          <t>CurrentWorkingView</t>
        </is>
      </c>
      <c r="H2412" t="inlineStr">
        <is>
          <t>EPOS</t>
        </is>
      </c>
    </row>
    <row r="2413">
      <c r="A2413" t="inlineStr">
        <is>
          <t>Kylie Makeup</t>
        </is>
      </c>
      <c r="B2413" t="inlineStr">
        <is>
          <t>Face (01243)</t>
        </is>
      </c>
      <c r="C2413" t="inlineStr">
        <is>
          <t>Kylie Hybrid Blush (00006713)</t>
        </is>
      </c>
      <c r="D2413" s="1" t="n">
        <v>4064941147114</v>
      </c>
      <c r="E2413" t="inlineStr">
        <is>
          <t>KJ MU HYB BLSH PWDBLU2.5G 353WTRKS 25IV</t>
        </is>
      </c>
      <c r="F2413" t="inlineStr">
        <is>
          <t>P_US_FG</t>
        </is>
      </c>
      <c r="G2413" t="inlineStr">
        <is>
          <t>CurrentWorkingView</t>
        </is>
      </c>
      <c r="H2413" t="inlineStr">
        <is>
          <t>Reasonability Adjustment</t>
        </is>
      </c>
    </row>
    <row r="2414">
      <c r="A2414" t="inlineStr">
        <is>
          <t>Kylie Makeup</t>
        </is>
      </c>
      <c r="B2414" t="inlineStr">
        <is>
          <t>Face (01243)</t>
        </is>
      </c>
      <c r="C2414" t="inlineStr">
        <is>
          <t>Kylie Hybrid Blush (00006713)</t>
        </is>
      </c>
      <c r="D2414" s="1" t="n">
        <v>4064941147114</v>
      </c>
      <c r="E2414" t="inlineStr">
        <is>
          <t>KJ MU HYB BLSH PWDBLU2.5G 353WTRKS 25IV</t>
        </is>
      </c>
      <c r="F2414" t="inlineStr">
        <is>
          <t>P_US_FG</t>
        </is>
      </c>
      <c r="G2414" t="inlineStr">
        <is>
          <t>CurrentWorkingView</t>
        </is>
      </c>
      <c r="H2414" t="inlineStr">
        <is>
          <t>Total Demand Assumption</t>
        </is>
      </c>
    </row>
    <row r="2415">
      <c r="A2415" t="inlineStr">
        <is>
          <t>Kylie Makeup</t>
        </is>
      </c>
      <c r="B2415" t="inlineStr">
        <is>
          <t>Face (01243)</t>
        </is>
      </c>
      <c r="C2415" t="inlineStr">
        <is>
          <t>Kylie Hybrid Blush (00006713)</t>
        </is>
      </c>
      <c r="D2415" s="1" t="n">
        <v>4064941147114</v>
      </c>
      <c r="E2415" t="inlineStr">
        <is>
          <t>KJ MU HYB BLSH PWDBLU2.5G 353WTRKS 25IV</t>
        </is>
      </c>
      <c r="F2415" t="inlineStr">
        <is>
          <t>P_US_FG</t>
        </is>
      </c>
      <c r="G2415" t="inlineStr">
        <is>
          <t>CurrentWorkingView</t>
        </is>
      </c>
      <c r="H2415" t="inlineStr">
        <is>
          <t>Consensus - Final</t>
        </is>
      </c>
      <c r="J2415" t="n">
        <v>30</v>
      </c>
      <c r="K2415" t="n">
        <v>0</v>
      </c>
    </row>
    <row r="2416">
      <c r="A2416" t="inlineStr">
        <is>
          <t>Kylie Makeup</t>
        </is>
      </c>
      <c r="B2416" t="inlineStr">
        <is>
          <t>Face (01243)</t>
        </is>
      </c>
      <c r="C2416" t="inlineStr">
        <is>
          <t>Kylie Hybrid Blush (00006713)</t>
        </is>
      </c>
      <c r="D2416" s="1" t="n">
        <v>4064941147114</v>
      </c>
      <c r="E2416" t="inlineStr">
        <is>
          <t>KJ MU HYB BLSH PWDBLU2.5G 353WTRKS 25IV</t>
        </is>
      </c>
      <c r="F2416" t="inlineStr">
        <is>
          <t>P_US_FG</t>
        </is>
      </c>
      <c r="G2416" t="inlineStr">
        <is>
          <t>CurrentWorkingView</t>
        </is>
      </c>
      <c r="H2416" t="inlineStr">
        <is>
          <t>Supply Cuts</t>
        </is>
      </c>
    </row>
    <row r="2417">
      <c r="A2417" t="inlineStr">
        <is>
          <t>Kylie Makeup</t>
        </is>
      </c>
      <c r="B2417" t="inlineStr">
        <is>
          <t>Face (01243)</t>
        </is>
      </c>
      <c r="C2417" t="inlineStr">
        <is>
          <t>Kylie Hybrid Blush (00006713)</t>
        </is>
      </c>
      <c r="D2417" s="1" t="n">
        <v>4064941147114</v>
      </c>
      <c r="E2417" t="inlineStr">
        <is>
          <t>KJ MU HYB BLSH PWDBLU2.5G 353WTRKS 25IV</t>
        </is>
      </c>
      <c r="F2417" t="inlineStr">
        <is>
          <t>P_US_FG</t>
        </is>
      </c>
      <c r="G2417" t="inlineStr">
        <is>
          <t>Month-2026.M09.W38</t>
        </is>
      </c>
      <c r="H2417" t="inlineStr">
        <is>
          <t>Consensus - Final LY M</t>
        </is>
      </c>
      <c r="I2417" t="n">
        <v>434</v>
      </c>
      <c r="K2417" t="n">
        <v>300</v>
      </c>
      <c r="L2417" t="n">
        <v>32</v>
      </c>
      <c r="M2417" t="n">
        <v>48</v>
      </c>
      <c r="O2417" t="n">
        <v>100</v>
      </c>
      <c r="P2417" t="n">
        <v>30</v>
      </c>
      <c r="Q2417" t="n">
        <v>1134</v>
      </c>
      <c r="T2417" t="n">
        <v>40</v>
      </c>
    </row>
    <row r="2418">
      <c r="A2418" t="inlineStr">
        <is>
          <t>Kylie Makeup</t>
        </is>
      </c>
      <c r="B2418" t="inlineStr">
        <is>
          <t>Face (01243)</t>
        </is>
      </c>
      <c r="C2418" t="inlineStr">
        <is>
          <t>Kylie Hybrid Blush (00006713)</t>
        </is>
      </c>
      <c r="D2418" s="1" t="n">
        <v>4064941147114</v>
      </c>
      <c r="E2418" t="inlineStr">
        <is>
          <t>KJ MU HYB BLSH PWDBLU2.5G 353WTRKS 25IV</t>
        </is>
      </c>
      <c r="F2418" t="inlineStr">
        <is>
          <t>P_US_FG</t>
        </is>
      </c>
      <c r="G2418" t="inlineStr">
        <is>
          <t>Month-2026.M09.W38</t>
        </is>
      </c>
      <c r="H2418" t="inlineStr">
        <is>
          <t>System FC - Final</t>
        </is>
      </c>
      <c r="J2418" t="n">
        <v>30</v>
      </c>
      <c r="K2418" t="n">
        <v>69</v>
      </c>
      <c r="L2418" t="n">
        <v>94</v>
      </c>
      <c r="M2418" t="n">
        <v>96</v>
      </c>
      <c r="N2418" t="n">
        <v>93</v>
      </c>
      <c r="O2418" t="n">
        <v>93</v>
      </c>
      <c r="P2418" t="n">
        <v>96</v>
      </c>
      <c r="Q2418" t="n">
        <v>93</v>
      </c>
      <c r="R2418" t="n">
        <v>95</v>
      </c>
      <c r="S2418" t="n">
        <v>93</v>
      </c>
      <c r="T2418" t="n">
        <v>95</v>
      </c>
    </row>
    <row r="2419">
      <c r="A2419" t="inlineStr">
        <is>
          <t>Kylie Makeup</t>
        </is>
      </c>
      <c r="B2419" t="inlineStr">
        <is>
          <t>Face (01243)</t>
        </is>
      </c>
      <c r="C2419" t="inlineStr">
        <is>
          <t>Kylie Hybrid Blush (00006713)</t>
        </is>
      </c>
      <c r="D2419" s="1" t="n">
        <v>4064941147114</v>
      </c>
      <c r="E2419" t="inlineStr">
        <is>
          <t>KJ MU HYB BLSH PWDBLU2.5G 353WTRKS 25IV</t>
        </is>
      </c>
      <c r="F2419" t="inlineStr">
        <is>
          <t>P_US_FG</t>
        </is>
      </c>
      <c r="G2419" t="inlineStr">
        <is>
          <t>Month-2026.M09.W38</t>
        </is>
      </c>
      <c r="H2419" t="inlineStr">
        <is>
          <t>EPOS</t>
        </is>
      </c>
    </row>
    <row r="2420">
      <c r="A2420" t="inlineStr">
        <is>
          <t>Kylie Makeup</t>
        </is>
      </c>
      <c r="B2420" t="inlineStr">
        <is>
          <t>Face (01243)</t>
        </is>
      </c>
      <c r="C2420" t="inlineStr">
        <is>
          <t>Kylie Hybrid Blush (00006713)</t>
        </is>
      </c>
      <c r="D2420" s="1" t="n">
        <v>4064941147114</v>
      </c>
      <c r="E2420" t="inlineStr">
        <is>
          <t>KJ MU HYB BLSH PWDBLU2.5G 353WTRKS 25IV</t>
        </is>
      </c>
      <c r="F2420" t="inlineStr">
        <is>
          <t>P_US_FG</t>
        </is>
      </c>
      <c r="G2420" t="inlineStr">
        <is>
          <t>Month-2026.M09.W38</t>
        </is>
      </c>
      <c r="H2420" t="inlineStr">
        <is>
          <t>Reasonability Adjustment</t>
        </is>
      </c>
    </row>
    <row r="2421">
      <c r="A2421" t="inlineStr">
        <is>
          <t>Kylie Makeup</t>
        </is>
      </c>
      <c r="B2421" t="inlineStr">
        <is>
          <t>Face (01243)</t>
        </is>
      </c>
      <c r="C2421" t="inlineStr">
        <is>
          <t>Kylie Hybrid Blush (00006713)</t>
        </is>
      </c>
      <c r="D2421" s="1" t="n">
        <v>4064941147114</v>
      </c>
      <c r="E2421" t="inlineStr">
        <is>
          <t>KJ MU HYB BLSH PWDBLU2.5G 353WTRKS 25IV</t>
        </is>
      </c>
      <c r="F2421" t="inlineStr">
        <is>
          <t>P_US_FG</t>
        </is>
      </c>
      <c r="G2421" t="inlineStr">
        <is>
          <t>Month-2026.M09.W38</t>
        </is>
      </c>
      <c r="H2421" t="inlineStr">
        <is>
          <t>Total Demand Assumption</t>
        </is>
      </c>
    </row>
    <row r="2422">
      <c r="A2422" t="inlineStr">
        <is>
          <t>Kylie Makeup</t>
        </is>
      </c>
      <c r="B2422" t="inlineStr">
        <is>
          <t>Face (01243)</t>
        </is>
      </c>
      <c r="C2422" t="inlineStr">
        <is>
          <t>Kylie Hybrid Blush (00006713)</t>
        </is>
      </c>
      <c r="D2422" s="1" t="n">
        <v>4064941147114</v>
      </c>
      <c r="E2422" t="inlineStr">
        <is>
          <t>KJ MU HYB BLSH PWDBLU2.5G 353WTRKS 25IV</t>
        </is>
      </c>
      <c r="F2422" t="inlineStr">
        <is>
          <t>P_US_FG</t>
        </is>
      </c>
      <c r="G2422" t="inlineStr">
        <is>
          <t>Month-2026.M09.W38</t>
        </is>
      </c>
      <c r="H2422" t="inlineStr">
        <is>
          <t>Consensus - Final</t>
        </is>
      </c>
      <c r="J2422" t="n">
        <v>30</v>
      </c>
      <c r="K2422" t="n">
        <v>0</v>
      </c>
    </row>
    <row r="2423">
      <c r="A2423" t="inlineStr">
        <is>
          <t>Kylie Makeup</t>
        </is>
      </c>
      <c r="B2423" t="inlineStr">
        <is>
          <t>Face (01243)</t>
        </is>
      </c>
      <c r="C2423" t="inlineStr">
        <is>
          <t>Kylie Hybrid Blush (00006713)</t>
        </is>
      </c>
      <c r="D2423" s="1" t="n">
        <v>4064941147114</v>
      </c>
      <c r="E2423" t="inlineStr">
        <is>
          <t>KJ MU HYB BLSH PWDBLU2.5G 353WTRKS 25IV</t>
        </is>
      </c>
      <c r="F2423" t="inlineStr">
        <is>
          <t>P_US_FG</t>
        </is>
      </c>
      <c r="G2423" t="inlineStr">
        <is>
          <t>Month-2026.M09.W38</t>
        </is>
      </c>
      <c r="H2423" t="inlineStr">
        <is>
          <t>Supply Cuts</t>
        </is>
      </c>
    </row>
    <row r="2424">
      <c r="A2424" t="inlineStr">
        <is>
          <t>Kylie Makeup</t>
        </is>
      </c>
      <c r="B2424" t="inlineStr">
        <is>
          <t>Face (01243)</t>
        </is>
      </c>
      <c r="C2424" t="inlineStr">
        <is>
          <t>Kylie Hybrid Blush (00006713)</t>
        </is>
      </c>
      <c r="D2424" s="1" t="n">
        <v>4064941147114</v>
      </c>
      <c r="E2424" t="inlineStr">
        <is>
          <t>KJ MU HYB BLSH PWDBLU2.5G 353WTRKS 25IV</t>
        </is>
      </c>
      <c r="F2424" t="inlineStr">
        <is>
          <t>P_US_ULTA</t>
        </is>
      </c>
      <c r="G2424" t="inlineStr">
        <is>
          <t>CurrentWorkingView</t>
        </is>
      </c>
      <c r="H2424" t="inlineStr">
        <is>
          <t>Consensus - Final LY M</t>
        </is>
      </c>
      <c r="I2424" t="n">
        <v>72</v>
      </c>
      <c r="J2424" t="n">
        <v>648</v>
      </c>
      <c r="K2424" t="n">
        <v>1008</v>
      </c>
      <c r="L2424" t="n">
        <v>2088</v>
      </c>
      <c r="M2424" t="n">
        <v>5256</v>
      </c>
      <c r="N2424" t="n">
        <v>5760</v>
      </c>
      <c r="O2424" t="n">
        <v>3240</v>
      </c>
      <c r="P2424" t="n">
        <v>5040</v>
      </c>
      <c r="Q2424" t="n">
        <v>11736</v>
      </c>
      <c r="R2424" t="n">
        <v>1008</v>
      </c>
      <c r="S2424" t="n">
        <v>4088</v>
      </c>
      <c r="T2424" t="n">
        <v>685</v>
      </c>
    </row>
    <row r="2425">
      <c r="A2425" t="inlineStr">
        <is>
          <t>Kylie Makeup</t>
        </is>
      </c>
      <c r="B2425" t="inlineStr">
        <is>
          <t>Face (01243)</t>
        </is>
      </c>
      <c r="C2425" t="inlineStr">
        <is>
          <t>Kylie Hybrid Blush (00006713)</t>
        </is>
      </c>
      <c r="D2425" s="1" t="n">
        <v>4064941147114</v>
      </c>
      <c r="E2425" t="inlineStr">
        <is>
          <t>KJ MU HYB BLSH PWDBLU2.5G 353WTRKS 25IV</t>
        </is>
      </c>
      <c r="F2425" t="inlineStr">
        <is>
          <t>P_US_ULTA</t>
        </is>
      </c>
      <c r="G2425" t="inlineStr">
        <is>
          <t>CurrentWorkingView</t>
        </is>
      </c>
      <c r="H2425" t="inlineStr">
        <is>
          <t>System FC - Final</t>
        </is>
      </c>
      <c r="I2425" t="n">
        <v>6408</v>
      </c>
      <c r="J2425" t="n">
        <v>14832</v>
      </c>
      <c r="K2425" t="n">
        <v>4983</v>
      </c>
      <c r="L2425" t="n">
        <v>5372</v>
      </c>
      <c r="M2425" t="n">
        <v>5532</v>
      </c>
      <c r="N2425" t="n">
        <v>5611</v>
      </c>
      <c r="O2425" t="n">
        <v>5655</v>
      </c>
      <c r="P2425" t="n">
        <v>5672</v>
      </c>
      <c r="Q2425" t="n">
        <v>5682</v>
      </c>
      <c r="R2425" t="n">
        <v>5688</v>
      </c>
      <c r="S2425" t="n">
        <v>5691</v>
      </c>
      <c r="T2425" t="n">
        <v>5692</v>
      </c>
    </row>
    <row r="2426">
      <c r="A2426" t="inlineStr">
        <is>
          <t>Kylie Makeup</t>
        </is>
      </c>
      <c r="B2426" t="inlineStr">
        <is>
          <t>Face (01243)</t>
        </is>
      </c>
      <c r="C2426" t="inlineStr">
        <is>
          <t>Kylie Hybrid Blush (00006713)</t>
        </is>
      </c>
      <c r="D2426" s="1" t="n">
        <v>4064941147114</v>
      </c>
      <c r="E2426" t="inlineStr">
        <is>
          <t>KJ MU HYB BLSH PWDBLU2.5G 353WTRKS 25IV</t>
        </is>
      </c>
      <c r="F2426" t="inlineStr">
        <is>
          <t>P_US_ULTA</t>
        </is>
      </c>
      <c r="G2426" t="inlineStr">
        <is>
          <t>CurrentWorkingView</t>
        </is>
      </c>
      <c r="H2426" t="inlineStr">
        <is>
          <t>EPOS</t>
        </is>
      </c>
      <c r="I2426" t="n">
        <v>2067</v>
      </c>
    </row>
    <row r="2427">
      <c r="A2427" t="inlineStr">
        <is>
          <t>Kylie Makeup</t>
        </is>
      </c>
      <c r="B2427" t="inlineStr">
        <is>
          <t>Face (01243)</t>
        </is>
      </c>
      <c r="C2427" t="inlineStr">
        <is>
          <t>Kylie Hybrid Blush (00006713)</t>
        </is>
      </c>
      <c r="D2427" s="1" t="n">
        <v>4064941147114</v>
      </c>
      <c r="E2427" t="inlineStr">
        <is>
          <t>KJ MU HYB BLSH PWDBLU2.5G 353WTRKS 25IV</t>
        </is>
      </c>
      <c r="F2427" t="inlineStr">
        <is>
          <t>P_US_ULTA</t>
        </is>
      </c>
      <c r="G2427" t="inlineStr">
        <is>
          <t>CurrentWorkingView</t>
        </is>
      </c>
      <c r="H2427" t="inlineStr">
        <is>
          <t>Reasonability Adjustment</t>
        </is>
      </c>
      <c r="I2427" t="n">
        <v>2778</v>
      </c>
      <c r="J2427" t="n">
        <v>3706</v>
      </c>
      <c r="R2427" t="n">
        <v>-2759</v>
      </c>
      <c r="T2427" t="n">
        <v>-3196</v>
      </c>
    </row>
    <row r="2428">
      <c r="A2428" t="inlineStr">
        <is>
          <t>Kylie Makeup</t>
        </is>
      </c>
      <c r="B2428" t="inlineStr">
        <is>
          <t>Face (01243)</t>
        </is>
      </c>
      <c r="C2428" t="inlineStr">
        <is>
          <t>Kylie Hybrid Blush (00006713)</t>
        </is>
      </c>
      <c r="D2428" s="1" t="n">
        <v>4064941147114</v>
      </c>
      <c r="E2428" t="inlineStr">
        <is>
          <t>KJ MU HYB BLSH PWDBLU2.5G 353WTRKS 25IV</t>
        </is>
      </c>
      <c r="F2428" t="inlineStr">
        <is>
          <t>P_US_ULTA</t>
        </is>
      </c>
      <c r="G2428" t="inlineStr">
        <is>
          <t>CurrentWorkingView</t>
        </is>
      </c>
      <c r="H2428" t="inlineStr">
        <is>
          <t>Total Demand Assumption</t>
        </is>
      </c>
      <c r="I2428" t="n">
        <v>2440</v>
      </c>
      <c r="J2428" t="n">
        <v>12198</v>
      </c>
    </row>
    <row r="2429">
      <c r="A2429" t="inlineStr">
        <is>
          <t>Kylie Makeup</t>
        </is>
      </c>
      <c r="B2429" t="inlineStr">
        <is>
          <t>Face (01243)</t>
        </is>
      </c>
      <c r="C2429" t="inlineStr">
        <is>
          <t>Kylie Hybrid Blush (00006713)</t>
        </is>
      </c>
      <c r="D2429" s="1" t="n">
        <v>4064941147114</v>
      </c>
      <c r="E2429" t="inlineStr">
        <is>
          <t>KJ MU HYB BLSH PWDBLU2.5G 353WTRKS 25IV</t>
        </is>
      </c>
      <c r="F2429" t="inlineStr">
        <is>
          <t>P_US_ULTA</t>
        </is>
      </c>
      <c r="G2429" t="inlineStr">
        <is>
          <t>CurrentWorkingView</t>
        </is>
      </c>
      <c r="H2429" t="inlineStr">
        <is>
          <t>Consensus - Final</t>
        </is>
      </c>
      <c r="I2429" t="n">
        <v>6408</v>
      </c>
      <c r="J2429" t="n">
        <v>14832</v>
      </c>
      <c r="K2429" t="n">
        <v>4920.93793103448</v>
      </c>
      <c r="L2429" t="n">
        <v>5372</v>
      </c>
      <c r="M2429" t="n">
        <v>5532</v>
      </c>
      <c r="N2429" t="n">
        <v>5611</v>
      </c>
      <c r="O2429" t="n">
        <v>5655</v>
      </c>
      <c r="P2429" t="n">
        <v>5672</v>
      </c>
      <c r="Q2429" t="n">
        <v>5682</v>
      </c>
      <c r="R2429" t="n">
        <v>2929</v>
      </c>
      <c r="S2429" t="n">
        <v>5691</v>
      </c>
      <c r="T2429" t="n">
        <v>2496</v>
      </c>
    </row>
    <row r="2430">
      <c r="A2430" t="inlineStr">
        <is>
          <t>Kylie Makeup</t>
        </is>
      </c>
      <c r="B2430" t="inlineStr">
        <is>
          <t>Face (01243)</t>
        </is>
      </c>
      <c r="C2430" t="inlineStr">
        <is>
          <t>Kylie Hybrid Blush (00006713)</t>
        </is>
      </c>
      <c r="D2430" s="1" t="n">
        <v>4064941147114</v>
      </c>
      <c r="E2430" t="inlineStr">
        <is>
          <t>KJ MU HYB BLSH PWDBLU2.5G 353WTRKS 25IV</t>
        </is>
      </c>
      <c r="F2430" t="inlineStr">
        <is>
          <t>P_US_ULTA</t>
        </is>
      </c>
      <c r="G2430" t="inlineStr">
        <is>
          <t>CurrentWorkingView</t>
        </is>
      </c>
      <c r="H2430" t="inlineStr">
        <is>
          <t>Supply Cuts</t>
        </is>
      </c>
    </row>
    <row r="2431">
      <c r="A2431" t="inlineStr">
        <is>
          <t>Kylie Makeup</t>
        </is>
      </c>
      <c r="B2431" t="inlineStr">
        <is>
          <t>Face (01243)</t>
        </is>
      </c>
      <c r="C2431" t="inlineStr">
        <is>
          <t>Kylie Hybrid Blush (00006713)</t>
        </is>
      </c>
      <c r="D2431" s="1" t="n">
        <v>4064941147114</v>
      </c>
      <c r="E2431" t="inlineStr">
        <is>
          <t>KJ MU HYB BLSH PWDBLU2.5G 353WTRKS 25IV</t>
        </is>
      </c>
      <c r="F2431" t="inlineStr">
        <is>
          <t>P_US_ULTA</t>
        </is>
      </c>
      <c r="G2431" t="inlineStr">
        <is>
          <t>Month-2026.M09.W38</t>
        </is>
      </c>
      <c r="H2431" t="inlineStr">
        <is>
          <t>Consensus - Final LY M</t>
        </is>
      </c>
      <c r="I2431" t="n">
        <v>72</v>
      </c>
      <c r="J2431" t="n">
        <v>648</v>
      </c>
      <c r="K2431" t="n">
        <v>1008</v>
      </c>
      <c r="L2431" t="n">
        <v>2088</v>
      </c>
      <c r="M2431" t="n">
        <v>5256</v>
      </c>
      <c r="N2431" t="n">
        <v>5760</v>
      </c>
      <c r="O2431" t="n">
        <v>3240</v>
      </c>
      <c r="P2431" t="n">
        <v>5040</v>
      </c>
      <c r="Q2431" t="n">
        <v>11736</v>
      </c>
      <c r="R2431" t="n">
        <v>1008</v>
      </c>
      <c r="S2431" t="n">
        <v>4088</v>
      </c>
      <c r="T2431" t="n">
        <v>685</v>
      </c>
    </row>
    <row r="2432">
      <c r="A2432" t="inlineStr">
        <is>
          <t>Kylie Makeup</t>
        </is>
      </c>
      <c r="B2432" t="inlineStr">
        <is>
          <t>Face (01243)</t>
        </is>
      </c>
      <c r="C2432" t="inlineStr">
        <is>
          <t>Kylie Hybrid Blush (00006713)</t>
        </is>
      </c>
      <c r="D2432" s="1" t="n">
        <v>4064941147114</v>
      </c>
      <c r="E2432" t="inlineStr">
        <is>
          <t>KJ MU HYB BLSH PWDBLU2.5G 353WTRKS 25IV</t>
        </is>
      </c>
      <c r="F2432" t="inlineStr">
        <is>
          <t>P_US_ULTA</t>
        </is>
      </c>
      <c r="G2432" t="inlineStr">
        <is>
          <t>Month-2026.M09.W38</t>
        </is>
      </c>
      <c r="H2432" t="inlineStr">
        <is>
          <t>System FC - Final</t>
        </is>
      </c>
      <c r="I2432" t="n">
        <v>6408</v>
      </c>
      <c r="J2432" t="n">
        <v>14832</v>
      </c>
      <c r="K2432" t="n">
        <v>4461</v>
      </c>
      <c r="L2432" t="n">
        <v>3959</v>
      </c>
      <c r="M2432" t="n">
        <v>3968</v>
      </c>
      <c r="N2432" t="n">
        <v>3977</v>
      </c>
      <c r="O2432" t="n">
        <v>3977</v>
      </c>
      <c r="P2432" t="n">
        <v>3980</v>
      </c>
      <c r="Q2432" t="n">
        <v>3981</v>
      </c>
      <c r="R2432" t="n">
        <v>3982</v>
      </c>
      <c r="S2432" t="n">
        <v>3981</v>
      </c>
      <c r="T2432" t="n">
        <v>3836</v>
      </c>
    </row>
    <row r="2433">
      <c r="A2433" t="inlineStr">
        <is>
          <t>Kylie Makeup</t>
        </is>
      </c>
      <c r="B2433" t="inlineStr">
        <is>
          <t>Face (01243)</t>
        </is>
      </c>
      <c r="C2433" t="inlineStr">
        <is>
          <t>Kylie Hybrid Blush (00006713)</t>
        </is>
      </c>
      <c r="D2433" s="1" t="n">
        <v>4064941147114</v>
      </c>
      <c r="E2433" t="inlineStr">
        <is>
          <t>KJ MU HYB BLSH PWDBLU2.5G 353WTRKS 25IV</t>
        </is>
      </c>
      <c r="F2433" t="inlineStr">
        <is>
          <t>P_US_ULTA</t>
        </is>
      </c>
      <c r="G2433" t="inlineStr">
        <is>
          <t>Month-2026.M09.W38</t>
        </is>
      </c>
      <c r="H2433" t="inlineStr">
        <is>
          <t>EPOS</t>
        </is>
      </c>
      <c r="I2433" t="n">
        <v>2067</v>
      </c>
    </row>
    <row r="2434">
      <c r="A2434" t="inlineStr">
        <is>
          <t>Kylie Makeup</t>
        </is>
      </c>
      <c r="B2434" t="inlineStr">
        <is>
          <t>Face (01243)</t>
        </is>
      </c>
      <c r="C2434" t="inlineStr">
        <is>
          <t>Kylie Hybrid Blush (00006713)</t>
        </is>
      </c>
      <c r="D2434" s="1" t="n">
        <v>4064941147114</v>
      </c>
      <c r="E2434" t="inlineStr">
        <is>
          <t>KJ MU HYB BLSH PWDBLU2.5G 353WTRKS 25IV</t>
        </is>
      </c>
      <c r="F2434" t="inlineStr">
        <is>
          <t>P_US_ULTA</t>
        </is>
      </c>
      <c r="G2434" t="inlineStr">
        <is>
          <t>Month-2026.M09.W38</t>
        </is>
      </c>
      <c r="H2434" t="inlineStr">
        <is>
          <t>Reasonability Adjustment</t>
        </is>
      </c>
      <c r="I2434" t="n">
        <v>2778</v>
      </c>
      <c r="J2434" t="n">
        <v>3706</v>
      </c>
      <c r="R2434" t="n">
        <v>-2759</v>
      </c>
      <c r="T2434" t="n">
        <v>-3196</v>
      </c>
    </row>
    <row r="2435">
      <c r="A2435" t="inlineStr">
        <is>
          <t>Kylie Makeup</t>
        </is>
      </c>
      <c r="B2435" t="inlineStr">
        <is>
          <t>Face (01243)</t>
        </is>
      </c>
      <c r="C2435" t="inlineStr">
        <is>
          <t>Kylie Hybrid Blush (00006713)</t>
        </is>
      </c>
      <c r="D2435" s="1" t="n">
        <v>4064941147114</v>
      </c>
      <c r="E2435" t="inlineStr">
        <is>
          <t>KJ MU HYB BLSH PWDBLU2.5G 353WTRKS 25IV</t>
        </is>
      </c>
      <c r="F2435" t="inlineStr">
        <is>
          <t>P_US_ULTA</t>
        </is>
      </c>
      <c r="G2435" t="inlineStr">
        <is>
          <t>Month-2026.M09.W38</t>
        </is>
      </c>
      <c r="H2435" t="inlineStr">
        <is>
          <t>Total Demand Assumption</t>
        </is>
      </c>
      <c r="I2435" t="n">
        <v>2440</v>
      </c>
      <c r="J2435" t="n">
        <v>12198</v>
      </c>
    </row>
    <row r="2436">
      <c r="A2436" t="inlineStr">
        <is>
          <t>Kylie Makeup</t>
        </is>
      </c>
      <c r="B2436" t="inlineStr">
        <is>
          <t>Face (01243)</t>
        </is>
      </c>
      <c r="C2436" t="inlineStr">
        <is>
          <t>Kylie Hybrid Blush (00006713)</t>
        </is>
      </c>
      <c r="D2436" s="1" t="n">
        <v>4064941147114</v>
      </c>
      <c r="E2436" t="inlineStr">
        <is>
          <t>KJ MU HYB BLSH PWDBLU2.5G 353WTRKS 25IV</t>
        </is>
      </c>
      <c r="F2436" t="inlineStr">
        <is>
          <t>P_US_ULTA</t>
        </is>
      </c>
      <c r="G2436" t="inlineStr">
        <is>
          <t>Month-2026.M09.W38</t>
        </is>
      </c>
      <c r="H2436" t="inlineStr">
        <is>
          <t>Consensus - Final</t>
        </is>
      </c>
      <c r="I2436" t="n">
        <v>6408</v>
      </c>
      <c r="J2436" t="n">
        <v>14832</v>
      </c>
      <c r="K2436" t="n">
        <v>4920.93793103448</v>
      </c>
      <c r="L2436" t="n">
        <v>3959</v>
      </c>
      <c r="M2436" t="n">
        <v>3968</v>
      </c>
      <c r="N2436" t="n">
        <v>3977</v>
      </c>
      <c r="O2436" t="n">
        <v>3977</v>
      </c>
      <c r="P2436" t="n">
        <v>3980</v>
      </c>
      <c r="Q2436" t="n">
        <v>3981</v>
      </c>
      <c r="R2436" t="n">
        <v>1223</v>
      </c>
      <c r="S2436" t="n">
        <v>3981</v>
      </c>
      <c r="T2436" t="n">
        <v>640</v>
      </c>
    </row>
    <row r="2437">
      <c r="A2437" t="inlineStr">
        <is>
          <t>Kylie Makeup</t>
        </is>
      </c>
      <c r="B2437" t="inlineStr">
        <is>
          <t>Face (01243)</t>
        </is>
      </c>
      <c r="C2437" t="inlineStr">
        <is>
          <t>Kylie Hybrid Blush (00006713)</t>
        </is>
      </c>
      <c r="D2437" s="1" t="n">
        <v>4064941147114</v>
      </c>
      <c r="E2437" t="inlineStr">
        <is>
          <t>KJ MU HYB BLSH PWDBLU2.5G 353WTRKS 25IV</t>
        </is>
      </c>
      <c r="F2437" t="inlineStr">
        <is>
          <t>P_US_ULTA</t>
        </is>
      </c>
      <c r="G2437" t="inlineStr">
        <is>
          <t>Month-2026.M09.W38</t>
        </is>
      </c>
      <c r="H2437" t="inlineStr">
        <is>
          <t>Supply Cuts</t>
        </is>
      </c>
    </row>
    <row r="2438">
      <c r="A2438" t="inlineStr">
        <is>
          <t>Kylie Makeup</t>
        </is>
      </c>
      <c r="B2438" t="inlineStr">
        <is>
          <t>Face (01243)</t>
        </is>
      </c>
      <c r="C2438" t="inlineStr">
        <is>
          <t>Kylie Hybrid Blush (00006713)</t>
        </is>
      </c>
      <c r="D2438" s="1" t="n">
        <v>4064941147121</v>
      </c>
      <c r="E2438" t="inlineStr">
        <is>
          <t>KJ MU HYB BLSH PWDBLU2.5G 116SLWJM 25IV</t>
        </is>
      </c>
      <c r="F2438" t="inlineStr">
        <is>
          <t>P_US_ALL_OTHERS</t>
        </is>
      </c>
      <c r="G2438" t="inlineStr">
        <is>
          <t>CurrentWorkingView</t>
        </is>
      </c>
      <c r="H2438" t="inlineStr">
        <is>
          <t>Consensus - Final LY M</t>
        </is>
      </c>
      <c r="I2438" t="n">
        <v>988</v>
      </c>
      <c r="K2438" t="n">
        <v>6</v>
      </c>
      <c r="L2438" t="n">
        <v>21</v>
      </c>
      <c r="M2438" t="n">
        <v>20</v>
      </c>
      <c r="N2438" t="n">
        <v>20</v>
      </c>
      <c r="O2438" t="n">
        <v>4</v>
      </c>
      <c r="P2438" t="n">
        <v>23</v>
      </c>
      <c r="Q2438" t="n">
        <v>2</v>
      </c>
      <c r="R2438" t="n">
        <v>19</v>
      </c>
      <c r="S2438" t="n">
        <v>13</v>
      </c>
      <c r="T2438" t="n">
        <v>9</v>
      </c>
    </row>
    <row r="2439">
      <c r="A2439" t="inlineStr">
        <is>
          <t>Kylie Makeup</t>
        </is>
      </c>
      <c r="B2439" t="inlineStr">
        <is>
          <t>Face (01243)</t>
        </is>
      </c>
      <c r="C2439" t="inlineStr">
        <is>
          <t>Kylie Hybrid Blush (00006713)</t>
        </is>
      </c>
      <c r="D2439" s="1" t="n">
        <v>4064941147121</v>
      </c>
      <c r="E2439" t="inlineStr">
        <is>
          <t>KJ MU HYB BLSH PWDBLU2.5G 116SLWJM 25IV</t>
        </is>
      </c>
      <c r="F2439" t="inlineStr">
        <is>
          <t>P_US_ALL_OTHERS</t>
        </is>
      </c>
      <c r="G2439" t="inlineStr">
        <is>
          <t>CurrentWorkingView</t>
        </is>
      </c>
      <c r="H2439" t="inlineStr">
        <is>
          <t>System FC - Final</t>
        </is>
      </c>
      <c r="I2439" t="n">
        <v>10</v>
      </c>
      <c r="J2439" t="n">
        <v>29</v>
      </c>
      <c r="K2439" t="n">
        <v>9</v>
      </c>
      <c r="L2439" t="n">
        <v>17</v>
      </c>
      <c r="M2439" t="n">
        <v>22</v>
      </c>
      <c r="N2439" t="n">
        <v>18</v>
      </c>
      <c r="O2439" t="n">
        <v>18</v>
      </c>
      <c r="P2439" t="n">
        <v>20</v>
      </c>
      <c r="Q2439" t="n">
        <v>18</v>
      </c>
      <c r="R2439" t="n">
        <v>21</v>
      </c>
      <c r="S2439" t="n">
        <v>18</v>
      </c>
      <c r="T2439" t="n">
        <v>21</v>
      </c>
    </row>
    <row r="2440">
      <c r="A2440" t="inlineStr">
        <is>
          <t>Kylie Makeup</t>
        </is>
      </c>
      <c r="B2440" t="inlineStr">
        <is>
          <t>Face (01243)</t>
        </is>
      </c>
      <c r="C2440" t="inlineStr">
        <is>
          <t>Kylie Hybrid Blush (00006713)</t>
        </is>
      </c>
      <c r="D2440" s="1" t="n">
        <v>4064941147121</v>
      </c>
      <c r="E2440" t="inlineStr">
        <is>
          <t>KJ MU HYB BLSH PWDBLU2.5G 116SLWJM 25IV</t>
        </is>
      </c>
      <c r="F2440" t="inlineStr">
        <is>
          <t>P_US_ALL_OTHERS</t>
        </is>
      </c>
      <c r="G2440" t="inlineStr">
        <is>
          <t>CurrentWorkingView</t>
        </is>
      </c>
      <c r="H2440" t="inlineStr">
        <is>
          <t>EPOS</t>
        </is>
      </c>
      <c r="I2440" t="n">
        <v>21</v>
      </c>
    </row>
    <row r="2441">
      <c r="A2441" t="inlineStr">
        <is>
          <t>Kylie Makeup</t>
        </is>
      </c>
      <c r="B2441" t="inlineStr">
        <is>
          <t>Face (01243)</t>
        </is>
      </c>
      <c r="C2441" t="inlineStr">
        <is>
          <t>Kylie Hybrid Blush (00006713)</t>
        </is>
      </c>
      <c r="D2441" s="1" t="n">
        <v>4064941147121</v>
      </c>
      <c r="E2441" t="inlineStr">
        <is>
          <t>KJ MU HYB BLSH PWDBLU2.5G 116SLWJM 25IV</t>
        </is>
      </c>
      <c r="F2441" t="inlineStr">
        <is>
          <t>P_US_ALL_OTHERS</t>
        </is>
      </c>
      <c r="G2441" t="inlineStr">
        <is>
          <t>CurrentWorkingView</t>
        </is>
      </c>
      <c r="H2441" t="inlineStr">
        <is>
          <t>Reasonability Adjustment</t>
        </is>
      </c>
      <c r="L2441" t="n">
        <v>-5</v>
      </c>
      <c r="M2441" t="n">
        <v>-5</v>
      </c>
      <c r="R2441" t="n">
        <v>-8</v>
      </c>
      <c r="T2441" t="n">
        <v>-4</v>
      </c>
    </row>
    <row r="2442">
      <c r="A2442" t="inlineStr">
        <is>
          <t>Kylie Makeup</t>
        </is>
      </c>
      <c r="B2442" t="inlineStr">
        <is>
          <t>Face (01243)</t>
        </is>
      </c>
      <c r="C2442" t="inlineStr">
        <is>
          <t>Kylie Hybrid Blush (00006713)</t>
        </is>
      </c>
      <c r="D2442" s="1" t="n">
        <v>4064941147121</v>
      </c>
      <c r="E2442" t="inlineStr">
        <is>
          <t>KJ MU HYB BLSH PWDBLU2.5G 116SLWJM 25IV</t>
        </is>
      </c>
      <c r="F2442" t="inlineStr">
        <is>
          <t>P_US_ALL_OTHERS</t>
        </is>
      </c>
      <c r="G2442" t="inlineStr">
        <is>
          <t>CurrentWorkingView</t>
        </is>
      </c>
      <c r="H2442" t="inlineStr">
        <is>
          <t>Total Demand Assumption</t>
        </is>
      </c>
    </row>
    <row r="2443">
      <c r="A2443" t="inlineStr">
        <is>
          <t>Kylie Makeup</t>
        </is>
      </c>
      <c r="B2443" t="inlineStr">
        <is>
          <t>Face (01243)</t>
        </is>
      </c>
      <c r="C2443" t="inlineStr">
        <is>
          <t>Kylie Hybrid Blush (00006713)</t>
        </is>
      </c>
      <c r="D2443" s="1" t="n">
        <v>4064941147121</v>
      </c>
      <c r="E2443" t="inlineStr">
        <is>
          <t>KJ MU HYB BLSH PWDBLU2.5G 116SLWJM 25IV</t>
        </is>
      </c>
      <c r="F2443" t="inlineStr">
        <is>
          <t>P_US_ALL_OTHERS</t>
        </is>
      </c>
      <c r="G2443" t="inlineStr">
        <is>
          <t>CurrentWorkingView</t>
        </is>
      </c>
      <c r="H2443" t="inlineStr">
        <is>
          <t>Consensus - Final</t>
        </is>
      </c>
      <c r="I2443" t="n">
        <v>10</v>
      </c>
      <c r="J2443" t="n">
        <v>29</v>
      </c>
      <c r="K2443" t="n">
        <v>447</v>
      </c>
      <c r="L2443" t="n">
        <v>13</v>
      </c>
      <c r="M2443" t="n">
        <v>17</v>
      </c>
      <c r="N2443" t="n">
        <v>18</v>
      </c>
      <c r="O2443" t="n">
        <v>18</v>
      </c>
      <c r="P2443" t="n">
        <v>20</v>
      </c>
      <c r="Q2443" t="n">
        <v>18</v>
      </c>
      <c r="R2443" t="n">
        <v>13</v>
      </c>
      <c r="S2443" t="n">
        <v>18</v>
      </c>
      <c r="T2443" t="n">
        <v>17</v>
      </c>
    </row>
    <row r="2444">
      <c r="A2444" t="inlineStr">
        <is>
          <t>Kylie Makeup</t>
        </is>
      </c>
      <c r="B2444" t="inlineStr">
        <is>
          <t>Face (01243)</t>
        </is>
      </c>
      <c r="C2444" t="inlineStr">
        <is>
          <t>Kylie Hybrid Blush (00006713)</t>
        </is>
      </c>
      <c r="D2444" s="1" t="n">
        <v>4064941147121</v>
      </c>
      <c r="E2444" t="inlineStr">
        <is>
          <t>KJ MU HYB BLSH PWDBLU2.5G 116SLWJM 25IV</t>
        </is>
      </c>
      <c r="F2444" t="inlineStr">
        <is>
          <t>P_US_ALL_OTHERS</t>
        </is>
      </c>
      <c r="G2444" t="inlineStr">
        <is>
          <t>CurrentWorkingView</t>
        </is>
      </c>
      <c r="H2444" t="inlineStr">
        <is>
          <t>Supply Cuts</t>
        </is>
      </c>
    </row>
    <row r="2445">
      <c r="A2445" t="inlineStr">
        <is>
          <t>Kylie Makeup</t>
        </is>
      </c>
      <c r="B2445" t="inlineStr">
        <is>
          <t>Face (01243)</t>
        </is>
      </c>
      <c r="C2445" t="inlineStr">
        <is>
          <t>Kylie Hybrid Blush (00006713)</t>
        </is>
      </c>
      <c r="D2445" s="1" t="n">
        <v>4064941147121</v>
      </c>
      <c r="E2445" t="inlineStr">
        <is>
          <t>KJ MU HYB BLSH PWDBLU2.5G 116SLWJM 25IV</t>
        </is>
      </c>
      <c r="F2445" t="inlineStr">
        <is>
          <t>P_US_ALL_OTHERS</t>
        </is>
      </c>
      <c r="G2445" t="inlineStr">
        <is>
          <t>Month-2026.M09.W38</t>
        </is>
      </c>
      <c r="H2445" t="inlineStr">
        <is>
          <t>Consensus - Final LY M</t>
        </is>
      </c>
      <c r="I2445" t="n">
        <v>988</v>
      </c>
      <c r="K2445" t="n">
        <v>6</v>
      </c>
      <c r="L2445" t="n">
        <v>21</v>
      </c>
      <c r="M2445" t="n">
        <v>20</v>
      </c>
      <c r="N2445" t="n">
        <v>20</v>
      </c>
      <c r="O2445" t="n">
        <v>4</v>
      </c>
      <c r="P2445" t="n">
        <v>23</v>
      </c>
      <c r="Q2445" t="n">
        <v>2</v>
      </c>
      <c r="R2445" t="n">
        <v>19</v>
      </c>
      <c r="S2445" t="n">
        <v>13</v>
      </c>
      <c r="T2445" t="n">
        <v>9</v>
      </c>
    </row>
    <row r="2446">
      <c r="A2446" t="inlineStr">
        <is>
          <t>Kylie Makeup</t>
        </is>
      </c>
      <c r="B2446" t="inlineStr">
        <is>
          <t>Face (01243)</t>
        </is>
      </c>
      <c r="C2446" t="inlineStr">
        <is>
          <t>Kylie Hybrid Blush (00006713)</t>
        </is>
      </c>
      <c r="D2446" s="1" t="n">
        <v>4064941147121</v>
      </c>
      <c r="E2446" t="inlineStr">
        <is>
          <t>KJ MU HYB BLSH PWDBLU2.5G 116SLWJM 25IV</t>
        </is>
      </c>
      <c r="F2446" t="inlineStr">
        <is>
          <t>P_US_ALL_OTHERS</t>
        </is>
      </c>
      <c r="G2446" t="inlineStr">
        <is>
          <t>Month-2026.M09.W38</t>
        </is>
      </c>
      <c r="H2446" t="inlineStr">
        <is>
          <t>System FC - Final</t>
        </is>
      </c>
      <c r="I2446" t="n">
        <v>10</v>
      </c>
      <c r="J2446" t="n">
        <v>29</v>
      </c>
      <c r="K2446" t="n">
        <v>7</v>
      </c>
      <c r="L2446" t="n">
        <v>10</v>
      </c>
      <c r="M2446" t="n">
        <v>8</v>
      </c>
      <c r="N2446" t="n">
        <v>9</v>
      </c>
      <c r="O2446" t="n">
        <v>9</v>
      </c>
      <c r="P2446" t="n">
        <v>12</v>
      </c>
      <c r="Q2446" t="n">
        <v>9</v>
      </c>
      <c r="R2446" t="n">
        <v>9</v>
      </c>
      <c r="S2446" t="n">
        <v>9</v>
      </c>
      <c r="T2446" t="n">
        <v>8</v>
      </c>
    </row>
    <row r="2447">
      <c r="A2447" t="inlineStr">
        <is>
          <t>Kylie Makeup</t>
        </is>
      </c>
      <c r="B2447" t="inlineStr">
        <is>
          <t>Face (01243)</t>
        </is>
      </c>
      <c r="C2447" t="inlineStr">
        <is>
          <t>Kylie Hybrid Blush (00006713)</t>
        </is>
      </c>
      <c r="D2447" s="1" t="n">
        <v>4064941147121</v>
      </c>
      <c r="E2447" t="inlineStr">
        <is>
          <t>KJ MU HYB BLSH PWDBLU2.5G 116SLWJM 25IV</t>
        </is>
      </c>
      <c r="F2447" t="inlineStr">
        <is>
          <t>P_US_ALL_OTHERS</t>
        </is>
      </c>
      <c r="G2447" t="inlineStr">
        <is>
          <t>Month-2026.M09.W38</t>
        </is>
      </c>
      <c r="H2447" t="inlineStr">
        <is>
          <t>EPOS</t>
        </is>
      </c>
      <c r="I2447" t="n">
        <v>21</v>
      </c>
    </row>
    <row r="2448">
      <c r="A2448" t="inlineStr">
        <is>
          <t>Kylie Makeup</t>
        </is>
      </c>
      <c r="B2448" t="inlineStr">
        <is>
          <t>Face (01243)</t>
        </is>
      </c>
      <c r="C2448" t="inlineStr">
        <is>
          <t>Kylie Hybrid Blush (00006713)</t>
        </is>
      </c>
      <c r="D2448" s="1" t="n">
        <v>4064941147121</v>
      </c>
      <c r="E2448" t="inlineStr">
        <is>
          <t>KJ MU HYB BLSH PWDBLU2.5G 116SLWJM 25IV</t>
        </is>
      </c>
      <c r="F2448" t="inlineStr">
        <is>
          <t>P_US_ALL_OTHERS</t>
        </is>
      </c>
      <c r="G2448" t="inlineStr">
        <is>
          <t>Month-2026.M09.W38</t>
        </is>
      </c>
      <c r="H2448" t="inlineStr">
        <is>
          <t>Reasonability Adjustment</t>
        </is>
      </c>
      <c r="L2448" t="n">
        <v>-5</v>
      </c>
      <c r="M2448" t="n">
        <v>-5</v>
      </c>
      <c r="R2448" t="n">
        <v>-8</v>
      </c>
      <c r="T2448" t="n">
        <v>-4</v>
      </c>
    </row>
    <row r="2449">
      <c r="A2449" t="inlineStr">
        <is>
          <t>Kylie Makeup</t>
        </is>
      </c>
      <c r="B2449" t="inlineStr">
        <is>
          <t>Face (01243)</t>
        </is>
      </c>
      <c r="C2449" t="inlineStr">
        <is>
          <t>Kylie Hybrid Blush (00006713)</t>
        </is>
      </c>
      <c r="D2449" s="1" t="n">
        <v>4064941147121</v>
      </c>
      <c r="E2449" t="inlineStr">
        <is>
          <t>KJ MU HYB BLSH PWDBLU2.5G 116SLWJM 25IV</t>
        </is>
      </c>
      <c r="F2449" t="inlineStr">
        <is>
          <t>P_US_ALL_OTHERS</t>
        </is>
      </c>
      <c r="G2449" t="inlineStr">
        <is>
          <t>Month-2026.M09.W38</t>
        </is>
      </c>
      <c r="H2449" t="inlineStr">
        <is>
          <t>Total Demand Assumption</t>
        </is>
      </c>
    </row>
    <row r="2450">
      <c r="A2450" t="inlineStr">
        <is>
          <t>Kylie Makeup</t>
        </is>
      </c>
      <c r="B2450" t="inlineStr">
        <is>
          <t>Face (01243)</t>
        </is>
      </c>
      <c r="C2450" t="inlineStr">
        <is>
          <t>Kylie Hybrid Blush (00006713)</t>
        </is>
      </c>
      <c r="D2450" s="1" t="n">
        <v>4064941147121</v>
      </c>
      <c r="E2450" t="inlineStr">
        <is>
          <t>KJ MU HYB BLSH PWDBLU2.5G 116SLWJM 25IV</t>
        </is>
      </c>
      <c r="F2450" t="inlineStr">
        <is>
          <t>P_US_ALL_OTHERS</t>
        </is>
      </c>
      <c r="G2450" t="inlineStr">
        <is>
          <t>Month-2026.M09.W38</t>
        </is>
      </c>
      <c r="H2450" t="inlineStr">
        <is>
          <t>Consensus - Final</t>
        </is>
      </c>
      <c r="I2450" t="n">
        <v>10</v>
      </c>
      <c r="J2450" t="n">
        <v>29</v>
      </c>
      <c r="K2450" t="n">
        <v>447</v>
      </c>
      <c r="L2450" t="n">
        <v>6</v>
      </c>
      <c r="M2450" t="n">
        <v>3</v>
      </c>
      <c r="N2450" t="n">
        <v>9</v>
      </c>
      <c r="O2450" t="n">
        <v>9</v>
      </c>
      <c r="P2450" t="n">
        <v>12</v>
      </c>
      <c r="Q2450" t="n">
        <v>9</v>
      </c>
      <c r="R2450" t="n">
        <v>1</v>
      </c>
      <c r="S2450" t="n">
        <v>9</v>
      </c>
      <c r="T2450" t="n">
        <v>4</v>
      </c>
    </row>
    <row r="2451">
      <c r="A2451" t="inlineStr">
        <is>
          <t>Kylie Makeup</t>
        </is>
      </c>
      <c r="B2451" t="inlineStr">
        <is>
          <t>Face (01243)</t>
        </is>
      </c>
      <c r="C2451" t="inlineStr">
        <is>
          <t>Kylie Hybrid Blush (00006713)</t>
        </is>
      </c>
      <c r="D2451" s="1" t="n">
        <v>4064941147121</v>
      </c>
      <c r="E2451" t="inlineStr">
        <is>
          <t>KJ MU HYB BLSH PWDBLU2.5G 116SLWJM 25IV</t>
        </is>
      </c>
      <c r="F2451" t="inlineStr">
        <is>
          <t>P_US_ALL_OTHERS</t>
        </is>
      </c>
      <c r="G2451" t="inlineStr">
        <is>
          <t>Month-2026.M09.W38</t>
        </is>
      </c>
      <c r="H2451" t="inlineStr">
        <is>
          <t>Supply Cuts</t>
        </is>
      </c>
    </row>
    <row r="2452">
      <c r="A2452" t="inlineStr">
        <is>
          <t>Kylie Makeup</t>
        </is>
      </c>
      <c r="B2452" t="inlineStr">
        <is>
          <t>Face (01243)</t>
        </is>
      </c>
      <c r="C2452" t="inlineStr">
        <is>
          <t>Kylie Hybrid Blush (00006713)</t>
        </is>
      </c>
      <c r="D2452" s="1" t="n">
        <v>4064941147121</v>
      </c>
      <c r="E2452" t="inlineStr">
        <is>
          <t>KJ MU HYB BLSH PWDBLU2.5G 116SLWJM 25IV</t>
        </is>
      </c>
      <c r="F2452" t="inlineStr">
        <is>
          <t>P_US_FG</t>
        </is>
      </c>
      <c r="G2452" t="inlineStr">
        <is>
          <t>CurrentWorkingView</t>
        </is>
      </c>
      <c r="H2452" t="inlineStr">
        <is>
          <t>Consensus - Final LY M</t>
        </is>
      </c>
      <c r="I2452" t="n">
        <v>355</v>
      </c>
      <c r="J2452" t="n">
        <v>25</v>
      </c>
      <c r="K2452" t="n">
        <v>200</v>
      </c>
      <c r="L2452" t="n">
        <v>32</v>
      </c>
      <c r="O2452" t="n">
        <v>100</v>
      </c>
      <c r="P2452" t="n">
        <v>30</v>
      </c>
      <c r="Q2452" t="n">
        <v>20</v>
      </c>
      <c r="T2452" t="n">
        <v>30</v>
      </c>
    </row>
    <row r="2453">
      <c r="A2453" t="inlineStr">
        <is>
          <t>Kylie Makeup</t>
        </is>
      </c>
      <c r="B2453" t="inlineStr">
        <is>
          <t>Face (01243)</t>
        </is>
      </c>
      <c r="C2453" t="inlineStr">
        <is>
          <t>Kylie Hybrid Blush (00006713)</t>
        </is>
      </c>
      <c r="D2453" s="1" t="n">
        <v>4064941147121</v>
      </c>
      <c r="E2453" t="inlineStr">
        <is>
          <t>KJ MU HYB BLSH PWDBLU2.5G 116SLWJM 25IV</t>
        </is>
      </c>
      <c r="F2453" t="inlineStr">
        <is>
          <t>P_US_FG</t>
        </is>
      </c>
      <c r="G2453" t="inlineStr">
        <is>
          <t>CurrentWorkingView</t>
        </is>
      </c>
      <c r="H2453" t="inlineStr">
        <is>
          <t>System FC - Final</t>
        </is>
      </c>
      <c r="K2453" t="n">
        <v>7</v>
      </c>
      <c r="L2453" t="n">
        <v>5</v>
      </c>
      <c r="M2453" t="n">
        <v>4</v>
      </c>
      <c r="N2453" t="n">
        <v>5</v>
      </c>
      <c r="O2453" t="n">
        <v>4</v>
      </c>
      <c r="P2453" t="n">
        <v>4</v>
      </c>
      <c r="Q2453" t="n">
        <v>4</v>
      </c>
      <c r="R2453" t="n">
        <v>5</v>
      </c>
      <c r="S2453" t="n">
        <v>4</v>
      </c>
      <c r="T2453" t="n">
        <v>5</v>
      </c>
    </row>
    <row r="2454">
      <c r="A2454" t="inlineStr">
        <is>
          <t>Kylie Makeup</t>
        </is>
      </c>
      <c r="B2454" t="inlineStr">
        <is>
          <t>Face (01243)</t>
        </is>
      </c>
      <c r="C2454" t="inlineStr">
        <is>
          <t>Kylie Hybrid Blush (00006713)</t>
        </is>
      </c>
      <c r="D2454" s="1" t="n">
        <v>4064941147121</v>
      </c>
      <c r="E2454" t="inlineStr">
        <is>
          <t>KJ MU HYB BLSH PWDBLU2.5G 116SLWJM 25IV</t>
        </is>
      </c>
      <c r="F2454" t="inlineStr">
        <is>
          <t>P_US_FG</t>
        </is>
      </c>
      <c r="G2454" t="inlineStr">
        <is>
          <t>CurrentWorkingView</t>
        </is>
      </c>
      <c r="H2454" t="inlineStr">
        <is>
          <t>EPOS</t>
        </is>
      </c>
    </row>
    <row r="2455">
      <c r="A2455" t="inlineStr">
        <is>
          <t>Kylie Makeup</t>
        </is>
      </c>
      <c r="B2455" t="inlineStr">
        <is>
          <t>Face (01243)</t>
        </is>
      </c>
      <c r="C2455" t="inlineStr">
        <is>
          <t>Kylie Hybrid Blush (00006713)</t>
        </is>
      </c>
      <c r="D2455" s="1" t="n">
        <v>4064941147121</v>
      </c>
      <c r="E2455" t="inlineStr">
        <is>
          <t>KJ MU HYB BLSH PWDBLU2.5G 116SLWJM 25IV</t>
        </is>
      </c>
      <c r="F2455" t="inlineStr">
        <is>
          <t>P_US_FG</t>
        </is>
      </c>
      <c r="G2455" t="inlineStr">
        <is>
          <t>CurrentWorkingView</t>
        </is>
      </c>
      <c r="H2455" t="inlineStr">
        <is>
          <t>Reasonability Adjustment</t>
        </is>
      </c>
    </row>
    <row r="2456">
      <c r="A2456" t="inlineStr">
        <is>
          <t>Kylie Makeup</t>
        </is>
      </c>
      <c r="B2456" t="inlineStr">
        <is>
          <t>Face (01243)</t>
        </is>
      </c>
      <c r="C2456" t="inlineStr">
        <is>
          <t>Kylie Hybrid Blush (00006713)</t>
        </is>
      </c>
      <c r="D2456" s="1" t="n">
        <v>4064941147121</v>
      </c>
      <c r="E2456" t="inlineStr">
        <is>
          <t>KJ MU HYB BLSH PWDBLU2.5G 116SLWJM 25IV</t>
        </is>
      </c>
      <c r="F2456" t="inlineStr">
        <is>
          <t>P_US_FG</t>
        </is>
      </c>
      <c r="G2456" t="inlineStr">
        <is>
          <t>CurrentWorkingView</t>
        </is>
      </c>
      <c r="H2456" t="inlineStr">
        <is>
          <t>Total Demand Assumption</t>
        </is>
      </c>
    </row>
    <row r="2457">
      <c r="A2457" t="inlineStr">
        <is>
          <t>Kylie Makeup</t>
        </is>
      </c>
      <c r="B2457" t="inlineStr">
        <is>
          <t>Face (01243)</t>
        </is>
      </c>
      <c r="C2457" t="inlineStr">
        <is>
          <t>Kylie Hybrid Blush (00006713)</t>
        </is>
      </c>
      <c r="D2457" s="1" t="n">
        <v>4064941147121</v>
      </c>
      <c r="E2457" t="inlineStr">
        <is>
          <t>KJ MU HYB BLSH PWDBLU2.5G 116SLWJM 25IV</t>
        </is>
      </c>
      <c r="F2457" t="inlineStr">
        <is>
          <t>P_US_FG</t>
        </is>
      </c>
      <c r="G2457" t="inlineStr">
        <is>
          <t>CurrentWorkingView</t>
        </is>
      </c>
      <c r="H2457" t="inlineStr">
        <is>
          <t>Consensus - Final</t>
        </is>
      </c>
      <c r="K2457" t="n">
        <v>0</v>
      </c>
    </row>
    <row r="2458">
      <c r="A2458" t="inlineStr">
        <is>
          <t>Kylie Makeup</t>
        </is>
      </c>
      <c r="B2458" t="inlineStr">
        <is>
          <t>Face (01243)</t>
        </is>
      </c>
      <c r="C2458" t="inlineStr">
        <is>
          <t>Kylie Hybrid Blush (00006713)</t>
        </is>
      </c>
      <c r="D2458" s="1" t="n">
        <v>4064941147121</v>
      </c>
      <c r="E2458" t="inlineStr">
        <is>
          <t>KJ MU HYB BLSH PWDBLU2.5G 116SLWJM 25IV</t>
        </is>
      </c>
      <c r="F2458" t="inlineStr">
        <is>
          <t>P_US_FG</t>
        </is>
      </c>
      <c r="G2458" t="inlineStr">
        <is>
          <t>CurrentWorkingView</t>
        </is>
      </c>
      <c r="H2458" t="inlineStr">
        <is>
          <t>Supply Cuts</t>
        </is>
      </c>
    </row>
    <row r="2459">
      <c r="A2459" t="inlineStr">
        <is>
          <t>Kylie Makeup</t>
        </is>
      </c>
      <c r="B2459" t="inlineStr">
        <is>
          <t>Face (01243)</t>
        </is>
      </c>
      <c r="C2459" t="inlineStr">
        <is>
          <t>Kylie Hybrid Blush (00006713)</t>
        </is>
      </c>
      <c r="D2459" s="1" t="n">
        <v>4064941147121</v>
      </c>
      <c r="E2459" t="inlineStr">
        <is>
          <t>KJ MU HYB BLSH PWDBLU2.5G 116SLWJM 25IV</t>
        </is>
      </c>
      <c r="F2459" t="inlineStr">
        <is>
          <t>P_US_FG</t>
        </is>
      </c>
      <c r="G2459" t="inlineStr">
        <is>
          <t>Month-2026.M09.W38</t>
        </is>
      </c>
      <c r="H2459" t="inlineStr">
        <is>
          <t>Consensus - Final LY M</t>
        </is>
      </c>
      <c r="I2459" t="n">
        <v>355</v>
      </c>
      <c r="J2459" t="n">
        <v>25</v>
      </c>
      <c r="K2459" t="n">
        <v>200</v>
      </c>
      <c r="L2459" t="n">
        <v>32</v>
      </c>
      <c r="O2459" t="n">
        <v>100</v>
      </c>
      <c r="P2459" t="n">
        <v>30</v>
      </c>
      <c r="Q2459" t="n">
        <v>20</v>
      </c>
      <c r="T2459" t="n">
        <v>30</v>
      </c>
    </row>
    <row r="2460">
      <c r="A2460" t="inlineStr">
        <is>
          <t>Kylie Makeup</t>
        </is>
      </c>
      <c r="B2460" t="inlineStr">
        <is>
          <t>Face (01243)</t>
        </is>
      </c>
      <c r="C2460" t="inlineStr">
        <is>
          <t>Kylie Hybrid Blush (00006713)</t>
        </is>
      </c>
      <c r="D2460" s="1" t="n">
        <v>4064941147121</v>
      </c>
      <c r="E2460" t="inlineStr">
        <is>
          <t>KJ MU HYB BLSH PWDBLU2.5G 116SLWJM 25IV</t>
        </is>
      </c>
      <c r="F2460" t="inlineStr">
        <is>
          <t>P_US_FG</t>
        </is>
      </c>
      <c r="G2460" t="inlineStr">
        <is>
          <t>Month-2026.M09.W38</t>
        </is>
      </c>
      <c r="H2460" t="inlineStr">
        <is>
          <t>System FC - Final</t>
        </is>
      </c>
      <c r="K2460" t="n">
        <v>10</v>
      </c>
      <c r="L2460" t="n">
        <v>10</v>
      </c>
      <c r="M2460" t="n">
        <v>8</v>
      </c>
      <c r="N2460" t="n">
        <v>9</v>
      </c>
      <c r="O2460" t="n">
        <v>9</v>
      </c>
      <c r="P2460" t="n">
        <v>12</v>
      </c>
      <c r="Q2460" t="n">
        <v>9</v>
      </c>
      <c r="R2460" t="n">
        <v>9</v>
      </c>
      <c r="S2460" t="n">
        <v>9</v>
      </c>
      <c r="T2460" t="n">
        <v>9</v>
      </c>
    </row>
    <row r="2461">
      <c r="A2461" t="inlineStr">
        <is>
          <t>Kylie Makeup</t>
        </is>
      </c>
      <c r="B2461" t="inlineStr">
        <is>
          <t>Face (01243)</t>
        </is>
      </c>
      <c r="C2461" t="inlineStr">
        <is>
          <t>Kylie Hybrid Blush (00006713)</t>
        </is>
      </c>
      <c r="D2461" s="1" t="n">
        <v>4064941147121</v>
      </c>
      <c r="E2461" t="inlineStr">
        <is>
          <t>KJ MU HYB BLSH PWDBLU2.5G 116SLWJM 25IV</t>
        </is>
      </c>
      <c r="F2461" t="inlineStr">
        <is>
          <t>P_US_FG</t>
        </is>
      </c>
      <c r="G2461" t="inlineStr">
        <is>
          <t>Month-2026.M09.W38</t>
        </is>
      </c>
      <c r="H2461" t="inlineStr">
        <is>
          <t>EPOS</t>
        </is>
      </c>
    </row>
    <row r="2462">
      <c r="A2462" t="inlineStr">
        <is>
          <t>Kylie Makeup</t>
        </is>
      </c>
      <c r="B2462" t="inlineStr">
        <is>
          <t>Face (01243)</t>
        </is>
      </c>
      <c r="C2462" t="inlineStr">
        <is>
          <t>Kylie Hybrid Blush (00006713)</t>
        </is>
      </c>
      <c r="D2462" s="1" t="n">
        <v>4064941147121</v>
      </c>
      <c r="E2462" t="inlineStr">
        <is>
          <t>KJ MU HYB BLSH PWDBLU2.5G 116SLWJM 25IV</t>
        </is>
      </c>
      <c r="F2462" t="inlineStr">
        <is>
          <t>P_US_FG</t>
        </is>
      </c>
      <c r="G2462" t="inlineStr">
        <is>
          <t>Month-2026.M09.W38</t>
        </is>
      </c>
      <c r="H2462" t="inlineStr">
        <is>
          <t>Reasonability Adjustment</t>
        </is>
      </c>
    </row>
    <row r="2463">
      <c r="A2463" t="inlineStr">
        <is>
          <t>Kylie Makeup</t>
        </is>
      </c>
      <c r="B2463" t="inlineStr">
        <is>
          <t>Face (01243)</t>
        </is>
      </c>
      <c r="C2463" t="inlineStr">
        <is>
          <t>Kylie Hybrid Blush (00006713)</t>
        </is>
      </c>
      <c r="D2463" s="1" t="n">
        <v>4064941147121</v>
      </c>
      <c r="E2463" t="inlineStr">
        <is>
          <t>KJ MU HYB BLSH PWDBLU2.5G 116SLWJM 25IV</t>
        </is>
      </c>
      <c r="F2463" t="inlineStr">
        <is>
          <t>P_US_FG</t>
        </is>
      </c>
      <c r="G2463" t="inlineStr">
        <is>
          <t>Month-2026.M09.W38</t>
        </is>
      </c>
      <c r="H2463" t="inlineStr">
        <is>
          <t>Total Demand Assumption</t>
        </is>
      </c>
    </row>
    <row r="2464">
      <c r="A2464" t="inlineStr">
        <is>
          <t>Kylie Makeup</t>
        </is>
      </c>
      <c r="B2464" t="inlineStr">
        <is>
          <t>Face (01243)</t>
        </is>
      </c>
      <c r="C2464" t="inlineStr">
        <is>
          <t>Kylie Hybrid Blush (00006713)</t>
        </is>
      </c>
      <c r="D2464" s="1" t="n">
        <v>4064941147121</v>
      </c>
      <c r="E2464" t="inlineStr">
        <is>
          <t>KJ MU HYB BLSH PWDBLU2.5G 116SLWJM 25IV</t>
        </is>
      </c>
      <c r="F2464" t="inlineStr">
        <is>
          <t>P_US_FG</t>
        </is>
      </c>
      <c r="G2464" t="inlineStr">
        <is>
          <t>Month-2026.M09.W38</t>
        </is>
      </c>
      <c r="H2464" t="inlineStr">
        <is>
          <t>Consensus - Final</t>
        </is>
      </c>
      <c r="K2464" t="n">
        <v>0</v>
      </c>
    </row>
    <row r="2465">
      <c r="A2465" t="inlineStr">
        <is>
          <t>Kylie Makeup</t>
        </is>
      </c>
      <c r="B2465" t="inlineStr">
        <is>
          <t>Face (01243)</t>
        </is>
      </c>
      <c r="C2465" t="inlineStr">
        <is>
          <t>Kylie Hybrid Blush (00006713)</t>
        </is>
      </c>
      <c r="D2465" s="1" t="n">
        <v>4064941147121</v>
      </c>
      <c r="E2465" t="inlineStr">
        <is>
          <t>KJ MU HYB BLSH PWDBLU2.5G 116SLWJM 25IV</t>
        </is>
      </c>
      <c r="F2465" t="inlineStr">
        <is>
          <t>P_US_FG</t>
        </is>
      </c>
      <c r="G2465" t="inlineStr">
        <is>
          <t>Month-2026.M09.W38</t>
        </is>
      </c>
      <c r="H2465" t="inlineStr">
        <is>
          <t>Supply Cuts</t>
        </is>
      </c>
    </row>
    <row r="2466">
      <c r="A2466" t="inlineStr">
        <is>
          <t>Kylie Makeup</t>
        </is>
      </c>
      <c r="B2466" t="inlineStr">
        <is>
          <t>Face (01243)</t>
        </is>
      </c>
      <c r="C2466" t="inlineStr">
        <is>
          <t>Kylie Hybrid Blush (00006713)</t>
        </is>
      </c>
      <c r="D2466" s="1" t="n">
        <v>4064941147121</v>
      </c>
      <c r="E2466" t="inlineStr">
        <is>
          <t>KJ MU HYB BLSH PWDBLU2.5G 116SLWJM 25IV</t>
        </is>
      </c>
      <c r="F2466" t="inlineStr">
        <is>
          <t>P_US_ULTA</t>
        </is>
      </c>
      <c r="G2466" t="inlineStr">
        <is>
          <t>CurrentWorkingView</t>
        </is>
      </c>
      <c r="H2466" t="inlineStr">
        <is>
          <t>Consensus - Final LY M</t>
        </is>
      </c>
      <c r="I2466" t="n">
        <v>72</v>
      </c>
      <c r="J2466" t="n">
        <v>504</v>
      </c>
      <c r="Q2466" t="n">
        <v>144</v>
      </c>
      <c r="S2466" t="n">
        <v>216</v>
      </c>
    </row>
    <row r="2467">
      <c r="A2467" t="inlineStr">
        <is>
          <t>Kylie Makeup</t>
        </is>
      </c>
      <c r="B2467" t="inlineStr">
        <is>
          <t>Face (01243)</t>
        </is>
      </c>
      <c r="C2467" t="inlineStr">
        <is>
          <t>Kylie Hybrid Blush (00006713)</t>
        </is>
      </c>
      <c r="D2467" s="1" t="n">
        <v>4064941147121</v>
      </c>
      <c r="E2467" t="inlineStr">
        <is>
          <t>KJ MU HYB BLSH PWDBLU2.5G 116SLWJM 25IV</t>
        </is>
      </c>
      <c r="F2467" t="inlineStr">
        <is>
          <t>P_US_ULTA</t>
        </is>
      </c>
      <c r="G2467" t="inlineStr">
        <is>
          <t>CurrentWorkingView</t>
        </is>
      </c>
      <c r="H2467" t="inlineStr">
        <is>
          <t>System FC - Final</t>
        </is>
      </c>
      <c r="I2467" t="n">
        <v>288</v>
      </c>
      <c r="J2467" t="n">
        <v>1584</v>
      </c>
      <c r="K2467" t="n">
        <v>1226</v>
      </c>
      <c r="L2467" t="n">
        <v>832</v>
      </c>
      <c r="M2467" t="n">
        <v>1012</v>
      </c>
      <c r="N2467" t="n">
        <v>823</v>
      </c>
      <c r="O2467" t="n">
        <v>890</v>
      </c>
      <c r="P2467" t="n">
        <v>908</v>
      </c>
      <c r="Q2467" t="n">
        <v>873</v>
      </c>
      <c r="R2467" t="n">
        <v>891</v>
      </c>
      <c r="S2467" t="n">
        <v>890</v>
      </c>
      <c r="T2467" t="n">
        <v>887</v>
      </c>
    </row>
    <row r="2468">
      <c r="A2468" t="inlineStr">
        <is>
          <t>Kylie Makeup</t>
        </is>
      </c>
      <c r="B2468" t="inlineStr">
        <is>
          <t>Face (01243)</t>
        </is>
      </c>
      <c r="C2468" t="inlineStr">
        <is>
          <t>Kylie Hybrid Blush (00006713)</t>
        </is>
      </c>
      <c r="D2468" s="1" t="n">
        <v>4064941147121</v>
      </c>
      <c r="E2468" t="inlineStr">
        <is>
          <t>KJ MU HYB BLSH PWDBLU2.5G 116SLWJM 25IV</t>
        </is>
      </c>
      <c r="F2468" t="inlineStr">
        <is>
          <t>P_US_ULTA</t>
        </is>
      </c>
      <c r="G2468" t="inlineStr">
        <is>
          <t>CurrentWorkingView</t>
        </is>
      </c>
      <c r="H2468" t="inlineStr">
        <is>
          <t>EPOS</t>
        </is>
      </c>
      <c r="I2468" t="n">
        <v>116</v>
      </c>
    </row>
    <row r="2469">
      <c r="A2469" t="inlineStr">
        <is>
          <t>Kylie Makeup</t>
        </is>
      </c>
      <c r="B2469" t="inlineStr">
        <is>
          <t>Face (01243)</t>
        </is>
      </c>
      <c r="C2469" t="inlineStr">
        <is>
          <t>Kylie Hybrid Blush (00006713)</t>
        </is>
      </c>
      <c r="D2469" s="1" t="n">
        <v>4064941147121</v>
      </c>
      <c r="E2469" t="inlineStr">
        <is>
          <t>KJ MU HYB BLSH PWDBLU2.5G 116SLWJM 25IV</t>
        </is>
      </c>
      <c r="F2469" t="inlineStr">
        <is>
          <t>P_US_ULTA</t>
        </is>
      </c>
      <c r="G2469" t="inlineStr">
        <is>
          <t>CurrentWorkingView</t>
        </is>
      </c>
      <c r="H2469" t="inlineStr">
        <is>
          <t>Reasonability Adjustment</t>
        </is>
      </c>
      <c r="L2469" t="n">
        <v>-95</v>
      </c>
      <c r="M2469" t="n">
        <v>-95</v>
      </c>
      <c r="R2469" t="n">
        <v>-162</v>
      </c>
      <c r="T2469" t="n">
        <v>-46</v>
      </c>
    </row>
    <row r="2470">
      <c r="A2470" t="inlineStr">
        <is>
          <t>Kylie Makeup</t>
        </is>
      </c>
      <c r="B2470" t="inlineStr">
        <is>
          <t>Face (01243)</t>
        </is>
      </c>
      <c r="C2470" t="inlineStr">
        <is>
          <t>Kylie Hybrid Blush (00006713)</t>
        </is>
      </c>
      <c r="D2470" s="1" t="n">
        <v>4064941147121</v>
      </c>
      <c r="E2470" t="inlineStr">
        <is>
          <t>KJ MU HYB BLSH PWDBLU2.5G 116SLWJM 25IV</t>
        </is>
      </c>
      <c r="F2470" t="inlineStr">
        <is>
          <t>P_US_ULTA</t>
        </is>
      </c>
      <c r="G2470" t="inlineStr">
        <is>
          <t>CurrentWorkingView</t>
        </is>
      </c>
      <c r="H2470" t="inlineStr">
        <is>
          <t>Total Demand Assumption</t>
        </is>
      </c>
      <c r="I2470" t="n">
        <v>229</v>
      </c>
      <c r="J2470" t="n">
        <v>1146</v>
      </c>
    </row>
    <row r="2471">
      <c r="A2471" t="inlineStr">
        <is>
          <t>Kylie Makeup</t>
        </is>
      </c>
      <c r="B2471" t="inlineStr">
        <is>
          <t>Face (01243)</t>
        </is>
      </c>
      <c r="C2471" t="inlineStr">
        <is>
          <t>Kylie Hybrid Blush (00006713)</t>
        </is>
      </c>
      <c r="D2471" s="1" t="n">
        <v>4064941147121</v>
      </c>
      <c r="E2471" t="inlineStr">
        <is>
          <t>KJ MU HYB BLSH PWDBLU2.5G 116SLWJM 25IV</t>
        </is>
      </c>
      <c r="F2471" t="inlineStr">
        <is>
          <t>P_US_ULTA</t>
        </is>
      </c>
      <c r="G2471" t="inlineStr">
        <is>
          <t>CurrentWorkingView</t>
        </is>
      </c>
      <c r="H2471" t="inlineStr">
        <is>
          <t>Consensus - Final</t>
        </is>
      </c>
      <c r="I2471" t="n">
        <v>288</v>
      </c>
      <c r="J2471" t="n">
        <v>1584</v>
      </c>
      <c r="K2471" t="n">
        <v>1152</v>
      </c>
      <c r="L2471" t="n">
        <v>737</v>
      </c>
      <c r="M2471" t="n">
        <v>920</v>
      </c>
      <c r="N2471" t="n">
        <v>823</v>
      </c>
      <c r="O2471" t="n">
        <v>890</v>
      </c>
      <c r="P2471" t="n">
        <v>908</v>
      </c>
      <c r="Q2471" t="n">
        <v>873</v>
      </c>
      <c r="R2471" t="n">
        <v>729</v>
      </c>
      <c r="S2471" t="n">
        <v>890</v>
      </c>
      <c r="T2471" t="n">
        <v>841</v>
      </c>
    </row>
    <row r="2472">
      <c r="A2472" t="inlineStr">
        <is>
          <t>Kylie Makeup</t>
        </is>
      </c>
      <c r="B2472" t="inlineStr">
        <is>
          <t>Face (01243)</t>
        </is>
      </c>
      <c r="C2472" t="inlineStr">
        <is>
          <t>Kylie Hybrid Blush (00006713)</t>
        </is>
      </c>
      <c r="D2472" s="1" t="n">
        <v>4064941147121</v>
      </c>
      <c r="E2472" t="inlineStr">
        <is>
          <t>KJ MU HYB BLSH PWDBLU2.5G 116SLWJM 25IV</t>
        </is>
      </c>
      <c r="F2472" t="inlineStr">
        <is>
          <t>P_US_ULTA</t>
        </is>
      </c>
      <c r="G2472" t="inlineStr">
        <is>
          <t>CurrentWorkingView</t>
        </is>
      </c>
      <c r="H2472" t="inlineStr">
        <is>
          <t>Supply Cuts</t>
        </is>
      </c>
    </row>
    <row r="2473">
      <c r="A2473" t="inlineStr">
        <is>
          <t>Kylie Makeup</t>
        </is>
      </c>
      <c r="B2473" t="inlineStr">
        <is>
          <t>Face (01243)</t>
        </is>
      </c>
      <c r="C2473" t="inlineStr">
        <is>
          <t>Kylie Hybrid Blush (00006713)</t>
        </is>
      </c>
      <c r="D2473" s="1" t="n">
        <v>4064941147121</v>
      </c>
      <c r="E2473" t="inlineStr">
        <is>
          <t>KJ MU HYB BLSH PWDBLU2.5G 116SLWJM 25IV</t>
        </is>
      </c>
      <c r="F2473" t="inlineStr">
        <is>
          <t>P_US_ULTA</t>
        </is>
      </c>
      <c r="G2473" t="inlineStr">
        <is>
          <t>Month-2026.M09.W38</t>
        </is>
      </c>
      <c r="H2473" t="inlineStr">
        <is>
          <t>Consensus - Final LY M</t>
        </is>
      </c>
      <c r="I2473" t="n">
        <v>72</v>
      </c>
      <c r="J2473" t="n">
        <v>504</v>
      </c>
      <c r="Q2473" t="n">
        <v>144</v>
      </c>
      <c r="S2473" t="n">
        <v>216</v>
      </c>
    </row>
    <row r="2474">
      <c r="A2474" t="inlineStr">
        <is>
          <t>Kylie Makeup</t>
        </is>
      </c>
      <c r="B2474" t="inlineStr">
        <is>
          <t>Face (01243)</t>
        </is>
      </c>
      <c r="C2474" t="inlineStr">
        <is>
          <t>Kylie Hybrid Blush (00006713)</t>
        </is>
      </c>
      <c r="D2474" s="1" t="n">
        <v>4064941147121</v>
      </c>
      <c r="E2474" t="inlineStr">
        <is>
          <t>KJ MU HYB BLSH PWDBLU2.5G 116SLWJM 25IV</t>
        </is>
      </c>
      <c r="F2474" t="inlineStr">
        <is>
          <t>P_US_ULTA</t>
        </is>
      </c>
      <c r="G2474" t="inlineStr">
        <is>
          <t>Month-2026.M09.W38</t>
        </is>
      </c>
      <c r="H2474" t="inlineStr">
        <is>
          <t>System FC - Final</t>
        </is>
      </c>
      <c r="I2474" t="n">
        <v>288</v>
      </c>
      <c r="J2474" t="n">
        <v>1584</v>
      </c>
      <c r="K2474" t="n">
        <v>829</v>
      </c>
      <c r="L2474" t="n">
        <v>202</v>
      </c>
      <c r="M2474" t="n">
        <v>176</v>
      </c>
      <c r="N2474" t="n">
        <v>177</v>
      </c>
      <c r="O2474" t="n">
        <v>186</v>
      </c>
      <c r="P2474" t="n">
        <v>180</v>
      </c>
      <c r="Q2474" t="n">
        <v>181</v>
      </c>
      <c r="R2474" t="n">
        <v>180</v>
      </c>
      <c r="S2474" t="n">
        <v>182</v>
      </c>
      <c r="T2474" t="n">
        <v>107</v>
      </c>
    </row>
    <row r="2475">
      <c r="A2475" t="inlineStr">
        <is>
          <t>Kylie Makeup</t>
        </is>
      </c>
      <c r="B2475" t="inlineStr">
        <is>
          <t>Face (01243)</t>
        </is>
      </c>
      <c r="C2475" t="inlineStr">
        <is>
          <t>Kylie Hybrid Blush (00006713)</t>
        </is>
      </c>
      <c r="D2475" s="1" t="n">
        <v>4064941147121</v>
      </c>
      <c r="E2475" t="inlineStr">
        <is>
          <t>KJ MU HYB BLSH PWDBLU2.5G 116SLWJM 25IV</t>
        </is>
      </c>
      <c r="F2475" t="inlineStr">
        <is>
          <t>P_US_ULTA</t>
        </is>
      </c>
      <c r="G2475" t="inlineStr">
        <is>
          <t>Month-2026.M09.W38</t>
        </is>
      </c>
      <c r="H2475" t="inlineStr">
        <is>
          <t>EPOS</t>
        </is>
      </c>
      <c r="I2475" t="n">
        <v>116</v>
      </c>
    </row>
    <row r="2476">
      <c r="A2476" t="inlineStr">
        <is>
          <t>Kylie Makeup</t>
        </is>
      </c>
      <c r="B2476" t="inlineStr">
        <is>
          <t>Face (01243)</t>
        </is>
      </c>
      <c r="C2476" t="inlineStr">
        <is>
          <t>Kylie Hybrid Blush (00006713)</t>
        </is>
      </c>
      <c r="D2476" s="1" t="n">
        <v>4064941147121</v>
      </c>
      <c r="E2476" t="inlineStr">
        <is>
          <t>KJ MU HYB BLSH PWDBLU2.5G 116SLWJM 25IV</t>
        </is>
      </c>
      <c r="F2476" t="inlineStr">
        <is>
          <t>P_US_ULTA</t>
        </is>
      </c>
      <c r="G2476" t="inlineStr">
        <is>
          <t>Month-2026.M09.W38</t>
        </is>
      </c>
      <c r="H2476" t="inlineStr">
        <is>
          <t>Reasonability Adjustment</t>
        </is>
      </c>
      <c r="L2476" t="n">
        <v>-95</v>
      </c>
      <c r="M2476" t="n">
        <v>-95</v>
      </c>
      <c r="R2476" t="n">
        <v>-162</v>
      </c>
      <c r="T2476" t="n">
        <v>-46</v>
      </c>
    </row>
    <row r="2477">
      <c r="A2477" t="inlineStr">
        <is>
          <t>Kylie Makeup</t>
        </is>
      </c>
      <c r="B2477" t="inlineStr">
        <is>
          <t>Face (01243)</t>
        </is>
      </c>
      <c r="C2477" t="inlineStr">
        <is>
          <t>Kylie Hybrid Blush (00006713)</t>
        </is>
      </c>
      <c r="D2477" s="1" t="n">
        <v>4064941147121</v>
      </c>
      <c r="E2477" t="inlineStr">
        <is>
          <t>KJ MU HYB BLSH PWDBLU2.5G 116SLWJM 25IV</t>
        </is>
      </c>
      <c r="F2477" t="inlineStr">
        <is>
          <t>P_US_ULTA</t>
        </is>
      </c>
      <c r="G2477" t="inlineStr">
        <is>
          <t>Month-2026.M09.W38</t>
        </is>
      </c>
      <c r="H2477" t="inlineStr">
        <is>
          <t>Total Demand Assumption</t>
        </is>
      </c>
      <c r="I2477" t="n">
        <v>229</v>
      </c>
      <c r="J2477" t="n">
        <v>1146</v>
      </c>
    </row>
    <row r="2478">
      <c r="A2478" t="inlineStr">
        <is>
          <t>Kylie Makeup</t>
        </is>
      </c>
      <c r="B2478" t="inlineStr">
        <is>
          <t>Face (01243)</t>
        </is>
      </c>
      <c r="C2478" t="inlineStr">
        <is>
          <t>Kylie Hybrid Blush (00006713)</t>
        </is>
      </c>
      <c r="D2478" s="1" t="n">
        <v>4064941147121</v>
      </c>
      <c r="E2478" t="inlineStr">
        <is>
          <t>KJ MU HYB BLSH PWDBLU2.5G 116SLWJM 25IV</t>
        </is>
      </c>
      <c r="F2478" t="inlineStr">
        <is>
          <t>P_US_ULTA</t>
        </is>
      </c>
      <c r="G2478" t="inlineStr">
        <is>
          <t>Month-2026.M09.W38</t>
        </is>
      </c>
      <c r="H2478" t="inlineStr">
        <is>
          <t>Consensus - Final</t>
        </is>
      </c>
      <c r="I2478" t="n">
        <v>288</v>
      </c>
      <c r="J2478" t="n">
        <v>1584</v>
      </c>
      <c r="K2478" t="n">
        <v>720</v>
      </c>
      <c r="L2478" t="n">
        <v>115</v>
      </c>
      <c r="M2478" t="n">
        <v>81</v>
      </c>
      <c r="N2478" t="n">
        <v>177</v>
      </c>
      <c r="O2478" t="n">
        <v>186</v>
      </c>
      <c r="P2478" t="n">
        <v>180</v>
      </c>
      <c r="Q2478" t="n">
        <v>181</v>
      </c>
      <c r="R2478" t="n">
        <v>18</v>
      </c>
      <c r="S2478" t="n">
        <v>182</v>
      </c>
      <c r="T2478" t="n">
        <v>61</v>
      </c>
    </row>
    <row r="2479">
      <c r="A2479" t="inlineStr">
        <is>
          <t>Kylie Makeup</t>
        </is>
      </c>
      <c r="B2479" t="inlineStr">
        <is>
          <t>Face (01243)</t>
        </is>
      </c>
      <c r="C2479" t="inlineStr">
        <is>
          <t>Kylie Hybrid Blush (00006713)</t>
        </is>
      </c>
      <c r="D2479" s="1" t="n">
        <v>4064941147121</v>
      </c>
      <c r="E2479" t="inlineStr">
        <is>
          <t>KJ MU HYB BLSH PWDBLU2.5G 116SLWJM 25IV</t>
        </is>
      </c>
      <c r="F2479" t="inlineStr">
        <is>
          <t>P_US_ULTA</t>
        </is>
      </c>
      <c r="G2479" t="inlineStr">
        <is>
          <t>Month-2026.M09.W38</t>
        </is>
      </c>
      <c r="H2479" t="inlineStr">
        <is>
          <t>Supply Cuts</t>
        </is>
      </c>
    </row>
    <row r="2480">
      <c r="A2480" t="inlineStr">
        <is>
          <t>Kylie Makeup</t>
        </is>
      </c>
      <c r="B2480" t="inlineStr">
        <is>
          <t>Face (01243)</t>
        </is>
      </c>
      <c r="C2480" t="inlineStr">
        <is>
          <t>Kylie Hybrid Blush (00006713)</t>
        </is>
      </c>
      <c r="D2480" s="1" t="n">
        <v>4064941147145</v>
      </c>
      <c r="E2480" t="inlineStr">
        <is>
          <t>KJ MU HYB BLSH PWDBLU2.5G 216SIENA 25IV</t>
        </is>
      </c>
      <c r="F2480" t="inlineStr">
        <is>
          <t>P_US_ALL_OTHERS</t>
        </is>
      </c>
      <c r="G2480" t="inlineStr">
        <is>
          <t>CurrentWorkingView</t>
        </is>
      </c>
      <c r="H2480" t="inlineStr">
        <is>
          <t>Consensus - Final LY M</t>
        </is>
      </c>
      <c r="I2480" t="n">
        <v>1237</v>
      </c>
      <c r="J2480" t="n">
        <v>84</v>
      </c>
      <c r="K2480" t="n">
        <v>43</v>
      </c>
      <c r="L2480" t="n">
        <v>61</v>
      </c>
      <c r="M2480" t="n">
        <v>409</v>
      </c>
      <c r="N2480" t="n">
        <v>83</v>
      </c>
      <c r="O2480" t="n">
        <v>52</v>
      </c>
      <c r="P2480" t="n">
        <v>142</v>
      </c>
      <c r="Q2480" t="n">
        <v>56</v>
      </c>
      <c r="R2480" t="n">
        <v>94</v>
      </c>
      <c r="S2480" t="n">
        <v>72</v>
      </c>
      <c r="T2480" t="n">
        <v>44</v>
      </c>
    </row>
    <row r="2481">
      <c r="A2481" t="inlineStr">
        <is>
          <t>Kylie Makeup</t>
        </is>
      </c>
      <c r="B2481" t="inlineStr">
        <is>
          <t>Face (01243)</t>
        </is>
      </c>
      <c r="C2481" t="inlineStr">
        <is>
          <t>Kylie Hybrid Blush (00006713)</t>
        </is>
      </c>
      <c r="D2481" s="1" t="n">
        <v>4064941147145</v>
      </c>
      <c r="E2481" t="inlineStr">
        <is>
          <t>KJ MU HYB BLSH PWDBLU2.5G 216SIENA 25IV</t>
        </is>
      </c>
      <c r="F2481" t="inlineStr">
        <is>
          <t>P_US_ALL_OTHERS</t>
        </is>
      </c>
      <c r="G2481" t="inlineStr">
        <is>
          <t>CurrentWorkingView</t>
        </is>
      </c>
      <c r="H2481" t="inlineStr">
        <is>
          <t>System FC - Final</t>
        </is>
      </c>
      <c r="I2481" t="n">
        <v>81</v>
      </c>
      <c r="J2481" t="n">
        <v>127</v>
      </c>
      <c r="K2481" t="n">
        <v>85</v>
      </c>
      <c r="L2481" t="n">
        <v>99</v>
      </c>
      <c r="M2481" t="n">
        <v>102</v>
      </c>
      <c r="N2481" t="n">
        <v>93</v>
      </c>
      <c r="O2481" t="n">
        <v>98</v>
      </c>
      <c r="P2481" t="n">
        <v>100</v>
      </c>
      <c r="Q2481" t="n">
        <v>97</v>
      </c>
      <c r="R2481" t="n">
        <v>98</v>
      </c>
      <c r="S2481" t="n">
        <v>97</v>
      </c>
      <c r="T2481" t="n">
        <v>99</v>
      </c>
    </row>
    <row r="2482">
      <c r="A2482" t="inlineStr">
        <is>
          <t>Kylie Makeup</t>
        </is>
      </c>
      <c r="B2482" t="inlineStr">
        <is>
          <t>Face (01243)</t>
        </is>
      </c>
      <c r="C2482" t="inlineStr">
        <is>
          <t>Kylie Hybrid Blush (00006713)</t>
        </is>
      </c>
      <c r="D2482" s="1" t="n">
        <v>4064941147145</v>
      </c>
      <c r="E2482" t="inlineStr">
        <is>
          <t>KJ MU HYB BLSH PWDBLU2.5G 216SIENA 25IV</t>
        </is>
      </c>
      <c r="F2482" t="inlineStr">
        <is>
          <t>P_US_ALL_OTHERS</t>
        </is>
      </c>
      <c r="G2482" t="inlineStr">
        <is>
          <t>CurrentWorkingView</t>
        </is>
      </c>
      <c r="H2482" t="inlineStr">
        <is>
          <t>EPOS</t>
        </is>
      </c>
      <c r="I2482" t="n">
        <v>85</v>
      </c>
    </row>
    <row r="2483">
      <c r="A2483" t="inlineStr">
        <is>
          <t>Kylie Makeup</t>
        </is>
      </c>
      <c r="B2483" t="inlineStr">
        <is>
          <t>Face (01243)</t>
        </is>
      </c>
      <c r="C2483" t="inlineStr">
        <is>
          <t>Kylie Hybrid Blush (00006713)</t>
        </is>
      </c>
      <c r="D2483" s="1" t="n">
        <v>4064941147145</v>
      </c>
      <c r="E2483" t="inlineStr">
        <is>
          <t>KJ MU HYB BLSH PWDBLU2.5G 216SIENA 25IV</t>
        </is>
      </c>
      <c r="F2483" t="inlineStr">
        <is>
          <t>P_US_ALL_OTHERS</t>
        </is>
      </c>
      <c r="G2483" t="inlineStr">
        <is>
          <t>CurrentWorkingView</t>
        </is>
      </c>
      <c r="H2483" t="inlineStr">
        <is>
          <t>Reasonability Adjustment</t>
        </is>
      </c>
      <c r="I2483" t="n">
        <v>607</v>
      </c>
      <c r="J2483" t="n">
        <v>102</v>
      </c>
      <c r="K2483" t="n">
        <v>39</v>
      </c>
      <c r="M2483" t="n">
        <v>39</v>
      </c>
      <c r="N2483" t="n">
        <v>40</v>
      </c>
      <c r="O2483" t="n">
        <v>40</v>
      </c>
      <c r="R2483" t="n">
        <v>-26</v>
      </c>
    </row>
    <row r="2484">
      <c r="A2484" t="inlineStr">
        <is>
          <t>Kylie Makeup</t>
        </is>
      </c>
      <c r="B2484" t="inlineStr">
        <is>
          <t>Face (01243)</t>
        </is>
      </c>
      <c r="C2484" t="inlineStr">
        <is>
          <t>Kylie Hybrid Blush (00006713)</t>
        </is>
      </c>
      <c r="D2484" s="1" t="n">
        <v>4064941147145</v>
      </c>
      <c r="E2484" t="inlineStr">
        <is>
          <t>KJ MU HYB BLSH PWDBLU2.5G 216SIENA 25IV</t>
        </is>
      </c>
      <c r="F2484" t="inlineStr">
        <is>
          <t>P_US_ALL_OTHERS</t>
        </is>
      </c>
      <c r="G2484" t="inlineStr">
        <is>
          <t>CurrentWorkingView</t>
        </is>
      </c>
      <c r="H2484" t="inlineStr">
        <is>
          <t>Total Demand Assumption</t>
        </is>
      </c>
    </row>
    <row r="2485">
      <c r="A2485" t="inlineStr">
        <is>
          <t>Kylie Makeup</t>
        </is>
      </c>
      <c r="B2485" t="inlineStr">
        <is>
          <t>Face (01243)</t>
        </is>
      </c>
      <c r="C2485" t="inlineStr">
        <is>
          <t>Kylie Hybrid Blush (00006713)</t>
        </is>
      </c>
      <c r="D2485" s="1" t="n">
        <v>4064941147145</v>
      </c>
      <c r="E2485" t="inlineStr">
        <is>
          <t>KJ MU HYB BLSH PWDBLU2.5G 216SIENA 25IV</t>
        </is>
      </c>
      <c r="F2485" t="inlineStr">
        <is>
          <t>P_US_ALL_OTHERS</t>
        </is>
      </c>
      <c r="G2485" t="inlineStr">
        <is>
          <t>CurrentWorkingView</t>
        </is>
      </c>
      <c r="H2485" t="inlineStr">
        <is>
          <t>Consensus - Final</t>
        </is>
      </c>
      <c r="I2485" t="n">
        <v>81</v>
      </c>
      <c r="J2485" t="n">
        <v>127</v>
      </c>
      <c r="K2485" t="n">
        <v>907</v>
      </c>
      <c r="L2485" t="n">
        <v>99</v>
      </c>
      <c r="M2485" t="n">
        <v>141</v>
      </c>
      <c r="N2485" t="n">
        <v>133</v>
      </c>
      <c r="O2485" t="n">
        <v>138</v>
      </c>
      <c r="P2485" t="n">
        <v>100</v>
      </c>
      <c r="Q2485" t="n">
        <v>97</v>
      </c>
      <c r="R2485" t="n">
        <v>72</v>
      </c>
      <c r="S2485" t="n">
        <v>97</v>
      </c>
      <c r="T2485" t="n">
        <v>99</v>
      </c>
    </row>
    <row r="2486">
      <c r="A2486" t="inlineStr">
        <is>
          <t>Kylie Makeup</t>
        </is>
      </c>
      <c r="B2486" t="inlineStr">
        <is>
          <t>Face (01243)</t>
        </is>
      </c>
      <c r="C2486" t="inlineStr">
        <is>
          <t>Kylie Hybrid Blush (00006713)</t>
        </is>
      </c>
      <c r="D2486" s="1" t="n">
        <v>4064941147145</v>
      </c>
      <c r="E2486" t="inlineStr">
        <is>
          <t>KJ MU HYB BLSH PWDBLU2.5G 216SIENA 25IV</t>
        </is>
      </c>
      <c r="F2486" t="inlineStr">
        <is>
          <t>P_US_ALL_OTHERS</t>
        </is>
      </c>
      <c r="G2486" t="inlineStr">
        <is>
          <t>CurrentWorkingView</t>
        </is>
      </c>
      <c r="H2486" t="inlineStr">
        <is>
          <t>Supply Cuts</t>
        </is>
      </c>
    </row>
    <row r="2487">
      <c r="A2487" t="inlineStr">
        <is>
          <t>Kylie Makeup</t>
        </is>
      </c>
      <c r="B2487" t="inlineStr">
        <is>
          <t>Face (01243)</t>
        </is>
      </c>
      <c r="C2487" t="inlineStr">
        <is>
          <t>Kylie Hybrid Blush (00006713)</t>
        </is>
      </c>
      <c r="D2487" s="1" t="n">
        <v>4064941147145</v>
      </c>
      <c r="E2487" t="inlineStr">
        <is>
          <t>KJ MU HYB BLSH PWDBLU2.5G 216SIENA 25IV</t>
        </is>
      </c>
      <c r="F2487" t="inlineStr">
        <is>
          <t>P_US_ALL_OTHERS</t>
        </is>
      </c>
      <c r="G2487" t="inlineStr">
        <is>
          <t>Month-2026.M09.W38</t>
        </is>
      </c>
      <c r="H2487" t="inlineStr">
        <is>
          <t>Consensus - Final LY M</t>
        </is>
      </c>
      <c r="I2487" t="n">
        <v>1237</v>
      </c>
      <c r="J2487" t="n">
        <v>84</v>
      </c>
      <c r="K2487" t="n">
        <v>43</v>
      </c>
      <c r="L2487" t="n">
        <v>61</v>
      </c>
      <c r="M2487" t="n">
        <v>409</v>
      </c>
      <c r="N2487" t="n">
        <v>83</v>
      </c>
      <c r="O2487" t="n">
        <v>52</v>
      </c>
      <c r="P2487" t="n">
        <v>142</v>
      </c>
      <c r="Q2487" t="n">
        <v>56</v>
      </c>
      <c r="R2487" t="n">
        <v>94</v>
      </c>
      <c r="S2487" t="n">
        <v>72</v>
      </c>
      <c r="T2487" t="n">
        <v>44</v>
      </c>
    </row>
    <row r="2488">
      <c r="A2488" t="inlineStr">
        <is>
          <t>Kylie Makeup</t>
        </is>
      </c>
      <c r="B2488" t="inlineStr">
        <is>
          <t>Face (01243)</t>
        </is>
      </c>
      <c r="C2488" t="inlineStr">
        <is>
          <t>Kylie Hybrid Blush (00006713)</t>
        </is>
      </c>
      <c r="D2488" s="1" t="n">
        <v>4064941147145</v>
      </c>
      <c r="E2488" t="inlineStr">
        <is>
          <t>KJ MU HYB BLSH PWDBLU2.5G 216SIENA 25IV</t>
        </is>
      </c>
      <c r="F2488" t="inlineStr">
        <is>
          <t>P_US_ALL_OTHERS</t>
        </is>
      </c>
      <c r="G2488" t="inlineStr">
        <is>
          <t>Month-2026.M09.W38</t>
        </is>
      </c>
      <c r="H2488" t="inlineStr">
        <is>
          <t>System FC - Final</t>
        </is>
      </c>
      <c r="I2488" t="n">
        <v>81</v>
      </c>
      <c r="J2488" t="n">
        <v>127</v>
      </c>
      <c r="K2488" t="n">
        <v>98</v>
      </c>
      <c r="L2488" t="n">
        <v>71</v>
      </c>
      <c r="M2488" t="n">
        <v>68</v>
      </c>
      <c r="N2488" t="n">
        <v>67</v>
      </c>
      <c r="O2488" t="n">
        <v>67</v>
      </c>
      <c r="P2488" t="n">
        <v>68</v>
      </c>
      <c r="Q2488" t="n">
        <v>66</v>
      </c>
      <c r="R2488" t="n">
        <v>68</v>
      </c>
      <c r="S2488" t="n">
        <v>66</v>
      </c>
      <c r="T2488" t="n">
        <v>69</v>
      </c>
    </row>
    <row r="2489">
      <c r="A2489" t="inlineStr">
        <is>
          <t>Kylie Makeup</t>
        </is>
      </c>
      <c r="B2489" t="inlineStr">
        <is>
          <t>Face (01243)</t>
        </is>
      </c>
      <c r="C2489" t="inlineStr">
        <is>
          <t>Kylie Hybrid Blush (00006713)</t>
        </is>
      </c>
      <c r="D2489" s="1" t="n">
        <v>4064941147145</v>
      </c>
      <c r="E2489" t="inlineStr">
        <is>
          <t>KJ MU HYB BLSH PWDBLU2.5G 216SIENA 25IV</t>
        </is>
      </c>
      <c r="F2489" t="inlineStr">
        <is>
          <t>P_US_ALL_OTHERS</t>
        </is>
      </c>
      <c r="G2489" t="inlineStr">
        <is>
          <t>Month-2026.M09.W38</t>
        </is>
      </c>
      <c r="H2489" t="inlineStr">
        <is>
          <t>EPOS</t>
        </is>
      </c>
      <c r="I2489" t="n">
        <v>85</v>
      </c>
    </row>
    <row r="2490">
      <c r="A2490" t="inlineStr">
        <is>
          <t>Kylie Makeup</t>
        </is>
      </c>
      <c r="B2490" t="inlineStr">
        <is>
          <t>Face (01243)</t>
        </is>
      </c>
      <c r="C2490" t="inlineStr">
        <is>
          <t>Kylie Hybrid Blush (00006713)</t>
        </is>
      </c>
      <c r="D2490" s="1" t="n">
        <v>4064941147145</v>
      </c>
      <c r="E2490" t="inlineStr">
        <is>
          <t>KJ MU HYB BLSH PWDBLU2.5G 216SIENA 25IV</t>
        </is>
      </c>
      <c r="F2490" t="inlineStr">
        <is>
          <t>P_US_ALL_OTHERS</t>
        </is>
      </c>
      <c r="G2490" t="inlineStr">
        <is>
          <t>Month-2026.M09.W38</t>
        </is>
      </c>
      <c r="H2490" t="inlineStr">
        <is>
          <t>Reasonability Adjustment</t>
        </is>
      </c>
      <c r="I2490" t="n">
        <v>607</v>
      </c>
      <c r="J2490" t="n">
        <v>102</v>
      </c>
      <c r="K2490" t="n">
        <v>39</v>
      </c>
      <c r="M2490" t="n">
        <v>39</v>
      </c>
      <c r="N2490" t="n">
        <v>40</v>
      </c>
      <c r="O2490" t="n">
        <v>40</v>
      </c>
      <c r="R2490" t="n">
        <v>-26</v>
      </c>
    </row>
    <row r="2491">
      <c r="A2491" t="inlineStr">
        <is>
          <t>Kylie Makeup</t>
        </is>
      </c>
      <c r="B2491" t="inlineStr">
        <is>
          <t>Face (01243)</t>
        </is>
      </c>
      <c r="C2491" t="inlineStr">
        <is>
          <t>Kylie Hybrid Blush (00006713)</t>
        </is>
      </c>
      <c r="D2491" s="1" t="n">
        <v>4064941147145</v>
      </c>
      <c r="E2491" t="inlineStr">
        <is>
          <t>KJ MU HYB BLSH PWDBLU2.5G 216SIENA 25IV</t>
        </is>
      </c>
      <c r="F2491" t="inlineStr">
        <is>
          <t>P_US_ALL_OTHERS</t>
        </is>
      </c>
      <c r="G2491" t="inlineStr">
        <is>
          <t>Month-2026.M09.W38</t>
        </is>
      </c>
      <c r="H2491" t="inlineStr">
        <is>
          <t>Total Demand Assumption</t>
        </is>
      </c>
    </row>
    <row r="2492">
      <c r="A2492" t="inlineStr">
        <is>
          <t>Kylie Makeup</t>
        </is>
      </c>
      <c r="B2492" t="inlineStr">
        <is>
          <t>Face (01243)</t>
        </is>
      </c>
      <c r="C2492" t="inlineStr">
        <is>
          <t>Kylie Hybrid Blush (00006713)</t>
        </is>
      </c>
      <c r="D2492" s="1" t="n">
        <v>4064941147145</v>
      </c>
      <c r="E2492" t="inlineStr">
        <is>
          <t>KJ MU HYB BLSH PWDBLU2.5G 216SIENA 25IV</t>
        </is>
      </c>
      <c r="F2492" t="inlineStr">
        <is>
          <t>P_US_ALL_OTHERS</t>
        </is>
      </c>
      <c r="G2492" t="inlineStr">
        <is>
          <t>Month-2026.M09.W38</t>
        </is>
      </c>
      <c r="H2492" t="inlineStr">
        <is>
          <t>Consensus - Final</t>
        </is>
      </c>
      <c r="I2492" t="n">
        <v>81</v>
      </c>
      <c r="J2492" t="n">
        <v>127</v>
      </c>
      <c r="K2492" t="n">
        <v>907</v>
      </c>
      <c r="L2492" t="n">
        <v>71</v>
      </c>
      <c r="M2492" t="n">
        <v>107</v>
      </c>
      <c r="N2492" t="n">
        <v>107</v>
      </c>
      <c r="O2492" t="n">
        <v>107</v>
      </c>
      <c r="P2492" t="n">
        <v>68</v>
      </c>
      <c r="Q2492" t="n">
        <v>66</v>
      </c>
      <c r="R2492" t="n">
        <v>42</v>
      </c>
      <c r="S2492" t="n">
        <v>66</v>
      </c>
      <c r="T2492" t="n">
        <v>69</v>
      </c>
    </row>
    <row r="2493">
      <c r="A2493" t="inlineStr">
        <is>
          <t>Kylie Makeup</t>
        </is>
      </c>
      <c r="B2493" t="inlineStr">
        <is>
          <t>Face (01243)</t>
        </is>
      </c>
      <c r="C2493" t="inlineStr">
        <is>
          <t>Kylie Hybrid Blush (00006713)</t>
        </is>
      </c>
      <c r="D2493" s="1" t="n">
        <v>4064941147145</v>
      </c>
      <c r="E2493" t="inlineStr">
        <is>
          <t>KJ MU HYB BLSH PWDBLU2.5G 216SIENA 25IV</t>
        </is>
      </c>
      <c r="F2493" t="inlineStr">
        <is>
          <t>P_US_ALL_OTHERS</t>
        </is>
      </c>
      <c r="G2493" t="inlineStr">
        <is>
          <t>Month-2026.M09.W38</t>
        </is>
      </c>
      <c r="H2493" t="inlineStr">
        <is>
          <t>Supply Cuts</t>
        </is>
      </c>
    </row>
    <row r="2494">
      <c r="A2494" t="inlineStr">
        <is>
          <t>Kylie Makeup</t>
        </is>
      </c>
      <c r="B2494" t="inlineStr">
        <is>
          <t>Face (01243)</t>
        </is>
      </c>
      <c r="C2494" t="inlineStr">
        <is>
          <t>Kylie Hybrid Blush (00006713)</t>
        </is>
      </c>
      <c r="D2494" s="1" t="n">
        <v>4064941147145</v>
      </c>
      <c r="E2494" t="inlineStr">
        <is>
          <t>KJ MU HYB BLSH PWDBLU2.5G 216SIENA 25IV</t>
        </is>
      </c>
      <c r="F2494" t="inlineStr">
        <is>
          <t>P_US_FG</t>
        </is>
      </c>
      <c r="G2494" t="inlineStr">
        <is>
          <t>CurrentWorkingView</t>
        </is>
      </c>
      <c r="H2494" t="inlineStr">
        <is>
          <t>Consensus - Final LY M</t>
        </is>
      </c>
      <c r="I2494" t="n">
        <v>385</v>
      </c>
      <c r="L2494" t="n">
        <v>36</v>
      </c>
      <c r="O2494" t="n">
        <v>100</v>
      </c>
      <c r="P2494" t="n">
        <v>30</v>
      </c>
      <c r="Q2494" t="n">
        <v>38</v>
      </c>
      <c r="T2494" t="n">
        <v>60</v>
      </c>
    </row>
    <row r="2495">
      <c r="A2495" t="inlineStr">
        <is>
          <t>Kylie Makeup</t>
        </is>
      </c>
      <c r="B2495" t="inlineStr">
        <is>
          <t>Face (01243)</t>
        </is>
      </c>
      <c r="C2495" t="inlineStr">
        <is>
          <t>Kylie Hybrid Blush (00006713)</t>
        </is>
      </c>
      <c r="D2495" s="1" t="n">
        <v>4064941147145</v>
      </c>
      <c r="E2495" t="inlineStr">
        <is>
          <t>KJ MU HYB BLSH PWDBLU2.5G 216SIENA 25IV</t>
        </is>
      </c>
      <c r="F2495" t="inlineStr">
        <is>
          <t>P_US_FG</t>
        </is>
      </c>
      <c r="G2495" t="inlineStr">
        <is>
          <t>CurrentWorkingView</t>
        </is>
      </c>
      <c r="H2495" t="inlineStr">
        <is>
          <t>System FC - Final</t>
        </is>
      </c>
      <c r="K2495" t="n">
        <v>13</v>
      </c>
      <c r="L2495" t="n">
        <v>8</v>
      </c>
      <c r="M2495" t="n">
        <v>8</v>
      </c>
      <c r="N2495" t="n">
        <v>13</v>
      </c>
      <c r="O2495" t="n">
        <v>9</v>
      </c>
      <c r="P2495" t="n">
        <v>8</v>
      </c>
      <c r="Q2495" t="n">
        <v>9</v>
      </c>
      <c r="R2495" t="n">
        <v>9</v>
      </c>
      <c r="S2495" t="n">
        <v>9</v>
      </c>
      <c r="T2495" t="n">
        <v>9</v>
      </c>
    </row>
    <row r="2496">
      <c r="A2496" t="inlineStr">
        <is>
          <t>Kylie Makeup</t>
        </is>
      </c>
      <c r="B2496" t="inlineStr">
        <is>
          <t>Face (01243)</t>
        </is>
      </c>
      <c r="C2496" t="inlineStr">
        <is>
          <t>Kylie Hybrid Blush (00006713)</t>
        </is>
      </c>
      <c r="D2496" s="1" t="n">
        <v>4064941147145</v>
      </c>
      <c r="E2496" t="inlineStr">
        <is>
          <t>KJ MU HYB BLSH PWDBLU2.5G 216SIENA 25IV</t>
        </is>
      </c>
      <c r="F2496" t="inlineStr">
        <is>
          <t>P_US_FG</t>
        </is>
      </c>
      <c r="G2496" t="inlineStr">
        <is>
          <t>CurrentWorkingView</t>
        </is>
      </c>
      <c r="H2496" t="inlineStr">
        <is>
          <t>EPOS</t>
        </is>
      </c>
    </row>
    <row r="2497">
      <c r="A2497" t="inlineStr">
        <is>
          <t>Kylie Makeup</t>
        </is>
      </c>
      <c r="B2497" t="inlineStr">
        <is>
          <t>Face (01243)</t>
        </is>
      </c>
      <c r="C2497" t="inlineStr">
        <is>
          <t>Kylie Hybrid Blush (00006713)</t>
        </is>
      </c>
      <c r="D2497" s="1" t="n">
        <v>4064941147145</v>
      </c>
      <c r="E2497" t="inlineStr">
        <is>
          <t>KJ MU HYB BLSH PWDBLU2.5G 216SIENA 25IV</t>
        </is>
      </c>
      <c r="F2497" t="inlineStr">
        <is>
          <t>P_US_FG</t>
        </is>
      </c>
      <c r="G2497" t="inlineStr">
        <is>
          <t>CurrentWorkingView</t>
        </is>
      </c>
      <c r="H2497" t="inlineStr">
        <is>
          <t>Reasonability Adjustment</t>
        </is>
      </c>
    </row>
    <row r="2498">
      <c r="A2498" t="inlineStr">
        <is>
          <t>Kylie Makeup</t>
        </is>
      </c>
      <c r="B2498" t="inlineStr">
        <is>
          <t>Face (01243)</t>
        </is>
      </c>
      <c r="C2498" t="inlineStr">
        <is>
          <t>Kylie Hybrid Blush (00006713)</t>
        </is>
      </c>
      <c r="D2498" s="1" t="n">
        <v>4064941147145</v>
      </c>
      <c r="E2498" t="inlineStr">
        <is>
          <t>KJ MU HYB BLSH PWDBLU2.5G 216SIENA 25IV</t>
        </is>
      </c>
      <c r="F2498" t="inlineStr">
        <is>
          <t>P_US_FG</t>
        </is>
      </c>
      <c r="G2498" t="inlineStr">
        <is>
          <t>CurrentWorkingView</t>
        </is>
      </c>
      <c r="H2498" t="inlineStr">
        <is>
          <t>Total Demand Assumption</t>
        </is>
      </c>
    </row>
    <row r="2499">
      <c r="A2499" t="inlineStr">
        <is>
          <t>Kylie Makeup</t>
        </is>
      </c>
      <c r="B2499" t="inlineStr">
        <is>
          <t>Face (01243)</t>
        </is>
      </c>
      <c r="C2499" t="inlineStr">
        <is>
          <t>Kylie Hybrid Blush (00006713)</t>
        </is>
      </c>
      <c r="D2499" s="1" t="n">
        <v>4064941147145</v>
      </c>
      <c r="E2499" t="inlineStr">
        <is>
          <t>KJ MU HYB BLSH PWDBLU2.5G 216SIENA 25IV</t>
        </is>
      </c>
      <c r="F2499" t="inlineStr">
        <is>
          <t>P_US_FG</t>
        </is>
      </c>
      <c r="G2499" t="inlineStr">
        <is>
          <t>CurrentWorkingView</t>
        </is>
      </c>
      <c r="H2499" t="inlineStr">
        <is>
          <t>Consensus - Final</t>
        </is>
      </c>
      <c r="K2499" t="n">
        <v>0</v>
      </c>
    </row>
    <row r="2500">
      <c r="A2500" t="inlineStr">
        <is>
          <t>Kylie Makeup</t>
        </is>
      </c>
      <c r="B2500" t="inlineStr">
        <is>
          <t>Face (01243)</t>
        </is>
      </c>
      <c r="C2500" t="inlineStr">
        <is>
          <t>Kylie Hybrid Blush (00006713)</t>
        </is>
      </c>
      <c r="D2500" s="1" t="n">
        <v>4064941147145</v>
      </c>
      <c r="E2500" t="inlineStr">
        <is>
          <t>KJ MU HYB BLSH PWDBLU2.5G 216SIENA 25IV</t>
        </is>
      </c>
      <c r="F2500" t="inlineStr">
        <is>
          <t>P_US_FG</t>
        </is>
      </c>
      <c r="G2500" t="inlineStr">
        <is>
          <t>CurrentWorkingView</t>
        </is>
      </c>
      <c r="H2500" t="inlineStr">
        <is>
          <t>Supply Cuts</t>
        </is>
      </c>
    </row>
    <row r="2501">
      <c r="A2501" t="inlineStr">
        <is>
          <t>Kylie Makeup</t>
        </is>
      </c>
      <c r="B2501" t="inlineStr">
        <is>
          <t>Face (01243)</t>
        </is>
      </c>
      <c r="C2501" t="inlineStr">
        <is>
          <t>Kylie Hybrid Blush (00006713)</t>
        </is>
      </c>
      <c r="D2501" s="1" t="n">
        <v>4064941147145</v>
      </c>
      <c r="E2501" t="inlineStr">
        <is>
          <t>KJ MU HYB BLSH PWDBLU2.5G 216SIENA 25IV</t>
        </is>
      </c>
      <c r="F2501" t="inlineStr">
        <is>
          <t>P_US_FG</t>
        </is>
      </c>
      <c r="G2501" t="inlineStr">
        <is>
          <t>Month-2026.M09.W38</t>
        </is>
      </c>
      <c r="H2501" t="inlineStr">
        <is>
          <t>Consensus - Final LY M</t>
        </is>
      </c>
      <c r="I2501" t="n">
        <v>385</v>
      </c>
      <c r="L2501" t="n">
        <v>36</v>
      </c>
      <c r="O2501" t="n">
        <v>100</v>
      </c>
      <c r="P2501" t="n">
        <v>30</v>
      </c>
      <c r="Q2501" t="n">
        <v>38</v>
      </c>
      <c r="T2501" t="n">
        <v>60</v>
      </c>
    </row>
    <row r="2502">
      <c r="A2502" t="inlineStr">
        <is>
          <t>Kylie Makeup</t>
        </is>
      </c>
      <c r="B2502" t="inlineStr">
        <is>
          <t>Face (01243)</t>
        </is>
      </c>
      <c r="C2502" t="inlineStr">
        <is>
          <t>Kylie Hybrid Blush (00006713)</t>
        </is>
      </c>
      <c r="D2502" s="1" t="n">
        <v>4064941147145</v>
      </c>
      <c r="E2502" t="inlineStr">
        <is>
          <t>KJ MU HYB BLSH PWDBLU2.5G 216SIENA 25IV</t>
        </is>
      </c>
      <c r="F2502" t="inlineStr">
        <is>
          <t>P_US_FG</t>
        </is>
      </c>
      <c r="G2502" t="inlineStr">
        <is>
          <t>Month-2026.M09.W38</t>
        </is>
      </c>
      <c r="H2502" t="inlineStr">
        <is>
          <t>System FC - Final</t>
        </is>
      </c>
      <c r="K2502" t="n">
        <v>19</v>
      </c>
      <c r="L2502" t="n">
        <v>16</v>
      </c>
      <c r="M2502" t="n">
        <v>22</v>
      </c>
      <c r="N2502" t="n">
        <v>22</v>
      </c>
      <c r="O2502" t="n">
        <v>18</v>
      </c>
      <c r="P2502" t="n">
        <v>20</v>
      </c>
      <c r="Q2502" t="n">
        <v>22</v>
      </c>
      <c r="R2502" t="n">
        <v>21</v>
      </c>
      <c r="S2502" t="n">
        <v>22</v>
      </c>
      <c r="T2502" t="n">
        <v>13</v>
      </c>
    </row>
    <row r="2503">
      <c r="A2503" t="inlineStr">
        <is>
          <t>Kylie Makeup</t>
        </is>
      </c>
      <c r="B2503" t="inlineStr">
        <is>
          <t>Face (01243)</t>
        </is>
      </c>
      <c r="C2503" t="inlineStr">
        <is>
          <t>Kylie Hybrid Blush (00006713)</t>
        </is>
      </c>
      <c r="D2503" s="1" t="n">
        <v>4064941147145</v>
      </c>
      <c r="E2503" t="inlineStr">
        <is>
          <t>KJ MU HYB BLSH PWDBLU2.5G 216SIENA 25IV</t>
        </is>
      </c>
      <c r="F2503" t="inlineStr">
        <is>
          <t>P_US_FG</t>
        </is>
      </c>
      <c r="G2503" t="inlineStr">
        <is>
          <t>Month-2026.M09.W38</t>
        </is>
      </c>
      <c r="H2503" t="inlineStr">
        <is>
          <t>EPOS</t>
        </is>
      </c>
    </row>
    <row r="2504">
      <c r="A2504" t="inlineStr">
        <is>
          <t>Kylie Makeup</t>
        </is>
      </c>
      <c r="B2504" t="inlineStr">
        <is>
          <t>Face (01243)</t>
        </is>
      </c>
      <c r="C2504" t="inlineStr">
        <is>
          <t>Kylie Hybrid Blush (00006713)</t>
        </is>
      </c>
      <c r="D2504" s="1" t="n">
        <v>4064941147145</v>
      </c>
      <c r="E2504" t="inlineStr">
        <is>
          <t>KJ MU HYB BLSH PWDBLU2.5G 216SIENA 25IV</t>
        </is>
      </c>
      <c r="F2504" t="inlineStr">
        <is>
          <t>P_US_FG</t>
        </is>
      </c>
      <c r="G2504" t="inlineStr">
        <is>
          <t>Month-2026.M09.W38</t>
        </is>
      </c>
      <c r="H2504" t="inlineStr">
        <is>
          <t>Reasonability Adjustment</t>
        </is>
      </c>
    </row>
    <row r="2505">
      <c r="A2505" t="inlineStr">
        <is>
          <t>Kylie Makeup</t>
        </is>
      </c>
      <c r="B2505" t="inlineStr">
        <is>
          <t>Face (01243)</t>
        </is>
      </c>
      <c r="C2505" t="inlineStr">
        <is>
          <t>Kylie Hybrid Blush (00006713)</t>
        </is>
      </c>
      <c r="D2505" s="1" t="n">
        <v>4064941147145</v>
      </c>
      <c r="E2505" t="inlineStr">
        <is>
          <t>KJ MU HYB BLSH PWDBLU2.5G 216SIENA 25IV</t>
        </is>
      </c>
      <c r="F2505" t="inlineStr">
        <is>
          <t>P_US_FG</t>
        </is>
      </c>
      <c r="G2505" t="inlineStr">
        <is>
          <t>Month-2026.M09.W38</t>
        </is>
      </c>
      <c r="H2505" t="inlineStr">
        <is>
          <t>Total Demand Assumption</t>
        </is>
      </c>
    </row>
    <row r="2506">
      <c r="A2506" t="inlineStr">
        <is>
          <t>Kylie Makeup</t>
        </is>
      </c>
      <c r="B2506" t="inlineStr">
        <is>
          <t>Face (01243)</t>
        </is>
      </c>
      <c r="C2506" t="inlineStr">
        <is>
          <t>Kylie Hybrid Blush (00006713)</t>
        </is>
      </c>
      <c r="D2506" s="1" t="n">
        <v>4064941147145</v>
      </c>
      <c r="E2506" t="inlineStr">
        <is>
          <t>KJ MU HYB BLSH PWDBLU2.5G 216SIENA 25IV</t>
        </is>
      </c>
      <c r="F2506" t="inlineStr">
        <is>
          <t>P_US_FG</t>
        </is>
      </c>
      <c r="G2506" t="inlineStr">
        <is>
          <t>Month-2026.M09.W38</t>
        </is>
      </c>
      <c r="H2506" t="inlineStr">
        <is>
          <t>Consensus - Final</t>
        </is>
      </c>
      <c r="K2506" t="n">
        <v>0</v>
      </c>
    </row>
    <row r="2507">
      <c r="A2507" t="inlineStr">
        <is>
          <t>Kylie Makeup</t>
        </is>
      </c>
      <c r="B2507" t="inlineStr">
        <is>
          <t>Face (01243)</t>
        </is>
      </c>
      <c r="C2507" t="inlineStr">
        <is>
          <t>Kylie Hybrid Blush (00006713)</t>
        </is>
      </c>
      <c r="D2507" s="1" t="n">
        <v>4064941147145</v>
      </c>
      <c r="E2507" t="inlineStr">
        <is>
          <t>KJ MU HYB BLSH PWDBLU2.5G 216SIENA 25IV</t>
        </is>
      </c>
      <c r="F2507" t="inlineStr">
        <is>
          <t>P_US_FG</t>
        </is>
      </c>
      <c r="G2507" t="inlineStr">
        <is>
          <t>Month-2026.M09.W38</t>
        </is>
      </c>
      <c r="H2507" t="inlineStr">
        <is>
          <t>Supply Cuts</t>
        </is>
      </c>
    </row>
    <row r="2508">
      <c r="A2508" t="inlineStr">
        <is>
          <t>Kylie Makeup</t>
        </is>
      </c>
      <c r="B2508" t="inlineStr">
        <is>
          <t>Face (01243)</t>
        </is>
      </c>
      <c r="C2508" t="inlineStr">
        <is>
          <t>Kylie Hybrid Blush (00006713)</t>
        </is>
      </c>
      <c r="D2508" s="1" t="n">
        <v>4064941147145</v>
      </c>
      <c r="E2508" t="inlineStr">
        <is>
          <t>KJ MU HYB BLSH PWDBLU2.5G 216SIENA 25IV</t>
        </is>
      </c>
      <c r="F2508" t="inlineStr">
        <is>
          <t>P_US_ULTA</t>
        </is>
      </c>
      <c r="G2508" t="inlineStr">
        <is>
          <t>CurrentWorkingView</t>
        </is>
      </c>
      <c r="H2508" t="inlineStr">
        <is>
          <t>Consensus - Final LY M</t>
        </is>
      </c>
      <c r="I2508" t="n">
        <v>72</v>
      </c>
      <c r="J2508" t="n">
        <v>360</v>
      </c>
      <c r="K2508" t="n">
        <v>792</v>
      </c>
      <c r="L2508" t="n">
        <v>432</v>
      </c>
      <c r="M2508" t="n">
        <v>1008</v>
      </c>
      <c r="P2508" t="n">
        <v>216</v>
      </c>
      <c r="Q2508" t="n">
        <v>504</v>
      </c>
      <c r="R2508" t="n">
        <v>288</v>
      </c>
      <c r="S2508" t="n">
        <v>576</v>
      </c>
      <c r="T2508" t="n">
        <v>720</v>
      </c>
    </row>
    <row r="2509">
      <c r="A2509" t="inlineStr">
        <is>
          <t>Kylie Makeup</t>
        </is>
      </c>
      <c r="B2509" t="inlineStr">
        <is>
          <t>Face (01243)</t>
        </is>
      </c>
      <c r="C2509" t="inlineStr">
        <is>
          <t>Kylie Hybrid Blush (00006713)</t>
        </is>
      </c>
      <c r="D2509" s="1" t="n">
        <v>4064941147145</v>
      </c>
      <c r="E2509" t="inlineStr">
        <is>
          <t>KJ MU HYB BLSH PWDBLU2.5G 216SIENA 25IV</t>
        </is>
      </c>
      <c r="F2509" t="inlineStr">
        <is>
          <t>P_US_ULTA</t>
        </is>
      </c>
      <c r="G2509" t="inlineStr">
        <is>
          <t>CurrentWorkingView</t>
        </is>
      </c>
      <c r="H2509" t="inlineStr">
        <is>
          <t>System FC - Final</t>
        </is>
      </c>
      <c r="I2509" t="n">
        <v>864</v>
      </c>
      <c r="J2509" t="n">
        <v>4176</v>
      </c>
      <c r="K2509" t="n">
        <v>2934</v>
      </c>
      <c r="L2509" t="n">
        <v>1416</v>
      </c>
      <c r="M2509" t="n">
        <v>1482</v>
      </c>
      <c r="N2509" t="n">
        <v>1519</v>
      </c>
      <c r="O2509" t="n">
        <v>1532</v>
      </c>
      <c r="P2509" t="n">
        <v>1544</v>
      </c>
      <c r="Q2509" t="n">
        <v>1546</v>
      </c>
      <c r="R2509" t="n">
        <v>1548</v>
      </c>
      <c r="S2509" t="n">
        <v>1550</v>
      </c>
      <c r="T2509" t="n">
        <v>1551</v>
      </c>
    </row>
    <row r="2510">
      <c r="A2510" t="inlineStr">
        <is>
          <t>Kylie Makeup</t>
        </is>
      </c>
      <c r="B2510" t="inlineStr">
        <is>
          <t>Face (01243)</t>
        </is>
      </c>
      <c r="C2510" t="inlineStr">
        <is>
          <t>Kylie Hybrid Blush (00006713)</t>
        </is>
      </c>
      <c r="D2510" s="1" t="n">
        <v>4064941147145</v>
      </c>
      <c r="E2510" t="inlineStr">
        <is>
          <t>KJ MU HYB BLSH PWDBLU2.5G 216SIENA 25IV</t>
        </is>
      </c>
      <c r="F2510" t="inlineStr">
        <is>
          <t>P_US_ULTA</t>
        </is>
      </c>
      <c r="G2510" t="inlineStr">
        <is>
          <t>CurrentWorkingView</t>
        </is>
      </c>
      <c r="H2510" t="inlineStr">
        <is>
          <t>EPOS</t>
        </is>
      </c>
      <c r="I2510" t="n">
        <v>364</v>
      </c>
    </row>
    <row r="2511">
      <c r="A2511" t="inlineStr">
        <is>
          <t>Kylie Makeup</t>
        </is>
      </c>
      <c r="B2511" t="inlineStr">
        <is>
          <t>Face (01243)</t>
        </is>
      </c>
      <c r="C2511" t="inlineStr">
        <is>
          <t>Kylie Hybrid Blush (00006713)</t>
        </is>
      </c>
      <c r="D2511" s="1" t="n">
        <v>4064941147145</v>
      </c>
      <c r="E2511" t="inlineStr">
        <is>
          <t>KJ MU HYB BLSH PWDBLU2.5G 216SIENA 25IV</t>
        </is>
      </c>
      <c r="F2511" t="inlineStr">
        <is>
          <t>P_US_ULTA</t>
        </is>
      </c>
      <c r="G2511" t="inlineStr">
        <is>
          <t>CurrentWorkingView</t>
        </is>
      </c>
      <c r="H2511" t="inlineStr">
        <is>
          <t>Reasonability Adjustment</t>
        </is>
      </c>
      <c r="I2511" t="n">
        <v>2393</v>
      </c>
      <c r="J2511" t="n">
        <v>398</v>
      </c>
      <c r="K2511" t="n">
        <v>161</v>
      </c>
      <c r="M2511" t="n">
        <v>161</v>
      </c>
      <c r="N2511" t="n">
        <v>160</v>
      </c>
      <c r="O2511" t="n">
        <v>160</v>
      </c>
      <c r="R2511" t="n">
        <v>-205</v>
      </c>
    </row>
    <row r="2512">
      <c r="A2512" t="inlineStr">
        <is>
          <t>Kylie Makeup</t>
        </is>
      </c>
      <c r="B2512" t="inlineStr">
        <is>
          <t>Face (01243)</t>
        </is>
      </c>
      <c r="C2512" t="inlineStr">
        <is>
          <t>Kylie Hybrid Blush (00006713)</t>
        </is>
      </c>
      <c r="D2512" s="1" t="n">
        <v>4064941147145</v>
      </c>
      <c r="E2512" t="inlineStr">
        <is>
          <t>KJ MU HYB BLSH PWDBLU2.5G 216SIENA 25IV</t>
        </is>
      </c>
      <c r="F2512" t="inlineStr">
        <is>
          <t>P_US_ULTA</t>
        </is>
      </c>
      <c r="G2512" t="inlineStr">
        <is>
          <t>CurrentWorkingView</t>
        </is>
      </c>
      <c r="H2512" t="inlineStr">
        <is>
          <t>Total Demand Assumption</t>
        </is>
      </c>
      <c r="I2512" t="n">
        <v>562</v>
      </c>
      <c r="J2512" t="n">
        <v>2810</v>
      </c>
    </row>
    <row r="2513">
      <c r="A2513" t="inlineStr">
        <is>
          <t>Kylie Makeup</t>
        </is>
      </c>
      <c r="B2513" t="inlineStr">
        <is>
          <t>Face (01243)</t>
        </is>
      </c>
      <c r="C2513" t="inlineStr">
        <is>
          <t>Kylie Hybrid Blush (00006713)</t>
        </is>
      </c>
      <c r="D2513" s="1" t="n">
        <v>4064941147145</v>
      </c>
      <c r="E2513" t="inlineStr">
        <is>
          <t>KJ MU HYB BLSH PWDBLU2.5G 216SIENA 25IV</t>
        </is>
      </c>
      <c r="F2513" t="inlineStr">
        <is>
          <t>P_US_ULTA</t>
        </is>
      </c>
      <c r="G2513" t="inlineStr">
        <is>
          <t>CurrentWorkingView</t>
        </is>
      </c>
      <c r="H2513" t="inlineStr">
        <is>
          <t>Consensus - Final</t>
        </is>
      </c>
      <c r="I2513" t="n">
        <v>864</v>
      </c>
      <c r="J2513" t="n">
        <v>4176</v>
      </c>
      <c r="K2513" t="n">
        <v>2664</v>
      </c>
      <c r="L2513" t="n">
        <v>1416</v>
      </c>
      <c r="M2513" t="n">
        <v>1643</v>
      </c>
      <c r="N2513" t="n">
        <v>1679</v>
      </c>
      <c r="O2513" t="n">
        <v>1692</v>
      </c>
      <c r="P2513" t="n">
        <v>1544</v>
      </c>
      <c r="Q2513" t="n">
        <v>1546</v>
      </c>
      <c r="R2513" t="n">
        <v>1343</v>
      </c>
      <c r="S2513" t="n">
        <v>1550</v>
      </c>
      <c r="T2513" t="n">
        <v>1551</v>
      </c>
    </row>
    <row r="2514">
      <c r="A2514" t="inlineStr">
        <is>
          <t>Kylie Makeup</t>
        </is>
      </c>
      <c r="B2514" t="inlineStr">
        <is>
          <t>Face (01243)</t>
        </is>
      </c>
      <c r="C2514" t="inlineStr">
        <is>
          <t>Kylie Hybrid Blush (00006713)</t>
        </is>
      </c>
      <c r="D2514" s="1" t="n">
        <v>4064941147145</v>
      </c>
      <c r="E2514" t="inlineStr">
        <is>
          <t>KJ MU HYB BLSH PWDBLU2.5G 216SIENA 25IV</t>
        </is>
      </c>
      <c r="F2514" t="inlineStr">
        <is>
          <t>P_US_ULTA</t>
        </is>
      </c>
      <c r="G2514" t="inlineStr">
        <is>
          <t>CurrentWorkingView</t>
        </is>
      </c>
      <c r="H2514" t="inlineStr">
        <is>
          <t>Supply Cuts</t>
        </is>
      </c>
    </row>
    <row r="2515">
      <c r="A2515" t="inlineStr">
        <is>
          <t>Kylie Makeup</t>
        </is>
      </c>
      <c r="B2515" t="inlineStr">
        <is>
          <t>Face (01243)</t>
        </is>
      </c>
      <c r="C2515" t="inlineStr">
        <is>
          <t>Kylie Hybrid Blush (00006713)</t>
        </is>
      </c>
      <c r="D2515" s="1" t="n">
        <v>4064941147145</v>
      </c>
      <c r="E2515" t="inlineStr">
        <is>
          <t>KJ MU HYB BLSH PWDBLU2.5G 216SIENA 25IV</t>
        </is>
      </c>
      <c r="F2515" t="inlineStr">
        <is>
          <t>P_US_ULTA</t>
        </is>
      </c>
      <c r="G2515" t="inlineStr">
        <is>
          <t>Month-2026.M09.W38</t>
        </is>
      </c>
      <c r="H2515" t="inlineStr">
        <is>
          <t>Consensus - Final LY M</t>
        </is>
      </c>
      <c r="I2515" t="n">
        <v>72</v>
      </c>
      <c r="J2515" t="n">
        <v>360</v>
      </c>
      <c r="K2515" t="n">
        <v>792</v>
      </c>
      <c r="L2515" t="n">
        <v>432</v>
      </c>
      <c r="M2515" t="n">
        <v>1008</v>
      </c>
      <c r="P2515" t="n">
        <v>216</v>
      </c>
      <c r="Q2515" t="n">
        <v>504</v>
      </c>
      <c r="R2515" t="n">
        <v>288</v>
      </c>
      <c r="S2515" t="n">
        <v>576</v>
      </c>
      <c r="T2515" t="n">
        <v>720</v>
      </c>
    </row>
    <row r="2516">
      <c r="A2516" t="inlineStr">
        <is>
          <t>Kylie Makeup</t>
        </is>
      </c>
      <c r="B2516" t="inlineStr">
        <is>
          <t>Face (01243)</t>
        </is>
      </c>
      <c r="C2516" t="inlineStr">
        <is>
          <t>Kylie Hybrid Blush (00006713)</t>
        </is>
      </c>
      <c r="D2516" s="1" t="n">
        <v>4064941147145</v>
      </c>
      <c r="E2516" t="inlineStr">
        <is>
          <t>KJ MU HYB BLSH PWDBLU2.5G 216SIENA 25IV</t>
        </is>
      </c>
      <c r="F2516" t="inlineStr">
        <is>
          <t>P_US_ULTA</t>
        </is>
      </c>
      <c r="G2516" t="inlineStr">
        <is>
          <t>Month-2026.M09.W38</t>
        </is>
      </c>
      <c r="H2516" t="inlineStr">
        <is>
          <t>System FC - Final</t>
        </is>
      </c>
      <c r="I2516" t="n">
        <v>864</v>
      </c>
      <c r="J2516" t="n">
        <v>4176</v>
      </c>
      <c r="K2516" t="n">
        <v>2270</v>
      </c>
      <c r="L2516" t="n">
        <v>545</v>
      </c>
      <c r="M2516" t="n">
        <v>544</v>
      </c>
      <c r="N2516" t="n">
        <v>545</v>
      </c>
      <c r="O2516" t="n">
        <v>545</v>
      </c>
      <c r="P2516" t="n">
        <v>544</v>
      </c>
      <c r="Q2516" t="n">
        <v>545</v>
      </c>
      <c r="R2516" t="n">
        <v>545</v>
      </c>
      <c r="S2516" t="n">
        <v>545</v>
      </c>
      <c r="T2516" t="n">
        <v>450</v>
      </c>
    </row>
    <row r="2517">
      <c r="A2517" t="inlineStr">
        <is>
          <t>Kylie Makeup</t>
        </is>
      </c>
      <c r="B2517" t="inlineStr">
        <is>
          <t>Face (01243)</t>
        </is>
      </c>
      <c r="C2517" t="inlineStr">
        <is>
          <t>Kylie Hybrid Blush (00006713)</t>
        </is>
      </c>
      <c r="D2517" s="1" t="n">
        <v>4064941147145</v>
      </c>
      <c r="E2517" t="inlineStr">
        <is>
          <t>KJ MU HYB BLSH PWDBLU2.5G 216SIENA 25IV</t>
        </is>
      </c>
      <c r="F2517" t="inlineStr">
        <is>
          <t>P_US_ULTA</t>
        </is>
      </c>
      <c r="G2517" t="inlineStr">
        <is>
          <t>Month-2026.M09.W38</t>
        </is>
      </c>
      <c r="H2517" t="inlineStr">
        <is>
          <t>EPOS</t>
        </is>
      </c>
      <c r="I2517" t="n">
        <v>364</v>
      </c>
    </row>
    <row r="2518">
      <c r="A2518" t="inlineStr">
        <is>
          <t>Kylie Makeup</t>
        </is>
      </c>
      <c r="B2518" t="inlineStr">
        <is>
          <t>Face (01243)</t>
        </is>
      </c>
      <c r="C2518" t="inlineStr">
        <is>
          <t>Kylie Hybrid Blush (00006713)</t>
        </is>
      </c>
      <c r="D2518" s="1" t="n">
        <v>4064941147145</v>
      </c>
      <c r="E2518" t="inlineStr">
        <is>
          <t>KJ MU HYB BLSH PWDBLU2.5G 216SIENA 25IV</t>
        </is>
      </c>
      <c r="F2518" t="inlineStr">
        <is>
          <t>P_US_ULTA</t>
        </is>
      </c>
      <c r="G2518" t="inlineStr">
        <is>
          <t>Month-2026.M09.W38</t>
        </is>
      </c>
      <c r="H2518" t="inlineStr">
        <is>
          <t>Reasonability Adjustment</t>
        </is>
      </c>
      <c r="I2518" t="n">
        <v>2393</v>
      </c>
      <c r="J2518" t="n">
        <v>398</v>
      </c>
      <c r="K2518" t="n">
        <v>161</v>
      </c>
      <c r="M2518" t="n">
        <v>161</v>
      </c>
      <c r="N2518" t="n">
        <v>160</v>
      </c>
      <c r="O2518" t="n">
        <v>160</v>
      </c>
      <c r="R2518" t="n">
        <v>-205</v>
      </c>
    </row>
    <row r="2519">
      <c r="A2519" t="inlineStr">
        <is>
          <t>Kylie Makeup</t>
        </is>
      </c>
      <c r="B2519" t="inlineStr">
        <is>
          <t>Face (01243)</t>
        </is>
      </c>
      <c r="C2519" t="inlineStr">
        <is>
          <t>Kylie Hybrid Blush (00006713)</t>
        </is>
      </c>
      <c r="D2519" s="1" t="n">
        <v>4064941147145</v>
      </c>
      <c r="E2519" t="inlineStr">
        <is>
          <t>KJ MU HYB BLSH PWDBLU2.5G 216SIENA 25IV</t>
        </is>
      </c>
      <c r="F2519" t="inlineStr">
        <is>
          <t>P_US_ULTA</t>
        </is>
      </c>
      <c r="G2519" t="inlineStr">
        <is>
          <t>Month-2026.M09.W38</t>
        </is>
      </c>
      <c r="H2519" t="inlineStr">
        <is>
          <t>Total Demand Assumption</t>
        </is>
      </c>
      <c r="I2519" t="n">
        <v>562</v>
      </c>
      <c r="J2519" t="n">
        <v>2810</v>
      </c>
    </row>
    <row r="2520">
      <c r="A2520" t="inlineStr">
        <is>
          <t>Kylie Makeup</t>
        </is>
      </c>
      <c r="B2520" t="inlineStr">
        <is>
          <t>Face (01243)</t>
        </is>
      </c>
      <c r="C2520" t="inlineStr">
        <is>
          <t>Kylie Hybrid Blush (00006713)</t>
        </is>
      </c>
      <c r="D2520" s="1" t="n">
        <v>4064941147145</v>
      </c>
      <c r="E2520" t="inlineStr">
        <is>
          <t>KJ MU HYB BLSH PWDBLU2.5G 216SIENA 25IV</t>
        </is>
      </c>
      <c r="F2520" t="inlineStr">
        <is>
          <t>P_US_ULTA</t>
        </is>
      </c>
      <c r="G2520" t="inlineStr">
        <is>
          <t>Month-2026.M09.W38</t>
        </is>
      </c>
      <c r="H2520" t="inlineStr">
        <is>
          <t>Consensus - Final</t>
        </is>
      </c>
      <c r="I2520" t="n">
        <v>864</v>
      </c>
      <c r="J2520" t="n">
        <v>4176</v>
      </c>
      <c r="K2520" t="n">
        <v>1872</v>
      </c>
      <c r="L2520" t="n">
        <v>545</v>
      </c>
      <c r="M2520" t="n">
        <v>705</v>
      </c>
      <c r="N2520" t="n">
        <v>705</v>
      </c>
      <c r="O2520" t="n">
        <v>705</v>
      </c>
      <c r="P2520" t="n">
        <v>544</v>
      </c>
      <c r="Q2520" t="n">
        <v>545</v>
      </c>
      <c r="R2520" t="n">
        <v>340</v>
      </c>
      <c r="S2520" t="n">
        <v>545</v>
      </c>
      <c r="T2520" t="n">
        <v>450</v>
      </c>
    </row>
    <row r="2521">
      <c r="A2521" t="inlineStr">
        <is>
          <t>Kylie Makeup</t>
        </is>
      </c>
      <c r="B2521" t="inlineStr">
        <is>
          <t>Face (01243)</t>
        </is>
      </c>
      <c r="C2521" t="inlineStr">
        <is>
          <t>Kylie Hybrid Blush (00006713)</t>
        </is>
      </c>
      <c r="D2521" s="1" t="n">
        <v>4064941147145</v>
      </c>
      <c r="E2521" t="inlineStr">
        <is>
          <t>KJ MU HYB BLSH PWDBLU2.5G 216SIENA 25IV</t>
        </is>
      </c>
      <c r="F2521" t="inlineStr">
        <is>
          <t>P_US_ULTA</t>
        </is>
      </c>
      <c r="G2521" t="inlineStr">
        <is>
          <t>Month-2026.M09.W38</t>
        </is>
      </c>
      <c r="H2521" t="inlineStr">
        <is>
          <t>Supply Cuts</t>
        </is>
      </c>
    </row>
    <row r="2522">
      <c r="A2522" t="inlineStr">
        <is>
          <t>Kylie Jenner Fragrances</t>
        </is>
      </c>
      <c r="B2522" t="inlineStr">
        <is>
          <t>Cosmic Kylie Jenner (01246)</t>
        </is>
      </c>
      <c r="C2522" t="inlineStr">
        <is>
          <t>Cosmic Kylie Jenner FLANKER (00006785)</t>
        </is>
      </c>
      <c r="D2522" s="1" t="n">
        <v>4064941156826</v>
      </c>
      <c r="E2522" t="inlineStr">
        <is>
          <t>KJ COSMIC FLNK EDP 30ML IV</t>
        </is>
      </c>
      <c r="F2522" t="inlineStr">
        <is>
          <t>P_US_ALL_OTHERS</t>
        </is>
      </c>
      <c r="G2522" t="inlineStr">
        <is>
          <t>CurrentWorkingView</t>
        </is>
      </c>
      <c r="H2522" t="inlineStr">
        <is>
          <t>Consensus - Final LY M</t>
        </is>
      </c>
      <c r="I2522" t="n">
        <v>102</v>
      </c>
      <c r="J2522" t="n">
        <v>126</v>
      </c>
      <c r="R2522" t="n">
        <v>60</v>
      </c>
    </row>
    <row r="2523">
      <c r="A2523" t="inlineStr">
        <is>
          <t>Kylie Jenner Fragrances</t>
        </is>
      </c>
      <c r="B2523" t="inlineStr">
        <is>
          <t>Cosmic Kylie Jenner (01246)</t>
        </is>
      </c>
      <c r="C2523" t="inlineStr">
        <is>
          <t>Cosmic Kylie Jenner FLANKER (00006785)</t>
        </is>
      </c>
      <c r="D2523" s="1" t="n">
        <v>4064941156826</v>
      </c>
      <c r="E2523" t="inlineStr">
        <is>
          <t>KJ COSMIC FLNK EDP 30ML IV</t>
        </is>
      </c>
      <c r="F2523" t="inlineStr">
        <is>
          <t>P_US_ALL_OTHERS</t>
        </is>
      </c>
      <c r="G2523" t="inlineStr">
        <is>
          <t>CurrentWorkingView</t>
        </is>
      </c>
      <c r="H2523" t="inlineStr">
        <is>
          <t>System FC - Final</t>
        </is>
      </c>
      <c r="K2523" t="n">
        <v>4</v>
      </c>
      <c r="L2523" t="n">
        <v>5</v>
      </c>
      <c r="M2523" t="n">
        <v>4</v>
      </c>
      <c r="N2523" t="n">
        <v>5</v>
      </c>
      <c r="O2523" t="n">
        <v>5</v>
      </c>
      <c r="P2523" t="n">
        <v>4</v>
      </c>
      <c r="Q2523" t="n">
        <v>5</v>
      </c>
      <c r="R2523" t="n">
        <v>5</v>
      </c>
      <c r="S2523" t="n">
        <v>4</v>
      </c>
      <c r="T2523" t="n">
        <v>5</v>
      </c>
    </row>
    <row r="2524">
      <c r="A2524" t="inlineStr">
        <is>
          <t>Kylie Jenner Fragrances</t>
        </is>
      </c>
      <c r="B2524" t="inlineStr">
        <is>
          <t>Cosmic Kylie Jenner (01246)</t>
        </is>
      </c>
      <c r="C2524" t="inlineStr">
        <is>
          <t>Cosmic Kylie Jenner FLANKER (00006785)</t>
        </is>
      </c>
      <c r="D2524" s="1" t="n">
        <v>4064941156826</v>
      </c>
      <c r="E2524" t="inlineStr">
        <is>
          <t>KJ COSMIC FLNK EDP 30ML IV</t>
        </is>
      </c>
      <c r="F2524" t="inlineStr">
        <is>
          <t>P_US_ALL_OTHERS</t>
        </is>
      </c>
      <c r="G2524" t="inlineStr">
        <is>
          <t>CurrentWorkingView</t>
        </is>
      </c>
      <c r="H2524" t="inlineStr">
        <is>
          <t>EPOS</t>
        </is>
      </c>
      <c r="I2524" t="n">
        <v>23</v>
      </c>
    </row>
    <row r="2525">
      <c r="A2525" t="inlineStr">
        <is>
          <t>Kylie Jenner Fragrances</t>
        </is>
      </c>
      <c r="B2525" t="inlineStr">
        <is>
          <t>Cosmic Kylie Jenner (01246)</t>
        </is>
      </c>
      <c r="C2525" t="inlineStr">
        <is>
          <t>Cosmic Kylie Jenner FLANKER (00006785)</t>
        </is>
      </c>
      <c r="D2525" s="1" t="n">
        <v>4064941156826</v>
      </c>
      <c r="E2525" t="inlineStr">
        <is>
          <t>KJ COSMIC FLNK EDP 30ML IV</t>
        </is>
      </c>
      <c r="F2525" t="inlineStr">
        <is>
          <t>P_US_ALL_OTHERS</t>
        </is>
      </c>
      <c r="G2525" t="inlineStr">
        <is>
          <t>CurrentWorkingView</t>
        </is>
      </c>
      <c r="H2525" t="inlineStr">
        <is>
          <t>Reasonability Adjustment</t>
        </is>
      </c>
    </row>
    <row r="2526">
      <c r="A2526" t="inlineStr">
        <is>
          <t>Kylie Jenner Fragrances</t>
        </is>
      </c>
      <c r="B2526" t="inlineStr">
        <is>
          <t>Cosmic Kylie Jenner (01246)</t>
        </is>
      </c>
      <c r="C2526" t="inlineStr">
        <is>
          <t>Cosmic Kylie Jenner FLANKER (00006785)</t>
        </is>
      </c>
      <c r="D2526" s="1" t="n">
        <v>4064941156826</v>
      </c>
      <c r="E2526" t="inlineStr">
        <is>
          <t>KJ COSMIC FLNK EDP 30ML IV</t>
        </is>
      </c>
      <c r="F2526" t="inlineStr">
        <is>
          <t>P_US_ALL_OTHERS</t>
        </is>
      </c>
      <c r="G2526" t="inlineStr">
        <is>
          <t>CurrentWorkingView</t>
        </is>
      </c>
      <c r="H2526" t="inlineStr">
        <is>
          <t>Total Demand Assumption</t>
        </is>
      </c>
    </row>
    <row r="2527">
      <c r="A2527" t="inlineStr">
        <is>
          <t>Kylie Jenner Fragrances</t>
        </is>
      </c>
      <c r="B2527" t="inlineStr">
        <is>
          <t>Cosmic Kylie Jenner (01246)</t>
        </is>
      </c>
      <c r="C2527" t="inlineStr">
        <is>
          <t>Cosmic Kylie Jenner FLANKER (00006785)</t>
        </is>
      </c>
      <c r="D2527" s="1" t="n">
        <v>4064941156826</v>
      </c>
      <c r="E2527" t="inlineStr">
        <is>
          <t>KJ COSMIC FLNK EDP 30ML IV</t>
        </is>
      </c>
      <c r="F2527" t="inlineStr">
        <is>
          <t>P_US_ALL_OTHERS</t>
        </is>
      </c>
      <c r="G2527" t="inlineStr">
        <is>
          <t>CurrentWorkingView</t>
        </is>
      </c>
      <c r="H2527" t="inlineStr">
        <is>
          <t>Consensus - Final</t>
        </is>
      </c>
      <c r="K2527" t="n">
        <v>5.60047421458209</v>
      </c>
      <c r="L2527" t="n">
        <v>5</v>
      </c>
      <c r="M2527" t="n">
        <v>4</v>
      </c>
      <c r="N2527" t="n">
        <v>5</v>
      </c>
      <c r="O2527" t="n">
        <v>5</v>
      </c>
      <c r="P2527" t="n">
        <v>4</v>
      </c>
      <c r="Q2527" t="n">
        <v>5</v>
      </c>
      <c r="R2527" t="n">
        <v>5</v>
      </c>
      <c r="S2527" t="n">
        <v>4</v>
      </c>
      <c r="T2527" t="n">
        <v>5</v>
      </c>
    </row>
    <row r="2528">
      <c r="A2528" t="inlineStr">
        <is>
          <t>Kylie Jenner Fragrances</t>
        </is>
      </c>
      <c r="B2528" t="inlineStr">
        <is>
          <t>Cosmic Kylie Jenner (01246)</t>
        </is>
      </c>
      <c r="C2528" t="inlineStr">
        <is>
          <t>Cosmic Kylie Jenner FLANKER (00006785)</t>
        </is>
      </c>
      <c r="D2528" s="1" t="n">
        <v>4064941156826</v>
      </c>
      <c r="E2528" t="inlineStr">
        <is>
          <t>KJ COSMIC FLNK EDP 30ML IV</t>
        </is>
      </c>
      <c r="F2528" t="inlineStr">
        <is>
          <t>P_US_ALL_OTHERS</t>
        </is>
      </c>
      <c r="G2528" t="inlineStr">
        <is>
          <t>CurrentWorkingView</t>
        </is>
      </c>
      <c r="H2528" t="inlineStr">
        <is>
          <t>Supply Cuts</t>
        </is>
      </c>
    </row>
    <row r="2529">
      <c r="A2529" t="inlineStr">
        <is>
          <t>Kylie Jenner Fragrances</t>
        </is>
      </c>
      <c r="B2529" t="inlineStr">
        <is>
          <t>Cosmic Kylie Jenner (01246)</t>
        </is>
      </c>
      <c r="C2529" t="inlineStr">
        <is>
          <t>Cosmic Kylie Jenner FLANKER (00006785)</t>
        </is>
      </c>
      <c r="D2529" s="1" t="n">
        <v>4064941156826</v>
      </c>
      <c r="E2529" t="inlineStr">
        <is>
          <t>KJ COSMIC FLNK EDP 30ML IV</t>
        </is>
      </c>
      <c r="F2529" t="inlineStr">
        <is>
          <t>P_US_ALL_OTHERS</t>
        </is>
      </c>
      <c r="G2529" t="inlineStr">
        <is>
          <t>Month-2026.M09.W38</t>
        </is>
      </c>
      <c r="H2529" t="inlineStr">
        <is>
          <t>Consensus - Final LY M</t>
        </is>
      </c>
      <c r="I2529" t="n">
        <v>102</v>
      </c>
      <c r="J2529" t="n">
        <v>126</v>
      </c>
      <c r="R2529" t="n">
        <v>60</v>
      </c>
    </row>
    <row r="2530">
      <c r="A2530" t="inlineStr">
        <is>
          <t>Kylie Jenner Fragrances</t>
        </is>
      </c>
      <c r="B2530" t="inlineStr">
        <is>
          <t>Cosmic Kylie Jenner (01246)</t>
        </is>
      </c>
      <c r="C2530" t="inlineStr">
        <is>
          <t>Cosmic Kylie Jenner FLANKER (00006785)</t>
        </is>
      </c>
      <c r="D2530" s="1" t="n">
        <v>4064941156826</v>
      </c>
      <c r="E2530" t="inlineStr">
        <is>
          <t>KJ COSMIC FLNK EDP 30ML IV</t>
        </is>
      </c>
      <c r="F2530" t="inlineStr">
        <is>
          <t>P_US_ALL_OTHERS</t>
        </is>
      </c>
      <c r="G2530" t="inlineStr">
        <is>
          <t>Month-2026.M09.W38</t>
        </is>
      </c>
      <c r="H2530" t="inlineStr">
        <is>
          <t>System FC - Final</t>
        </is>
      </c>
      <c r="K2530" t="n">
        <v>6</v>
      </c>
      <c r="L2530" t="n">
        <v>8</v>
      </c>
      <c r="M2530" t="n">
        <v>8</v>
      </c>
      <c r="N2530" t="n">
        <v>8</v>
      </c>
      <c r="O2530" t="n">
        <v>9</v>
      </c>
      <c r="P2530" t="n">
        <v>8</v>
      </c>
      <c r="Q2530" t="n">
        <v>9</v>
      </c>
      <c r="R2530" t="n">
        <v>8</v>
      </c>
      <c r="S2530" t="n">
        <v>8</v>
      </c>
      <c r="T2530" t="n">
        <v>4</v>
      </c>
    </row>
    <row r="2531">
      <c r="A2531" t="inlineStr">
        <is>
          <t>Kylie Jenner Fragrances</t>
        </is>
      </c>
      <c r="B2531" t="inlineStr">
        <is>
          <t>Cosmic Kylie Jenner (01246)</t>
        </is>
      </c>
      <c r="C2531" t="inlineStr">
        <is>
          <t>Cosmic Kylie Jenner FLANKER (00006785)</t>
        </is>
      </c>
      <c r="D2531" s="1" t="n">
        <v>4064941156826</v>
      </c>
      <c r="E2531" t="inlineStr">
        <is>
          <t>KJ COSMIC FLNK EDP 30ML IV</t>
        </is>
      </c>
      <c r="F2531" t="inlineStr">
        <is>
          <t>P_US_ALL_OTHERS</t>
        </is>
      </c>
      <c r="G2531" t="inlineStr">
        <is>
          <t>Month-2026.M09.W38</t>
        </is>
      </c>
      <c r="H2531" t="inlineStr">
        <is>
          <t>EPOS</t>
        </is>
      </c>
      <c r="I2531" t="n">
        <v>23</v>
      </c>
    </row>
    <row r="2532">
      <c r="A2532" t="inlineStr">
        <is>
          <t>Kylie Jenner Fragrances</t>
        </is>
      </c>
      <c r="B2532" t="inlineStr">
        <is>
          <t>Cosmic Kylie Jenner (01246)</t>
        </is>
      </c>
      <c r="C2532" t="inlineStr">
        <is>
          <t>Cosmic Kylie Jenner FLANKER (00006785)</t>
        </is>
      </c>
      <c r="D2532" s="1" t="n">
        <v>4064941156826</v>
      </c>
      <c r="E2532" t="inlineStr">
        <is>
          <t>KJ COSMIC FLNK EDP 30ML IV</t>
        </is>
      </c>
      <c r="F2532" t="inlineStr">
        <is>
          <t>P_US_ALL_OTHERS</t>
        </is>
      </c>
      <c r="G2532" t="inlineStr">
        <is>
          <t>Month-2026.M09.W38</t>
        </is>
      </c>
      <c r="H2532" t="inlineStr">
        <is>
          <t>Reasonability Adjustment</t>
        </is>
      </c>
    </row>
    <row r="2533">
      <c r="A2533" t="inlineStr">
        <is>
          <t>Kylie Jenner Fragrances</t>
        </is>
      </c>
      <c r="B2533" t="inlineStr">
        <is>
          <t>Cosmic Kylie Jenner (01246)</t>
        </is>
      </c>
      <c r="C2533" t="inlineStr">
        <is>
          <t>Cosmic Kylie Jenner FLANKER (00006785)</t>
        </is>
      </c>
      <c r="D2533" s="1" t="n">
        <v>4064941156826</v>
      </c>
      <c r="E2533" t="inlineStr">
        <is>
          <t>KJ COSMIC FLNK EDP 30ML IV</t>
        </is>
      </c>
      <c r="F2533" t="inlineStr">
        <is>
          <t>P_US_ALL_OTHERS</t>
        </is>
      </c>
      <c r="G2533" t="inlineStr">
        <is>
          <t>Month-2026.M09.W38</t>
        </is>
      </c>
      <c r="H2533" t="inlineStr">
        <is>
          <t>Total Demand Assumption</t>
        </is>
      </c>
    </row>
    <row r="2534">
      <c r="A2534" t="inlineStr">
        <is>
          <t>Kylie Jenner Fragrances</t>
        </is>
      </c>
      <c r="B2534" t="inlineStr">
        <is>
          <t>Cosmic Kylie Jenner (01246)</t>
        </is>
      </c>
      <c r="C2534" t="inlineStr">
        <is>
          <t>Cosmic Kylie Jenner FLANKER (00006785)</t>
        </is>
      </c>
      <c r="D2534" s="1" t="n">
        <v>4064941156826</v>
      </c>
      <c r="E2534" t="inlineStr">
        <is>
          <t>KJ COSMIC FLNK EDP 30ML IV</t>
        </is>
      </c>
      <c r="F2534" t="inlineStr">
        <is>
          <t>P_US_ALL_OTHERS</t>
        </is>
      </c>
      <c r="G2534" t="inlineStr">
        <is>
          <t>Month-2026.M09.W38</t>
        </is>
      </c>
      <c r="H2534" t="inlineStr">
        <is>
          <t>Consensus - Final</t>
        </is>
      </c>
      <c r="K2534" t="n">
        <v>5.60047421458209</v>
      </c>
      <c r="L2534" t="n">
        <v>8</v>
      </c>
      <c r="M2534" t="n">
        <v>8</v>
      </c>
      <c r="N2534" t="n">
        <v>8</v>
      </c>
      <c r="O2534" t="n">
        <v>9</v>
      </c>
      <c r="P2534" t="n">
        <v>8</v>
      </c>
      <c r="Q2534" t="n">
        <v>9</v>
      </c>
      <c r="R2534" t="n">
        <v>8</v>
      </c>
      <c r="S2534" t="n">
        <v>8</v>
      </c>
      <c r="T2534" t="n">
        <v>4</v>
      </c>
    </row>
    <row r="2535">
      <c r="A2535" t="inlineStr">
        <is>
          <t>Kylie Jenner Fragrances</t>
        </is>
      </c>
      <c r="B2535" t="inlineStr">
        <is>
          <t>Cosmic Kylie Jenner (01246)</t>
        </is>
      </c>
      <c r="C2535" t="inlineStr">
        <is>
          <t>Cosmic Kylie Jenner FLANKER (00006785)</t>
        </is>
      </c>
      <c r="D2535" s="1" t="n">
        <v>4064941156826</v>
      </c>
      <c r="E2535" t="inlineStr">
        <is>
          <t>KJ COSMIC FLNK EDP 30ML IV</t>
        </is>
      </c>
      <c r="F2535" t="inlineStr">
        <is>
          <t>P_US_ALL_OTHERS</t>
        </is>
      </c>
      <c r="G2535" t="inlineStr">
        <is>
          <t>Month-2026.M09.W38</t>
        </is>
      </c>
      <c r="H2535" t="inlineStr">
        <is>
          <t>Supply Cuts</t>
        </is>
      </c>
    </row>
    <row r="2536">
      <c r="A2536" t="inlineStr">
        <is>
          <t>Kylie Jenner Fragrances</t>
        </is>
      </c>
      <c r="B2536" t="inlineStr">
        <is>
          <t>Cosmic Kylie Jenner (01246)</t>
        </is>
      </c>
      <c r="C2536" t="inlineStr">
        <is>
          <t>Cosmic Kylie Jenner FLANKER (00006785)</t>
        </is>
      </c>
      <c r="D2536" s="1" t="n">
        <v>4064941156826</v>
      </c>
      <c r="E2536" t="inlineStr">
        <is>
          <t>KJ COSMIC FLNK EDP 30ML IV</t>
        </is>
      </c>
      <c r="F2536" t="inlineStr">
        <is>
          <t>P_US_FG</t>
        </is>
      </c>
      <c r="G2536" t="inlineStr">
        <is>
          <t>CurrentWorkingView</t>
        </is>
      </c>
      <c r="H2536" t="inlineStr">
        <is>
          <t>Consensus - Final LY M</t>
        </is>
      </c>
      <c r="I2536" t="n">
        <v>50</v>
      </c>
      <c r="L2536" t="n">
        <v>100</v>
      </c>
      <c r="N2536" t="n">
        <v>30</v>
      </c>
      <c r="Q2536" t="n">
        <v>3276</v>
      </c>
      <c r="S2536" t="n">
        <v>20</v>
      </c>
    </row>
    <row r="2537">
      <c r="A2537" t="inlineStr">
        <is>
          <t>Kylie Jenner Fragrances</t>
        </is>
      </c>
      <c r="B2537" t="inlineStr">
        <is>
          <t>Cosmic Kylie Jenner (01246)</t>
        </is>
      </c>
      <c r="C2537" t="inlineStr">
        <is>
          <t>Cosmic Kylie Jenner FLANKER (00006785)</t>
        </is>
      </c>
      <c r="D2537" s="1" t="n">
        <v>4064941156826</v>
      </c>
      <c r="E2537" t="inlineStr">
        <is>
          <t>KJ COSMIC FLNK EDP 30ML IV</t>
        </is>
      </c>
      <c r="F2537" t="inlineStr">
        <is>
          <t>P_US_FG</t>
        </is>
      </c>
      <c r="G2537" t="inlineStr">
        <is>
          <t>CurrentWorkingView</t>
        </is>
      </c>
      <c r="H2537" t="inlineStr">
        <is>
          <t>System FC - Final</t>
        </is>
      </c>
      <c r="K2537" t="n">
        <v>74</v>
      </c>
      <c r="L2537" t="n">
        <v>141</v>
      </c>
      <c r="M2537" t="n">
        <v>142</v>
      </c>
      <c r="N2537" t="n">
        <v>141</v>
      </c>
      <c r="O2537" t="n">
        <v>142</v>
      </c>
      <c r="P2537" t="n">
        <v>140</v>
      </c>
      <c r="Q2537" t="n">
        <v>142</v>
      </c>
      <c r="R2537" t="n">
        <v>142</v>
      </c>
      <c r="S2537" t="n">
        <v>142</v>
      </c>
      <c r="T2537" t="n">
        <v>141</v>
      </c>
    </row>
    <row r="2538">
      <c r="A2538" t="inlineStr">
        <is>
          <t>Kylie Jenner Fragrances</t>
        </is>
      </c>
      <c r="B2538" t="inlineStr">
        <is>
          <t>Cosmic Kylie Jenner (01246)</t>
        </is>
      </c>
      <c r="C2538" t="inlineStr">
        <is>
          <t>Cosmic Kylie Jenner FLANKER (00006785)</t>
        </is>
      </c>
      <c r="D2538" s="1" t="n">
        <v>4064941156826</v>
      </c>
      <c r="E2538" t="inlineStr">
        <is>
          <t>KJ COSMIC FLNK EDP 30ML IV</t>
        </is>
      </c>
      <c r="F2538" t="inlineStr">
        <is>
          <t>P_US_FG</t>
        </is>
      </c>
      <c r="G2538" t="inlineStr">
        <is>
          <t>CurrentWorkingView</t>
        </is>
      </c>
      <c r="H2538" t="inlineStr">
        <is>
          <t>EPOS</t>
        </is>
      </c>
    </row>
    <row r="2539">
      <c r="A2539" t="inlineStr">
        <is>
          <t>Kylie Jenner Fragrances</t>
        </is>
      </c>
      <c r="B2539" t="inlineStr">
        <is>
          <t>Cosmic Kylie Jenner (01246)</t>
        </is>
      </c>
      <c r="C2539" t="inlineStr">
        <is>
          <t>Cosmic Kylie Jenner FLANKER (00006785)</t>
        </is>
      </c>
      <c r="D2539" s="1" t="n">
        <v>4064941156826</v>
      </c>
      <c r="E2539" t="inlineStr">
        <is>
          <t>KJ COSMIC FLNK EDP 30ML IV</t>
        </is>
      </c>
      <c r="F2539" t="inlineStr">
        <is>
          <t>P_US_FG</t>
        </is>
      </c>
      <c r="G2539" t="inlineStr">
        <is>
          <t>CurrentWorkingView</t>
        </is>
      </c>
      <c r="H2539" t="inlineStr">
        <is>
          <t>Reasonability Adjustment</t>
        </is>
      </c>
    </row>
    <row r="2540">
      <c r="A2540" t="inlineStr">
        <is>
          <t>Kylie Jenner Fragrances</t>
        </is>
      </c>
      <c r="B2540" t="inlineStr">
        <is>
          <t>Cosmic Kylie Jenner (01246)</t>
        </is>
      </c>
      <c r="C2540" t="inlineStr">
        <is>
          <t>Cosmic Kylie Jenner FLANKER (00006785)</t>
        </is>
      </c>
      <c r="D2540" s="1" t="n">
        <v>4064941156826</v>
      </c>
      <c r="E2540" t="inlineStr">
        <is>
          <t>KJ COSMIC FLNK EDP 30ML IV</t>
        </is>
      </c>
      <c r="F2540" t="inlineStr">
        <is>
          <t>P_US_FG</t>
        </is>
      </c>
      <c r="G2540" t="inlineStr">
        <is>
          <t>CurrentWorkingView</t>
        </is>
      </c>
      <c r="H2540" t="inlineStr">
        <is>
          <t>Total Demand Assumption</t>
        </is>
      </c>
    </row>
    <row r="2541">
      <c r="A2541" t="inlineStr">
        <is>
          <t>Kylie Jenner Fragrances</t>
        </is>
      </c>
      <c r="B2541" t="inlineStr">
        <is>
          <t>Cosmic Kylie Jenner (01246)</t>
        </is>
      </c>
      <c r="C2541" t="inlineStr">
        <is>
          <t>Cosmic Kylie Jenner FLANKER (00006785)</t>
        </is>
      </c>
      <c r="D2541" s="1" t="n">
        <v>4064941156826</v>
      </c>
      <c r="E2541" t="inlineStr">
        <is>
          <t>KJ COSMIC FLNK EDP 30ML IV</t>
        </is>
      </c>
      <c r="F2541" t="inlineStr">
        <is>
          <t>P_US_FG</t>
        </is>
      </c>
      <c r="G2541" t="inlineStr">
        <is>
          <t>CurrentWorkingView</t>
        </is>
      </c>
      <c r="H2541" t="inlineStr">
        <is>
          <t>Consensus - Final</t>
        </is>
      </c>
      <c r="K2541" t="n">
        <v>0</v>
      </c>
    </row>
    <row r="2542">
      <c r="A2542" t="inlineStr">
        <is>
          <t>Kylie Jenner Fragrances</t>
        </is>
      </c>
      <c r="B2542" t="inlineStr">
        <is>
          <t>Cosmic Kylie Jenner (01246)</t>
        </is>
      </c>
      <c r="C2542" t="inlineStr">
        <is>
          <t>Cosmic Kylie Jenner FLANKER (00006785)</t>
        </is>
      </c>
      <c r="D2542" s="1" t="n">
        <v>4064941156826</v>
      </c>
      <c r="E2542" t="inlineStr">
        <is>
          <t>KJ COSMIC FLNK EDP 30ML IV</t>
        </is>
      </c>
      <c r="F2542" t="inlineStr">
        <is>
          <t>P_US_FG</t>
        </is>
      </c>
      <c r="G2542" t="inlineStr">
        <is>
          <t>CurrentWorkingView</t>
        </is>
      </c>
      <c r="H2542" t="inlineStr">
        <is>
          <t>Supply Cuts</t>
        </is>
      </c>
    </row>
    <row r="2543">
      <c r="A2543" t="inlineStr">
        <is>
          <t>Kylie Jenner Fragrances</t>
        </is>
      </c>
      <c r="B2543" t="inlineStr">
        <is>
          <t>Cosmic Kylie Jenner (01246)</t>
        </is>
      </c>
      <c r="C2543" t="inlineStr">
        <is>
          <t>Cosmic Kylie Jenner FLANKER (00006785)</t>
        </is>
      </c>
      <c r="D2543" s="1" t="n">
        <v>4064941156826</v>
      </c>
      <c r="E2543" t="inlineStr">
        <is>
          <t>KJ COSMIC FLNK EDP 30ML IV</t>
        </is>
      </c>
      <c r="F2543" t="inlineStr">
        <is>
          <t>P_US_FG</t>
        </is>
      </c>
      <c r="G2543" t="inlineStr">
        <is>
          <t>Month-2026.M09.W38</t>
        </is>
      </c>
      <c r="H2543" t="inlineStr">
        <is>
          <t>Consensus - Final LY M</t>
        </is>
      </c>
      <c r="I2543" t="n">
        <v>50</v>
      </c>
      <c r="L2543" t="n">
        <v>100</v>
      </c>
      <c r="N2543" t="n">
        <v>30</v>
      </c>
      <c r="Q2543" t="n">
        <v>3276</v>
      </c>
      <c r="S2543" t="n">
        <v>20</v>
      </c>
    </row>
    <row r="2544">
      <c r="A2544" t="inlineStr">
        <is>
          <t>Kylie Jenner Fragrances</t>
        </is>
      </c>
      <c r="B2544" t="inlineStr">
        <is>
          <t>Cosmic Kylie Jenner (01246)</t>
        </is>
      </c>
      <c r="C2544" t="inlineStr">
        <is>
          <t>Cosmic Kylie Jenner FLANKER (00006785)</t>
        </is>
      </c>
      <c r="D2544" s="1" t="n">
        <v>4064941156826</v>
      </c>
      <c r="E2544" t="inlineStr">
        <is>
          <t>KJ COSMIC FLNK EDP 30ML IV</t>
        </is>
      </c>
      <c r="F2544" t="inlineStr">
        <is>
          <t>P_US_FG</t>
        </is>
      </c>
      <c r="G2544" t="inlineStr">
        <is>
          <t>Month-2026.M09.W38</t>
        </is>
      </c>
      <c r="H2544" t="inlineStr">
        <is>
          <t>System FC - Final</t>
        </is>
      </c>
      <c r="K2544" t="n">
        <v>109</v>
      </c>
      <c r="L2544" t="n">
        <v>150</v>
      </c>
      <c r="M2544" t="n">
        <v>150</v>
      </c>
      <c r="N2544" t="n">
        <v>150</v>
      </c>
      <c r="O2544" t="n">
        <v>151</v>
      </c>
      <c r="P2544" t="n">
        <v>152</v>
      </c>
      <c r="Q2544" t="n">
        <v>151</v>
      </c>
      <c r="R2544" t="n">
        <v>150</v>
      </c>
      <c r="S2544" t="n">
        <v>151</v>
      </c>
      <c r="T2544" t="n">
        <v>112</v>
      </c>
    </row>
    <row r="2545">
      <c r="A2545" t="inlineStr">
        <is>
          <t>Kylie Jenner Fragrances</t>
        </is>
      </c>
      <c r="B2545" t="inlineStr">
        <is>
          <t>Cosmic Kylie Jenner (01246)</t>
        </is>
      </c>
      <c r="C2545" t="inlineStr">
        <is>
          <t>Cosmic Kylie Jenner FLANKER (00006785)</t>
        </is>
      </c>
      <c r="D2545" s="1" t="n">
        <v>4064941156826</v>
      </c>
      <c r="E2545" t="inlineStr">
        <is>
          <t>KJ COSMIC FLNK EDP 30ML IV</t>
        </is>
      </c>
      <c r="F2545" t="inlineStr">
        <is>
          <t>P_US_FG</t>
        </is>
      </c>
      <c r="G2545" t="inlineStr">
        <is>
          <t>Month-2026.M09.W38</t>
        </is>
      </c>
      <c r="H2545" t="inlineStr">
        <is>
          <t>EPOS</t>
        </is>
      </c>
    </row>
    <row r="2546">
      <c r="A2546" t="inlineStr">
        <is>
          <t>Kylie Jenner Fragrances</t>
        </is>
      </c>
      <c r="B2546" t="inlineStr">
        <is>
          <t>Cosmic Kylie Jenner (01246)</t>
        </is>
      </c>
      <c r="C2546" t="inlineStr">
        <is>
          <t>Cosmic Kylie Jenner FLANKER (00006785)</t>
        </is>
      </c>
      <c r="D2546" s="1" t="n">
        <v>4064941156826</v>
      </c>
      <c r="E2546" t="inlineStr">
        <is>
          <t>KJ COSMIC FLNK EDP 30ML IV</t>
        </is>
      </c>
      <c r="F2546" t="inlineStr">
        <is>
          <t>P_US_FG</t>
        </is>
      </c>
      <c r="G2546" t="inlineStr">
        <is>
          <t>Month-2026.M09.W38</t>
        </is>
      </c>
      <c r="H2546" t="inlineStr">
        <is>
          <t>Reasonability Adjustment</t>
        </is>
      </c>
    </row>
    <row r="2547">
      <c r="A2547" t="inlineStr">
        <is>
          <t>Kylie Jenner Fragrances</t>
        </is>
      </c>
      <c r="B2547" t="inlineStr">
        <is>
          <t>Cosmic Kylie Jenner (01246)</t>
        </is>
      </c>
      <c r="C2547" t="inlineStr">
        <is>
          <t>Cosmic Kylie Jenner FLANKER (00006785)</t>
        </is>
      </c>
      <c r="D2547" s="1" t="n">
        <v>4064941156826</v>
      </c>
      <c r="E2547" t="inlineStr">
        <is>
          <t>KJ COSMIC FLNK EDP 30ML IV</t>
        </is>
      </c>
      <c r="F2547" t="inlineStr">
        <is>
          <t>P_US_FG</t>
        </is>
      </c>
      <c r="G2547" t="inlineStr">
        <is>
          <t>Month-2026.M09.W38</t>
        </is>
      </c>
      <c r="H2547" t="inlineStr">
        <is>
          <t>Total Demand Assumption</t>
        </is>
      </c>
    </row>
    <row r="2548">
      <c r="A2548" t="inlineStr">
        <is>
          <t>Kylie Jenner Fragrances</t>
        </is>
      </c>
      <c r="B2548" t="inlineStr">
        <is>
          <t>Cosmic Kylie Jenner (01246)</t>
        </is>
      </c>
      <c r="C2548" t="inlineStr">
        <is>
          <t>Cosmic Kylie Jenner FLANKER (00006785)</t>
        </is>
      </c>
      <c r="D2548" s="1" t="n">
        <v>4064941156826</v>
      </c>
      <c r="E2548" t="inlineStr">
        <is>
          <t>KJ COSMIC FLNK EDP 30ML IV</t>
        </is>
      </c>
      <c r="F2548" t="inlineStr">
        <is>
          <t>P_US_FG</t>
        </is>
      </c>
      <c r="G2548" t="inlineStr">
        <is>
          <t>Month-2026.M09.W38</t>
        </is>
      </c>
      <c r="H2548" t="inlineStr">
        <is>
          <t>Consensus - Final</t>
        </is>
      </c>
      <c r="K2548" t="n">
        <v>0</v>
      </c>
    </row>
    <row r="2549">
      <c r="A2549" t="inlineStr">
        <is>
          <t>Kylie Jenner Fragrances</t>
        </is>
      </c>
      <c r="B2549" t="inlineStr">
        <is>
          <t>Cosmic Kylie Jenner (01246)</t>
        </is>
      </c>
      <c r="C2549" t="inlineStr">
        <is>
          <t>Cosmic Kylie Jenner FLANKER (00006785)</t>
        </is>
      </c>
      <c r="D2549" s="1" t="n">
        <v>4064941156826</v>
      </c>
      <c r="E2549" t="inlineStr">
        <is>
          <t>KJ COSMIC FLNK EDP 30ML IV</t>
        </is>
      </c>
      <c r="F2549" t="inlineStr">
        <is>
          <t>P_US_FG</t>
        </is>
      </c>
      <c r="G2549" t="inlineStr">
        <is>
          <t>Month-2026.M09.W38</t>
        </is>
      </c>
      <c r="H2549" t="inlineStr">
        <is>
          <t>Supply Cuts</t>
        </is>
      </c>
    </row>
    <row r="2550">
      <c r="A2550" t="inlineStr">
        <is>
          <t>Kylie Jenner Fragrances</t>
        </is>
      </c>
      <c r="B2550" t="inlineStr">
        <is>
          <t>Cosmic Kylie Jenner (01246)</t>
        </is>
      </c>
      <c r="C2550" t="inlineStr">
        <is>
          <t>Cosmic Kylie Jenner FLANKER (00006785)</t>
        </is>
      </c>
      <c r="D2550" s="1" t="n">
        <v>4064941156826</v>
      </c>
      <c r="E2550" t="inlineStr">
        <is>
          <t>KJ COSMIC FLNK EDP 30ML IV</t>
        </is>
      </c>
      <c r="F2550" t="inlineStr">
        <is>
          <t>P_US_ULTA</t>
        </is>
      </c>
      <c r="G2550" t="inlineStr">
        <is>
          <t>CurrentWorkingView</t>
        </is>
      </c>
      <c r="H2550" t="inlineStr">
        <is>
          <t>Consensus - Final LY M</t>
        </is>
      </c>
      <c r="L2550" t="n">
        <v>1635</v>
      </c>
      <c r="M2550" t="n">
        <v>420</v>
      </c>
      <c r="O2550" t="n">
        <v>6</v>
      </c>
      <c r="P2550" t="n">
        <v>12</v>
      </c>
      <c r="S2550" t="n">
        <v>2883</v>
      </c>
      <c r="T2550" t="n">
        <v>402</v>
      </c>
    </row>
    <row r="2551">
      <c r="A2551" t="inlineStr">
        <is>
          <t>Kylie Jenner Fragrances</t>
        </is>
      </c>
      <c r="B2551" t="inlineStr">
        <is>
          <t>Cosmic Kylie Jenner (01246)</t>
        </is>
      </c>
      <c r="C2551" t="inlineStr">
        <is>
          <t>Cosmic Kylie Jenner FLANKER (00006785)</t>
        </is>
      </c>
      <c r="D2551" s="1" t="n">
        <v>4064941156826</v>
      </c>
      <c r="E2551" t="inlineStr">
        <is>
          <t>KJ COSMIC FLNK EDP 30ML IV</t>
        </is>
      </c>
      <c r="F2551" t="inlineStr">
        <is>
          <t>P_US_ULTA</t>
        </is>
      </c>
      <c r="G2551" t="inlineStr">
        <is>
          <t>CurrentWorkingView</t>
        </is>
      </c>
      <c r="H2551" t="inlineStr">
        <is>
          <t>System FC - Final</t>
        </is>
      </c>
      <c r="I2551" t="n">
        <v>660</v>
      </c>
      <c r="J2551" t="n">
        <v>252</v>
      </c>
      <c r="K2551" t="n">
        <v>917</v>
      </c>
      <c r="L2551" t="n">
        <v>3457</v>
      </c>
      <c r="M2551" t="n">
        <v>4568</v>
      </c>
      <c r="N2551" t="n">
        <v>3548</v>
      </c>
      <c r="O2551" t="n">
        <v>3854</v>
      </c>
      <c r="P2551" t="n">
        <v>3988</v>
      </c>
      <c r="Q2551" t="n">
        <v>3795</v>
      </c>
      <c r="R2551" t="n">
        <v>3878</v>
      </c>
      <c r="S2551" t="n">
        <v>3892</v>
      </c>
      <c r="T2551" t="n">
        <v>3856</v>
      </c>
    </row>
    <row r="2552">
      <c r="A2552" t="inlineStr">
        <is>
          <t>Kylie Jenner Fragrances</t>
        </is>
      </c>
      <c r="B2552" t="inlineStr">
        <is>
          <t>Cosmic Kylie Jenner (01246)</t>
        </is>
      </c>
      <c r="C2552" t="inlineStr">
        <is>
          <t>Cosmic Kylie Jenner FLANKER (00006785)</t>
        </is>
      </c>
      <c r="D2552" s="1" t="n">
        <v>4064941156826</v>
      </c>
      <c r="E2552" t="inlineStr">
        <is>
          <t>KJ COSMIC FLNK EDP 30ML IV</t>
        </is>
      </c>
      <c r="F2552" t="inlineStr">
        <is>
          <t>P_US_ULTA</t>
        </is>
      </c>
      <c r="G2552" t="inlineStr">
        <is>
          <t>CurrentWorkingView</t>
        </is>
      </c>
      <c r="H2552" t="inlineStr">
        <is>
          <t>EPOS</t>
        </is>
      </c>
      <c r="I2552" t="n">
        <v>953</v>
      </c>
    </row>
    <row r="2553">
      <c r="A2553" t="inlineStr">
        <is>
          <t>Kylie Jenner Fragrances</t>
        </is>
      </c>
      <c r="B2553" t="inlineStr">
        <is>
          <t>Cosmic Kylie Jenner (01246)</t>
        </is>
      </c>
      <c r="C2553" t="inlineStr">
        <is>
          <t>Cosmic Kylie Jenner FLANKER (00006785)</t>
        </is>
      </c>
      <c r="D2553" s="1" t="n">
        <v>4064941156826</v>
      </c>
      <c r="E2553" t="inlineStr">
        <is>
          <t>KJ COSMIC FLNK EDP 30ML IV</t>
        </is>
      </c>
      <c r="F2553" t="inlineStr">
        <is>
          <t>P_US_ULTA</t>
        </is>
      </c>
      <c r="G2553" t="inlineStr">
        <is>
          <t>CurrentWorkingView</t>
        </is>
      </c>
      <c r="H2553" t="inlineStr">
        <is>
          <t>Reasonability Adjustment</t>
        </is>
      </c>
      <c r="I2553" t="n">
        <v>500</v>
      </c>
      <c r="J2553" t="n">
        <v>2283</v>
      </c>
      <c r="K2553" t="n">
        <v>2429</v>
      </c>
      <c r="L2553" t="n">
        <v>302</v>
      </c>
      <c r="M2553" t="n">
        <v>340</v>
      </c>
      <c r="N2553" t="n">
        <v>2356</v>
      </c>
      <c r="O2553" t="n">
        <v>332</v>
      </c>
      <c r="P2553" t="n">
        <v>344</v>
      </c>
      <c r="Q2553" t="n">
        <v>341</v>
      </c>
      <c r="R2553" t="n">
        <v>338</v>
      </c>
      <c r="S2553" t="n">
        <v>345</v>
      </c>
      <c r="T2553" t="n">
        <v>342</v>
      </c>
    </row>
    <row r="2554">
      <c r="A2554" t="inlineStr">
        <is>
          <t>Kylie Jenner Fragrances</t>
        </is>
      </c>
      <c r="B2554" t="inlineStr">
        <is>
          <t>Cosmic Kylie Jenner (01246)</t>
        </is>
      </c>
      <c r="C2554" t="inlineStr">
        <is>
          <t>Cosmic Kylie Jenner FLANKER (00006785)</t>
        </is>
      </c>
      <c r="D2554" s="1" t="n">
        <v>4064941156826</v>
      </c>
      <c r="E2554" t="inlineStr">
        <is>
          <t>KJ COSMIC FLNK EDP 30ML IV</t>
        </is>
      </c>
      <c r="F2554" t="inlineStr">
        <is>
          <t>P_US_ULTA</t>
        </is>
      </c>
      <c r="G2554" t="inlineStr">
        <is>
          <t>CurrentWorkingView</t>
        </is>
      </c>
      <c r="H2554" t="inlineStr">
        <is>
          <t>Total Demand Assumption</t>
        </is>
      </c>
    </row>
    <row r="2555">
      <c r="A2555" t="inlineStr">
        <is>
          <t>Kylie Jenner Fragrances</t>
        </is>
      </c>
      <c r="B2555" t="inlineStr">
        <is>
          <t>Cosmic Kylie Jenner (01246)</t>
        </is>
      </c>
      <c r="C2555" t="inlineStr">
        <is>
          <t>Cosmic Kylie Jenner FLANKER (00006785)</t>
        </is>
      </c>
      <c r="D2555" s="1" t="n">
        <v>4064941156826</v>
      </c>
      <c r="E2555" t="inlineStr">
        <is>
          <t>KJ COSMIC FLNK EDP 30ML IV</t>
        </is>
      </c>
      <c r="F2555" t="inlineStr">
        <is>
          <t>P_US_ULTA</t>
        </is>
      </c>
      <c r="G2555" t="inlineStr">
        <is>
          <t>CurrentWorkingView</t>
        </is>
      </c>
      <c r="H2555" t="inlineStr">
        <is>
          <t>Consensus - Final</t>
        </is>
      </c>
      <c r="I2555" t="n">
        <v>660</v>
      </c>
      <c r="J2555" t="n">
        <v>252</v>
      </c>
      <c r="K2555" t="n">
        <v>1723.39952578541</v>
      </c>
      <c r="L2555" t="n">
        <v>3759</v>
      </c>
      <c r="M2555" t="n">
        <v>4908</v>
      </c>
      <c r="N2555" t="n">
        <v>5904</v>
      </c>
      <c r="O2555" t="n">
        <v>4186</v>
      </c>
      <c r="P2555" t="n">
        <v>4332</v>
      </c>
      <c r="Q2555" t="n">
        <v>4136</v>
      </c>
      <c r="R2555" t="n">
        <v>4216</v>
      </c>
      <c r="S2555" t="n">
        <v>4237</v>
      </c>
      <c r="T2555" t="n">
        <v>4198</v>
      </c>
    </row>
    <row r="2556">
      <c r="A2556" t="inlineStr">
        <is>
          <t>Kylie Jenner Fragrances</t>
        </is>
      </c>
      <c r="B2556" t="inlineStr">
        <is>
          <t>Cosmic Kylie Jenner (01246)</t>
        </is>
      </c>
      <c r="C2556" t="inlineStr">
        <is>
          <t>Cosmic Kylie Jenner FLANKER (00006785)</t>
        </is>
      </c>
      <c r="D2556" s="1" t="n">
        <v>4064941156826</v>
      </c>
      <c r="E2556" t="inlineStr">
        <is>
          <t>KJ COSMIC FLNK EDP 30ML IV</t>
        </is>
      </c>
      <c r="F2556" t="inlineStr">
        <is>
          <t>P_US_ULTA</t>
        </is>
      </c>
      <c r="G2556" t="inlineStr">
        <is>
          <t>CurrentWorkingView</t>
        </is>
      </c>
      <c r="H2556" t="inlineStr">
        <is>
          <t>Supply Cuts</t>
        </is>
      </c>
    </row>
    <row r="2557">
      <c r="A2557" t="inlineStr">
        <is>
          <t>Kylie Jenner Fragrances</t>
        </is>
      </c>
      <c r="B2557" t="inlineStr">
        <is>
          <t>Cosmic Kylie Jenner (01246)</t>
        </is>
      </c>
      <c r="C2557" t="inlineStr">
        <is>
          <t>Cosmic Kylie Jenner FLANKER (00006785)</t>
        </is>
      </c>
      <c r="D2557" s="1" t="n">
        <v>4064941156826</v>
      </c>
      <c r="E2557" t="inlineStr">
        <is>
          <t>KJ COSMIC FLNK EDP 30ML IV</t>
        </is>
      </c>
      <c r="F2557" t="inlineStr">
        <is>
          <t>P_US_ULTA</t>
        </is>
      </c>
      <c r="G2557" t="inlineStr">
        <is>
          <t>Month-2026.M09.W38</t>
        </is>
      </c>
      <c r="H2557" t="inlineStr">
        <is>
          <t>Consensus - Final LY M</t>
        </is>
      </c>
      <c r="L2557" t="n">
        <v>1635</v>
      </c>
      <c r="M2557" t="n">
        <v>420</v>
      </c>
      <c r="O2557" t="n">
        <v>6</v>
      </c>
      <c r="P2557" t="n">
        <v>12</v>
      </c>
      <c r="S2557" t="n">
        <v>2883</v>
      </c>
      <c r="T2557" t="n">
        <v>402</v>
      </c>
    </row>
    <row r="2558">
      <c r="A2558" t="inlineStr">
        <is>
          <t>Kylie Jenner Fragrances</t>
        </is>
      </c>
      <c r="B2558" t="inlineStr">
        <is>
          <t>Cosmic Kylie Jenner (01246)</t>
        </is>
      </c>
      <c r="C2558" t="inlineStr">
        <is>
          <t>Cosmic Kylie Jenner FLANKER (00006785)</t>
        </is>
      </c>
      <c r="D2558" s="1" t="n">
        <v>4064941156826</v>
      </c>
      <c r="E2558" t="inlineStr">
        <is>
          <t>KJ COSMIC FLNK EDP 30ML IV</t>
        </is>
      </c>
      <c r="F2558" t="inlineStr">
        <is>
          <t>P_US_ULTA</t>
        </is>
      </c>
      <c r="G2558" t="inlineStr">
        <is>
          <t>Month-2026.M09.W38</t>
        </is>
      </c>
      <c r="H2558" t="inlineStr">
        <is>
          <t>System FC - Final</t>
        </is>
      </c>
      <c r="I2558" t="n">
        <v>660</v>
      </c>
      <c r="J2558" t="n">
        <v>252</v>
      </c>
      <c r="K2558" t="n">
        <v>480</v>
      </c>
      <c r="L2558" t="n">
        <v>497</v>
      </c>
      <c r="M2558" t="n">
        <v>536</v>
      </c>
      <c r="N2558" t="n">
        <v>491</v>
      </c>
      <c r="O2558" t="n">
        <v>509</v>
      </c>
      <c r="P2558" t="n">
        <v>512</v>
      </c>
      <c r="Q2558" t="n">
        <v>501</v>
      </c>
      <c r="R2558" t="n">
        <v>510</v>
      </c>
      <c r="S2558" t="n">
        <v>509</v>
      </c>
      <c r="T2558" t="n">
        <v>506</v>
      </c>
    </row>
    <row r="2559">
      <c r="A2559" t="inlineStr">
        <is>
          <t>Kylie Jenner Fragrances</t>
        </is>
      </c>
      <c r="B2559" t="inlineStr">
        <is>
          <t>Cosmic Kylie Jenner (01246)</t>
        </is>
      </c>
      <c r="C2559" t="inlineStr">
        <is>
          <t>Cosmic Kylie Jenner FLANKER (00006785)</t>
        </is>
      </c>
      <c r="D2559" s="1" t="n">
        <v>4064941156826</v>
      </c>
      <c r="E2559" t="inlineStr">
        <is>
          <t>KJ COSMIC FLNK EDP 30ML IV</t>
        </is>
      </c>
      <c r="F2559" t="inlineStr">
        <is>
          <t>P_US_ULTA</t>
        </is>
      </c>
      <c r="G2559" t="inlineStr">
        <is>
          <t>Month-2026.M09.W38</t>
        </is>
      </c>
      <c r="H2559" t="inlineStr">
        <is>
          <t>EPOS</t>
        </is>
      </c>
      <c r="I2559" t="n">
        <v>953</v>
      </c>
    </row>
    <row r="2560">
      <c r="A2560" t="inlineStr">
        <is>
          <t>Kylie Jenner Fragrances</t>
        </is>
      </c>
      <c r="B2560" t="inlineStr">
        <is>
          <t>Cosmic Kylie Jenner (01246)</t>
        </is>
      </c>
      <c r="C2560" t="inlineStr">
        <is>
          <t>Cosmic Kylie Jenner FLANKER (00006785)</t>
        </is>
      </c>
      <c r="D2560" s="1" t="n">
        <v>4064941156826</v>
      </c>
      <c r="E2560" t="inlineStr">
        <is>
          <t>KJ COSMIC FLNK EDP 30ML IV</t>
        </is>
      </c>
      <c r="F2560" t="inlineStr">
        <is>
          <t>P_US_ULTA</t>
        </is>
      </c>
      <c r="G2560" t="inlineStr">
        <is>
          <t>Month-2026.M09.W38</t>
        </is>
      </c>
      <c r="H2560" t="inlineStr">
        <is>
          <t>Reasonability Adjustment</t>
        </is>
      </c>
      <c r="I2560" t="n">
        <v>500</v>
      </c>
      <c r="J2560" t="n">
        <v>2283</v>
      </c>
      <c r="K2560" t="n">
        <v>2429</v>
      </c>
      <c r="L2560" t="n">
        <v>302</v>
      </c>
      <c r="M2560" t="n">
        <v>340</v>
      </c>
      <c r="N2560" t="n">
        <v>2356</v>
      </c>
      <c r="O2560" t="n">
        <v>332</v>
      </c>
      <c r="P2560" t="n">
        <v>344</v>
      </c>
      <c r="Q2560" t="n">
        <v>341</v>
      </c>
      <c r="R2560" t="n">
        <v>338</v>
      </c>
      <c r="S2560" t="n">
        <v>345</v>
      </c>
      <c r="T2560" t="n">
        <v>342</v>
      </c>
    </row>
    <row r="2561">
      <c r="A2561" t="inlineStr">
        <is>
          <t>Kylie Jenner Fragrances</t>
        </is>
      </c>
      <c r="B2561" t="inlineStr">
        <is>
          <t>Cosmic Kylie Jenner (01246)</t>
        </is>
      </c>
      <c r="C2561" t="inlineStr">
        <is>
          <t>Cosmic Kylie Jenner FLANKER (00006785)</t>
        </is>
      </c>
      <c r="D2561" s="1" t="n">
        <v>4064941156826</v>
      </c>
      <c r="E2561" t="inlineStr">
        <is>
          <t>KJ COSMIC FLNK EDP 30ML IV</t>
        </is>
      </c>
      <c r="F2561" t="inlineStr">
        <is>
          <t>P_US_ULTA</t>
        </is>
      </c>
      <c r="G2561" t="inlineStr">
        <is>
          <t>Month-2026.M09.W38</t>
        </is>
      </c>
      <c r="H2561" t="inlineStr">
        <is>
          <t>Total Demand Assumption</t>
        </is>
      </c>
    </row>
    <row r="2562">
      <c r="A2562" t="inlineStr">
        <is>
          <t>Kylie Jenner Fragrances</t>
        </is>
      </c>
      <c r="B2562" t="inlineStr">
        <is>
          <t>Cosmic Kylie Jenner (01246)</t>
        </is>
      </c>
      <c r="C2562" t="inlineStr">
        <is>
          <t>Cosmic Kylie Jenner FLANKER (00006785)</t>
        </is>
      </c>
      <c r="D2562" s="1" t="n">
        <v>4064941156826</v>
      </c>
      <c r="E2562" t="inlineStr">
        <is>
          <t>KJ COSMIC FLNK EDP 30ML IV</t>
        </is>
      </c>
      <c r="F2562" t="inlineStr">
        <is>
          <t>P_US_ULTA</t>
        </is>
      </c>
      <c r="G2562" t="inlineStr">
        <is>
          <t>Month-2026.M09.W38</t>
        </is>
      </c>
      <c r="H2562" t="inlineStr">
        <is>
          <t>Consensus - Final</t>
        </is>
      </c>
      <c r="I2562" t="n">
        <v>660</v>
      </c>
      <c r="J2562" t="n">
        <v>252</v>
      </c>
      <c r="K2562" t="n">
        <v>1723.39952578541</v>
      </c>
      <c r="L2562" t="n">
        <v>799</v>
      </c>
      <c r="M2562" t="n">
        <v>876</v>
      </c>
      <c r="N2562" t="n">
        <v>2847</v>
      </c>
      <c r="O2562" t="n">
        <v>841</v>
      </c>
      <c r="P2562" t="n">
        <v>856</v>
      </c>
      <c r="Q2562" t="n">
        <v>842</v>
      </c>
      <c r="R2562" t="n">
        <v>848</v>
      </c>
      <c r="S2562" t="n">
        <v>854</v>
      </c>
      <c r="T2562" t="n">
        <v>848</v>
      </c>
    </row>
    <row r="2563">
      <c r="A2563" t="inlineStr">
        <is>
          <t>Kylie Jenner Fragrances</t>
        </is>
      </c>
      <c r="B2563" t="inlineStr">
        <is>
          <t>Cosmic Kylie Jenner (01246)</t>
        </is>
      </c>
      <c r="C2563" t="inlineStr">
        <is>
          <t>Cosmic Kylie Jenner FLANKER (00006785)</t>
        </is>
      </c>
      <c r="D2563" s="1" t="n">
        <v>4064941156826</v>
      </c>
      <c r="E2563" t="inlineStr">
        <is>
          <t>KJ COSMIC FLNK EDP 30ML IV</t>
        </is>
      </c>
      <c r="F2563" t="inlineStr">
        <is>
          <t>P_US_ULTA</t>
        </is>
      </c>
      <c r="G2563" t="inlineStr">
        <is>
          <t>Month-2026.M09.W38</t>
        </is>
      </c>
      <c r="H2563" t="inlineStr">
        <is>
          <t>Supply Cuts</t>
        </is>
      </c>
    </row>
    <row r="2564">
      <c r="A2564" t="inlineStr">
        <is>
          <t>Kylie Makeup</t>
        </is>
      </c>
      <c r="B2564" t="inlineStr">
        <is>
          <t>Lips (01245)</t>
        </is>
      </c>
      <c r="C2564" t="inlineStr">
        <is>
          <t>Kylie Supple Kiss Precision Lip Kit (00007015)</t>
        </is>
      </c>
      <c r="D2564" s="1" t="n">
        <v>4064941176343</v>
      </c>
      <c r="E2564" t="inlineStr">
        <is>
          <t>KJ MU SPP LKIT SET 3ML 1.14G TAUPNUGL IV</t>
        </is>
      </c>
      <c r="F2564" t="inlineStr">
        <is>
          <t>P_US_ALL_OTHERS</t>
        </is>
      </c>
      <c r="G2564" t="inlineStr">
        <is>
          <t>CurrentWorkingView</t>
        </is>
      </c>
      <c r="H2564" t="inlineStr">
        <is>
          <t>Consensus - Final LY M</t>
        </is>
      </c>
      <c r="I2564" t="n">
        <v>1522</v>
      </c>
      <c r="J2564" t="n">
        <v>25</v>
      </c>
      <c r="K2564" t="n">
        <v>469</v>
      </c>
      <c r="L2564" t="n">
        <v>29</v>
      </c>
      <c r="M2564" t="n">
        <v>77</v>
      </c>
      <c r="N2564" t="n">
        <v>66</v>
      </c>
      <c r="O2564" t="n">
        <v>1160</v>
      </c>
      <c r="P2564" t="n">
        <v>625</v>
      </c>
      <c r="Q2564" t="n">
        <v>238</v>
      </c>
      <c r="R2564" t="n">
        <v>698</v>
      </c>
      <c r="S2564" t="n">
        <v>794</v>
      </c>
      <c r="T2564" t="n">
        <v>180</v>
      </c>
    </row>
    <row r="2565">
      <c r="A2565" t="inlineStr">
        <is>
          <t>Kylie Makeup</t>
        </is>
      </c>
      <c r="B2565" t="inlineStr">
        <is>
          <t>Lips (01245)</t>
        </is>
      </c>
      <c r="C2565" t="inlineStr">
        <is>
          <t>Kylie Supple Kiss Precision Lip Kit (00007015)</t>
        </is>
      </c>
      <c r="D2565" s="1" t="n">
        <v>4064941176343</v>
      </c>
      <c r="E2565" t="inlineStr">
        <is>
          <t>KJ MU SPP LKIT SET 3ML 1.14G TAUPNUGL IV</t>
        </is>
      </c>
      <c r="F2565" t="inlineStr">
        <is>
          <t>P_US_ALL_OTHERS</t>
        </is>
      </c>
      <c r="G2565" t="inlineStr">
        <is>
          <t>CurrentWorkingView</t>
        </is>
      </c>
      <c r="H2565" t="inlineStr">
        <is>
          <t>System FC - Final</t>
        </is>
      </c>
      <c r="I2565" t="n">
        <v>228</v>
      </c>
      <c r="J2565" t="n">
        <v>753</v>
      </c>
      <c r="K2565" t="n">
        <v>322</v>
      </c>
      <c r="L2565" t="n">
        <v>506</v>
      </c>
      <c r="M2565" t="n">
        <v>505</v>
      </c>
      <c r="N2565" t="n">
        <v>505</v>
      </c>
      <c r="O2565" t="n">
        <v>505</v>
      </c>
      <c r="P2565" t="n">
        <v>504</v>
      </c>
      <c r="Q2565" t="n">
        <v>505</v>
      </c>
      <c r="R2565" t="n">
        <v>505</v>
      </c>
      <c r="S2565" t="n">
        <v>505</v>
      </c>
      <c r="T2565" t="n">
        <v>506</v>
      </c>
    </row>
    <row r="2566">
      <c r="A2566" t="inlineStr">
        <is>
          <t>Kylie Makeup</t>
        </is>
      </c>
      <c r="B2566" t="inlineStr">
        <is>
          <t>Lips (01245)</t>
        </is>
      </c>
      <c r="C2566" t="inlineStr">
        <is>
          <t>Kylie Supple Kiss Precision Lip Kit (00007015)</t>
        </is>
      </c>
      <c r="D2566" s="1" t="n">
        <v>4064941176343</v>
      </c>
      <c r="E2566" t="inlineStr">
        <is>
          <t>KJ MU SPP LKIT SET 3ML 1.14G TAUPNUGL IV</t>
        </is>
      </c>
      <c r="F2566" t="inlineStr">
        <is>
          <t>P_US_ALL_OTHERS</t>
        </is>
      </c>
      <c r="G2566" t="inlineStr">
        <is>
          <t>CurrentWorkingView</t>
        </is>
      </c>
      <c r="H2566" t="inlineStr">
        <is>
          <t>EPOS</t>
        </is>
      </c>
      <c r="I2566" t="n">
        <v>323</v>
      </c>
    </row>
    <row r="2567">
      <c r="A2567" t="inlineStr">
        <is>
          <t>Kylie Makeup</t>
        </is>
      </c>
      <c r="B2567" t="inlineStr">
        <is>
          <t>Lips (01245)</t>
        </is>
      </c>
      <c r="C2567" t="inlineStr">
        <is>
          <t>Kylie Supple Kiss Precision Lip Kit (00007015)</t>
        </is>
      </c>
      <c r="D2567" s="1" t="n">
        <v>4064941176343</v>
      </c>
      <c r="E2567" t="inlineStr">
        <is>
          <t>KJ MU SPP LKIT SET 3ML 1.14G TAUPNUGL IV</t>
        </is>
      </c>
      <c r="F2567" t="inlineStr">
        <is>
          <t>P_US_ALL_OTHERS</t>
        </is>
      </c>
      <c r="G2567" t="inlineStr">
        <is>
          <t>CurrentWorkingView</t>
        </is>
      </c>
      <c r="H2567" t="inlineStr">
        <is>
          <t>Reasonability Adjustment</t>
        </is>
      </c>
      <c r="T2567" t="n">
        <v>-261</v>
      </c>
    </row>
    <row r="2568">
      <c r="A2568" t="inlineStr">
        <is>
          <t>Kylie Makeup</t>
        </is>
      </c>
      <c r="B2568" t="inlineStr">
        <is>
          <t>Lips (01245)</t>
        </is>
      </c>
      <c r="C2568" t="inlineStr">
        <is>
          <t>Kylie Supple Kiss Precision Lip Kit (00007015)</t>
        </is>
      </c>
      <c r="D2568" s="1" t="n">
        <v>4064941176343</v>
      </c>
      <c r="E2568" t="inlineStr">
        <is>
          <t>KJ MU SPP LKIT SET 3ML 1.14G TAUPNUGL IV</t>
        </is>
      </c>
      <c r="F2568" t="inlineStr">
        <is>
          <t>P_US_ALL_OTHERS</t>
        </is>
      </c>
      <c r="G2568" t="inlineStr">
        <is>
          <t>CurrentWorkingView</t>
        </is>
      </c>
      <c r="H2568" t="inlineStr">
        <is>
          <t>Total Demand Assumption</t>
        </is>
      </c>
      <c r="I2568" t="n">
        <v>0</v>
      </c>
    </row>
    <row r="2569">
      <c r="A2569" t="inlineStr">
        <is>
          <t>Kylie Makeup</t>
        </is>
      </c>
      <c r="B2569" t="inlineStr">
        <is>
          <t>Lips (01245)</t>
        </is>
      </c>
      <c r="C2569" t="inlineStr">
        <is>
          <t>Kylie Supple Kiss Precision Lip Kit (00007015)</t>
        </is>
      </c>
      <c r="D2569" s="1" t="n">
        <v>4064941176343</v>
      </c>
      <c r="E2569" t="inlineStr">
        <is>
          <t>KJ MU SPP LKIT SET 3ML 1.14G TAUPNUGL IV</t>
        </is>
      </c>
      <c r="F2569" t="inlineStr">
        <is>
          <t>P_US_ALL_OTHERS</t>
        </is>
      </c>
      <c r="G2569" t="inlineStr">
        <is>
          <t>CurrentWorkingView</t>
        </is>
      </c>
      <c r="H2569" t="inlineStr">
        <is>
          <t>Consensus - Final</t>
        </is>
      </c>
      <c r="I2569" t="n">
        <v>228</v>
      </c>
      <c r="J2569" t="n">
        <v>753</v>
      </c>
      <c r="K2569" t="n">
        <v>362.365175332527</v>
      </c>
      <c r="L2569" t="n">
        <v>506</v>
      </c>
      <c r="M2569" t="n">
        <v>505</v>
      </c>
      <c r="N2569" t="n">
        <v>505</v>
      </c>
      <c r="O2569" t="n">
        <v>505</v>
      </c>
      <c r="P2569" t="n">
        <v>504</v>
      </c>
      <c r="Q2569" t="n">
        <v>505</v>
      </c>
      <c r="R2569" t="n">
        <v>505</v>
      </c>
      <c r="S2569" t="n">
        <v>505</v>
      </c>
      <c r="T2569" t="n">
        <v>245</v>
      </c>
    </row>
    <row r="2570">
      <c r="A2570" t="inlineStr">
        <is>
          <t>Kylie Makeup</t>
        </is>
      </c>
      <c r="B2570" t="inlineStr">
        <is>
          <t>Lips (01245)</t>
        </is>
      </c>
      <c r="C2570" t="inlineStr">
        <is>
          <t>Kylie Supple Kiss Precision Lip Kit (00007015)</t>
        </is>
      </c>
      <c r="D2570" s="1" t="n">
        <v>4064941176343</v>
      </c>
      <c r="E2570" t="inlineStr">
        <is>
          <t>KJ MU SPP LKIT SET 3ML 1.14G TAUPNUGL IV</t>
        </is>
      </c>
      <c r="F2570" t="inlineStr">
        <is>
          <t>P_US_ALL_OTHERS</t>
        </is>
      </c>
      <c r="G2570" t="inlineStr">
        <is>
          <t>CurrentWorkingView</t>
        </is>
      </c>
      <c r="H2570" t="inlineStr">
        <is>
          <t>Supply Cuts</t>
        </is>
      </c>
      <c r="I2570" t="n">
        <v>264</v>
      </c>
    </row>
    <row r="2571">
      <c r="A2571" t="inlineStr">
        <is>
          <t>Kylie Makeup</t>
        </is>
      </c>
      <c r="B2571" t="inlineStr">
        <is>
          <t>Lips (01245)</t>
        </is>
      </c>
      <c r="C2571" t="inlineStr">
        <is>
          <t>Kylie Supple Kiss Precision Lip Kit (00007015)</t>
        </is>
      </c>
      <c r="D2571" s="1" t="n">
        <v>4064941176343</v>
      </c>
      <c r="E2571" t="inlineStr">
        <is>
          <t>KJ MU SPP LKIT SET 3ML 1.14G TAUPNUGL IV</t>
        </is>
      </c>
      <c r="F2571" t="inlineStr">
        <is>
          <t>P_US_ALL_OTHERS</t>
        </is>
      </c>
      <c r="G2571" t="inlineStr">
        <is>
          <t>Month-2026.M09.W38</t>
        </is>
      </c>
      <c r="H2571" t="inlineStr">
        <is>
          <t>Consensus - Final LY M</t>
        </is>
      </c>
      <c r="I2571" t="n">
        <v>1522</v>
      </c>
      <c r="J2571" t="n">
        <v>25</v>
      </c>
      <c r="K2571" t="n">
        <v>469</v>
      </c>
      <c r="L2571" t="n">
        <v>29</v>
      </c>
      <c r="M2571" t="n">
        <v>77</v>
      </c>
      <c r="N2571" t="n">
        <v>66</v>
      </c>
      <c r="O2571" t="n">
        <v>1160</v>
      </c>
      <c r="P2571" t="n">
        <v>625</v>
      </c>
      <c r="Q2571" t="n">
        <v>238</v>
      </c>
      <c r="R2571" t="n">
        <v>698</v>
      </c>
      <c r="S2571" t="n">
        <v>794</v>
      </c>
      <c r="T2571" t="n">
        <v>180</v>
      </c>
    </row>
    <row r="2572">
      <c r="A2572" t="inlineStr">
        <is>
          <t>Kylie Makeup</t>
        </is>
      </c>
      <c r="B2572" t="inlineStr">
        <is>
          <t>Lips (01245)</t>
        </is>
      </c>
      <c r="C2572" t="inlineStr">
        <is>
          <t>Kylie Supple Kiss Precision Lip Kit (00007015)</t>
        </is>
      </c>
      <c r="D2572" s="1" t="n">
        <v>4064941176343</v>
      </c>
      <c r="E2572" t="inlineStr">
        <is>
          <t>KJ MU SPP LKIT SET 3ML 1.14G TAUPNUGL IV</t>
        </is>
      </c>
      <c r="F2572" t="inlineStr">
        <is>
          <t>P_US_ALL_OTHERS</t>
        </is>
      </c>
      <c r="G2572" t="inlineStr">
        <is>
          <t>Month-2026.M09.W38</t>
        </is>
      </c>
      <c r="H2572" t="inlineStr">
        <is>
          <t>System FC - Final</t>
        </is>
      </c>
      <c r="I2572" t="n">
        <v>228</v>
      </c>
      <c r="J2572" t="n">
        <v>753</v>
      </c>
      <c r="K2572" t="n">
        <v>397</v>
      </c>
      <c r="L2572" t="n">
        <v>443</v>
      </c>
      <c r="M2572" t="n">
        <v>442</v>
      </c>
      <c r="N2572" t="n">
        <v>443</v>
      </c>
      <c r="O2572" t="n">
        <v>443</v>
      </c>
      <c r="P2572" t="n">
        <v>444</v>
      </c>
      <c r="Q2572" t="n">
        <v>443</v>
      </c>
      <c r="R2572" t="n">
        <v>441</v>
      </c>
      <c r="S2572" t="n">
        <v>443</v>
      </c>
      <c r="T2572" t="n">
        <v>442</v>
      </c>
    </row>
    <row r="2573">
      <c r="A2573" t="inlineStr">
        <is>
          <t>Kylie Makeup</t>
        </is>
      </c>
      <c r="B2573" t="inlineStr">
        <is>
          <t>Lips (01245)</t>
        </is>
      </c>
      <c r="C2573" t="inlineStr">
        <is>
          <t>Kylie Supple Kiss Precision Lip Kit (00007015)</t>
        </is>
      </c>
      <c r="D2573" s="1" t="n">
        <v>4064941176343</v>
      </c>
      <c r="E2573" t="inlineStr">
        <is>
          <t>KJ MU SPP LKIT SET 3ML 1.14G TAUPNUGL IV</t>
        </is>
      </c>
      <c r="F2573" t="inlineStr">
        <is>
          <t>P_US_ALL_OTHERS</t>
        </is>
      </c>
      <c r="G2573" t="inlineStr">
        <is>
          <t>Month-2026.M09.W38</t>
        </is>
      </c>
      <c r="H2573" t="inlineStr">
        <is>
          <t>EPOS</t>
        </is>
      </c>
      <c r="I2573" t="n">
        <v>323</v>
      </c>
    </row>
    <row r="2574">
      <c r="A2574" t="inlineStr">
        <is>
          <t>Kylie Makeup</t>
        </is>
      </c>
      <c r="B2574" t="inlineStr">
        <is>
          <t>Lips (01245)</t>
        </is>
      </c>
      <c r="C2574" t="inlineStr">
        <is>
          <t>Kylie Supple Kiss Precision Lip Kit (00007015)</t>
        </is>
      </c>
      <c r="D2574" s="1" t="n">
        <v>4064941176343</v>
      </c>
      <c r="E2574" t="inlineStr">
        <is>
          <t>KJ MU SPP LKIT SET 3ML 1.14G TAUPNUGL IV</t>
        </is>
      </c>
      <c r="F2574" t="inlineStr">
        <is>
          <t>P_US_ALL_OTHERS</t>
        </is>
      </c>
      <c r="G2574" t="inlineStr">
        <is>
          <t>Month-2026.M09.W38</t>
        </is>
      </c>
      <c r="H2574" t="inlineStr">
        <is>
          <t>Reasonability Adjustment</t>
        </is>
      </c>
      <c r="T2574" t="n">
        <v>-261</v>
      </c>
    </row>
    <row r="2575">
      <c r="A2575" t="inlineStr">
        <is>
          <t>Kylie Makeup</t>
        </is>
      </c>
      <c r="B2575" t="inlineStr">
        <is>
          <t>Lips (01245)</t>
        </is>
      </c>
      <c r="C2575" t="inlineStr">
        <is>
          <t>Kylie Supple Kiss Precision Lip Kit (00007015)</t>
        </is>
      </c>
      <c r="D2575" s="1" t="n">
        <v>4064941176343</v>
      </c>
      <c r="E2575" t="inlineStr">
        <is>
          <t>KJ MU SPP LKIT SET 3ML 1.14G TAUPNUGL IV</t>
        </is>
      </c>
      <c r="F2575" t="inlineStr">
        <is>
          <t>P_US_ALL_OTHERS</t>
        </is>
      </c>
      <c r="G2575" t="inlineStr">
        <is>
          <t>Month-2026.M09.W38</t>
        </is>
      </c>
      <c r="H2575" t="inlineStr">
        <is>
          <t>Total Demand Assumption</t>
        </is>
      </c>
      <c r="I2575" t="n">
        <v>0</v>
      </c>
    </row>
    <row r="2576">
      <c r="A2576" t="inlineStr">
        <is>
          <t>Kylie Makeup</t>
        </is>
      </c>
      <c r="B2576" t="inlineStr">
        <is>
          <t>Lips (01245)</t>
        </is>
      </c>
      <c r="C2576" t="inlineStr">
        <is>
          <t>Kylie Supple Kiss Precision Lip Kit (00007015)</t>
        </is>
      </c>
      <c r="D2576" s="1" t="n">
        <v>4064941176343</v>
      </c>
      <c r="E2576" t="inlineStr">
        <is>
          <t>KJ MU SPP LKIT SET 3ML 1.14G TAUPNUGL IV</t>
        </is>
      </c>
      <c r="F2576" t="inlineStr">
        <is>
          <t>P_US_ALL_OTHERS</t>
        </is>
      </c>
      <c r="G2576" t="inlineStr">
        <is>
          <t>Month-2026.M09.W38</t>
        </is>
      </c>
      <c r="H2576" t="inlineStr">
        <is>
          <t>Consensus - Final</t>
        </is>
      </c>
      <c r="I2576" t="n">
        <v>228</v>
      </c>
      <c r="J2576" t="n">
        <v>753</v>
      </c>
      <c r="K2576" t="n">
        <v>362.365175332527</v>
      </c>
      <c r="L2576" t="n">
        <v>443</v>
      </c>
      <c r="M2576" t="n">
        <v>442</v>
      </c>
      <c r="N2576" t="n">
        <v>443</v>
      </c>
      <c r="O2576" t="n">
        <v>443</v>
      </c>
      <c r="P2576" t="n">
        <v>444</v>
      </c>
      <c r="Q2576" t="n">
        <v>443</v>
      </c>
      <c r="R2576" t="n">
        <v>441</v>
      </c>
      <c r="S2576" t="n">
        <v>443</v>
      </c>
      <c r="T2576" t="n">
        <v>181</v>
      </c>
    </row>
    <row r="2577">
      <c r="A2577" t="inlineStr">
        <is>
          <t>Kylie Makeup</t>
        </is>
      </c>
      <c r="B2577" t="inlineStr">
        <is>
          <t>Lips (01245)</t>
        </is>
      </c>
      <c r="C2577" t="inlineStr">
        <is>
          <t>Kylie Supple Kiss Precision Lip Kit (00007015)</t>
        </is>
      </c>
      <c r="D2577" s="1" t="n">
        <v>4064941176343</v>
      </c>
      <c r="E2577" t="inlineStr">
        <is>
          <t>KJ MU SPP LKIT SET 3ML 1.14G TAUPNUGL IV</t>
        </is>
      </c>
      <c r="F2577" t="inlineStr">
        <is>
          <t>P_US_ALL_OTHERS</t>
        </is>
      </c>
      <c r="G2577" t="inlineStr">
        <is>
          <t>Month-2026.M09.W38</t>
        </is>
      </c>
      <c r="H2577" t="inlineStr">
        <is>
          <t>Supply Cuts</t>
        </is>
      </c>
      <c r="I2577" t="n">
        <v>264</v>
      </c>
    </row>
    <row r="2578">
      <c r="A2578" t="inlineStr">
        <is>
          <t>Kylie Makeup</t>
        </is>
      </c>
      <c r="B2578" t="inlineStr">
        <is>
          <t>Lips (01245)</t>
        </is>
      </c>
      <c r="C2578" t="inlineStr">
        <is>
          <t>Kylie Supple Kiss Precision Lip Kit (00007015)</t>
        </is>
      </c>
      <c r="D2578" s="1" t="n">
        <v>4064941176343</v>
      </c>
      <c r="E2578" t="inlineStr">
        <is>
          <t>KJ MU SPP LKIT SET 3ML 1.14G TAUPNUGL IV</t>
        </is>
      </c>
      <c r="F2578" t="inlineStr">
        <is>
          <t>P_US_FG</t>
        </is>
      </c>
      <c r="G2578" t="inlineStr">
        <is>
          <t>CurrentWorkingView</t>
        </is>
      </c>
      <c r="H2578" t="inlineStr">
        <is>
          <t>Consensus - Final LY M</t>
        </is>
      </c>
      <c r="I2578" t="n">
        <v>605</v>
      </c>
      <c r="J2578" t="n">
        <v>78</v>
      </c>
      <c r="K2578" t="n">
        <v>52</v>
      </c>
      <c r="L2578" t="n">
        <v>60</v>
      </c>
      <c r="N2578" t="n">
        <v>110</v>
      </c>
      <c r="O2578" t="n">
        <v>170</v>
      </c>
      <c r="Q2578" t="n">
        <v>345</v>
      </c>
      <c r="T2578" t="n">
        <v>10</v>
      </c>
    </row>
    <row r="2579">
      <c r="A2579" t="inlineStr">
        <is>
          <t>Kylie Makeup</t>
        </is>
      </c>
      <c r="B2579" t="inlineStr">
        <is>
          <t>Lips (01245)</t>
        </is>
      </c>
      <c r="C2579" t="inlineStr">
        <is>
          <t>Kylie Supple Kiss Precision Lip Kit (00007015)</t>
        </is>
      </c>
      <c r="D2579" s="1" t="n">
        <v>4064941176343</v>
      </c>
      <c r="E2579" t="inlineStr">
        <is>
          <t>KJ MU SPP LKIT SET 3ML 1.14G TAUPNUGL IV</t>
        </is>
      </c>
      <c r="F2579" t="inlineStr">
        <is>
          <t>P_US_FG</t>
        </is>
      </c>
      <c r="G2579" t="inlineStr">
        <is>
          <t>CurrentWorkingView</t>
        </is>
      </c>
      <c r="H2579" t="inlineStr">
        <is>
          <t>System FC - Final</t>
        </is>
      </c>
      <c r="K2579" t="n">
        <v>49</v>
      </c>
      <c r="L2579" t="n">
        <v>94</v>
      </c>
      <c r="M2579" t="n">
        <v>90</v>
      </c>
      <c r="N2579" t="n">
        <v>93</v>
      </c>
      <c r="O2579" t="n">
        <v>93</v>
      </c>
      <c r="P2579" t="n">
        <v>92</v>
      </c>
      <c r="Q2579" t="n">
        <v>93</v>
      </c>
      <c r="R2579" t="n">
        <v>90</v>
      </c>
      <c r="S2579" t="n">
        <v>93</v>
      </c>
      <c r="T2579" t="n">
        <v>90</v>
      </c>
    </row>
    <row r="2580">
      <c r="A2580" t="inlineStr">
        <is>
          <t>Kylie Makeup</t>
        </is>
      </c>
      <c r="B2580" t="inlineStr">
        <is>
          <t>Lips (01245)</t>
        </is>
      </c>
      <c r="C2580" t="inlineStr">
        <is>
          <t>Kylie Supple Kiss Precision Lip Kit (00007015)</t>
        </is>
      </c>
      <c r="D2580" s="1" t="n">
        <v>4064941176343</v>
      </c>
      <c r="E2580" t="inlineStr">
        <is>
          <t>KJ MU SPP LKIT SET 3ML 1.14G TAUPNUGL IV</t>
        </is>
      </c>
      <c r="F2580" t="inlineStr">
        <is>
          <t>P_US_FG</t>
        </is>
      </c>
      <c r="G2580" t="inlineStr">
        <is>
          <t>CurrentWorkingView</t>
        </is>
      </c>
      <c r="H2580" t="inlineStr">
        <is>
          <t>EPOS</t>
        </is>
      </c>
    </row>
    <row r="2581">
      <c r="A2581" t="inlineStr">
        <is>
          <t>Kylie Makeup</t>
        </is>
      </c>
      <c r="B2581" t="inlineStr">
        <is>
          <t>Lips (01245)</t>
        </is>
      </c>
      <c r="C2581" t="inlineStr">
        <is>
          <t>Kylie Supple Kiss Precision Lip Kit (00007015)</t>
        </is>
      </c>
      <c r="D2581" s="1" t="n">
        <v>4064941176343</v>
      </c>
      <c r="E2581" t="inlineStr">
        <is>
          <t>KJ MU SPP LKIT SET 3ML 1.14G TAUPNUGL IV</t>
        </is>
      </c>
      <c r="F2581" t="inlineStr">
        <is>
          <t>P_US_FG</t>
        </is>
      </c>
      <c r="G2581" t="inlineStr">
        <is>
          <t>CurrentWorkingView</t>
        </is>
      </c>
      <c r="H2581" t="inlineStr">
        <is>
          <t>Reasonability Adjustment</t>
        </is>
      </c>
    </row>
    <row r="2582">
      <c r="A2582" t="inlineStr">
        <is>
          <t>Kylie Makeup</t>
        </is>
      </c>
      <c r="B2582" t="inlineStr">
        <is>
          <t>Lips (01245)</t>
        </is>
      </c>
      <c r="C2582" t="inlineStr">
        <is>
          <t>Kylie Supple Kiss Precision Lip Kit (00007015)</t>
        </is>
      </c>
      <c r="D2582" s="1" t="n">
        <v>4064941176343</v>
      </c>
      <c r="E2582" t="inlineStr">
        <is>
          <t>KJ MU SPP LKIT SET 3ML 1.14G TAUPNUGL IV</t>
        </is>
      </c>
      <c r="F2582" t="inlineStr">
        <is>
          <t>P_US_FG</t>
        </is>
      </c>
      <c r="G2582" t="inlineStr">
        <is>
          <t>CurrentWorkingView</t>
        </is>
      </c>
      <c r="H2582" t="inlineStr">
        <is>
          <t>Total Demand Assumption</t>
        </is>
      </c>
    </row>
    <row r="2583">
      <c r="A2583" t="inlineStr">
        <is>
          <t>Kylie Makeup</t>
        </is>
      </c>
      <c r="B2583" t="inlineStr">
        <is>
          <t>Lips (01245)</t>
        </is>
      </c>
      <c r="C2583" t="inlineStr">
        <is>
          <t>Kylie Supple Kiss Precision Lip Kit (00007015)</t>
        </is>
      </c>
      <c r="D2583" s="1" t="n">
        <v>4064941176343</v>
      </c>
      <c r="E2583" t="inlineStr">
        <is>
          <t>KJ MU SPP LKIT SET 3ML 1.14G TAUPNUGL IV</t>
        </is>
      </c>
      <c r="F2583" t="inlineStr">
        <is>
          <t>P_US_FG</t>
        </is>
      </c>
      <c r="G2583" t="inlineStr">
        <is>
          <t>CurrentWorkingView</t>
        </is>
      </c>
      <c r="H2583" t="inlineStr">
        <is>
          <t>Consensus - Final</t>
        </is>
      </c>
      <c r="K2583" t="n">
        <v>0</v>
      </c>
    </row>
    <row r="2584">
      <c r="A2584" t="inlineStr">
        <is>
          <t>Kylie Makeup</t>
        </is>
      </c>
      <c r="B2584" t="inlineStr">
        <is>
          <t>Lips (01245)</t>
        </is>
      </c>
      <c r="C2584" t="inlineStr">
        <is>
          <t>Kylie Supple Kiss Precision Lip Kit (00007015)</t>
        </is>
      </c>
      <c r="D2584" s="1" t="n">
        <v>4064941176343</v>
      </c>
      <c r="E2584" t="inlineStr">
        <is>
          <t>KJ MU SPP LKIT SET 3ML 1.14G TAUPNUGL IV</t>
        </is>
      </c>
      <c r="F2584" t="inlineStr">
        <is>
          <t>P_US_FG</t>
        </is>
      </c>
      <c r="G2584" t="inlineStr">
        <is>
          <t>CurrentWorkingView</t>
        </is>
      </c>
      <c r="H2584" t="inlineStr">
        <is>
          <t>Supply Cuts</t>
        </is>
      </c>
    </row>
    <row r="2585">
      <c r="A2585" t="inlineStr">
        <is>
          <t>Kylie Makeup</t>
        </is>
      </c>
      <c r="B2585" t="inlineStr">
        <is>
          <t>Lips (01245)</t>
        </is>
      </c>
      <c r="C2585" t="inlineStr">
        <is>
          <t>Kylie Supple Kiss Precision Lip Kit (00007015)</t>
        </is>
      </c>
      <c r="D2585" s="1" t="n">
        <v>4064941176343</v>
      </c>
      <c r="E2585" t="inlineStr">
        <is>
          <t>KJ MU SPP LKIT SET 3ML 1.14G TAUPNUGL IV</t>
        </is>
      </c>
      <c r="F2585" t="inlineStr">
        <is>
          <t>P_US_FG</t>
        </is>
      </c>
      <c r="G2585" t="inlineStr">
        <is>
          <t>Month-2026.M09.W38</t>
        </is>
      </c>
      <c r="H2585" t="inlineStr">
        <is>
          <t>Consensus - Final LY M</t>
        </is>
      </c>
      <c r="I2585" t="n">
        <v>605</v>
      </c>
      <c r="J2585" t="n">
        <v>78</v>
      </c>
      <c r="K2585" t="n">
        <v>52</v>
      </c>
      <c r="L2585" t="n">
        <v>60</v>
      </c>
      <c r="N2585" t="n">
        <v>110</v>
      </c>
      <c r="O2585" t="n">
        <v>170</v>
      </c>
      <c r="Q2585" t="n">
        <v>345</v>
      </c>
      <c r="T2585" t="n">
        <v>10</v>
      </c>
    </row>
    <row r="2586">
      <c r="A2586" t="inlineStr">
        <is>
          <t>Kylie Makeup</t>
        </is>
      </c>
      <c r="B2586" t="inlineStr">
        <is>
          <t>Lips (01245)</t>
        </is>
      </c>
      <c r="C2586" t="inlineStr">
        <is>
          <t>Kylie Supple Kiss Precision Lip Kit (00007015)</t>
        </is>
      </c>
      <c r="D2586" s="1" t="n">
        <v>4064941176343</v>
      </c>
      <c r="E2586" t="inlineStr">
        <is>
          <t>KJ MU SPP LKIT SET 3ML 1.14G TAUPNUGL IV</t>
        </is>
      </c>
      <c r="F2586" t="inlineStr">
        <is>
          <t>P_US_FG</t>
        </is>
      </c>
      <c r="G2586" t="inlineStr">
        <is>
          <t>Month-2026.M09.W38</t>
        </is>
      </c>
      <c r="H2586" t="inlineStr">
        <is>
          <t>System FC - Final</t>
        </is>
      </c>
      <c r="K2586" t="n">
        <v>72</v>
      </c>
      <c r="L2586" t="n">
        <v>99</v>
      </c>
      <c r="M2586" t="n">
        <v>98</v>
      </c>
      <c r="N2586" t="n">
        <v>98</v>
      </c>
      <c r="O2586" t="n">
        <v>98</v>
      </c>
      <c r="P2586" t="n">
        <v>100</v>
      </c>
      <c r="Q2586" t="n">
        <v>98</v>
      </c>
      <c r="R2586" t="n">
        <v>98</v>
      </c>
      <c r="S2586" t="n">
        <v>97</v>
      </c>
      <c r="T2586" t="n">
        <v>68</v>
      </c>
    </row>
    <row r="2587">
      <c r="A2587" t="inlineStr">
        <is>
          <t>Kylie Makeup</t>
        </is>
      </c>
      <c r="B2587" t="inlineStr">
        <is>
          <t>Lips (01245)</t>
        </is>
      </c>
      <c r="C2587" t="inlineStr">
        <is>
          <t>Kylie Supple Kiss Precision Lip Kit (00007015)</t>
        </is>
      </c>
      <c r="D2587" s="1" t="n">
        <v>4064941176343</v>
      </c>
      <c r="E2587" t="inlineStr">
        <is>
          <t>KJ MU SPP LKIT SET 3ML 1.14G TAUPNUGL IV</t>
        </is>
      </c>
      <c r="F2587" t="inlineStr">
        <is>
          <t>P_US_FG</t>
        </is>
      </c>
      <c r="G2587" t="inlineStr">
        <is>
          <t>Month-2026.M09.W38</t>
        </is>
      </c>
      <c r="H2587" t="inlineStr">
        <is>
          <t>EPOS</t>
        </is>
      </c>
    </row>
    <row r="2588">
      <c r="A2588" t="inlineStr">
        <is>
          <t>Kylie Makeup</t>
        </is>
      </c>
      <c r="B2588" t="inlineStr">
        <is>
          <t>Lips (01245)</t>
        </is>
      </c>
      <c r="C2588" t="inlineStr">
        <is>
          <t>Kylie Supple Kiss Precision Lip Kit (00007015)</t>
        </is>
      </c>
      <c r="D2588" s="1" t="n">
        <v>4064941176343</v>
      </c>
      <c r="E2588" t="inlineStr">
        <is>
          <t>KJ MU SPP LKIT SET 3ML 1.14G TAUPNUGL IV</t>
        </is>
      </c>
      <c r="F2588" t="inlineStr">
        <is>
          <t>P_US_FG</t>
        </is>
      </c>
      <c r="G2588" t="inlineStr">
        <is>
          <t>Month-2026.M09.W38</t>
        </is>
      </c>
      <c r="H2588" t="inlineStr">
        <is>
          <t>Reasonability Adjustment</t>
        </is>
      </c>
    </row>
    <row r="2589">
      <c r="A2589" t="inlineStr">
        <is>
          <t>Kylie Makeup</t>
        </is>
      </c>
      <c r="B2589" t="inlineStr">
        <is>
          <t>Lips (01245)</t>
        </is>
      </c>
      <c r="C2589" t="inlineStr">
        <is>
          <t>Kylie Supple Kiss Precision Lip Kit (00007015)</t>
        </is>
      </c>
      <c r="D2589" s="1" t="n">
        <v>4064941176343</v>
      </c>
      <c r="E2589" t="inlineStr">
        <is>
          <t>KJ MU SPP LKIT SET 3ML 1.14G TAUPNUGL IV</t>
        </is>
      </c>
      <c r="F2589" t="inlineStr">
        <is>
          <t>P_US_FG</t>
        </is>
      </c>
      <c r="G2589" t="inlineStr">
        <is>
          <t>Month-2026.M09.W38</t>
        </is>
      </c>
      <c r="H2589" t="inlineStr">
        <is>
          <t>Total Demand Assumption</t>
        </is>
      </c>
    </row>
    <row r="2590">
      <c r="A2590" t="inlineStr">
        <is>
          <t>Kylie Makeup</t>
        </is>
      </c>
      <c r="B2590" t="inlineStr">
        <is>
          <t>Lips (01245)</t>
        </is>
      </c>
      <c r="C2590" t="inlineStr">
        <is>
          <t>Kylie Supple Kiss Precision Lip Kit (00007015)</t>
        </is>
      </c>
      <c r="D2590" s="1" t="n">
        <v>4064941176343</v>
      </c>
      <c r="E2590" t="inlineStr">
        <is>
          <t>KJ MU SPP LKIT SET 3ML 1.14G TAUPNUGL IV</t>
        </is>
      </c>
      <c r="F2590" t="inlineStr">
        <is>
          <t>P_US_FG</t>
        </is>
      </c>
      <c r="G2590" t="inlineStr">
        <is>
          <t>Month-2026.M09.W38</t>
        </is>
      </c>
      <c r="H2590" t="inlineStr">
        <is>
          <t>Consensus - Final</t>
        </is>
      </c>
      <c r="K2590" t="n">
        <v>0</v>
      </c>
    </row>
    <row r="2591">
      <c r="A2591" t="inlineStr">
        <is>
          <t>Kylie Makeup</t>
        </is>
      </c>
      <c r="B2591" t="inlineStr">
        <is>
          <t>Lips (01245)</t>
        </is>
      </c>
      <c r="C2591" t="inlineStr">
        <is>
          <t>Kylie Supple Kiss Precision Lip Kit (00007015)</t>
        </is>
      </c>
      <c r="D2591" s="1" t="n">
        <v>4064941176343</v>
      </c>
      <c r="E2591" t="inlineStr">
        <is>
          <t>KJ MU SPP LKIT SET 3ML 1.14G TAUPNUGL IV</t>
        </is>
      </c>
      <c r="F2591" t="inlineStr">
        <is>
          <t>P_US_FG</t>
        </is>
      </c>
      <c r="G2591" t="inlineStr">
        <is>
          <t>Month-2026.M09.W38</t>
        </is>
      </c>
      <c r="H2591" t="inlineStr">
        <is>
          <t>Supply Cuts</t>
        </is>
      </c>
    </row>
    <row r="2592">
      <c r="A2592" t="inlineStr">
        <is>
          <t>Kylie Makeup</t>
        </is>
      </c>
      <c r="B2592" t="inlineStr">
        <is>
          <t>Lips (01245)</t>
        </is>
      </c>
      <c r="C2592" t="inlineStr">
        <is>
          <t>Kylie Supple Kiss Precision Lip Kit (00007015)</t>
        </is>
      </c>
      <c r="D2592" s="1" t="n">
        <v>4064941176343</v>
      </c>
      <c r="E2592" t="inlineStr">
        <is>
          <t>KJ MU SPP LKIT SET 3ML 1.14G TAUPNUGL IV</t>
        </is>
      </c>
      <c r="F2592" t="inlineStr">
        <is>
          <t>P_US_ULTA</t>
        </is>
      </c>
      <c r="G2592" t="inlineStr">
        <is>
          <t>CurrentWorkingView</t>
        </is>
      </c>
      <c r="H2592" t="inlineStr">
        <is>
          <t>Consensus - Final LY M</t>
        </is>
      </c>
      <c r="I2592" t="n">
        <v>5232</v>
      </c>
      <c r="J2592" t="n">
        <v>2736</v>
      </c>
      <c r="K2592" t="n">
        <v>4272</v>
      </c>
      <c r="L2592" t="n">
        <v>1732</v>
      </c>
      <c r="M2592" t="n">
        <v>3956</v>
      </c>
      <c r="N2592" t="n">
        <v>3179</v>
      </c>
      <c r="O2592" t="n">
        <v>10320</v>
      </c>
      <c r="P2592" t="n">
        <v>5712</v>
      </c>
      <c r="Q2592" t="n">
        <v>6624</v>
      </c>
      <c r="R2592" t="n">
        <v>7056</v>
      </c>
      <c r="S2592" t="n">
        <v>4704</v>
      </c>
      <c r="T2592" t="n">
        <v>2042</v>
      </c>
    </row>
    <row r="2593">
      <c r="A2593" t="inlineStr">
        <is>
          <t>Kylie Makeup</t>
        </is>
      </c>
      <c r="B2593" t="inlineStr">
        <is>
          <t>Lips (01245)</t>
        </is>
      </c>
      <c r="C2593" t="inlineStr">
        <is>
          <t>Kylie Supple Kiss Precision Lip Kit (00007015)</t>
        </is>
      </c>
      <c r="D2593" s="1" t="n">
        <v>4064941176343</v>
      </c>
      <c r="E2593" t="inlineStr">
        <is>
          <t>KJ MU SPP LKIT SET 3ML 1.14G TAUPNUGL IV</t>
        </is>
      </c>
      <c r="F2593" t="inlineStr">
        <is>
          <t>P_US_ULTA</t>
        </is>
      </c>
      <c r="G2593" t="inlineStr">
        <is>
          <t>CurrentWorkingView</t>
        </is>
      </c>
      <c r="H2593" t="inlineStr">
        <is>
          <t>System FC - Final</t>
        </is>
      </c>
      <c r="I2593" t="n">
        <v>7056</v>
      </c>
      <c r="J2593" t="n">
        <v>2208</v>
      </c>
      <c r="K2593" t="n">
        <v>4160</v>
      </c>
      <c r="L2593" t="n">
        <v>4487</v>
      </c>
      <c r="M2593" t="n">
        <v>4488</v>
      </c>
      <c r="N2593" t="n">
        <v>4487</v>
      </c>
      <c r="O2593" t="n">
        <v>4486</v>
      </c>
      <c r="P2593" t="n">
        <v>4488</v>
      </c>
      <c r="Q2593" t="n">
        <v>4486</v>
      </c>
      <c r="R2593" t="n">
        <v>4487</v>
      </c>
      <c r="S2593" t="n">
        <v>4487</v>
      </c>
      <c r="T2593" t="n">
        <v>4487</v>
      </c>
    </row>
    <row r="2594">
      <c r="A2594" t="inlineStr">
        <is>
          <t>Kylie Makeup</t>
        </is>
      </c>
      <c r="B2594" t="inlineStr">
        <is>
          <t>Lips (01245)</t>
        </is>
      </c>
      <c r="C2594" t="inlineStr">
        <is>
          <t>Kylie Supple Kiss Precision Lip Kit (00007015)</t>
        </is>
      </c>
      <c r="D2594" s="1" t="n">
        <v>4064941176343</v>
      </c>
      <c r="E2594" t="inlineStr">
        <is>
          <t>KJ MU SPP LKIT SET 3ML 1.14G TAUPNUGL IV</t>
        </is>
      </c>
      <c r="F2594" t="inlineStr">
        <is>
          <t>P_US_ULTA</t>
        </is>
      </c>
      <c r="G2594" t="inlineStr">
        <is>
          <t>CurrentWorkingView</t>
        </is>
      </c>
      <c r="H2594" t="inlineStr">
        <is>
          <t>EPOS</t>
        </is>
      </c>
      <c r="I2594" t="n">
        <v>2410</v>
      </c>
    </row>
    <row r="2595">
      <c r="A2595" t="inlineStr">
        <is>
          <t>Kylie Makeup</t>
        </is>
      </c>
      <c r="B2595" t="inlineStr">
        <is>
          <t>Lips (01245)</t>
        </is>
      </c>
      <c r="C2595" t="inlineStr">
        <is>
          <t>Kylie Supple Kiss Precision Lip Kit (00007015)</t>
        </is>
      </c>
      <c r="D2595" s="1" t="n">
        <v>4064941176343</v>
      </c>
      <c r="E2595" t="inlineStr">
        <is>
          <t>KJ MU SPP LKIT SET 3ML 1.14G TAUPNUGL IV</t>
        </is>
      </c>
      <c r="F2595" t="inlineStr">
        <is>
          <t>P_US_ULTA</t>
        </is>
      </c>
      <c r="G2595" t="inlineStr">
        <is>
          <t>CurrentWorkingView</t>
        </is>
      </c>
      <c r="H2595" t="inlineStr">
        <is>
          <t>Reasonability Adjustment</t>
        </is>
      </c>
      <c r="J2595" t="n">
        <v>1510</v>
      </c>
      <c r="T2595" t="n">
        <v>-2952</v>
      </c>
    </row>
    <row r="2596">
      <c r="A2596" t="inlineStr">
        <is>
          <t>Kylie Makeup</t>
        </is>
      </c>
      <c r="B2596" t="inlineStr">
        <is>
          <t>Lips (01245)</t>
        </is>
      </c>
      <c r="C2596" t="inlineStr">
        <is>
          <t>Kylie Supple Kiss Precision Lip Kit (00007015)</t>
        </is>
      </c>
      <c r="D2596" s="1" t="n">
        <v>4064941176343</v>
      </c>
      <c r="E2596" t="inlineStr">
        <is>
          <t>KJ MU SPP LKIT SET 3ML 1.14G TAUPNUGL IV</t>
        </is>
      </c>
      <c r="F2596" t="inlineStr">
        <is>
          <t>P_US_ULTA</t>
        </is>
      </c>
      <c r="G2596" t="inlineStr">
        <is>
          <t>CurrentWorkingView</t>
        </is>
      </c>
      <c r="H2596" t="inlineStr">
        <is>
          <t>Total Demand Assumption</t>
        </is>
      </c>
    </row>
    <row r="2597">
      <c r="A2597" t="inlineStr">
        <is>
          <t>Kylie Makeup</t>
        </is>
      </c>
      <c r="B2597" t="inlineStr">
        <is>
          <t>Lips (01245)</t>
        </is>
      </c>
      <c r="C2597" t="inlineStr">
        <is>
          <t>Kylie Supple Kiss Precision Lip Kit (00007015)</t>
        </is>
      </c>
      <c r="D2597" s="1" t="n">
        <v>4064941176343</v>
      </c>
      <c r="E2597" t="inlineStr">
        <is>
          <t>KJ MU SPP LKIT SET 3ML 1.14G TAUPNUGL IV</t>
        </is>
      </c>
      <c r="F2597" t="inlineStr">
        <is>
          <t>P_US_ULTA</t>
        </is>
      </c>
      <c r="G2597" t="inlineStr">
        <is>
          <t>CurrentWorkingView</t>
        </is>
      </c>
      <c r="H2597" t="inlineStr">
        <is>
          <t>Consensus - Final</t>
        </is>
      </c>
      <c r="I2597" t="n">
        <v>7056</v>
      </c>
      <c r="J2597" t="n">
        <v>2208</v>
      </c>
      <c r="K2597" t="n">
        <v>4188.63482466747</v>
      </c>
      <c r="L2597" t="n">
        <v>4487</v>
      </c>
      <c r="M2597" t="n">
        <v>4488</v>
      </c>
      <c r="N2597" t="n">
        <v>4487</v>
      </c>
      <c r="O2597" t="n">
        <v>4486</v>
      </c>
      <c r="P2597" t="n">
        <v>4488</v>
      </c>
      <c r="Q2597" t="n">
        <v>4486</v>
      </c>
      <c r="R2597" t="n">
        <v>4487</v>
      </c>
      <c r="S2597" t="n">
        <v>4487</v>
      </c>
      <c r="T2597" t="n">
        <v>1535</v>
      </c>
    </row>
    <row r="2598">
      <c r="A2598" t="inlineStr">
        <is>
          <t>Kylie Makeup</t>
        </is>
      </c>
      <c r="B2598" t="inlineStr">
        <is>
          <t>Lips (01245)</t>
        </is>
      </c>
      <c r="C2598" t="inlineStr">
        <is>
          <t>Kylie Supple Kiss Precision Lip Kit (00007015)</t>
        </is>
      </c>
      <c r="D2598" s="1" t="n">
        <v>4064941176343</v>
      </c>
      <c r="E2598" t="inlineStr">
        <is>
          <t>KJ MU SPP LKIT SET 3ML 1.14G TAUPNUGL IV</t>
        </is>
      </c>
      <c r="F2598" t="inlineStr">
        <is>
          <t>P_US_ULTA</t>
        </is>
      </c>
      <c r="G2598" t="inlineStr">
        <is>
          <t>CurrentWorkingView</t>
        </is>
      </c>
      <c r="H2598" t="inlineStr">
        <is>
          <t>Supply Cuts</t>
        </is>
      </c>
      <c r="I2598" t="n">
        <v>9072</v>
      </c>
    </row>
    <row r="2599">
      <c r="A2599" t="inlineStr">
        <is>
          <t>Kylie Makeup</t>
        </is>
      </c>
      <c r="B2599" t="inlineStr">
        <is>
          <t>Lips (01245)</t>
        </is>
      </c>
      <c r="C2599" t="inlineStr">
        <is>
          <t>Kylie Supple Kiss Precision Lip Kit (00007015)</t>
        </is>
      </c>
      <c r="D2599" s="1" t="n">
        <v>4064941176343</v>
      </c>
      <c r="E2599" t="inlineStr">
        <is>
          <t>KJ MU SPP LKIT SET 3ML 1.14G TAUPNUGL IV</t>
        </is>
      </c>
      <c r="F2599" t="inlineStr">
        <is>
          <t>P_US_ULTA</t>
        </is>
      </c>
      <c r="G2599" t="inlineStr">
        <is>
          <t>Month-2026.M09.W38</t>
        </is>
      </c>
      <c r="H2599" t="inlineStr">
        <is>
          <t>Consensus - Final LY M</t>
        </is>
      </c>
      <c r="I2599" t="n">
        <v>5232</v>
      </c>
      <c r="J2599" t="n">
        <v>2736</v>
      </c>
      <c r="K2599" t="n">
        <v>4272</v>
      </c>
      <c r="L2599" t="n">
        <v>1732</v>
      </c>
      <c r="M2599" t="n">
        <v>3956</v>
      </c>
      <c r="N2599" t="n">
        <v>3179</v>
      </c>
      <c r="O2599" t="n">
        <v>10320</v>
      </c>
      <c r="P2599" t="n">
        <v>5712</v>
      </c>
      <c r="Q2599" t="n">
        <v>6624</v>
      </c>
      <c r="R2599" t="n">
        <v>7056</v>
      </c>
      <c r="S2599" t="n">
        <v>4704</v>
      </c>
      <c r="T2599" t="n">
        <v>2042</v>
      </c>
    </row>
    <row r="2600">
      <c r="A2600" t="inlineStr">
        <is>
          <t>Kylie Makeup</t>
        </is>
      </c>
      <c r="B2600" t="inlineStr">
        <is>
          <t>Lips (01245)</t>
        </is>
      </c>
      <c r="C2600" t="inlineStr">
        <is>
          <t>Kylie Supple Kiss Precision Lip Kit (00007015)</t>
        </is>
      </c>
      <c r="D2600" s="1" t="n">
        <v>4064941176343</v>
      </c>
      <c r="E2600" t="inlineStr">
        <is>
          <t>KJ MU SPP LKIT SET 3ML 1.14G TAUPNUGL IV</t>
        </is>
      </c>
      <c r="F2600" t="inlineStr">
        <is>
          <t>P_US_ULTA</t>
        </is>
      </c>
      <c r="G2600" t="inlineStr">
        <is>
          <t>Month-2026.M09.W38</t>
        </is>
      </c>
      <c r="H2600" t="inlineStr">
        <is>
          <t>System FC - Final</t>
        </is>
      </c>
      <c r="I2600" t="n">
        <v>7056</v>
      </c>
      <c r="J2600" t="n">
        <v>2208</v>
      </c>
      <c r="K2600" t="n">
        <v>4653</v>
      </c>
      <c r="L2600" t="n">
        <v>4995</v>
      </c>
      <c r="M2600" t="n">
        <v>4992</v>
      </c>
      <c r="N2600" t="n">
        <v>4995</v>
      </c>
      <c r="O2600" t="n">
        <v>4995</v>
      </c>
      <c r="P2600" t="n">
        <v>4996</v>
      </c>
      <c r="Q2600" t="n">
        <v>4995</v>
      </c>
      <c r="R2600" t="n">
        <v>4993</v>
      </c>
      <c r="S2600" t="n">
        <v>4995</v>
      </c>
      <c r="T2600" t="n">
        <v>4993</v>
      </c>
    </row>
    <row r="2601">
      <c r="A2601" t="inlineStr">
        <is>
          <t>Kylie Makeup</t>
        </is>
      </c>
      <c r="B2601" t="inlineStr">
        <is>
          <t>Lips (01245)</t>
        </is>
      </c>
      <c r="C2601" t="inlineStr">
        <is>
          <t>Kylie Supple Kiss Precision Lip Kit (00007015)</t>
        </is>
      </c>
      <c r="D2601" s="1" t="n">
        <v>4064941176343</v>
      </c>
      <c r="E2601" t="inlineStr">
        <is>
          <t>KJ MU SPP LKIT SET 3ML 1.14G TAUPNUGL IV</t>
        </is>
      </c>
      <c r="F2601" t="inlineStr">
        <is>
          <t>P_US_ULTA</t>
        </is>
      </c>
      <c r="G2601" t="inlineStr">
        <is>
          <t>Month-2026.M09.W38</t>
        </is>
      </c>
      <c r="H2601" t="inlineStr">
        <is>
          <t>EPOS</t>
        </is>
      </c>
      <c r="I2601" t="n">
        <v>2410</v>
      </c>
    </row>
    <row r="2602">
      <c r="A2602" t="inlineStr">
        <is>
          <t>Kylie Makeup</t>
        </is>
      </c>
      <c r="B2602" t="inlineStr">
        <is>
          <t>Lips (01245)</t>
        </is>
      </c>
      <c r="C2602" t="inlineStr">
        <is>
          <t>Kylie Supple Kiss Precision Lip Kit (00007015)</t>
        </is>
      </c>
      <c r="D2602" s="1" t="n">
        <v>4064941176343</v>
      </c>
      <c r="E2602" t="inlineStr">
        <is>
          <t>KJ MU SPP LKIT SET 3ML 1.14G TAUPNUGL IV</t>
        </is>
      </c>
      <c r="F2602" t="inlineStr">
        <is>
          <t>P_US_ULTA</t>
        </is>
      </c>
      <c r="G2602" t="inlineStr">
        <is>
          <t>Month-2026.M09.W38</t>
        </is>
      </c>
      <c r="H2602" t="inlineStr">
        <is>
          <t>Reasonability Adjustment</t>
        </is>
      </c>
      <c r="J2602" t="n">
        <v>1510</v>
      </c>
      <c r="T2602" t="n">
        <v>-2952</v>
      </c>
    </row>
    <row r="2603">
      <c r="A2603" t="inlineStr">
        <is>
          <t>Kylie Makeup</t>
        </is>
      </c>
      <c r="B2603" t="inlineStr">
        <is>
          <t>Lips (01245)</t>
        </is>
      </c>
      <c r="C2603" t="inlineStr">
        <is>
          <t>Kylie Supple Kiss Precision Lip Kit (00007015)</t>
        </is>
      </c>
      <c r="D2603" s="1" t="n">
        <v>4064941176343</v>
      </c>
      <c r="E2603" t="inlineStr">
        <is>
          <t>KJ MU SPP LKIT SET 3ML 1.14G TAUPNUGL IV</t>
        </is>
      </c>
      <c r="F2603" t="inlineStr">
        <is>
          <t>P_US_ULTA</t>
        </is>
      </c>
      <c r="G2603" t="inlineStr">
        <is>
          <t>Month-2026.M09.W38</t>
        </is>
      </c>
      <c r="H2603" t="inlineStr">
        <is>
          <t>Total Demand Assumption</t>
        </is>
      </c>
    </row>
    <row r="2604">
      <c r="A2604" t="inlineStr">
        <is>
          <t>Kylie Makeup</t>
        </is>
      </c>
      <c r="B2604" t="inlineStr">
        <is>
          <t>Lips (01245)</t>
        </is>
      </c>
      <c r="C2604" t="inlineStr">
        <is>
          <t>Kylie Supple Kiss Precision Lip Kit (00007015)</t>
        </is>
      </c>
      <c r="D2604" s="1" t="n">
        <v>4064941176343</v>
      </c>
      <c r="E2604" t="inlineStr">
        <is>
          <t>KJ MU SPP LKIT SET 3ML 1.14G TAUPNUGL IV</t>
        </is>
      </c>
      <c r="F2604" t="inlineStr">
        <is>
          <t>P_US_ULTA</t>
        </is>
      </c>
      <c r="G2604" t="inlineStr">
        <is>
          <t>Month-2026.M09.W38</t>
        </is>
      </c>
      <c r="H2604" t="inlineStr">
        <is>
          <t>Consensus - Final</t>
        </is>
      </c>
      <c r="I2604" t="n">
        <v>7056</v>
      </c>
      <c r="J2604" t="n">
        <v>2208</v>
      </c>
      <c r="K2604" t="n">
        <v>4188.63482466747</v>
      </c>
      <c r="L2604" t="n">
        <v>4995</v>
      </c>
      <c r="M2604" t="n">
        <v>4992</v>
      </c>
      <c r="N2604" t="n">
        <v>4995</v>
      </c>
      <c r="O2604" t="n">
        <v>4995</v>
      </c>
      <c r="P2604" t="n">
        <v>4996</v>
      </c>
      <c r="Q2604" t="n">
        <v>4995</v>
      </c>
      <c r="R2604" t="n">
        <v>4993</v>
      </c>
      <c r="S2604" t="n">
        <v>4995</v>
      </c>
      <c r="T2604" t="n">
        <v>2041</v>
      </c>
    </row>
    <row r="2605">
      <c r="A2605" t="inlineStr">
        <is>
          <t>Kylie Makeup</t>
        </is>
      </c>
      <c r="B2605" t="inlineStr">
        <is>
          <t>Lips (01245)</t>
        </is>
      </c>
      <c r="C2605" t="inlineStr">
        <is>
          <t>Kylie Supple Kiss Precision Lip Kit (00007015)</t>
        </is>
      </c>
      <c r="D2605" s="1" t="n">
        <v>4064941176343</v>
      </c>
      <c r="E2605" t="inlineStr">
        <is>
          <t>KJ MU SPP LKIT SET 3ML 1.14G TAUPNUGL IV</t>
        </is>
      </c>
      <c r="F2605" t="inlineStr">
        <is>
          <t>P_US_ULTA</t>
        </is>
      </c>
      <c r="G2605" t="inlineStr">
        <is>
          <t>Month-2026.M09.W38</t>
        </is>
      </c>
      <c r="H2605" t="inlineStr">
        <is>
          <t>Supply Cuts</t>
        </is>
      </c>
      <c r="I2605" t="n">
        <v>9072</v>
      </c>
    </row>
    <row r="2606">
      <c r="A2606" t="inlineStr">
        <is>
          <t>Kylie Makeup</t>
        </is>
      </c>
      <c r="B2606" t="inlineStr">
        <is>
          <t>Lips (01245)</t>
        </is>
      </c>
      <c r="C2606" t="inlineStr">
        <is>
          <t>Kylie Supple Kiss Precision Lip Kit (00007015)</t>
        </is>
      </c>
      <c r="D2606" s="1" t="n">
        <v>4064941176350</v>
      </c>
      <c r="E2606" t="inlineStr">
        <is>
          <t>KJ MU SPP LKIT SET 3ML 1.14G KYL2.0GL IV</t>
        </is>
      </c>
      <c r="F2606" t="inlineStr">
        <is>
          <t>P_US_ALL_OTHERS</t>
        </is>
      </c>
      <c r="G2606" t="inlineStr">
        <is>
          <t>CurrentWorkingView</t>
        </is>
      </c>
      <c r="H2606" t="inlineStr">
        <is>
          <t>Consensus - Final LY M</t>
        </is>
      </c>
      <c r="I2606" t="n">
        <v>2465</v>
      </c>
      <c r="K2606" t="n">
        <v>525</v>
      </c>
      <c r="N2606" t="n">
        <v>394</v>
      </c>
      <c r="O2606" t="n">
        <v>874</v>
      </c>
      <c r="P2606" t="n">
        <v>1022</v>
      </c>
      <c r="Q2606" t="n">
        <v>48</v>
      </c>
      <c r="R2606" t="n">
        <v>943</v>
      </c>
      <c r="S2606" t="n">
        <v>817</v>
      </c>
      <c r="T2606" t="n">
        <v>233</v>
      </c>
    </row>
    <row r="2607">
      <c r="A2607" t="inlineStr">
        <is>
          <t>Kylie Makeup</t>
        </is>
      </c>
      <c r="B2607" t="inlineStr">
        <is>
          <t>Lips (01245)</t>
        </is>
      </c>
      <c r="C2607" t="inlineStr">
        <is>
          <t>Kylie Supple Kiss Precision Lip Kit (00007015)</t>
        </is>
      </c>
      <c r="D2607" s="1" t="n">
        <v>4064941176350</v>
      </c>
      <c r="E2607" t="inlineStr">
        <is>
          <t>KJ MU SPP LKIT SET 3ML 1.14G KYL2.0GL IV</t>
        </is>
      </c>
      <c r="F2607" t="inlineStr">
        <is>
          <t>P_US_ALL_OTHERS</t>
        </is>
      </c>
      <c r="G2607" t="inlineStr">
        <is>
          <t>CurrentWorkingView</t>
        </is>
      </c>
      <c r="H2607" t="inlineStr">
        <is>
          <t>System FC - Final</t>
        </is>
      </c>
      <c r="I2607" t="n">
        <v>532</v>
      </c>
      <c r="J2607" t="n">
        <v>671</v>
      </c>
      <c r="K2607" t="n">
        <v>325</v>
      </c>
      <c r="L2607" t="n">
        <v>514</v>
      </c>
      <c r="M2607" t="n">
        <v>514</v>
      </c>
      <c r="N2607" t="n">
        <v>514</v>
      </c>
      <c r="O2607" t="n">
        <v>514</v>
      </c>
      <c r="P2607" t="n">
        <v>516</v>
      </c>
      <c r="Q2607" t="n">
        <v>514</v>
      </c>
      <c r="R2607" t="n">
        <v>515</v>
      </c>
      <c r="S2607" t="n">
        <v>514</v>
      </c>
      <c r="T2607" t="n">
        <v>514</v>
      </c>
    </row>
    <row r="2608">
      <c r="A2608" t="inlineStr">
        <is>
          <t>Kylie Makeup</t>
        </is>
      </c>
      <c r="B2608" t="inlineStr">
        <is>
          <t>Lips (01245)</t>
        </is>
      </c>
      <c r="C2608" t="inlineStr">
        <is>
          <t>Kylie Supple Kiss Precision Lip Kit (00007015)</t>
        </is>
      </c>
      <c r="D2608" s="1" t="n">
        <v>4064941176350</v>
      </c>
      <c r="E2608" t="inlineStr">
        <is>
          <t>KJ MU SPP LKIT SET 3ML 1.14G KYL2.0GL IV</t>
        </is>
      </c>
      <c r="F2608" t="inlineStr">
        <is>
          <t>P_US_ALL_OTHERS</t>
        </is>
      </c>
      <c r="G2608" t="inlineStr">
        <is>
          <t>CurrentWorkingView</t>
        </is>
      </c>
      <c r="H2608" t="inlineStr">
        <is>
          <t>EPOS</t>
        </is>
      </c>
      <c r="I2608" t="n">
        <v>354</v>
      </c>
    </row>
    <row r="2609">
      <c r="A2609" t="inlineStr">
        <is>
          <t>Kylie Makeup</t>
        </is>
      </c>
      <c r="B2609" t="inlineStr">
        <is>
          <t>Lips (01245)</t>
        </is>
      </c>
      <c r="C2609" t="inlineStr">
        <is>
          <t>Kylie Supple Kiss Precision Lip Kit (00007015)</t>
        </is>
      </c>
      <c r="D2609" s="1" t="n">
        <v>4064941176350</v>
      </c>
      <c r="E2609" t="inlineStr">
        <is>
          <t>KJ MU SPP LKIT SET 3ML 1.14G KYL2.0GL IV</t>
        </is>
      </c>
      <c r="F2609" t="inlineStr">
        <is>
          <t>P_US_ALL_OTHERS</t>
        </is>
      </c>
      <c r="G2609" t="inlineStr">
        <is>
          <t>CurrentWorkingView</t>
        </is>
      </c>
      <c r="H2609" t="inlineStr">
        <is>
          <t>Reasonability Adjustment</t>
        </is>
      </c>
      <c r="S2609" t="n">
        <v>-10</v>
      </c>
      <c r="T2609" t="n">
        <v>-85</v>
      </c>
    </row>
    <row r="2610">
      <c r="A2610" t="inlineStr">
        <is>
          <t>Kylie Makeup</t>
        </is>
      </c>
      <c r="B2610" t="inlineStr">
        <is>
          <t>Lips (01245)</t>
        </is>
      </c>
      <c r="C2610" t="inlineStr">
        <is>
          <t>Kylie Supple Kiss Precision Lip Kit (00007015)</t>
        </is>
      </c>
      <c r="D2610" s="1" t="n">
        <v>4064941176350</v>
      </c>
      <c r="E2610" t="inlineStr">
        <is>
          <t>KJ MU SPP LKIT SET 3ML 1.14G KYL2.0GL IV</t>
        </is>
      </c>
      <c r="F2610" t="inlineStr">
        <is>
          <t>P_US_ALL_OTHERS</t>
        </is>
      </c>
      <c r="G2610" t="inlineStr">
        <is>
          <t>CurrentWorkingView</t>
        </is>
      </c>
      <c r="H2610" t="inlineStr">
        <is>
          <t>Total Demand Assumption</t>
        </is>
      </c>
      <c r="I2610" t="n">
        <v>7075</v>
      </c>
    </row>
    <row r="2611">
      <c r="A2611" t="inlineStr">
        <is>
          <t>Kylie Makeup</t>
        </is>
      </c>
      <c r="B2611" t="inlineStr">
        <is>
          <t>Lips (01245)</t>
        </is>
      </c>
      <c r="C2611" t="inlineStr">
        <is>
          <t>Kylie Supple Kiss Precision Lip Kit (00007015)</t>
        </is>
      </c>
      <c r="D2611" s="1" t="n">
        <v>4064941176350</v>
      </c>
      <c r="E2611" t="inlineStr">
        <is>
          <t>KJ MU SPP LKIT SET 3ML 1.14G KYL2.0GL IV</t>
        </is>
      </c>
      <c r="F2611" t="inlineStr">
        <is>
          <t>P_US_ALL_OTHERS</t>
        </is>
      </c>
      <c r="G2611" t="inlineStr">
        <is>
          <t>CurrentWorkingView</t>
        </is>
      </c>
      <c r="H2611" t="inlineStr">
        <is>
          <t>Consensus - Final</t>
        </is>
      </c>
      <c r="I2611" t="n">
        <v>532</v>
      </c>
      <c r="J2611" t="n">
        <v>671</v>
      </c>
      <c r="K2611" t="n">
        <v>364.943622047244</v>
      </c>
      <c r="L2611" t="n">
        <v>514</v>
      </c>
      <c r="M2611" t="n">
        <v>514</v>
      </c>
      <c r="N2611" t="n">
        <v>514</v>
      </c>
      <c r="O2611" t="n">
        <v>514</v>
      </c>
      <c r="P2611" t="n">
        <v>516</v>
      </c>
      <c r="Q2611" t="n">
        <v>514</v>
      </c>
      <c r="R2611" t="n">
        <v>515</v>
      </c>
      <c r="S2611" t="n">
        <v>504</v>
      </c>
      <c r="T2611" t="n">
        <v>429</v>
      </c>
    </row>
    <row r="2612">
      <c r="A2612" t="inlineStr">
        <is>
          <t>Kylie Makeup</t>
        </is>
      </c>
      <c r="B2612" t="inlineStr">
        <is>
          <t>Lips (01245)</t>
        </is>
      </c>
      <c r="C2612" t="inlineStr">
        <is>
          <t>Kylie Supple Kiss Precision Lip Kit (00007015)</t>
        </is>
      </c>
      <c r="D2612" s="1" t="n">
        <v>4064941176350</v>
      </c>
      <c r="E2612" t="inlineStr">
        <is>
          <t>KJ MU SPP LKIT SET 3ML 1.14G KYL2.0GL IV</t>
        </is>
      </c>
      <c r="F2612" t="inlineStr">
        <is>
          <t>P_US_ALL_OTHERS</t>
        </is>
      </c>
      <c r="G2612" t="inlineStr">
        <is>
          <t>CurrentWorkingView</t>
        </is>
      </c>
      <c r="H2612" t="inlineStr">
        <is>
          <t>Supply Cuts</t>
        </is>
      </c>
      <c r="I2612" t="n">
        <v>6</v>
      </c>
    </row>
    <row r="2613">
      <c r="A2613" t="inlineStr">
        <is>
          <t>Kylie Makeup</t>
        </is>
      </c>
      <c r="B2613" t="inlineStr">
        <is>
          <t>Lips (01245)</t>
        </is>
      </c>
      <c r="C2613" t="inlineStr">
        <is>
          <t>Kylie Supple Kiss Precision Lip Kit (00007015)</t>
        </is>
      </c>
      <c r="D2613" s="1" t="n">
        <v>4064941176350</v>
      </c>
      <c r="E2613" t="inlineStr">
        <is>
          <t>KJ MU SPP LKIT SET 3ML 1.14G KYL2.0GL IV</t>
        </is>
      </c>
      <c r="F2613" t="inlineStr">
        <is>
          <t>P_US_ALL_OTHERS</t>
        </is>
      </c>
      <c r="G2613" t="inlineStr">
        <is>
          <t>Month-2026.M09.W38</t>
        </is>
      </c>
      <c r="H2613" t="inlineStr">
        <is>
          <t>Consensus - Final LY M</t>
        </is>
      </c>
      <c r="I2613" t="n">
        <v>2465</v>
      </c>
      <c r="K2613" t="n">
        <v>525</v>
      </c>
      <c r="N2613" t="n">
        <v>394</v>
      </c>
      <c r="O2613" t="n">
        <v>874</v>
      </c>
      <c r="P2613" t="n">
        <v>1022</v>
      </c>
      <c r="Q2613" t="n">
        <v>48</v>
      </c>
      <c r="R2613" t="n">
        <v>943</v>
      </c>
      <c r="S2613" t="n">
        <v>817</v>
      </c>
      <c r="T2613" t="n">
        <v>233</v>
      </c>
    </row>
    <row r="2614">
      <c r="A2614" t="inlineStr">
        <is>
          <t>Kylie Makeup</t>
        </is>
      </c>
      <c r="B2614" t="inlineStr">
        <is>
          <t>Lips (01245)</t>
        </is>
      </c>
      <c r="C2614" t="inlineStr">
        <is>
          <t>Kylie Supple Kiss Precision Lip Kit (00007015)</t>
        </is>
      </c>
      <c r="D2614" s="1" t="n">
        <v>4064941176350</v>
      </c>
      <c r="E2614" t="inlineStr">
        <is>
          <t>KJ MU SPP LKIT SET 3ML 1.14G KYL2.0GL IV</t>
        </is>
      </c>
      <c r="F2614" t="inlineStr">
        <is>
          <t>P_US_ALL_OTHERS</t>
        </is>
      </c>
      <c r="G2614" t="inlineStr">
        <is>
          <t>Month-2026.M09.W38</t>
        </is>
      </c>
      <c r="H2614" t="inlineStr">
        <is>
          <t>System FC - Final</t>
        </is>
      </c>
      <c r="I2614" t="n">
        <v>532</v>
      </c>
      <c r="J2614" t="n">
        <v>671</v>
      </c>
      <c r="K2614" t="n">
        <v>433</v>
      </c>
      <c r="L2614" t="n">
        <v>506</v>
      </c>
      <c r="M2614" t="n">
        <v>506</v>
      </c>
      <c r="N2614" t="n">
        <v>505</v>
      </c>
      <c r="O2614" t="n">
        <v>505</v>
      </c>
      <c r="P2614" t="n">
        <v>504</v>
      </c>
      <c r="Q2614" t="n">
        <v>505</v>
      </c>
      <c r="R2614" t="n">
        <v>505</v>
      </c>
      <c r="S2614" t="n">
        <v>505</v>
      </c>
      <c r="T2614" t="n">
        <v>588</v>
      </c>
    </row>
    <row r="2615">
      <c r="A2615" t="inlineStr">
        <is>
          <t>Kylie Makeup</t>
        </is>
      </c>
      <c r="B2615" t="inlineStr">
        <is>
          <t>Lips (01245)</t>
        </is>
      </c>
      <c r="C2615" t="inlineStr">
        <is>
          <t>Kylie Supple Kiss Precision Lip Kit (00007015)</t>
        </is>
      </c>
      <c r="D2615" s="1" t="n">
        <v>4064941176350</v>
      </c>
      <c r="E2615" t="inlineStr">
        <is>
          <t>KJ MU SPP LKIT SET 3ML 1.14G KYL2.0GL IV</t>
        </is>
      </c>
      <c r="F2615" t="inlineStr">
        <is>
          <t>P_US_ALL_OTHERS</t>
        </is>
      </c>
      <c r="G2615" t="inlineStr">
        <is>
          <t>Month-2026.M09.W38</t>
        </is>
      </c>
      <c r="H2615" t="inlineStr">
        <is>
          <t>EPOS</t>
        </is>
      </c>
      <c r="I2615" t="n">
        <v>354</v>
      </c>
    </row>
    <row r="2616">
      <c r="A2616" t="inlineStr">
        <is>
          <t>Kylie Makeup</t>
        </is>
      </c>
      <c r="B2616" t="inlineStr">
        <is>
          <t>Lips (01245)</t>
        </is>
      </c>
      <c r="C2616" t="inlineStr">
        <is>
          <t>Kylie Supple Kiss Precision Lip Kit (00007015)</t>
        </is>
      </c>
      <c r="D2616" s="1" t="n">
        <v>4064941176350</v>
      </c>
      <c r="E2616" t="inlineStr">
        <is>
          <t>KJ MU SPP LKIT SET 3ML 1.14G KYL2.0GL IV</t>
        </is>
      </c>
      <c r="F2616" t="inlineStr">
        <is>
          <t>P_US_ALL_OTHERS</t>
        </is>
      </c>
      <c r="G2616" t="inlineStr">
        <is>
          <t>Month-2026.M09.W38</t>
        </is>
      </c>
      <c r="H2616" t="inlineStr">
        <is>
          <t>Reasonability Adjustment</t>
        </is>
      </c>
      <c r="S2616" t="n">
        <v>-10</v>
      </c>
      <c r="T2616" t="n">
        <v>-85</v>
      </c>
    </row>
    <row r="2617">
      <c r="A2617" t="inlineStr">
        <is>
          <t>Kylie Makeup</t>
        </is>
      </c>
      <c r="B2617" t="inlineStr">
        <is>
          <t>Lips (01245)</t>
        </is>
      </c>
      <c r="C2617" t="inlineStr">
        <is>
          <t>Kylie Supple Kiss Precision Lip Kit (00007015)</t>
        </is>
      </c>
      <c r="D2617" s="1" t="n">
        <v>4064941176350</v>
      </c>
      <c r="E2617" t="inlineStr">
        <is>
          <t>KJ MU SPP LKIT SET 3ML 1.14G KYL2.0GL IV</t>
        </is>
      </c>
      <c r="F2617" t="inlineStr">
        <is>
          <t>P_US_ALL_OTHERS</t>
        </is>
      </c>
      <c r="G2617" t="inlineStr">
        <is>
          <t>Month-2026.M09.W38</t>
        </is>
      </c>
      <c r="H2617" t="inlineStr">
        <is>
          <t>Total Demand Assumption</t>
        </is>
      </c>
      <c r="I2617" t="n">
        <v>7075</v>
      </c>
    </row>
    <row r="2618">
      <c r="A2618" t="inlineStr">
        <is>
          <t>Kylie Makeup</t>
        </is>
      </c>
      <c r="B2618" t="inlineStr">
        <is>
          <t>Lips (01245)</t>
        </is>
      </c>
      <c r="C2618" t="inlineStr">
        <is>
          <t>Kylie Supple Kiss Precision Lip Kit (00007015)</t>
        </is>
      </c>
      <c r="D2618" s="1" t="n">
        <v>4064941176350</v>
      </c>
      <c r="E2618" t="inlineStr">
        <is>
          <t>KJ MU SPP LKIT SET 3ML 1.14G KYL2.0GL IV</t>
        </is>
      </c>
      <c r="F2618" t="inlineStr">
        <is>
          <t>P_US_ALL_OTHERS</t>
        </is>
      </c>
      <c r="G2618" t="inlineStr">
        <is>
          <t>Month-2026.M09.W38</t>
        </is>
      </c>
      <c r="H2618" t="inlineStr">
        <is>
          <t>Consensus - Final</t>
        </is>
      </c>
      <c r="I2618" t="n">
        <v>532</v>
      </c>
      <c r="J2618" t="n">
        <v>671</v>
      </c>
      <c r="K2618" t="n">
        <v>364.943622047244</v>
      </c>
      <c r="L2618" t="n">
        <v>506</v>
      </c>
      <c r="M2618" t="n">
        <v>506</v>
      </c>
      <c r="N2618" t="n">
        <v>505</v>
      </c>
      <c r="O2618" t="n">
        <v>505</v>
      </c>
      <c r="P2618" t="n">
        <v>504</v>
      </c>
      <c r="Q2618" t="n">
        <v>505</v>
      </c>
      <c r="R2618" t="n">
        <v>505</v>
      </c>
      <c r="S2618" t="n">
        <v>495</v>
      </c>
      <c r="T2618" t="n">
        <v>503</v>
      </c>
    </row>
    <row r="2619">
      <c r="A2619" t="inlineStr">
        <is>
          <t>Kylie Makeup</t>
        </is>
      </c>
      <c r="B2619" t="inlineStr">
        <is>
          <t>Lips (01245)</t>
        </is>
      </c>
      <c r="C2619" t="inlineStr">
        <is>
          <t>Kylie Supple Kiss Precision Lip Kit (00007015)</t>
        </is>
      </c>
      <c r="D2619" s="1" t="n">
        <v>4064941176350</v>
      </c>
      <c r="E2619" t="inlineStr">
        <is>
          <t>KJ MU SPP LKIT SET 3ML 1.14G KYL2.0GL IV</t>
        </is>
      </c>
      <c r="F2619" t="inlineStr">
        <is>
          <t>P_US_ALL_OTHERS</t>
        </is>
      </c>
      <c r="G2619" t="inlineStr">
        <is>
          <t>Month-2026.M09.W38</t>
        </is>
      </c>
      <c r="H2619" t="inlineStr">
        <is>
          <t>Supply Cuts</t>
        </is>
      </c>
      <c r="I2619" t="n">
        <v>6</v>
      </c>
    </row>
    <row r="2620">
      <c r="A2620" t="inlineStr">
        <is>
          <t>Kylie Makeup</t>
        </is>
      </c>
      <c r="B2620" t="inlineStr">
        <is>
          <t>Lips (01245)</t>
        </is>
      </c>
      <c r="C2620" t="inlineStr">
        <is>
          <t>Kylie Supple Kiss Precision Lip Kit (00007015)</t>
        </is>
      </c>
      <c r="D2620" s="1" t="n">
        <v>4064941176350</v>
      </c>
      <c r="E2620" t="inlineStr">
        <is>
          <t>KJ MU SPP LKIT SET 3ML 1.14G KYL2.0GL IV</t>
        </is>
      </c>
      <c r="F2620" t="inlineStr">
        <is>
          <t>P_US_FG</t>
        </is>
      </c>
      <c r="G2620" t="inlineStr">
        <is>
          <t>CurrentWorkingView</t>
        </is>
      </c>
      <c r="H2620" t="inlineStr">
        <is>
          <t>Consensus - Final LY M</t>
        </is>
      </c>
      <c r="I2620" t="n">
        <v>476</v>
      </c>
      <c r="J2620" t="n">
        <v>121</v>
      </c>
      <c r="K2620" t="n">
        <v>102</v>
      </c>
      <c r="L2620" t="n">
        <v>50</v>
      </c>
      <c r="N2620" t="n">
        <v>60</v>
      </c>
      <c r="O2620" t="n">
        <v>15</v>
      </c>
      <c r="Q2620" t="n">
        <v>388</v>
      </c>
      <c r="R2620" t="n">
        <v>30</v>
      </c>
      <c r="T2620" t="n">
        <v>11</v>
      </c>
    </row>
    <row r="2621">
      <c r="A2621" t="inlineStr">
        <is>
          <t>Kylie Makeup</t>
        </is>
      </c>
      <c r="B2621" t="inlineStr">
        <is>
          <t>Lips (01245)</t>
        </is>
      </c>
      <c r="C2621" t="inlineStr">
        <is>
          <t>Kylie Supple Kiss Precision Lip Kit (00007015)</t>
        </is>
      </c>
      <c r="D2621" s="1" t="n">
        <v>4064941176350</v>
      </c>
      <c r="E2621" t="inlineStr">
        <is>
          <t>KJ MU SPP LKIT SET 3ML 1.14G KYL2.0GL IV</t>
        </is>
      </c>
      <c r="F2621" t="inlineStr">
        <is>
          <t>P_US_FG</t>
        </is>
      </c>
      <c r="G2621" t="inlineStr">
        <is>
          <t>CurrentWorkingView</t>
        </is>
      </c>
      <c r="H2621" t="inlineStr">
        <is>
          <t>System FC - Final</t>
        </is>
      </c>
      <c r="K2621" t="n">
        <v>27</v>
      </c>
      <c r="L2621" t="n">
        <v>31</v>
      </c>
      <c r="M2621" t="n">
        <v>34</v>
      </c>
      <c r="N2621" t="n">
        <v>31</v>
      </c>
      <c r="O2621" t="n">
        <v>31</v>
      </c>
      <c r="P2621" t="n">
        <v>32</v>
      </c>
      <c r="Q2621" t="n">
        <v>31</v>
      </c>
      <c r="R2621" t="n">
        <v>33</v>
      </c>
      <c r="S2621" t="n">
        <v>31</v>
      </c>
      <c r="T2621" t="n">
        <v>33</v>
      </c>
    </row>
    <row r="2622">
      <c r="A2622" t="inlineStr">
        <is>
          <t>Kylie Makeup</t>
        </is>
      </c>
      <c r="B2622" t="inlineStr">
        <is>
          <t>Lips (01245)</t>
        </is>
      </c>
      <c r="C2622" t="inlineStr">
        <is>
          <t>Kylie Supple Kiss Precision Lip Kit (00007015)</t>
        </is>
      </c>
      <c r="D2622" s="1" t="n">
        <v>4064941176350</v>
      </c>
      <c r="E2622" t="inlineStr">
        <is>
          <t>KJ MU SPP LKIT SET 3ML 1.14G KYL2.0GL IV</t>
        </is>
      </c>
      <c r="F2622" t="inlineStr">
        <is>
          <t>P_US_FG</t>
        </is>
      </c>
      <c r="G2622" t="inlineStr">
        <is>
          <t>CurrentWorkingView</t>
        </is>
      </c>
      <c r="H2622" t="inlineStr">
        <is>
          <t>EPOS</t>
        </is>
      </c>
    </row>
    <row r="2623">
      <c r="A2623" t="inlineStr">
        <is>
          <t>Kylie Makeup</t>
        </is>
      </c>
      <c r="B2623" t="inlineStr">
        <is>
          <t>Lips (01245)</t>
        </is>
      </c>
      <c r="C2623" t="inlineStr">
        <is>
          <t>Kylie Supple Kiss Precision Lip Kit (00007015)</t>
        </is>
      </c>
      <c r="D2623" s="1" t="n">
        <v>4064941176350</v>
      </c>
      <c r="E2623" t="inlineStr">
        <is>
          <t>KJ MU SPP LKIT SET 3ML 1.14G KYL2.0GL IV</t>
        </is>
      </c>
      <c r="F2623" t="inlineStr">
        <is>
          <t>P_US_FG</t>
        </is>
      </c>
      <c r="G2623" t="inlineStr">
        <is>
          <t>CurrentWorkingView</t>
        </is>
      </c>
      <c r="H2623" t="inlineStr">
        <is>
          <t>Reasonability Adjustment</t>
        </is>
      </c>
    </row>
    <row r="2624">
      <c r="A2624" t="inlineStr">
        <is>
          <t>Kylie Makeup</t>
        </is>
      </c>
      <c r="B2624" t="inlineStr">
        <is>
          <t>Lips (01245)</t>
        </is>
      </c>
      <c r="C2624" t="inlineStr">
        <is>
          <t>Kylie Supple Kiss Precision Lip Kit (00007015)</t>
        </is>
      </c>
      <c r="D2624" s="1" t="n">
        <v>4064941176350</v>
      </c>
      <c r="E2624" t="inlineStr">
        <is>
          <t>KJ MU SPP LKIT SET 3ML 1.14G KYL2.0GL IV</t>
        </is>
      </c>
      <c r="F2624" t="inlineStr">
        <is>
          <t>P_US_FG</t>
        </is>
      </c>
      <c r="G2624" t="inlineStr">
        <is>
          <t>CurrentWorkingView</t>
        </is>
      </c>
      <c r="H2624" t="inlineStr">
        <is>
          <t>Total Demand Assumption</t>
        </is>
      </c>
    </row>
    <row r="2625">
      <c r="A2625" t="inlineStr">
        <is>
          <t>Kylie Makeup</t>
        </is>
      </c>
      <c r="B2625" t="inlineStr">
        <is>
          <t>Lips (01245)</t>
        </is>
      </c>
      <c r="C2625" t="inlineStr">
        <is>
          <t>Kylie Supple Kiss Precision Lip Kit (00007015)</t>
        </is>
      </c>
      <c r="D2625" s="1" t="n">
        <v>4064941176350</v>
      </c>
      <c r="E2625" t="inlineStr">
        <is>
          <t>KJ MU SPP LKIT SET 3ML 1.14G KYL2.0GL IV</t>
        </is>
      </c>
      <c r="F2625" t="inlineStr">
        <is>
          <t>P_US_FG</t>
        </is>
      </c>
      <c r="G2625" t="inlineStr">
        <is>
          <t>CurrentWorkingView</t>
        </is>
      </c>
      <c r="H2625" t="inlineStr">
        <is>
          <t>Consensus - Final</t>
        </is>
      </c>
      <c r="K2625" t="n">
        <v>0</v>
      </c>
    </row>
    <row r="2626">
      <c r="A2626" t="inlineStr">
        <is>
          <t>Kylie Makeup</t>
        </is>
      </c>
      <c r="B2626" t="inlineStr">
        <is>
          <t>Lips (01245)</t>
        </is>
      </c>
      <c r="C2626" t="inlineStr">
        <is>
          <t>Kylie Supple Kiss Precision Lip Kit (00007015)</t>
        </is>
      </c>
      <c r="D2626" s="1" t="n">
        <v>4064941176350</v>
      </c>
      <c r="E2626" t="inlineStr">
        <is>
          <t>KJ MU SPP LKIT SET 3ML 1.14G KYL2.0GL IV</t>
        </is>
      </c>
      <c r="F2626" t="inlineStr">
        <is>
          <t>P_US_FG</t>
        </is>
      </c>
      <c r="G2626" t="inlineStr">
        <is>
          <t>CurrentWorkingView</t>
        </is>
      </c>
      <c r="H2626" t="inlineStr">
        <is>
          <t>Supply Cuts</t>
        </is>
      </c>
    </row>
    <row r="2627">
      <c r="A2627" t="inlineStr">
        <is>
          <t>Kylie Makeup</t>
        </is>
      </c>
      <c r="B2627" t="inlineStr">
        <is>
          <t>Lips (01245)</t>
        </is>
      </c>
      <c r="C2627" t="inlineStr">
        <is>
          <t>Kylie Supple Kiss Precision Lip Kit (00007015)</t>
        </is>
      </c>
      <c r="D2627" s="1" t="n">
        <v>4064941176350</v>
      </c>
      <c r="E2627" t="inlineStr">
        <is>
          <t>KJ MU SPP LKIT SET 3ML 1.14G KYL2.0GL IV</t>
        </is>
      </c>
      <c r="F2627" t="inlineStr">
        <is>
          <t>P_US_FG</t>
        </is>
      </c>
      <c r="G2627" t="inlineStr">
        <is>
          <t>Month-2026.M09.W38</t>
        </is>
      </c>
      <c r="H2627" t="inlineStr">
        <is>
          <t>Consensus - Final LY M</t>
        </is>
      </c>
      <c r="I2627" t="n">
        <v>476</v>
      </c>
      <c r="J2627" t="n">
        <v>121</v>
      </c>
      <c r="K2627" t="n">
        <v>102</v>
      </c>
      <c r="L2627" t="n">
        <v>50</v>
      </c>
      <c r="N2627" t="n">
        <v>60</v>
      </c>
      <c r="O2627" t="n">
        <v>15</v>
      </c>
      <c r="Q2627" t="n">
        <v>388</v>
      </c>
      <c r="R2627" t="n">
        <v>30</v>
      </c>
      <c r="T2627" t="n">
        <v>11</v>
      </c>
    </row>
    <row r="2628">
      <c r="A2628" t="inlineStr">
        <is>
          <t>Kylie Makeup</t>
        </is>
      </c>
      <c r="B2628" t="inlineStr">
        <is>
          <t>Lips (01245)</t>
        </is>
      </c>
      <c r="C2628" t="inlineStr">
        <is>
          <t>Kylie Supple Kiss Precision Lip Kit (00007015)</t>
        </is>
      </c>
      <c r="D2628" s="1" t="n">
        <v>4064941176350</v>
      </c>
      <c r="E2628" t="inlineStr">
        <is>
          <t>KJ MU SPP LKIT SET 3ML 1.14G KYL2.0GL IV</t>
        </is>
      </c>
      <c r="F2628" t="inlineStr">
        <is>
          <t>P_US_FG</t>
        </is>
      </c>
      <c r="G2628" t="inlineStr">
        <is>
          <t>Month-2026.M09.W38</t>
        </is>
      </c>
      <c r="H2628" t="inlineStr">
        <is>
          <t>System FC - Final</t>
        </is>
      </c>
      <c r="K2628" t="n">
        <v>40</v>
      </c>
      <c r="L2628" t="n">
        <v>58</v>
      </c>
      <c r="M2628" t="n">
        <v>54</v>
      </c>
      <c r="N2628" t="n">
        <v>57</v>
      </c>
      <c r="O2628" t="n">
        <v>57</v>
      </c>
      <c r="P2628" t="n">
        <v>56</v>
      </c>
      <c r="Q2628" t="n">
        <v>57</v>
      </c>
      <c r="R2628" t="n">
        <v>55</v>
      </c>
      <c r="S2628" t="n">
        <v>57</v>
      </c>
      <c r="T2628" t="n">
        <v>56</v>
      </c>
    </row>
    <row r="2629">
      <c r="A2629" t="inlineStr">
        <is>
          <t>Kylie Makeup</t>
        </is>
      </c>
      <c r="B2629" t="inlineStr">
        <is>
          <t>Lips (01245)</t>
        </is>
      </c>
      <c r="C2629" t="inlineStr">
        <is>
          <t>Kylie Supple Kiss Precision Lip Kit (00007015)</t>
        </is>
      </c>
      <c r="D2629" s="1" t="n">
        <v>4064941176350</v>
      </c>
      <c r="E2629" t="inlineStr">
        <is>
          <t>KJ MU SPP LKIT SET 3ML 1.14G KYL2.0GL IV</t>
        </is>
      </c>
      <c r="F2629" t="inlineStr">
        <is>
          <t>P_US_FG</t>
        </is>
      </c>
      <c r="G2629" t="inlineStr">
        <is>
          <t>Month-2026.M09.W38</t>
        </is>
      </c>
      <c r="H2629" t="inlineStr">
        <is>
          <t>EPOS</t>
        </is>
      </c>
    </row>
    <row r="2630">
      <c r="A2630" t="inlineStr">
        <is>
          <t>Kylie Makeup</t>
        </is>
      </c>
      <c r="B2630" t="inlineStr">
        <is>
          <t>Lips (01245)</t>
        </is>
      </c>
      <c r="C2630" t="inlineStr">
        <is>
          <t>Kylie Supple Kiss Precision Lip Kit (00007015)</t>
        </is>
      </c>
      <c r="D2630" s="1" t="n">
        <v>4064941176350</v>
      </c>
      <c r="E2630" t="inlineStr">
        <is>
          <t>KJ MU SPP LKIT SET 3ML 1.14G KYL2.0GL IV</t>
        </is>
      </c>
      <c r="F2630" t="inlineStr">
        <is>
          <t>P_US_FG</t>
        </is>
      </c>
      <c r="G2630" t="inlineStr">
        <is>
          <t>Month-2026.M09.W38</t>
        </is>
      </c>
      <c r="H2630" t="inlineStr">
        <is>
          <t>Reasonability Adjustment</t>
        </is>
      </c>
    </row>
    <row r="2631">
      <c r="A2631" t="inlineStr">
        <is>
          <t>Kylie Makeup</t>
        </is>
      </c>
      <c r="B2631" t="inlineStr">
        <is>
          <t>Lips (01245)</t>
        </is>
      </c>
      <c r="C2631" t="inlineStr">
        <is>
          <t>Kylie Supple Kiss Precision Lip Kit (00007015)</t>
        </is>
      </c>
      <c r="D2631" s="1" t="n">
        <v>4064941176350</v>
      </c>
      <c r="E2631" t="inlineStr">
        <is>
          <t>KJ MU SPP LKIT SET 3ML 1.14G KYL2.0GL IV</t>
        </is>
      </c>
      <c r="F2631" t="inlineStr">
        <is>
          <t>P_US_FG</t>
        </is>
      </c>
      <c r="G2631" t="inlineStr">
        <is>
          <t>Month-2026.M09.W38</t>
        </is>
      </c>
      <c r="H2631" t="inlineStr">
        <is>
          <t>Total Demand Assumption</t>
        </is>
      </c>
    </row>
    <row r="2632">
      <c r="A2632" t="inlineStr">
        <is>
          <t>Kylie Makeup</t>
        </is>
      </c>
      <c r="B2632" t="inlineStr">
        <is>
          <t>Lips (01245)</t>
        </is>
      </c>
      <c r="C2632" t="inlineStr">
        <is>
          <t>Kylie Supple Kiss Precision Lip Kit (00007015)</t>
        </is>
      </c>
      <c r="D2632" s="1" t="n">
        <v>4064941176350</v>
      </c>
      <c r="E2632" t="inlineStr">
        <is>
          <t>KJ MU SPP LKIT SET 3ML 1.14G KYL2.0GL IV</t>
        </is>
      </c>
      <c r="F2632" t="inlineStr">
        <is>
          <t>P_US_FG</t>
        </is>
      </c>
      <c r="G2632" t="inlineStr">
        <is>
          <t>Month-2026.M09.W38</t>
        </is>
      </c>
      <c r="H2632" t="inlineStr">
        <is>
          <t>Consensus - Final</t>
        </is>
      </c>
      <c r="K2632" t="n">
        <v>0</v>
      </c>
    </row>
    <row r="2633">
      <c r="A2633" t="inlineStr">
        <is>
          <t>Kylie Makeup</t>
        </is>
      </c>
      <c r="B2633" t="inlineStr">
        <is>
          <t>Lips (01245)</t>
        </is>
      </c>
      <c r="C2633" t="inlineStr">
        <is>
          <t>Kylie Supple Kiss Precision Lip Kit (00007015)</t>
        </is>
      </c>
      <c r="D2633" s="1" t="n">
        <v>4064941176350</v>
      </c>
      <c r="E2633" t="inlineStr">
        <is>
          <t>KJ MU SPP LKIT SET 3ML 1.14G KYL2.0GL IV</t>
        </is>
      </c>
      <c r="F2633" t="inlineStr">
        <is>
          <t>P_US_FG</t>
        </is>
      </c>
      <c r="G2633" t="inlineStr">
        <is>
          <t>Month-2026.M09.W38</t>
        </is>
      </c>
      <c r="H2633" t="inlineStr">
        <is>
          <t>Supply Cuts</t>
        </is>
      </c>
    </row>
    <row r="2634">
      <c r="A2634" t="inlineStr">
        <is>
          <t>Kylie Makeup</t>
        </is>
      </c>
      <c r="B2634" t="inlineStr">
        <is>
          <t>Lips (01245)</t>
        </is>
      </c>
      <c r="C2634" t="inlineStr">
        <is>
          <t>Kylie Supple Kiss Precision Lip Kit (00007015)</t>
        </is>
      </c>
      <c r="D2634" s="1" t="n">
        <v>4064941176350</v>
      </c>
      <c r="E2634" t="inlineStr">
        <is>
          <t>KJ MU SPP LKIT SET 3ML 1.14G KYL2.0GL IV</t>
        </is>
      </c>
      <c r="F2634" t="inlineStr">
        <is>
          <t>P_US_ULTA</t>
        </is>
      </c>
      <c r="G2634" t="inlineStr">
        <is>
          <t>CurrentWorkingView</t>
        </is>
      </c>
      <c r="H2634" t="inlineStr">
        <is>
          <t>Consensus - Final LY M</t>
        </is>
      </c>
      <c r="I2634" t="n">
        <v>5472</v>
      </c>
      <c r="J2634" t="n">
        <v>3546</v>
      </c>
      <c r="K2634" t="n">
        <v>9504</v>
      </c>
      <c r="L2634" t="n">
        <v>2449</v>
      </c>
      <c r="M2634" t="n">
        <v>290</v>
      </c>
      <c r="N2634" t="n">
        <v>13317</v>
      </c>
      <c r="O2634" t="n">
        <v>6144</v>
      </c>
      <c r="P2634" t="n">
        <v>8640</v>
      </c>
      <c r="Q2634" t="n">
        <v>8880</v>
      </c>
      <c r="R2634" t="n">
        <v>8784</v>
      </c>
      <c r="S2634" t="n">
        <v>6672</v>
      </c>
      <c r="T2634" t="n">
        <v>6384</v>
      </c>
    </row>
    <row r="2635">
      <c r="A2635" t="inlineStr">
        <is>
          <t>Kylie Makeup</t>
        </is>
      </c>
      <c r="B2635" t="inlineStr">
        <is>
          <t>Lips (01245)</t>
        </is>
      </c>
      <c r="C2635" t="inlineStr">
        <is>
          <t>Kylie Supple Kiss Precision Lip Kit (00007015)</t>
        </is>
      </c>
      <c r="D2635" s="1" t="n">
        <v>4064941176350</v>
      </c>
      <c r="E2635" t="inlineStr">
        <is>
          <t>KJ MU SPP LKIT SET 3ML 1.14G KYL2.0GL IV</t>
        </is>
      </c>
      <c r="F2635" t="inlineStr">
        <is>
          <t>P_US_ULTA</t>
        </is>
      </c>
      <c r="G2635" t="inlineStr">
        <is>
          <t>CurrentWorkingView</t>
        </is>
      </c>
      <c r="H2635" t="inlineStr">
        <is>
          <t>System FC - Final</t>
        </is>
      </c>
      <c r="I2635" t="n">
        <v>6592</v>
      </c>
      <c r="J2635" t="n">
        <v>4464</v>
      </c>
      <c r="K2635" t="n">
        <v>4925</v>
      </c>
      <c r="L2635" t="n">
        <v>6657</v>
      </c>
      <c r="M2635" t="n">
        <v>6656</v>
      </c>
      <c r="N2635" t="n">
        <v>6657</v>
      </c>
      <c r="O2635" t="n">
        <v>6656</v>
      </c>
      <c r="P2635" t="n">
        <v>6656</v>
      </c>
      <c r="Q2635" t="n">
        <v>6656</v>
      </c>
      <c r="R2635" t="n">
        <v>6656</v>
      </c>
      <c r="S2635" t="n">
        <v>6657</v>
      </c>
      <c r="T2635" t="n">
        <v>6656</v>
      </c>
    </row>
    <row r="2636">
      <c r="A2636" t="inlineStr">
        <is>
          <t>Kylie Makeup</t>
        </is>
      </c>
      <c r="B2636" t="inlineStr">
        <is>
          <t>Lips (01245)</t>
        </is>
      </c>
      <c r="C2636" t="inlineStr">
        <is>
          <t>Kylie Supple Kiss Precision Lip Kit (00007015)</t>
        </is>
      </c>
      <c r="D2636" s="1" t="n">
        <v>4064941176350</v>
      </c>
      <c r="E2636" t="inlineStr">
        <is>
          <t>KJ MU SPP LKIT SET 3ML 1.14G KYL2.0GL IV</t>
        </is>
      </c>
      <c r="F2636" t="inlineStr">
        <is>
          <t>P_US_ULTA</t>
        </is>
      </c>
      <c r="G2636" t="inlineStr">
        <is>
          <t>CurrentWorkingView</t>
        </is>
      </c>
      <c r="H2636" t="inlineStr">
        <is>
          <t>EPOS</t>
        </is>
      </c>
      <c r="I2636" t="n">
        <v>3720</v>
      </c>
    </row>
    <row r="2637">
      <c r="A2637" t="inlineStr">
        <is>
          <t>Kylie Makeup</t>
        </is>
      </c>
      <c r="B2637" t="inlineStr">
        <is>
          <t>Lips (01245)</t>
        </is>
      </c>
      <c r="C2637" t="inlineStr">
        <is>
          <t>Kylie Supple Kiss Precision Lip Kit (00007015)</t>
        </is>
      </c>
      <c r="D2637" s="1" t="n">
        <v>4064941176350</v>
      </c>
      <c r="E2637" t="inlineStr">
        <is>
          <t>KJ MU SPP LKIT SET 3ML 1.14G KYL2.0GL IV</t>
        </is>
      </c>
      <c r="F2637" t="inlineStr">
        <is>
          <t>P_US_ULTA</t>
        </is>
      </c>
      <c r="G2637" t="inlineStr">
        <is>
          <t>CurrentWorkingView</t>
        </is>
      </c>
      <c r="H2637" t="inlineStr">
        <is>
          <t>Reasonability Adjustment</t>
        </is>
      </c>
      <c r="S2637" t="n">
        <v>-149</v>
      </c>
      <c r="T2637" t="n">
        <v>-1029</v>
      </c>
    </row>
    <row r="2638">
      <c r="A2638" t="inlineStr">
        <is>
          <t>Kylie Makeup</t>
        </is>
      </c>
      <c r="B2638" t="inlineStr">
        <is>
          <t>Lips (01245)</t>
        </is>
      </c>
      <c r="C2638" t="inlineStr">
        <is>
          <t>Kylie Supple Kiss Precision Lip Kit (00007015)</t>
        </is>
      </c>
      <c r="D2638" s="1" t="n">
        <v>4064941176350</v>
      </c>
      <c r="E2638" t="inlineStr">
        <is>
          <t>KJ MU SPP LKIT SET 3ML 1.14G KYL2.0GL IV</t>
        </is>
      </c>
      <c r="F2638" t="inlineStr">
        <is>
          <t>P_US_ULTA</t>
        </is>
      </c>
      <c r="G2638" t="inlineStr">
        <is>
          <t>CurrentWorkingView</t>
        </is>
      </c>
      <c r="H2638" t="inlineStr">
        <is>
          <t>Total Demand Assumption</t>
        </is>
      </c>
    </row>
    <row r="2639">
      <c r="A2639" t="inlineStr">
        <is>
          <t>Kylie Makeup</t>
        </is>
      </c>
      <c r="B2639" t="inlineStr">
        <is>
          <t>Lips (01245)</t>
        </is>
      </c>
      <c r="C2639" t="inlineStr">
        <is>
          <t>Kylie Supple Kiss Precision Lip Kit (00007015)</t>
        </is>
      </c>
      <c r="D2639" s="1" t="n">
        <v>4064941176350</v>
      </c>
      <c r="E2639" t="inlineStr">
        <is>
          <t>KJ MU SPP LKIT SET 3ML 1.14G KYL2.0GL IV</t>
        </is>
      </c>
      <c r="F2639" t="inlineStr">
        <is>
          <t>P_US_ULTA</t>
        </is>
      </c>
      <c r="G2639" t="inlineStr">
        <is>
          <t>CurrentWorkingView</t>
        </is>
      </c>
      <c r="H2639" t="inlineStr">
        <is>
          <t>Consensus - Final</t>
        </is>
      </c>
      <c r="I2639" t="n">
        <v>6592</v>
      </c>
      <c r="J2639" t="n">
        <v>4464</v>
      </c>
      <c r="K2639" t="n">
        <v>4946.05637795275</v>
      </c>
      <c r="L2639" t="n">
        <v>6657</v>
      </c>
      <c r="M2639" t="n">
        <v>6656</v>
      </c>
      <c r="N2639" t="n">
        <v>6657</v>
      </c>
      <c r="O2639" t="n">
        <v>6656</v>
      </c>
      <c r="P2639" t="n">
        <v>6656</v>
      </c>
      <c r="Q2639" t="n">
        <v>6656</v>
      </c>
      <c r="R2639" t="n">
        <v>6656</v>
      </c>
      <c r="S2639" t="n">
        <v>6508</v>
      </c>
      <c r="T2639" t="n">
        <v>5627</v>
      </c>
    </row>
    <row r="2640">
      <c r="A2640" t="inlineStr">
        <is>
          <t>Kylie Makeup</t>
        </is>
      </c>
      <c r="B2640" t="inlineStr">
        <is>
          <t>Lips (01245)</t>
        </is>
      </c>
      <c r="C2640" t="inlineStr">
        <is>
          <t>Kylie Supple Kiss Precision Lip Kit (00007015)</t>
        </is>
      </c>
      <c r="D2640" s="1" t="n">
        <v>4064941176350</v>
      </c>
      <c r="E2640" t="inlineStr">
        <is>
          <t>KJ MU SPP LKIT SET 3ML 1.14G KYL2.0GL IV</t>
        </is>
      </c>
      <c r="F2640" t="inlineStr">
        <is>
          <t>P_US_ULTA</t>
        </is>
      </c>
      <c r="G2640" t="inlineStr">
        <is>
          <t>CurrentWorkingView</t>
        </is>
      </c>
      <c r="H2640" t="inlineStr">
        <is>
          <t>Supply Cuts</t>
        </is>
      </c>
      <c r="I2640" t="n">
        <v>896</v>
      </c>
    </row>
    <row r="2641">
      <c r="A2641" t="inlineStr">
        <is>
          <t>Kylie Makeup</t>
        </is>
      </c>
      <c r="B2641" t="inlineStr">
        <is>
          <t>Lips (01245)</t>
        </is>
      </c>
      <c r="C2641" t="inlineStr">
        <is>
          <t>Kylie Supple Kiss Precision Lip Kit (00007015)</t>
        </is>
      </c>
      <c r="D2641" s="1" t="n">
        <v>4064941176350</v>
      </c>
      <c r="E2641" t="inlineStr">
        <is>
          <t>KJ MU SPP LKIT SET 3ML 1.14G KYL2.0GL IV</t>
        </is>
      </c>
      <c r="F2641" t="inlineStr">
        <is>
          <t>P_US_ULTA</t>
        </is>
      </c>
      <c r="G2641" t="inlineStr">
        <is>
          <t>Month-2026.M09.W38</t>
        </is>
      </c>
      <c r="H2641" t="inlineStr">
        <is>
          <t>Consensus - Final LY M</t>
        </is>
      </c>
      <c r="I2641" t="n">
        <v>5472</v>
      </c>
      <c r="J2641" t="n">
        <v>3546</v>
      </c>
      <c r="K2641" t="n">
        <v>9504</v>
      </c>
      <c r="L2641" t="n">
        <v>2449</v>
      </c>
      <c r="M2641" t="n">
        <v>290</v>
      </c>
      <c r="N2641" t="n">
        <v>13317</v>
      </c>
      <c r="O2641" t="n">
        <v>6144</v>
      </c>
      <c r="P2641" t="n">
        <v>8640</v>
      </c>
      <c r="Q2641" t="n">
        <v>8880</v>
      </c>
      <c r="R2641" t="n">
        <v>8784</v>
      </c>
      <c r="S2641" t="n">
        <v>6672</v>
      </c>
      <c r="T2641" t="n">
        <v>6384</v>
      </c>
    </row>
    <row r="2642">
      <c r="A2642" t="inlineStr">
        <is>
          <t>Kylie Makeup</t>
        </is>
      </c>
      <c r="B2642" t="inlineStr">
        <is>
          <t>Lips (01245)</t>
        </is>
      </c>
      <c r="C2642" t="inlineStr">
        <is>
          <t>Kylie Supple Kiss Precision Lip Kit (00007015)</t>
        </is>
      </c>
      <c r="D2642" s="1" t="n">
        <v>4064941176350</v>
      </c>
      <c r="E2642" t="inlineStr">
        <is>
          <t>KJ MU SPP LKIT SET 3ML 1.14G KYL2.0GL IV</t>
        </is>
      </c>
      <c r="F2642" t="inlineStr">
        <is>
          <t>P_US_ULTA</t>
        </is>
      </c>
      <c r="G2642" t="inlineStr">
        <is>
          <t>Month-2026.M09.W38</t>
        </is>
      </c>
      <c r="H2642" t="inlineStr">
        <is>
          <t>System FC - Final</t>
        </is>
      </c>
      <c r="I2642" t="n">
        <v>6592</v>
      </c>
      <c r="J2642" t="n">
        <v>4464</v>
      </c>
      <c r="K2642" t="n">
        <v>5824</v>
      </c>
      <c r="L2642" t="n">
        <v>7143</v>
      </c>
      <c r="M2642" t="n">
        <v>7146</v>
      </c>
      <c r="N2642" t="n">
        <v>7143</v>
      </c>
      <c r="O2642" t="n">
        <v>7144</v>
      </c>
      <c r="P2642" t="n">
        <v>7144</v>
      </c>
      <c r="Q2642" t="n">
        <v>7144</v>
      </c>
      <c r="R2642" t="n">
        <v>7145</v>
      </c>
      <c r="S2642" t="n">
        <v>7143</v>
      </c>
      <c r="T2642" t="n">
        <v>7143</v>
      </c>
    </row>
    <row r="2643">
      <c r="A2643" t="inlineStr">
        <is>
          <t>Kylie Makeup</t>
        </is>
      </c>
      <c r="B2643" t="inlineStr">
        <is>
          <t>Lips (01245)</t>
        </is>
      </c>
      <c r="C2643" t="inlineStr">
        <is>
          <t>Kylie Supple Kiss Precision Lip Kit (00007015)</t>
        </is>
      </c>
      <c r="D2643" s="1" t="n">
        <v>4064941176350</v>
      </c>
      <c r="E2643" t="inlineStr">
        <is>
          <t>KJ MU SPP LKIT SET 3ML 1.14G KYL2.0GL IV</t>
        </is>
      </c>
      <c r="F2643" t="inlineStr">
        <is>
          <t>P_US_ULTA</t>
        </is>
      </c>
      <c r="G2643" t="inlineStr">
        <is>
          <t>Month-2026.M09.W38</t>
        </is>
      </c>
      <c r="H2643" t="inlineStr">
        <is>
          <t>EPOS</t>
        </is>
      </c>
      <c r="I2643" t="n">
        <v>3720</v>
      </c>
    </row>
    <row r="2644">
      <c r="A2644" t="inlineStr">
        <is>
          <t>Kylie Makeup</t>
        </is>
      </c>
      <c r="B2644" t="inlineStr">
        <is>
          <t>Lips (01245)</t>
        </is>
      </c>
      <c r="C2644" t="inlineStr">
        <is>
          <t>Kylie Supple Kiss Precision Lip Kit (00007015)</t>
        </is>
      </c>
      <c r="D2644" s="1" t="n">
        <v>4064941176350</v>
      </c>
      <c r="E2644" t="inlineStr">
        <is>
          <t>KJ MU SPP LKIT SET 3ML 1.14G KYL2.0GL IV</t>
        </is>
      </c>
      <c r="F2644" t="inlineStr">
        <is>
          <t>P_US_ULTA</t>
        </is>
      </c>
      <c r="G2644" t="inlineStr">
        <is>
          <t>Month-2026.M09.W38</t>
        </is>
      </c>
      <c r="H2644" t="inlineStr">
        <is>
          <t>Reasonability Adjustment</t>
        </is>
      </c>
      <c r="S2644" t="n">
        <v>-149</v>
      </c>
      <c r="T2644" t="n">
        <v>-1029</v>
      </c>
    </row>
    <row r="2645">
      <c r="A2645" t="inlineStr">
        <is>
          <t>Kylie Makeup</t>
        </is>
      </c>
      <c r="B2645" t="inlineStr">
        <is>
          <t>Lips (01245)</t>
        </is>
      </c>
      <c r="C2645" t="inlineStr">
        <is>
          <t>Kylie Supple Kiss Precision Lip Kit (00007015)</t>
        </is>
      </c>
      <c r="D2645" s="1" t="n">
        <v>4064941176350</v>
      </c>
      <c r="E2645" t="inlineStr">
        <is>
          <t>KJ MU SPP LKIT SET 3ML 1.14G KYL2.0GL IV</t>
        </is>
      </c>
      <c r="F2645" t="inlineStr">
        <is>
          <t>P_US_ULTA</t>
        </is>
      </c>
      <c r="G2645" t="inlineStr">
        <is>
          <t>Month-2026.M09.W38</t>
        </is>
      </c>
      <c r="H2645" t="inlineStr">
        <is>
          <t>Total Demand Assumption</t>
        </is>
      </c>
    </row>
    <row r="2646">
      <c r="A2646" t="inlineStr">
        <is>
          <t>Kylie Makeup</t>
        </is>
      </c>
      <c r="B2646" t="inlineStr">
        <is>
          <t>Lips (01245)</t>
        </is>
      </c>
      <c r="C2646" t="inlineStr">
        <is>
          <t>Kylie Supple Kiss Precision Lip Kit (00007015)</t>
        </is>
      </c>
      <c r="D2646" s="1" t="n">
        <v>4064941176350</v>
      </c>
      <c r="E2646" t="inlineStr">
        <is>
          <t>KJ MU SPP LKIT SET 3ML 1.14G KYL2.0GL IV</t>
        </is>
      </c>
      <c r="F2646" t="inlineStr">
        <is>
          <t>P_US_ULTA</t>
        </is>
      </c>
      <c r="G2646" t="inlineStr">
        <is>
          <t>Month-2026.M09.W38</t>
        </is>
      </c>
      <c r="H2646" t="inlineStr">
        <is>
          <t>Consensus - Final</t>
        </is>
      </c>
      <c r="I2646" t="n">
        <v>6592</v>
      </c>
      <c r="J2646" t="n">
        <v>4464</v>
      </c>
      <c r="K2646" t="n">
        <v>4946.05637795275</v>
      </c>
      <c r="L2646" t="n">
        <v>7143</v>
      </c>
      <c r="M2646" t="n">
        <v>7146</v>
      </c>
      <c r="N2646" t="n">
        <v>7143</v>
      </c>
      <c r="O2646" t="n">
        <v>7144</v>
      </c>
      <c r="P2646" t="n">
        <v>7144</v>
      </c>
      <c r="Q2646" t="n">
        <v>7144</v>
      </c>
      <c r="R2646" t="n">
        <v>7145</v>
      </c>
      <c r="S2646" t="n">
        <v>6994</v>
      </c>
      <c r="T2646" t="n">
        <v>6114</v>
      </c>
    </row>
    <row r="2647">
      <c r="A2647" t="inlineStr">
        <is>
          <t>Kylie Makeup</t>
        </is>
      </c>
      <c r="B2647" t="inlineStr">
        <is>
          <t>Lips (01245)</t>
        </is>
      </c>
      <c r="C2647" t="inlineStr">
        <is>
          <t>Kylie Supple Kiss Precision Lip Kit (00007015)</t>
        </is>
      </c>
      <c r="D2647" s="1" t="n">
        <v>4064941176350</v>
      </c>
      <c r="E2647" t="inlineStr">
        <is>
          <t>KJ MU SPP LKIT SET 3ML 1.14G KYL2.0GL IV</t>
        </is>
      </c>
      <c r="F2647" t="inlineStr">
        <is>
          <t>P_US_ULTA</t>
        </is>
      </c>
      <c r="G2647" t="inlineStr">
        <is>
          <t>Month-2026.M09.W38</t>
        </is>
      </c>
      <c r="H2647" t="inlineStr">
        <is>
          <t>Supply Cuts</t>
        </is>
      </c>
      <c r="I2647" t="n">
        <v>896</v>
      </c>
    </row>
    <row r="2648">
      <c r="A2648" t="inlineStr">
        <is>
          <t>Kylie Makeup</t>
        </is>
      </c>
      <c r="B2648" t="inlineStr">
        <is>
          <t>Lips (01245)</t>
        </is>
      </c>
      <c r="C2648" t="inlineStr">
        <is>
          <t>Kylie Supple Kiss Precision Lip Kit (00007015)</t>
        </is>
      </c>
      <c r="D2648" s="1" t="n">
        <v>4064941176374</v>
      </c>
      <c r="E2648" t="inlineStr">
        <is>
          <t>KJ MU SPP LKIT SET 3ML 1.14G DOLC KGL IV</t>
        </is>
      </c>
      <c r="F2648" t="inlineStr">
        <is>
          <t>P_US_ALL_OTHERS</t>
        </is>
      </c>
      <c r="G2648" t="inlineStr">
        <is>
          <t>CurrentWorkingView</t>
        </is>
      </c>
      <c r="H2648" t="inlineStr">
        <is>
          <t>Consensus - Final LY M</t>
        </is>
      </c>
      <c r="I2648" t="n">
        <v>1487</v>
      </c>
      <c r="J2648" t="n">
        <v>20</v>
      </c>
      <c r="K2648" t="n">
        <v>246</v>
      </c>
      <c r="L2648" t="n">
        <v>386</v>
      </c>
      <c r="M2648" t="n">
        <v>438</v>
      </c>
      <c r="N2648" t="n">
        <v>351</v>
      </c>
      <c r="O2648" t="n">
        <v>700</v>
      </c>
      <c r="P2648" t="n">
        <v>542</v>
      </c>
      <c r="Q2648" t="n">
        <v>78</v>
      </c>
      <c r="R2648" t="n">
        <v>404</v>
      </c>
      <c r="S2648" t="n">
        <v>456</v>
      </c>
      <c r="T2648" t="n">
        <v>159</v>
      </c>
    </row>
    <row r="2649">
      <c r="A2649" t="inlineStr">
        <is>
          <t>Kylie Makeup</t>
        </is>
      </c>
      <c r="B2649" t="inlineStr">
        <is>
          <t>Lips (01245)</t>
        </is>
      </c>
      <c r="C2649" t="inlineStr">
        <is>
          <t>Kylie Supple Kiss Precision Lip Kit (00007015)</t>
        </is>
      </c>
      <c r="D2649" s="1" t="n">
        <v>4064941176374</v>
      </c>
      <c r="E2649" t="inlineStr">
        <is>
          <t>KJ MU SPP LKIT SET 3ML 1.14G DOLC KGL IV</t>
        </is>
      </c>
      <c r="F2649" t="inlineStr">
        <is>
          <t>P_US_ALL_OTHERS</t>
        </is>
      </c>
      <c r="G2649" t="inlineStr">
        <is>
          <t>CurrentWorkingView</t>
        </is>
      </c>
      <c r="H2649" t="inlineStr">
        <is>
          <t>System FC - Final</t>
        </is>
      </c>
      <c r="I2649" t="n">
        <v>179</v>
      </c>
      <c r="J2649" t="n">
        <v>331</v>
      </c>
      <c r="K2649" t="n">
        <v>99</v>
      </c>
      <c r="L2649" t="n">
        <v>333</v>
      </c>
      <c r="M2649" t="n">
        <v>288</v>
      </c>
      <c r="N2649" t="n">
        <v>257</v>
      </c>
      <c r="O2649" t="n">
        <v>434</v>
      </c>
      <c r="P2649" t="n">
        <v>316</v>
      </c>
      <c r="Q2649" t="n">
        <v>191</v>
      </c>
      <c r="R2649" t="n">
        <v>381</v>
      </c>
      <c r="S2649" t="n">
        <v>465</v>
      </c>
      <c r="T2649" t="n">
        <v>150</v>
      </c>
    </row>
    <row r="2650">
      <c r="A2650" t="inlineStr">
        <is>
          <t>Kylie Makeup</t>
        </is>
      </c>
      <c r="B2650" t="inlineStr">
        <is>
          <t>Lips (01245)</t>
        </is>
      </c>
      <c r="C2650" t="inlineStr">
        <is>
          <t>Kylie Supple Kiss Precision Lip Kit (00007015)</t>
        </is>
      </c>
      <c r="D2650" s="1" t="n">
        <v>4064941176374</v>
      </c>
      <c r="E2650" t="inlineStr">
        <is>
          <t>KJ MU SPP LKIT SET 3ML 1.14G DOLC KGL IV</t>
        </is>
      </c>
      <c r="F2650" t="inlineStr">
        <is>
          <t>P_US_ALL_OTHERS</t>
        </is>
      </c>
      <c r="G2650" t="inlineStr">
        <is>
          <t>CurrentWorkingView</t>
        </is>
      </c>
      <c r="H2650" t="inlineStr">
        <is>
          <t>EPOS</t>
        </is>
      </c>
      <c r="I2650" t="n">
        <v>217</v>
      </c>
    </row>
    <row r="2651">
      <c r="A2651" t="inlineStr">
        <is>
          <t>Kylie Makeup</t>
        </is>
      </c>
      <c r="B2651" t="inlineStr">
        <is>
          <t>Lips (01245)</t>
        </is>
      </c>
      <c r="C2651" t="inlineStr">
        <is>
          <t>Kylie Supple Kiss Precision Lip Kit (00007015)</t>
        </is>
      </c>
      <c r="D2651" s="1" t="n">
        <v>4064941176374</v>
      </c>
      <c r="E2651" t="inlineStr">
        <is>
          <t>KJ MU SPP LKIT SET 3ML 1.14G DOLC KGL IV</t>
        </is>
      </c>
      <c r="F2651" t="inlineStr">
        <is>
          <t>P_US_ALL_OTHERS</t>
        </is>
      </c>
      <c r="G2651" t="inlineStr">
        <is>
          <t>CurrentWorkingView</t>
        </is>
      </c>
      <c r="H2651" t="inlineStr">
        <is>
          <t>Reasonability Adjustment</t>
        </is>
      </c>
      <c r="R2651" t="n">
        <v>-107</v>
      </c>
      <c r="T2651" t="n">
        <v>-35</v>
      </c>
    </row>
    <row r="2652">
      <c r="A2652" t="inlineStr">
        <is>
          <t>Kylie Makeup</t>
        </is>
      </c>
      <c r="B2652" t="inlineStr">
        <is>
          <t>Lips (01245)</t>
        </is>
      </c>
      <c r="C2652" t="inlineStr">
        <is>
          <t>Kylie Supple Kiss Precision Lip Kit (00007015)</t>
        </is>
      </c>
      <c r="D2652" s="1" t="n">
        <v>4064941176374</v>
      </c>
      <c r="E2652" t="inlineStr">
        <is>
          <t>KJ MU SPP LKIT SET 3ML 1.14G DOLC KGL IV</t>
        </is>
      </c>
      <c r="F2652" t="inlineStr">
        <is>
          <t>P_US_ALL_OTHERS</t>
        </is>
      </c>
      <c r="G2652" t="inlineStr">
        <is>
          <t>CurrentWorkingView</t>
        </is>
      </c>
      <c r="H2652" t="inlineStr">
        <is>
          <t>Total Demand Assumption</t>
        </is>
      </c>
      <c r="I2652" t="n">
        <v>7075</v>
      </c>
    </row>
    <row r="2653">
      <c r="A2653" t="inlineStr">
        <is>
          <t>Kylie Makeup</t>
        </is>
      </c>
      <c r="B2653" t="inlineStr">
        <is>
          <t>Lips (01245)</t>
        </is>
      </c>
      <c r="C2653" t="inlineStr">
        <is>
          <t>Kylie Supple Kiss Precision Lip Kit (00007015)</t>
        </is>
      </c>
      <c r="D2653" s="1" t="n">
        <v>4064941176374</v>
      </c>
      <c r="E2653" t="inlineStr">
        <is>
          <t>KJ MU SPP LKIT SET 3ML 1.14G DOLC KGL IV</t>
        </is>
      </c>
      <c r="F2653" t="inlineStr">
        <is>
          <t>P_US_ALL_OTHERS</t>
        </is>
      </c>
      <c r="G2653" t="inlineStr">
        <is>
          <t>CurrentWorkingView</t>
        </is>
      </c>
      <c r="H2653" t="inlineStr">
        <is>
          <t>Consensus - Final</t>
        </is>
      </c>
      <c r="I2653" t="n">
        <v>179</v>
      </c>
      <c r="J2653" t="n">
        <v>331</v>
      </c>
      <c r="K2653" t="n">
        <v>213.446866485013</v>
      </c>
      <c r="L2653" t="n">
        <v>333</v>
      </c>
      <c r="M2653" t="n">
        <v>288</v>
      </c>
      <c r="N2653" t="n">
        <v>257</v>
      </c>
      <c r="O2653" t="n">
        <v>434</v>
      </c>
      <c r="P2653" t="n">
        <v>316</v>
      </c>
      <c r="Q2653" t="n">
        <v>191</v>
      </c>
      <c r="R2653" t="n">
        <v>274</v>
      </c>
      <c r="S2653" t="n">
        <v>465</v>
      </c>
      <c r="T2653" t="n">
        <v>115</v>
      </c>
    </row>
    <row r="2654">
      <c r="A2654" t="inlineStr">
        <is>
          <t>Kylie Makeup</t>
        </is>
      </c>
      <c r="B2654" t="inlineStr">
        <is>
          <t>Lips (01245)</t>
        </is>
      </c>
      <c r="C2654" t="inlineStr">
        <is>
          <t>Kylie Supple Kiss Precision Lip Kit (00007015)</t>
        </is>
      </c>
      <c r="D2654" s="1" t="n">
        <v>4064941176374</v>
      </c>
      <c r="E2654" t="inlineStr">
        <is>
          <t>KJ MU SPP LKIT SET 3ML 1.14G DOLC KGL IV</t>
        </is>
      </c>
      <c r="F2654" t="inlineStr">
        <is>
          <t>P_US_ALL_OTHERS</t>
        </is>
      </c>
      <c r="G2654" t="inlineStr">
        <is>
          <t>CurrentWorkingView</t>
        </is>
      </c>
      <c r="H2654" t="inlineStr">
        <is>
          <t>Supply Cuts</t>
        </is>
      </c>
    </row>
    <row r="2655">
      <c r="A2655" t="inlineStr">
        <is>
          <t>Kylie Makeup</t>
        </is>
      </c>
      <c r="B2655" t="inlineStr">
        <is>
          <t>Lips (01245)</t>
        </is>
      </c>
      <c r="C2655" t="inlineStr">
        <is>
          <t>Kylie Supple Kiss Precision Lip Kit (00007015)</t>
        </is>
      </c>
      <c r="D2655" s="1" t="n">
        <v>4064941176374</v>
      </c>
      <c r="E2655" t="inlineStr">
        <is>
          <t>KJ MU SPP LKIT SET 3ML 1.14G DOLC KGL IV</t>
        </is>
      </c>
      <c r="F2655" t="inlineStr">
        <is>
          <t>P_US_ALL_OTHERS</t>
        </is>
      </c>
      <c r="G2655" t="inlineStr">
        <is>
          <t>Month-2026.M09.W38</t>
        </is>
      </c>
      <c r="H2655" t="inlineStr">
        <is>
          <t>Consensus - Final LY M</t>
        </is>
      </c>
      <c r="I2655" t="n">
        <v>1487</v>
      </c>
      <c r="J2655" t="n">
        <v>20</v>
      </c>
      <c r="K2655" t="n">
        <v>246</v>
      </c>
      <c r="L2655" t="n">
        <v>386</v>
      </c>
      <c r="M2655" t="n">
        <v>438</v>
      </c>
      <c r="N2655" t="n">
        <v>351</v>
      </c>
      <c r="O2655" t="n">
        <v>700</v>
      </c>
      <c r="P2655" t="n">
        <v>542</v>
      </c>
      <c r="Q2655" t="n">
        <v>78</v>
      </c>
      <c r="R2655" t="n">
        <v>404</v>
      </c>
      <c r="S2655" t="n">
        <v>456</v>
      </c>
      <c r="T2655" t="n">
        <v>159</v>
      </c>
    </row>
    <row r="2656">
      <c r="A2656" t="inlineStr">
        <is>
          <t>Kylie Makeup</t>
        </is>
      </c>
      <c r="B2656" t="inlineStr">
        <is>
          <t>Lips (01245)</t>
        </is>
      </c>
      <c r="C2656" t="inlineStr">
        <is>
          <t>Kylie Supple Kiss Precision Lip Kit (00007015)</t>
        </is>
      </c>
      <c r="D2656" s="1" t="n">
        <v>4064941176374</v>
      </c>
      <c r="E2656" t="inlineStr">
        <is>
          <t>KJ MU SPP LKIT SET 3ML 1.14G DOLC KGL IV</t>
        </is>
      </c>
      <c r="F2656" t="inlineStr">
        <is>
          <t>P_US_ALL_OTHERS</t>
        </is>
      </c>
      <c r="G2656" t="inlineStr">
        <is>
          <t>Month-2026.M09.W38</t>
        </is>
      </c>
      <c r="H2656" t="inlineStr">
        <is>
          <t>System FC - Final</t>
        </is>
      </c>
      <c r="I2656" t="n">
        <v>179</v>
      </c>
      <c r="J2656" t="n">
        <v>331</v>
      </c>
      <c r="K2656" t="n">
        <v>137</v>
      </c>
      <c r="L2656" t="n">
        <v>191</v>
      </c>
      <c r="M2656" t="n">
        <v>228</v>
      </c>
      <c r="N2656" t="n">
        <v>151</v>
      </c>
      <c r="O2656" t="n">
        <v>434</v>
      </c>
      <c r="P2656" t="n">
        <v>236</v>
      </c>
      <c r="Q2656" t="n">
        <v>124</v>
      </c>
      <c r="R2656" t="n">
        <v>249</v>
      </c>
      <c r="S2656" t="n">
        <v>279</v>
      </c>
      <c r="T2656" t="n">
        <v>125</v>
      </c>
    </row>
    <row r="2657">
      <c r="A2657" t="inlineStr">
        <is>
          <t>Kylie Makeup</t>
        </is>
      </c>
      <c r="B2657" t="inlineStr">
        <is>
          <t>Lips (01245)</t>
        </is>
      </c>
      <c r="C2657" t="inlineStr">
        <is>
          <t>Kylie Supple Kiss Precision Lip Kit (00007015)</t>
        </is>
      </c>
      <c r="D2657" s="1" t="n">
        <v>4064941176374</v>
      </c>
      <c r="E2657" t="inlineStr">
        <is>
          <t>KJ MU SPP LKIT SET 3ML 1.14G DOLC KGL IV</t>
        </is>
      </c>
      <c r="F2657" t="inlineStr">
        <is>
          <t>P_US_ALL_OTHERS</t>
        </is>
      </c>
      <c r="G2657" t="inlineStr">
        <is>
          <t>Month-2026.M09.W38</t>
        </is>
      </c>
      <c r="H2657" t="inlineStr">
        <is>
          <t>EPOS</t>
        </is>
      </c>
      <c r="I2657" t="n">
        <v>217</v>
      </c>
    </row>
    <row r="2658">
      <c r="A2658" t="inlineStr">
        <is>
          <t>Kylie Makeup</t>
        </is>
      </c>
      <c r="B2658" t="inlineStr">
        <is>
          <t>Lips (01245)</t>
        </is>
      </c>
      <c r="C2658" t="inlineStr">
        <is>
          <t>Kylie Supple Kiss Precision Lip Kit (00007015)</t>
        </is>
      </c>
      <c r="D2658" s="1" t="n">
        <v>4064941176374</v>
      </c>
      <c r="E2658" t="inlineStr">
        <is>
          <t>KJ MU SPP LKIT SET 3ML 1.14G DOLC KGL IV</t>
        </is>
      </c>
      <c r="F2658" t="inlineStr">
        <is>
          <t>P_US_ALL_OTHERS</t>
        </is>
      </c>
      <c r="G2658" t="inlineStr">
        <is>
          <t>Month-2026.M09.W38</t>
        </is>
      </c>
      <c r="H2658" t="inlineStr">
        <is>
          <t>Reasonability Adjustment</t>
        </is>
      </c>
      <c r="R2658" t="n">
        <v>-107</v>
      </c>
      <c r="T2658" t="n">
        <v>-35</v>
      </c>
    </row>
    <row r="2659">
      <c r="A2659" t="inlineStr">
        <is>
          <t>Kylie Makeup</t>
        </is>
      </c>
      <c r="B2659" t="inlineStr">
        <is>
          <t>Lips (01245)</t>
        </is>
      </c>
      <c r="C2659" t="inlineStr">
        <is>
          <t>Kylie Supple Kiss Precision Lip Kit (00007015)</t>
        </is>
      </c>
      <c r="D2659" s="1" t="n">
        <v>4064941176374</v>
      </c>
      <c r="E2659" t="inlineStr">
        <is>
          <t>KJ MU SPP LKIT SET 3ML 1.14G DOLC KGL IV</t>
        </is>
      </c>
      <c r="F2659" t="inlineStr">
        <is>
          <t>P_US_ALL_OTHERS</t>
        </is>
      </c>
      <c r="G2659" t="inlineStr">
        <is>
          <t>Month-2026.M09.W38</t>
        </is>
      </c>
      <c r="H2659" t="inlineStr">
        <is>
          <t>Total Demand Assumption</t>
        </is>
      </c>
      <c r="I2659" t="n">
        <v>7075</v>
      </c>
    </row>
    <row r="2660">
      <c r="A2660" t="inlineStr">
        <is>
          <t>Kylie Makeup</t>
        </is>
      </c>
      <c r="B2660" t="inlineStr">
        <is>
          <t>Lips (01245)</t>
        </is>
      </c>
      <c r="C2660" t="inlineStr">
        <is>
          <t>Kylie Supple Kiss Precision Lip Kit (00007015)</t>
        </is>
      </c>
      <c r="D2660" s="1" t="n">
        <v>4064941176374</v>
      </c>
      <c r="E2660" t="inlineStr">
        <is>
          <t>KJ MU SPP LKIT SET 3ML 1.14G DOLC KGL IV</t>
        </is>
      </c>
      <c r="F2660" t="inlineStr">
        <is>
          <t>P_US_ALL_OTHERS</t>
        </is>
      </c>
      <c r="G2660" t="inlineStr">
        <is>
          <t>Month-2026.M09.W38</t>
        </is>
      </c>
      <c r="H2660" t="inlineStr">
        <is>
          <t>Consensus - Final</t>
        </is>
      </c>
      <c r="I2660" t="n">
        <v>179</v>
      </c>
      <c r="J2660" t="n">
        <v>331</v>
      </c>
      <c r="K2660" t="n">
        <v>213.446866485013</v>
      </c>
      <c r="L2660" t="n">
        <v>191</v>
      </c>
      <c r="M2660" t="n">
        <v>228</v>
      </c>
      <c r="N2660" t="n">
        <v>151</v>
      </c>
      <c r="O2660" t="n">
        <v>434</v>
      </c>
      <c r="P2660" t="n">
        <v>236</v>
      </c>
      <c r="Q2660" t="n">
        <v>124</v>
      </c>
      <c r="R2660" t="n">
        <v>142</v>
      </c>
      <c r="S2660" t="n">
        <v>279</v>
      </c>
      <c r="T2660" t="n">
        <v>90</v>
      </c>
    </row>
    <row r="2661">
      <c r="A2661" t="inlineStr">
        <is>
          <t>Kylie Makeup</t>
        </is>
      </c>
      <c r="B2661" t="inlineStr">
        <is>
          <t>Lips (01245)</t>
        </is>
      </c>
      <c r="C2661" t="inlineStr">
        <is>
          <t>Kylie Supple Kiss Precision Lip Kit (00007015)</t>
        </is>
      </c>
      <c r="D2661" s="1" t="n">
        <v>4064941176374</v>
      </c>
      <c r="E2661" t="inlineStr">
        <is>
          <t>KJ MU SPP LKIT SET 3ML 1.14G DOLC KGL IV</t>
        </is>
      </c>
      <c r="F2661" t="inlineStr">
        <is>
          <t>P_US_ALL_OTHERS</t>
        </is>
      </c>
      <c r="G2661" t="inlineStr">
        <is>
          <t>Month-2026.M09.W38</t>
        </is>
      </c>
      <c r="H2661" t="inlineStr">
        <is>
          <t>Supply Cuts</t>
        </is>
      </c>
    </row>
    <row r="2662">
      <c r="A2662" t="inlineStr">
        <is>
          <t>Kylie Makeup</t>
        </is>
      </c>
      <c r="B2662" t="inlineStr">
        <is>
          <t>Lips (01245)</t>
        </is>
      </c>
      <c r="C2662" t="inlineStr">
        <is>
          <t>Kylie Supple Kiss Precision Lip Kit (00007015)</t>
        </is>
      </c>
      <c r="D2662" s="1" t="n">
        <v>4064941176374</v>
      </c>
      <c r="E2662" t="inlineStr">
        <is>
          <t>KJ MU SPP LKIT SET 3ML 1.14G DOLC KGL IV</t>
        </is>
      </c>
      <c r="F2662" t="inlineStr">
        <is>
          <t>P_US_FG</t>
        </is>
      </c>
      <c r="G2662" t="inlineStr">
        <is>
          <t>CurrentWorkingView</t>
        </is>
      </c>
      <c r="H2662" t="inlineStr">
        <is>
          <t>Consensus - Final LY M</t>
        </is>
      </c>
      <c r="I2662" t="n">
        <v>575</v>
      </c>
      <c r="J2662" t="n">
        <v>62</v>
      </c>
      <c r="K2662" t="n">
        <v>50</v>
      </c>
      <c r="L2662" t="n">
        <v>10</v>
      </c>
      <c r="M2662" t="n">
        <v>171</v>
      </c>
      <c r="N2662" t="n">
        <v>15</v>
      </c>
      <c r="Q2662" t="n">
        <v>345</v>
      </c>
      <c r="S2662" t="n">
        <v>1</v>
      </c>
      <c r="T2662" t="n">
        <v>11</v>
      </c>
    </row>
    <row r="2663">
      <c r="A2663" t="inlineStr">
        <is>
          <t>Kylie Makeup</t>
        </is>
      </c>
      <c r="B2663" t="inlineStr">
        <is>
          <t>Lips (01245)</t>
        </is>
      </c>
      <c r="C2663" t="inlineStr">
        <is>
          <t>Kylie Supple Kiss Precision Lip Kit (00007015)</t>
        </is>
      </c>
      <c r="D2663" s="1" t="n">
        <v>4064941176374</v>
      </c>
      <c r="E2663" t="inlineStr">
        <is>
          <t>KJ MU SPP LKIT SET 3ML 1.14G DOLC KGL IV</t>
        </is>
      </c>
      <c r="F2663" t="inlineStr">
        <is>
          <t>P_US_FG</t>
        </is>
      </c>
      <c r="G2663" t="inlineStr">
        <is>
          <t>CurrentWorkingView</t>
        </is>
      </c>
      <c r="H2663" t="inlineStr">
        <is>
          <t>System FC - Final</t>
        </is>
      </c>
      <c r="K2663" t="n">
        <v>21</v>
      </c>
      <c r="L2663" t="n">
        <v>63</v>
      </c>
      <c r="M2663" t="n">
        <v>64</v>
      </c>
      <c r="N2663" t="n">
        <v>62</v>
      </c>
      <c r="O2663" t="n">
        <v>62</v>
      </c>
      <c r="P2663" t="n">
        <v>60</v>
      </c>
      <c r="Q2663" t="n">
        <v>62</v>
      </c>
      <c r="R2663" t="n">
        <v>63</v>
      </c>
      <c r="S2663" t="n">
        <v>62</v>
      </c>
      <c r="T2663" t="n">
        <v>63</v>
      </c>
    </row>
    <row r="2664">
      <c r="A2664" t="inlineStr">
        <is>
          <t>Kylie Makeup</t>
        </is>
      </c>
      <c r="B2664" t="inlineStr">
        <is>
          <t>Lips (01245)</t>
        </is>
      </c>
      <c r="C2664" t="inlineStr">
        <is>
          <t>Kylie Supple Kiss Precision Lip Kit (00007015)</t>
        </is>
      </c>
      <c r="D2664" s="1" t="n">
        <v>4064941176374</v>
      </c>
      <c r="E2664" t="inlineStr">
        <is>
          <t>KJ MU SPP LKIT SET 3ML 1.14G DOLC KGL IV</t>
        </is>
      </c>
      <c r="F2664" t="inlineStr">
        <is>
          <t>P_US_FG</t>
        </is>
      </c>
      <c r="G2664" t="inlineStr">
        <is>
          <t>CurrentWorkingView</t>
        </is>
      </c>
      <c r="H2664" t="inlineStr">
        <is>
          <t>EPOS</t>
        </is>
      </c>
    </row>
    <row r="2665">
      <c r="A2665" t="inlineStr">
        <is>
          <t>Kylie Makeup</t>
        </is>
      </c>
      <c r="B2665" t="inlineStr">
        <is>
          <t>Lips (01245)</t>
        </is>
      </c>
      <c r="C2665" t="inlineStr">
        <is>
          <t>Kylie Supple Kiss Precision Lip Kit (00007015)</t>
        </is>
      </c>
      <c r="D2665" s="1" t="n">
        <v>4064941176374</v>
      </c>
      <c r="E2665" t="inlineStr">
        <is>
          <t>KJ MU SPP LKIT SET 3ML 1.14G DOLC KGL IV</t>
        </is>
      </c>
      <c r="F2665" t="inlineStr">
        <is>
          <t>P_US_FG</t>
        </is>
      </c>
      <c r="G2665" t="inlineStr">
        <is>
          <t>CurrentWorkingView</t>
        </is>
      </c>
      <c r="H2665" t="inlineStr">
        <is>
          <t>Reasonability Adjustment</t>
        </is>
      </c>
    </row>
    <row r="2666">
      <c r="A2666" t="inlineStr">
        <is>
          <t>Kylie Makeup</t>
        </is>
      </c>
      <c r="B2666" t="inlineStr">
        <is>
          <t>Lips (01245)</t>
        </is>
      </c>
      <c r="C2666" t="inlineStr">
        <is>
          <t>Kylie Supple Kiss Precision Lip Kit (00007015)</t>
        </is>
      </c>
      <c r="D2666" s="1" t="n">
        <v>4064941176374</v>
      </c>
      <c r="E2666" t="inlineStr">
        <is>
          <t>KJ MU SPP LKIT SET 3ML 1.14G DOLC KGL IV</t>
        </is>
      </c>
      <c r="F2666" t="inlineStr">
        <is>
          <t>P_US_FG</t>
        </is>
      </c>
      <c r="G2666" t="inlineStr">
        <is>
          <t>CurrentWorkingView</t>
        </is>
      </c>
      <c r="H2666" t="inlineStr">
        <is>
          <t>Total Demand Assumption</t>
        </is>
      </c>
    </row>
    <row r="2667">
      <c r="A2667" t="inlineStr">
        <is>
          <t>Kylie Makeup</t>
        </is>
      </c>
      <c r="B2667" t="inlineStr">
        <is>
          <t>Lips (01245)</t>
        </is>
      </c>
      <c r="C2667" t="inlineStr">
        <is>
          <t>Kylie Supple Kiss Precision Lip Kit (00007015)</t>
        </is>
      </c>
      <c r="D2667" s="1" t="n">
        <v>4064941176374</v>
      </c>
      <c r="E2667" t="inlineStr">
        <is>
          <t>KJ MU SPP LKIT SET 3ML 1.14G DOLC KGL IV</t>
        </is>
      </c>
      <c r="F2667" t="inlineStr">
        <is>
          <t>P_US_FG</t>
        </is>
      </c>
      <c r="G2667" t="inlineStr">
        <is>
          <t>CurrentWorkingView</t>
        </is>
      </c>
      <c r="H2667" t="inlineStr">
        <is>
          <t>Consensus - Final</t>
        </is>
      </c>
      <c r="K2667" t="n">
        <v>0</v>
      </c>
    </row>
    <row r="2668">
      <c r="A2668" t="inlineStr">
        <is>
          <t>Kylie Makeup</t>
        </is>
      </c>
      <c r="B2668" t="inlineStr">
        <is>
          <t>Lips (01245)</t>
        </is>
      </c>
      <c r="C2668" t="inlineStr">
        <is>
          <t>Kylie Supple Kiss Precision Lip Kit (00007015)</t>
        </is>
      </c>
      <c r="D2668" s="1" t="n">
        <v>4064941176374</v>
      </c>
      <c r="E2668" t="inlineStr">
        <is>
          <t>KJ MU SPP LKIT SET 3ML 1.14G DOLC KGL IV</t>
        </is>
      </c>
      <c r="F2668" t="inlineStr">
        <is>
          <t>P_US_FG</t>
        </is>
      </c>
      <c r="G2668" t="inlineStr">
        <is>
          <t>CurrentWorkingView</t>
        </is>
      </c>
      <c r="H2668" t="inlineStr">
        <is>
          <t>Supply Cuts</t>
        </is>
      </c>
    </row>
    <row r="2669">
      <c r="A2669" t="inlineStr">
        <is>
          <t>Kylie Makeup</t>
        </is>
      </c>
      <c r="B2669" t="inlineStr">
        <is>
          <t>Lips (01245)</t>
        </is>
      </c>
      <c r="C2669" t="inlineStr">
        <is>
          <t>Kylie Supple Kiss Precision Lip Kit (00007015)</t>
        </is>
      </c>
      <c r="D2669" s="1" t="n">
        <v>4064941176374</v>
      </c>
      <c r="E2669" t="inlineStr">
        <is>
          <t>KJ MU SPP LKIT SET 3ML 1.14G DOLC KGL IV</t>
        </is>
      </c>
      <c r="F2669" t="inlineStr">
        <is>
          <t>P_US_FG</t>
        </is>
      </c>
      <c r="G2669" t="inlineStr">
        <is>
          <t>Month-2026.M09.W38</t>
        </is>
      </c>
      <c r="H2669" t="inlineStr">
        <is>
          <t>Consensus - Final LY M</t>
        </is>
      </c>
      <c r="I2669" t="n">
        <v>575</v>
      </c>
      <c r="J2669" t="n">
        <v>62</v>
      </c>
      <c r="K2669" t="n">
        <v>50</v>
      </c>
      <c r="L2669" t="n">
        <v>10</v>
      </c>
      <c r="M2669" t="n">
        <v>171</v>
      </c>
      <c r="N2669" t="n">
        <v>15</v>
      </c>
      <c r="Q2669" t="n">
        <v>345</v>
      </c>
      <c r="S2669" t="n">
        <v>1</v>
      </c>
      <c r="T2669" t="n">
        <v>11</v>
      </c>
    </row>
    <row r="2670">
      <c r="A2670" t="inlineStr">
        <is>
          <t>Kylie Makeup</t>
        </is>
      </c>
      <c r="B2670" t="inlineStr">
        <is>
          <t>Lips (01245)</t>
        </is>
      </c>
      <c r="C2670" t="inlineStr">
        <is>
          <t>Kylie Supple Kiss Precision Lip Kit (00007015)</t>
        </is>
      </c>
      <c r="D2670" s="1" t="n">
        <v>4064941176374</v>
      </c>
      <c r="E2670" t="inlineStr">
        <is>
          <t>KJ MU SPP LKIT SET 3ML 1.14G DOLC KGL IV</t>
        </is>
      </c>
      <c r="F2670" t="inlineStr">
        <is>
          <t>P_US_FG</t>
        </is>
      </c>
      <c r="G2670" t="inlineStr">
        <is>
          <t>Month-2026.M09.W38</t>
        </is>
      </c>
      <c r="H2670" t="inlineStr">
        <is>
          <t>System FC - Final</t>
        </is>
      </c>
      <c r="K2670" t="n">
        <v>31</v>
      </c>
      <c r="L2670" t="n">
        <v>38</v>
      </c>
      <c r="M2670" t="n">
        <v>42</v>
      </c>
      <c r="N2670" t="n">
        <v>37</v>
      </c>
      <c r="O2670" t="n">
        <v>35</v>
      </c>
      <c r="P2670" t="n">
        <v>40</v>
      </c>
      <c r="Q2670" t="n">
        <v>35</v>
      </c>
      <c r="R2670" t="n">
        <v>43</v>
      </c>
      <c r="S2670" t="n">
        <v>36</v>
      </c>
      <c r="T2670" t="n">
        <v>42</v>
      </c>
    </row>
    <row r="2671">
      <c r="A2671" t="inlineStr">
        <is>
          <t>Kylie Makeup</t>
        </is>
      </c>
      <c r="B2671" t="inlineStr">
        <is>
          <t>Lips (01245)</t>
        </is>
      </c>
      <c r="C2671" t="inlineStr">
        <is>
          <t>Kylie Supple Kiss Precision Lip Kit (00007015)</t>
        </is>
      </c>
      <c r="D2671" s="1" t="n">
        <v>4064941176374</v>
      </c>
      <c r="E2671" t="inlineStr">
        <is>
          <t>KJ MU SPP LKIT SET 3ML 1.14G DOLC KGL IV</t>
        </is>
      </c>
      <c r="F2671" t="inlineStr">
        <is>
          <t>P_US_FG</t>
        </is>
      </c>
      <c r="G2671" t="inlineStr">
        <is>
          <t>Month-2026.M09.W38</t>
        </is>
      </c>
      <c r="H2671" t="inlineStr">
        <is>
          <t>EPOS</t>
        </is>
      </c>
    </row>
    <row r="2672">
      <c r="A2672" t="inlineStr">
        <is>
          <t>Kylie Makeup</t>
        </is>
      </c>
      <c r="B2672" t="inlineStr">
        <is>
          <t>Lips (01245)</t>
        </is>
      </c>
      <c r="C2672" t="inlineStr">
        <is>
          <t>Kylie Supple Kiss Precision Lip Kit (00007015)</t>
        </is>
      </c>
      <c r="D2672" s="1" t="n">
        <v>4064941176374</v>
      </c>
      <c r="E2672" t="inlineStr">
        <is>
          <t>KJ MU SPP LKIT SET 3ML 1.14G DOLC KGL IV</t>
        </is>
      </c>
      <c r="F2672" t="inlineStr">
        <is>
          <t>P_US_FG</t>
        </is>
      </c>
      <c r="G2672" t="inlineStr">
        <is>
          <t>Month-2026.M09.W38</t>
        </is>
      </c>
      <c r="H2672" t="inlineStr">
        <is>
          <t>Reasonability Adjustment</t>
        </is>
      </c>
    </row>
    <row r="2673">
      <c r="A2673" t="inlineStr">
        <is>
          <t>Kylie Makeup</t>
        </is>
      </c>
      <c r="B2673" t="inlineStr">
        <is>
          <t>Lips (01245)</t>
        </is>
      </c>
      <c r="C2673" t="inlineStr">
        <is>
          <t>Kylie Supple Kiss Precision Lip Kit (00007015)</t>
        </is>
      </c>
      <c r="D2673" s="1" t="n">
        <v>4064941176374</v>
      </c>
      <c r="E2673" t="inlineStr">
        <is>
          <t>KJ MU SPP LKIT SET 3ML 1.14G DOLC KGL IV</t>
        </is>
      </c>
      <c r="F2673" t="inlineStr">
        <is>
          <t>P_US_FG</t>
        </is>
      </c>
      <c r="G2673" t="inlineStr">
        <is>
          <t>Month-2026.M09.W38</t>
        </is>
      </c>
      <c r="H2673" t="inlineStr">
        <is>
          <t>Total Demand Assumption</t>
        </is>
      </c>
    </row>
    <row r="2674">
      <c r="A2674" t="inlineStr">
        <is>
          <t>Kylie Makeup</t>
        </is>
      </c>
      <c r="B2674" t="inlineStr">
        <is>
          <t>Lips (01245)</t>
        </is>
      </c>
      <c r="C2674" t="inlineStr">
        <is>
          <t>Kylie Supple Kiss Precision Lip Kit (00007015)</t>
        </is>
      </c>
      <c r="D2674" s="1" t="n">
        <v>4064941176374</v>
      </c>
      <c r="E2674" t="inlineStr">
        <is>
          <t>KJ MU SPP LKIT SET 3ML 1.14G DOLC KGL IV</t>
        </is>
      </c>
      <c r="F2674" t="inlineStr">
        <is>
          <t>P_US_FG</t>
        </is>
      </c>
      <c r="G2674" t="inlineStr">
        <is>
          <t>Month-2026.M09.W38</t>
        </is>
      </c>
      <c r="H2674" t="inlineStr">
        <is>
          <t>Consensus - Final</t>
        </is>
      </c>
      <c r="K2674" t="n">
        <v>0</v>
      </c>
    </row>
    <row r="2675">
      <c r="A2675" t="inlineStr">
        <is>
          <t>Kylie Makeup</t>
        </is>
      </c>
      <c r="B2675" t="inlineStr">
        <is>
          <t>Lips (01245)</t>
        </is>
      </c>
      <c r="C2675" t="inlineStr">
        <is>
          <t>Kylie Supple Kiss Precision Lip Kit (00007015)</t>
        </is>
      </c>
      <c r="D2675" s="1" t="n">
        <v>4064941176374</v>
      </c>
      <c r="E2675" t="inlineStr">
        <is>
          <t>KJ MU SPP LKIT SET 3ML 1.14G DOLC KGL IV</t>
        </is>
      </c>
      <c r="F2675" t="inlineStr">
        <is>
          <t>P_US_FG</t>
        </is>
      </c>
      <c r="G2675" t="inlineStr">
        <is>
          <t>Month-2026.M09.W38</t>
        </is>
      </c>
      <c r="H2675" t="inlineStr">
        <is>
          <t>Supply Cuts</t>
        </is>
      </c>
    </row>
    <row r="2676">
      <c r="A2676" t="inlineStr">
        <is>
          <t>Kylie Makeup</t>
        </is>
      </c>
      <c r="B2676" t="inlineStr">
        <is>
          <t>Lips (01245)</t>
        </is>
      </c>
      <c r="C2676" t="inlineStr">
        <is>
          <t>Kylie Supple Kiss Precision Lip Kit (00007015)</t>
        </is>
      </c>
      <c r="D2676" s="1" t="n">
        <v>4064941176374</v>
      </c>
      <c r="E2676" t="inlineStr">
        <is>
          <t>KJ MU SPP LKIT SET 3ML 1.14G DOLC KGL IV</t>
        </is>
      </c>
      <c r="F2676" t="inlineStr">
        <is>
          <t>P_US_ULTA</t>
        </is>
      </c>
      <c r="G2676" t="inlineStr">
        <is>
          <t>CurrentWorkingView</t>
        </is>
      </c>
      <c r="H2676" t="inlineStr">
        <is>
          <t>Consensus - Final LY M</t>
        </is>
      </c>
      <c r="I2676" t="n">
        <v>4128</v>
      </c>
      <c r="J2676" t="n">
        <v>2304</v>
      </c>
      <c r="K2676" t="n">
        <v>1632</v>
      </c>
      <c r="L2676" t="n">
        <v>1776</v>
      </c>
      <c r="M2676" t="n">
        <v>3120</v>
      </c>
      <c r="N2676" t="n">
        <v>1056</v>
      </c>
      <c r="O2676" t="n">
        <v>1632</v>
      </c>
      <c r="P2676" t="n">
        <v>1344</v>
      </c>
      <c r="Q2676" t="n">
        <v>1776</v>
      </c>
      <c r="R2676" t="n">
        <v>864</v>
      </c>
      <c r="S2676" t="n">
        <v>1824</v>
      </c>
      <c r="T2676" t="n">
        <v>1344</v>
      </c>
    </row>
    <row r="2677">
      <c r="A2677" t="inlineStr">
        <is>
          <t>Kylie Makeup</t>
        </is>
      </c>
      <c r="B2677" t="inlineStr">
        <is>
          <t>Lips (01245)</t>
        </is>
      </c>
      <c r="C2677" t="inlineStr">
        <is>
          <t>Kylie Supple Kiss Precision Lip Kit (00007015)</t>
        </is>
      </c>
      <c r="D2677" s="1" t="n">
        <v>4064941176374</v>
      </c>
      <c r="E2677" t="inlineStr">
        <is>
          <t>KJ MU SPP LKIT SET 3ML 1.14G DOLC KGL IV</t>
        </is>
      </c>
      <c r="F2677" t="inlineStr">
        <is>
          <t>P_US_ULTA</t>
        </is>
      </c>
      <c r="G2677" t="inlineStr">
        <is>
          <t>CurrentWorkingView</t>
        </is>
      </c>
      <c r="H2677" t="inlineStr">
        <is>
          <t>System FC - Final</t>
        </is>
      </c>
      <c r="I2677" t="n">
        <v>4656</v>
      </c>
      <c r="J2677" t="n">
        <v>2448</v>
      </c>
      <c r="K2677" t="n">
        <v>1904</v>
      </c>
      <c r="L2677" t="n">
        <v>2202</v>
      </c>
      <c r="M2677" t="n">
        <v>2199</v>
      </c>
      <c r="N2677" t="n">
        <v>2201</v>
      </c>
      <c r="O2677" t="n">
        <v>2201</v>
      </c>
      <c r="P2677" t="n">
        <v>2200</v>
      </c>
      <c r="Q2677" t="n">
        <v>2201</v>
      </c>
      <c r="R2677" t="n">
        <v>2199</v>
      </c>
      <c r="S2677" t="n">
        <v>2201</v>
      </c>
      <c r="T2677" t="n">
        <v>2199</v>
      </c>
    </row>
    <row r="2678">
      <c r="A2678" t="inlineStr">
        <is>
          <t>Kylie Makeup</t>
        </is>
      </c>
      <c r="B2678" t="inlineStr">
        <is>
          <t>Lips (01245)</t>
        </is>
      </c>
      <c r="C2678" t="inlineStr">
        <is>
          <t>Kylie Supple Kiss Precision Lip Kit (00007015)</t>
        </is>
      </c>
      <c r="D2678" s="1" t="n">
        <v>4064941176374</v>
      </c>
      <c r="E2678" t="inlineStr">
        <is>
          <t>KJ MU SPP LKIT SET 3ML 1.14G DOLC KGL IV</t>
        </is>
      </c>
      <c r="F2678" t="inlineStr">
        <is>
          <t>P_US_ULTA</t>
        </is>
      </c>
      <c r="G2678" t="inlineStr">
        <is>
          <t>CurrentWorkingView</t>
        </is>
      </c>
      <c r="H2678" t="inlineStr">
        <is>
          <t>EPOS</t>
        </is>
      </c>
      <c r="I2678" t="n">
        <v>899</v>
      </c>
    </row>
    <row r="2679">
      <c r="A2679" t="inlineStr">
        <is>
          <t>Kylie Makeup</t>
        </is>
      </c>
      <c r="B2679" t="inlineStr">
        <is>
          <t>Lips (01245)</t>
        </is>
      </c>
      <c r="C2679" t="inlineStr">
        <is>
          <t>Kylie Supple Kiss Precision Lip Kit (00007015)</t>
        </is>
      </c>
      <c r="D2679" s="1" t="n">
        <v>4064941176374</v>
      </c>
      <c r="E2679" t="inlineStr">
        <is>
          <t>KJ MU SPP LKIT SET 3ML 1.14G DOLC KGL IV</t>
        </is>
      </c>
      <c r="F2679" t="inlineStr">
        <is>
          <t>P_US_ULTA</t>
        </is>
      </c>
      <c r="G2679" t="inlineStr">
        <is>
          <t>CurrentWorkingView</t>
        </is>
      </c>
      <c r="H2679" t="inlineStr">
        <is>
          <t>Reasonability Adjustment</t>
        </is>
      </c>
      <c r="R2679" t="n">
        <v>-841</v>
      </c>
      <c r="T2679" t="n">
        <v>-555</v>
      </c>
    </row>
    <row r="2680">
      <c r="A2680" t="inlineStr">
        <is>
          <t>Kylie Makeup</t>
        </is>
      </c>
      <c r="B2680" t="inlineStr">
        <is>
          <t>Lips (01245)</t>
        </is>
      </c>
      <c r="C2680" t="inlineStr">
        <is>
          <t>Kylie Supple Kiss Precision Lip Kit (00007015)</t>
        </is>
      </c>
      <c r="D2680" s="1" t="n">
        <v>4064941176374</v>
      </c>
      <c r="E2680" t="inlineStr">
        <is>
          <t>KJ MU SPP LKIT SET 3ML 1.14G DOLC KGL IV</t>
        </is>
      </c>
      <c r="F2680" t="inlineStr">
        <is>
          <t>P_US_ULTA</t>
        </is>
      </c>
      <c r="G2680" t="inlineStr">
        <is>
          <t>CurrentWorkingView</t>
        </is>
      </c>
      <c r="H2680" t="inlineStr">
        <is>
          <t>Total Demand Assumption</t>
        </is>
      </c>
    </row>
    <row r="2681">
      <c r="A2681" t="inlineStr">
        <is>
          <t>Kylie Makeup</t>
        </is>
      </c>
      <c r="B2681" t="inlineStr">
        <is>
          <t>Lips (01245)</t>
        </is>
      </c>
      <c r="C2681" t="inlineStr">
        <is>
          <t>Kylie Supple Kiss Precision Lip Kit (00007015)</t>
        </is>
      </c>
      <c r="D2681" s="1" t="n">
        <v>4064941176374</v>
      </c>
      <c r="E2681" t="inlineStr">
        <is>
          <t>KJ MU SPP LKIT SET 3ML 1.14G DOLC KGL IV</t>
        </is>
      </c>
      <c r="F2681" t="inlineStr">
        <is>
          <t>P_US_ULTA</t>
        </is>
      </c>
      <c r="G2681" t="inlineStr">
        <is>
          <t>CurrentWorkingView</t>
        </is>
      </c>
      <c r="H2681" t="inlineStr">
        <is>
          <t>Consensus - Final</t>
        </is>
      </c>
      <c r="I2681" t="n">
        <v>4656</v>
      </c>
      <c r="J2681" t="n">
        <v>2448</v>
      </c>
      <c r="K2681" t="n">
        <v>1818.55313351498</v>
      </c>
      <c r="L2681" t="n">
        <v>2202</v>
      </c>
      <c r="M2681" t="n">
        <v>2199</v>
      </c>
      <c r="N2681" t="n">
        <v>2201</v>
      </c>
      <c r="O2681" t="n">
        <v>2201</v>
      </c>
      <c r="P2681" t="n">
        <v>2200</v>
      </c>
      <c r="Q2681" t="n">
        <v>2201</v>
      </c>
      <c r="R2681" t="n">
        <v>1358</v>
      </c>
      <c r="S2681" t="n">
        <v>2201</v>
      </c>
      <c r="T2681" t="n">
        <v>1644</v>
      </c>
    </row>
    <row r="2682">
      <c r="A2682" t="inlineStr">
        <is>
          <t>Kylie Makeup</t>
        </is>
      </c>
      <c r="B2682" t="inlineStr">
        <is>
          <t>Lips (01245)</t>
        </is>
      </c>
      <c r="C2682" t="inlineStr">
        <is>
          <t>Kylie Supple Kiss Precision Lip Kit (00007015)</t>
        </is>
      </c>
      <c r="D2682" s="1" t="n">
        <v>4064941176374</v>
      </c>
      <c r="E2682" t="inlineStr">
        <is>
          <t>KJ MU SPP LKIT SET 3ML 1.14G DOLC KGL IV</t>
        </is>
      </c>
      <c r="F2682" t="inlineStr">
        <is>
          <t>P_US_ULTA</t>
        </is>
      </c>
      <c r="G2682" t="inlineStr">
        <is>
          <t>CurrentWorkingView</t>
        </is>
      </c>
      <c r="H2682" t="inlineStr">
        <is>
          <t>Supply Cuts</t>
        </is>
      </c>
    </row>
    <row r="2683">
      <c r="A2683" t="inlineStr">
        <is>
          <t>Kylie Makeup</t>
        </is>
      </c>
      <c r="B2683" t="inlineStr">
        <is>
          <t>Lips (01245)</t>
        </is>
      </c>
      <c r="C2683" t="inlineStr">
        <is>
          <t>Kylie Supple Kiss Precision Lip Kit (00007015)</t>
        </is>
      </c>
      <c r="D2683" s="1" t="n">
        <v>4064941176374</v>
      </c>
      <c r="E2683" t="inlineStr">
        <is>
          <t>KJ MU SPP LKIT SET 3ML 1.14G DOLC KGL IV</t>
        </is>
      </c>
      <c r="F2683" t="inlineStr">
        <is>
          <t>P_US_ULTA</t>
        </is>
      </c>
      <c r="G2683" t="inlineStr">
        <is>
          <t>Month-2026.M09.W38</t>
        </is>
      </c>
      <c r="H2683" t="inlineStr">
        <is>
          <t>Consensus - Final LY M</t>
        </is>
      </c>
      <c r="I2683" t="n">
        <v>4128</v>
      </c>
      <c r="J2683" t="n">
        <v>2304</v>
      </c>
      <c r="K2683" t="n">
        <v>1632</v>
      </c>
      <c r="L2683" t="n">
        <v>1776</v>
      </c>
      <c r="M2683" t="n">
        <v>3120</v>
      </c>
      <c r="N2683" t="n">
        <v>1056</v>
      </c>
      <c r="O2683" t="n">
        <v>1632</v>
      </c>
      <c r="P2683" t="n">
        <v>1344</v>
      </c>
      <c r="Q2683" t="n">
        <v>1776</v>
      </c>
      <c r="R2683" t="n">
        <v>864</v>
      </c>
      <c r="S2683" t="n">
        <v>1824</v>
      </c>
      <c r="T2683" t="n">
        <v>1344</v>
      </c>
    </row>
    <row r="2684">
      <c r="A2684" t="inlineStr">
        <is>
          <t>Kylie Makeup</t>
        </is>
      </c>
      <c r="B2684" t="inlineStr">
        <is>
          <t>Lips (01245)</t>
        </is>
      </c>
      <c r="C2684" t="inlineStr">
        <is>
          <t>Kylie Supple Kiss Precision Lip Kit (00007015)</t>
        </is>
      </c>
      <c r="D2684" s="1" t="n">
        <v>4064941176374</v>
      </c>
      <c r="E2684" t="inlineStr">
        <is>
          <t>KJ MU SPP LKIT SET 3ML 1.14G DOLC KGL IV</t>
        </is>
      </c>
      <c r="F2684" t="inlineStr">
        <is>
          <t>P_US_ULTA</t>
        </is>
      </c>
      <c r="G2684" t="inlineStr">
        <is>
          <t>Month-2026.M09.W38</t>
        </is>
      </c>
      <c r="H2684" t="inlineStr">
        <is>
          <t>System FC - Final</t>
        </is>
      </c>
      <c r="I2684" t="n">
        <v>4656</v>
      </c>
      <c r="J2684" t="n">
        <v>2448</v>
      </c>
      <c r="K2684" t="n">
        <v>1883</v>
      </c>
      <c r="L2684" t="n">
        <v>1970</v>
      </c>
      <c r="M2684" t="n">
        <v>1968</v>
      </c>
      <c r="N2684" t="n">
        <v>1970</v>
      </c>
      <c r="O2684" t="n">
        <v>1971</v>
      </c>
      <c r="P2684" t="n">
        <v>1968</v>
      </c>
      <c r="Q2684" t="n">
        <v>1971</v>
      </c>
      <c r="R2684" t="n">
        <v>1967</v>
      </c>
      <c r="S2684" t="n">
        <v>1971</v>
      </c>
      <c r="T2684" t="n">
        <v>1968</v>
      </c>
    </row>
    <row r="2685">
      <c r="A2685" t="inlineStr">
        <is>
          <t>Kylie Makeup</t>
        </is>
      </c>
      <c r="B2685" t="inlineStr">
        <is>
          <t>Lips (01245)</t>
        </is>
      </c>
      <c r="C2685" t="inlineStr">
        <is>
          <t>Kylie Supple Kiss Precision Lip Kit (00007015)</t>
        </is>
      </c>
      <c r="D2685" s="1" t="n">
        <v>4064941176374</v>
      </c>
      <c r="E2685" t="inlineStr">
        <is>
          <t>KJ MU SPP LKIT SET 3ML 1.14G DOLC KGL IV</t>
        </is>
      </c>
      <c r="F2685" t="inlineStr">
        <is>
          <t>P_US_ULTA</t>
        </is>
      </c>
      <c r="G2685" t="inlineStr">
        <is>
          <t>Month-2026.M09.W38</t>
        </is>
      </c>
      <c r="H2685" t="inlineStr">
        <is>
          <t>EPOS</t>
        </is>
      </c>
      <c r="I2685" t="n">
        <v>899</v>
      </c>
    </row>
    <row r="2686">
      <c r="A2686" t="inlineStr">
        <is>
          <t>Kylie Makeup</t>
        </is>
      </c>
      <c r="B2686" t="inlineStr">
        <is>
          <t>Lips (01245)</t>
        </is>
      </c>
      <c r="C2686" t="inlineStr">
        <is>
          <t>Kylie Supple Kiss Precision Lip Kit (00007015)</t>
        </is>
      </c>
      <c r="D2686" s="1" t="n">
        <v>4064941176374</v>
      </c>
      <c r="E2686" t="inlineStr">
        <is>
          <t>KJ MU SPP LKIT SET 3ML 1.14G DOLC KGL IV</t>
        </is>
      </c>
      <c r="F2686" t="inlineStr">
        <is>
          <t>P_US_ULTA</t>
        </is>
      </c>
      <c r="G2686" t="inlineStr">
        <is>
          <t>Month-2026.M09.W38</t>
        </is>
      </c>
      <c r="H2686" t="inlineStr">
        <is>
          <t>Reasonability Adjustment</t>
        </is>
      </c>
      <c r="R2686" t="n">
        <v>-841</v>
      </c>
      <c r="T2686" t="n">
        <v>-555</v>
      </c>
    </row>
    <row r="2687">
      <c r="A2687" t="inlineStr">
        <is>
          <t>Kylie Makeup</t>
        </is>
      </c>
      <c r="B2687" t="inlineStr">
        <is>
          <t>Lips (01245)</t>
        </is>
      </c>
      <c r="C2687" t="inlineStr">
        <is>
          <t>Kylie Supple Kiss Precision Lip Kit (00007015)</t>
        </is>
      </c>
      <c r="D2687" s="1" t="n">
        <v>4064941176374</v>
      </c>
      <c r="E2687" t="inlineStr">
        <is>
          <t>KJ MU SPP LKIT SET 3ML 1.14G DOLC KGL IV</t>
        </is>
      </c>
      <c r="F2687" t="inlineStr">
        <is>
          <t>P_US_ULTA</t>
        </is>
      </c>
      <c r="G2687" t="inlineStr">
        <is>
          <t>Month-2026.M09.W38</t>
        </is>
      </c>
      <c r="H2687" t="inlineStr">
        <is>
          <t>Total Demand Assumption</t>
        </is>
      </c>
    </row>
    <row r="2688">
      <c r="A2688" t="inlineStr">
        <is>
          <t>Kylie Makeup</t>
        </is>
      </c>
      <c r="B2688" t="inlineStr">
        <is>
          <t>Lips (01245)</t>
        </is>
      </c>
      <c r="C2688" t="inlineStr">
        <is>
          <t>Kylie Supple Kiss Precision Lip Kit (00007015)</t>
        </is>
      </c>
      <c r="D2688" s="1" t="n">
        <v>4064941176374</v>
      </c>
      <c r="E2688" t="inlineStr">
        <is>
          <t>KJ MU SPP LKIT SET 3ML 1.14G DOLC KGL IV</t>
        </is>
      </c>
      <c r="F2688" t="inlineStr">
        <is>
          <t>P_US_ULTA</t>
        </is>
      </c>
      <c r="G2688" t="inlineStr">
        <is>
          <t>Month-2026.M09.W38</t>
        </is>
      </c>
      <c r="H2688" t="inlineStr">
        <is>
          <t>Consensus - Final</t>
        </is>
      </c>
      <c r="I2688" t="n">
        <v>4656</v>
      </c>
      <c r="J2688" t="n">
        <v>2448</v>
      </c>
      <c r="K2688" t="n">
        <v>1818.55313351498</v>
      </c>
      <c r="L2688" t="n">
        <v>1970</v>
      </c>
      <c r="M2688" t="n">
        <v>1968</v>
      </c>
      <c r="N2688" t="n">
        <v>1970</v>
      </c>
      <c r="O2688" t="n">
        <v>1971</v>
      </c>
      <c r="P2688" t="n">
        <v>1968</v>
      </c>
      <c r="Q2688" t="n">
        <v>1971</v>
      </c>
      <c r="R2688" t="n">
        <v>1126</v>
      </c>
      <c r="S2688" t="n">
        <v>1971</v>
      </c>
      <c r="T2688" t="n">
        <v>1413</v>
      </c>
    </row>
    <row r="2689">
      <c r="A2689" t="inlineStr">
        <is>
          <t>Kylie Makeup</t>
        </is>
      </c>
      <c r="B2689" t="inlineStr">
        <is>
          <t>Lips (01245)</t>
        </is>
      </c>
      <c r="C2689" t="inlineStr">
        <is>
          <t>Kylie Supple Kiss Precision Lip Kit (00007015)</t>
        </is>
      </c>
      <c r="D2689" s="1" t="n">
        <v>4064941176374</v>
      </c>
      <c r="E2689" t="inlineStr">
        <is>
          <t>KJ MU SPP LKIT SET 3ML 1.14G DOLC KGL IV</t>
        </is>
      </c>
      <c r="F2689" t="inlineStr">
        <is>
          <t>P_US_ULTA</t>
        </is>
      </c>
      <c r="G2689" t="inlineStr">
        <is>
          <t>Month-2026.M09.W38</t>
        </is>
      </c>
      <c r="H2689" t="inlineStr">
        <is>
          <t>Supply Cuts</t>
        </is>
      </c>
    </row>
    <row r="2690">
      <c r="A2690" t="inlineStr">
        <is>
          <t>Kylie Makeup</t>
        </is>
      </c>
      <c r="B2690" t="inlineStr">
        <is>
          <t>Lips (01245)</t>
        </is>
      </c>
      <c r="C2690" t="inlineStr">
        <is>
          <t>Kylie Supple Kiss Precision Lip Kit (00007015)</t>
        </is>
      </c>
      <c r="D2690" s="1" t="n">
        <v>4064941176381</v>
      </c>
      <c r="E2690" t="inlineStr">
        <is>
          <t>KJ MU SPP LKIT SET 3ML 1.14G COCNT GL IV</t>
        </is>
      </c>
      <c r="F2690" t="inlineStr">
        <is>
          <t>P_US_ALL_OTHERS</t>
        </is>
      </c>
      <c r="G2690" t="inlineStr">
        <is>
          <t>CurrentWorkingView</t>
        </is>
      </c>
      <c r="H2690" t="inlineStr">
        <is>
          <t>Consensus - Final LY M</t>
        </is>
      </c>
      <c r="I2690" t="n">
        <v>1502</v>
      </c>
      <c r="J2690" t="n">
        <v>18</v>
      </c>
      <c r="K2690" t="n">
        <v>337</v>
      </c>
      <c r="L2690" t="n">
        <v>488</v>
      </c>
      <c r="M2690" t="n">
        <v>87</v>
      </c>
      <c r="N2690" t="n">
        <v>338</v>
      </c>
      <c r="O2690" t="n">
        <v>880</v>
      </c>
      <c r="P2690" t="n">
        <v>579</v>
      </c>
      <c r="Q2690" t="n">
        <v>124</v>
      </c>
      <c r="R2690" t="n">
        <v>376</v>
      </c>
      <c r="S2690" t="n">
        <v>428</v>
      </c>
      <c r="T2690" t="n">
        <v>137</v>
      </c>
    </row>
    <row r="2691">
      <c r="A2691" t="inlineStr">
        <is>
          <t>Kylie Makeup</t>
        </is>
      </c>
      <c r="B2691" t="inlineStr">
        <is>
          <t>Lips (01245)</t>
        </is>
      </c>
      <c r="C2691" t="inlineStr">
        <is>
          <t>Kylie Supple Kiss Precision Lip Kit (00007015)</t>
        </is>
      </c>
      <c r="D2691" s="1" t="n">
        <v>4064941176381</v>
      </c>
      <c r="E2691" t="inlineStr">
        <is>
          <t>KJ MU SPP LKIT SET 3ML 1.14G COCNT GL IV</t>
        </is>
      </c>
      <c r="F2691" t="inlineStr">
        <is>
          <t>P_US_ALL_OTHERS</t>
        </is>
      </c>
      <c r="G2691" t="inlineStr">
        <is>
          <t>CurrentWorkingView</t>
        </is>
      </c>
      <c r="H2691" t="inlineStr">
        <is>
          <t>System FC - Final</t>
        </is>
      </c>
      <c r="I2691" t="n">
        <v>285</v>
      </c>
      <c r="J2691" t="n">
        <v>385</v>
      </c>
      <c r="K2691" t="n">
        <v>221</v>
      </c>
      <c r="L2691" t="n">
        <v>368</v>
      </c>
      <c r="M2691" t="n">
        <v>367</v>
      </c>
      <c r="N2691" t="n">
        <v>367</v>
      </c>
      <c r="O2691" t="n">
        <v>368</v>
      </c>
      <c r="P2691" t="n">
        <v>368</v>
      </c>
      <c r="Q2691" t="n">
        <v>368</v>
      </c>
      <c r="R2691" t="n">
        <v>368</v>
      </c>
      <c r="S2691" t="n">
        <v>368</v>
      </c>
      <c r="T2691" t="n">
        <v>368</v>
      </c>
    </row>
    <row r="2692">
      <c r="A2692" t="inlineStr">
        <is>
          <t>Kylie Makeup</t>
        </is>
      </c>
      <c r="B2692" t="inlineStr">
        <is>
          <t>Lips (01245)</t>
        </is>
      </c>
      <c r="C2692" t="inlineStr">
        <is>
          <t>Kylie Supple Kiss Precision Lip Kit (00007015)</t>
        </is>
      </c>
      <c r="D2692" s="1" t="n">
        <v>4064941176381</v>
      </c>
      <c r="E2692" t="inlineStr">
        <is>
          <t>KJ MU SPP LKIT SET 3ML 1.14G COCNT GL IV</t>
        </is>
      </c>
      <c r="F2692" t="inlineStr">
        <is>
          <t>P_US_ALL_OTHERS</t>
        </is>
      </c>
      <c r="G2692" t="inlineStr">
        <is>
          <t>CurrentWorkingView</t>
        </is>
      </c>
      <c r="H2692" t="inlineStr">
        <is>
          <t>EPOS</t>
        </is>
      </c>
      <c r="I2692" t="n">
        <v>227</v>
      </c>
    </row>
    <row r="2693">
      <c r="A2693" t="inlineStr">
        <is>
          <t>Kylie Makeup</t>
        </is>
      </c>
      <c r="B2693" t="inlineStr">
        <is>
          <t>Lips (01245)</t>
        </is>
      </c>
      <c r="C2693" t="inlineStr">
        <is>
          <t>Kylie Supple Kiss Precision Lip Kit (00007015)</t>
        </is>
      </c>
      <c r="D2693" s="1" t="n">
        <v>4064941176381</v>
      </c>
      <c r="E2693" t="inlineStr">
        <is>
          <t>KJ MU SPP LKIT SET 3ML 1.14G COCNT GL IV</t>
        </is>
      </c>
      <c r="F2693" t="inlineStr">
        <is>
          <t>P_US_ALL_OTHERS</t>
        </is>
      </c>
      <c r="G2693" t="inlineStr">
        <is>
          <t>CurrentWorkingView</t>
        </is>
      </c>
      <c r="H2693" t="inlineStr">
        <is>
          <t>Reasonability Adjustment</t>
        </is>
      </c>
      <c r="R2693" t="n">
        <v>-129</v>
      </c>
      <c r="S2693" t="n">
        <v>-13</v>
      </c>
      <c r="T2693" t="n">
        <v>-95</v>
      </c>
    </row>
    <row r="2694">
      <c r="A2694" t="inlineStr">
        <is>
          <t>Kylie Makeup</t>
        </is>
      </c>
      <c r="B2694" t="inlineStr">
        <is>
          <t>Lips (01245)</t>
        </is>
      </c>
      <c r="C2694" t="inlineStr">
        <is>
          <t>Kylie Supple Kiss Precision Lip Kit (00007015)</t>
        </is>
      </c>
      <c r="D2694" s="1" t="n">
        <v>4064941176381</v>
      </c>
      <c r="E2694" t="inlineStr">
        <is>
          <t>KJ MU SPP LKIT SET 3ML 1.14G COCNT GL IV</t>
        </is>
      </c>
      <c r="F2694" t="inlineStr">
        <is>
          <t>P_US_ALL_OTHERS</t>
        </is>
      </c>
      <c r="G2694" t="inlineStr">
        <is>
          <t>CurrentWorkingView</t>
        </is>
      </c>
      <c r="H2694" t="inlineStr">
        <is>
          <t>Total Demand Assumption</t>
        </is>
      </c>
      <c r="I2694" t="n">
        <v>7075</v>
      </c>
    </row>
    <row r="2695">
      <c r="A2695" t="inlineStr">
        <is>
          <t>Kylie Makeup</t>
        </is>
      </c>
      <c r="B2695" t="inlineStr">
        <is>
          <t>Lips (01245)</t>
        </is>
      </c>
      <c r="C2695" t="inlineStr">
        <is>
          <t>Kylie Supple Kiss Precision Lip Kit (00007015)</t>
        </is>
      </c>
      <c r="D2695" s="1" t="n">
        <v>4064941176381</v>
      </c>
      <c r="E2695" t="inlineStr">
        <is>
          <t>KJ MU SPP LKIT SET 3ML 1.14G COCNT GL IV</t>
        </is>
      </c>
      <c r="F2695" t="inlineStr">
        <is>
          <t>P_US_ALL_OTHERS</t>
        </is>
      </c>
      <c r="G2695" t="inlineStr">
        <is>
          <t>CurrentWorkingView</t>
        </is>
      </c>
      <c r="H2695" t="inlineStr">
        <is>
          <t>Consensus - Final</t>
        </is>
      </c>
      <c r="I2695" t="n">
        <v>285</v>
      </c>
      <c r="J2695" t="n">
        <v>385</v>
      </c>
      <c r="K2695" t="n">
        <v>395</v>
      </c>
      <c r="L2695" t="n">
        <v>368</v>
      </c>
      <c r="M2695" t="n">
        <v>367</v>
      </c>
      <c r="N2695" t="n">
        <v>367</v>
      </c>
      <c r="O2695" t="n">
        <v>368</v>
      </c>
      <c r="P2695" t="n">
        <v>368</v>
      </c>
      <c r="Q2695" t="n">
        <v>368</v>
      </c>
      <c r="R2695" t="n">
        <v>239</v>
      </c>
      <c r="S2695" t="n">
        <v>355</v>
      </c>
      <c r="T2695" t="n">
        <v>273</v>
      </c>
    </row>
    <row r="2696">
      <c r="A2696" t="inlineStr">
        <is>
          <t>Kylie Makeup</t>
        </is>
      </c>
      <c r="B2696" t="inlineStr">
        <is>
          <t>Lips (01245)</t>
        </is>
      </c>
      <c r="C2696" t="inlineStr">
        <is>
          <t>Kylie Supple Kiss Precision Lip Kit (00007015)</t>
        </is>
      </c>
      <c r="D2696" s="1" t="n">
        <v>4064941176381</v>
      </c>
      <c r="E2696" t="inlineStr">
        <is>
          <t>KJ MU SPP LKIT SET 3ML 1.14G COCNT GL IV</t>
        </is>
      </c>
      <c r="F2696" t="inlineStr">
        <is>
          <t>P_US_ALL_OTHERS</t>
        </is>
      </c>
      <c r="G2696" t="inlineStr">
        <is>
          <t>CurrentWorkingView</t>
        </is>
      </c>
      <c r="H2696" t="inlineStr">
        <is>
          <t>Supply Cuts</t>
        </is>
      </c>
    </row>
    <row r="2697">
      <c r="A2697" t="inlineStr">
        <is>
          <t>Kylie Makeup</t>
        </is>
      </c>
      <c r="B2697" t="inlineStr">
        <is>
          <t>Lips (01245)</t>
        </is>
      </c>
      <c r="C2697" t="inlineStr">
        <is>
          <t>Kylie Supple Kiss Precision Lip Kit (00007015)</t>
        </is>
      </c>
      <c r="D2697" s="1" t="n">
        <v>4064941176381</v>
      </c>
      <c r="E2697" t="inlineStr">
        <is>
          <t>KJ MU SPP LKIT SET 3ML 1.14G COCNT GL IV</t>
        </is>
      </c>
      <c r="F2697" t="inlineStr">
        <is>
          <t>P_US_ALL_OTHERS</t>
        </is>
      </c>
      <c r="G2697" t="inlineStr">
        <is>
          <t>Month-2026.M09.W38</t>
        </is>
      </c>
      <c r="H2697" t="inlineStr">
        <is>
          <t>Consensus - Final LY M</t>
        </is>
      </c>
      <c r="I2697" t="n">
        <v>1502</v>
      </c>
      <c r="J2697" t="n">
        <v>18</v>
      </c>
      <c r="K2697" t="n">
        <v>337</v>
      </c>
      <c r="L2697" t="n">
        <v>488</v>
      </c>
      <c r="M2697" t="n">
        <v>87</v>
      </c>
      <c r="N2697" t="n">
        <v>338</v>
      </c>
      <c r="O2697" t="n">
        <v>880</v>
      </c>
      <c r="P2697" t="n">
        <v>579</v>
      </c>
      <c r="Q2697" t="n">
        <v>124</v>
      </c>
      <c r="R2697" t="n">
        <v>376</v>
      </c>
      <c r="S2697" t="n">
        <v>428</v>
      </c>
      <c r="T2697" t="n">
        <v>137</v>
      </c>
    </row>
    <row r="2698">
      <c r="A2698" t="inlineStr">
        <is>
          <t>Kylie Makeup</t>
        </is>
      </c>
      <c r="B2698" t="inlineStr">
        <is>
          <t>Lips (01245)</t>
        </is>
      </c>
      <c r="C2698" t="inlineStr">
        <is>
          <t>Kylie Supple Kiss Precision Lip Kit (00007015)</t>
        </is>
      </c>
      <c r="D2698" s="1" t="n">
        <v>4064941176381</v>
      </c>
      <c r="E2698" t="inlineStr">
        <is>
          <t>KJ MU SPP LKIT SET 3ML 1.14G COCNT GL IV</t>
        </is>
      </c>
      <c r="F2698" t="inlineStr">
        <is>
          <t>P_US_ALL_OTHERS</t>
        </is>
      </c>
      <c r="G2698" t="inlineStr">
        <is>
          <t>Month-2026.M09.W38</t>
        </is>
      </c>
      <c r="H2698" t="inlineStr">
        <is>
          <t>System FC - Final</t>
        </is>
      </c>
      <c r="I2698" t="n">
        <v>285</v>
      </c>
      <c r="J2698" t="n">
        <v>385</v>
      </c>
      <c r="K2698" t="n">
        <v>300</v>
      </c>
      <c r="L2698" t="n">
        <v>368</v>
      </c>
      <c r="M2698" t="n">
        <v>368</v>
      </c>
      <c r="N2698" t="n">
        <v>367</v>
      </c>
      <c r="O2698" t="n">
        <v>368</v>
      </c>
      <c r="P2698" t="n">
        <v>368</v>
      </c>
      <c r="Q2698" t="n">
        <v>368</v>
      </c>
      <c r="R2698" t="n">
        <v>368</v>
      </c>
      <c r="S2698" t="n">
        <v>368</v>
      </c>
      <c r="T2698" t="n">
        <v>360</v>
      </c>
    </row>
    <row r="2699">
      <c r="A2699" t="inlineStr">
        <is>
          <t>Kylie Makeup</t>
        </is>
      </c>
      <c r="B2699" t="inlineStr">
        <is>
          <t>Lips (01245)</t>
        </is>
      </c>
      <c r="C2699" t="inlineStr">
        <is>
          <t>Kylie Supple Kiss Precision Lip Kit (00007015)</t>
        </is>
      </c>
      <c r="D2699" s="1" t="n">
        <v>4064941176381</v>
      </c>
      <c r="E2699" t="inlineStr">
        <is>
          <t>KJ MU SPP LKIT SET 3ML 1.14G COCNT GL IV</t>
        </is>
      </c>
      <c r="F2699" t="inlineStr">
        <is>
          <t>P_US_ALL_OTHERS</t>
        </is>
      </c>
      <c r="G2699" t="inlineStr">
        <is>
          <t>Month-2026.M09.W38</t>
        </is>
      </c>
      <c r="H2699" t="inlineStr">
        <is>
          <t>EPOS</t>
        </is>
      </c>
      <c r="I2699" t="n">
        <v>227</v>
      </c>
    </row>
    <row r="2700">
      <c r="A2700" t="inlineStr">
        <is>
          <t>Kylie Makeup</t>
        </is>
      </c>
      <c r="B2700" t="inlineStr">
        <is>
          <t>Lips (01245)</t>
        </is>
      </c>
      <c r="C2700" t="inlineStr">
        <is>
          <t>Kylie Supple Kiss Precision Lip Kit (00007015)</t>
        </is>
      </c>
      <c r="D2700" s="1" t="n">
        <v>4064941176381</v>
      </c>
      <c r="E2700" t="inlineStr">
        <is>
          <t>KJ MU SPP LKIT SET 3ML 1.14G COCNT GL IV</t>
        </is>
      </c>
      <c r="F2700" t="inlineStr">
        <is>
          <t>P_US_ALL_OTHERS</t>
        </is>
      </c>
      <c r="G2700" t="inlineStr">
        <is>
          <t>Month-2026.M09.W38</t>
        </is>
      </c>
      <c r="H2700" t="inlineStr">
        <is>
          <t>Reasonability Adjustment</t>
        </is>
      </c>
      <c r="R2700" t="n">
        <v>-129</v>
      </c>
      <c r="S2700" t="n">
        <v>-13</v>
      </c>
      <c r="T2700" t="n">
        <v>-95</v>
      </c>
    </row>
    <row r="2701">
      <c r="A2701" t="inlineStr">
        <is>
          <t>Kylie Makeup</t>
        </is>
      </c>
      <c r="B2701" t="inlineStr">
        <is>
          <t>Lips (01245)</t>
        </is>
      </c>
      <c r="C2701" t="inlineStr">
        <is>
          <t>Kylie Supple Kiss Precision Lip Kit (00007015)</t>
        </is>
      </c>
      <c r="D2701" s="1" t="n">
        <v>4064941176381</v>
      </c>
      <c r="E2701" t="inlineStr">
        <is>
          <t>KJ MU SPP LKIT SET 3ML 1.14G COCNT GL IV</t>
        </is>
      </c>
      <c r="F2701" t="inlineStr">
        <is>
          <t>P_US_ALL_OTHERS</t>
        </is>
      </c>
      <c r="G2701" t="inlineStr">
        <is>
          <t>Month-2026.M09.W38</t>
        </is>
      </c>
      <c r="H2701" t="inlineStr">
        <is>
          <t>Total Demand Assumption</t>
        </is>
      </c>
      <c r="I2701" t="n">
        <v>7075</v>
      </c>
    </row>
    <row r="2702">
      <c r="A2702" t="inlineStr">
        <is>
          <t>Kylie Makeup</t>
        </is>
      </c>
      <c r="B2702" t="inlineStr">
        <is>
          <t>Lips (01245)</t>
        </is>
      </c>
      <c r="C2702" t="inlineStr">
        <is>
          <t>Kylie Supple Kiss Precision Lip Kit (00007015)</t>
        </is>
      </c>
      <c r="D2702" s="1" t="n">
        <v>4064941176381</v>
      </c>
      <c r="E2702" t="inlineStr">
        <is>
          <t>KJ MU SPP LKIT SET 3ML 1.14G COCNT GL IV</t>
        </is>
      </c>
      <c r="F2702" t="inlineStr">
        <is>
          <t>P_US_ALL_OTHERS</t>
        </is>
      </c>
      <c r="G2702" t="inlineStr">
        <is>
          <t>Month-2026.M09.W38</t>
        </is>
      </c>
      <c r="H2702" t="inlineStr">
        <is>
          <t>Consensus - Final</t>
        </is>
      </c>
      <c r="I2702" t="n">
        <v>285</v>
      </c>
      <c r="J2702" t="n">
        <v>385</v>
      </c>
      <c r="K2702" t="n">
        <v>395</v>
      </c>
      <c r="L2702" t="n">
        <v>368</v>
      </c>
      <c r="M2702" t="n">
        <v>368</v>
      </c>
      <c r="N2702" t="n">
        <v>367</v>
      </c>
      <c r="O2702" t="n">
        <v>368</v>
      </c>
      <c r="P2702" t="n">
        <v>368</v>
      </c>
      <c r="Q2702" t="n">
        <v>368</v>
      </c>
      <c r="R2702" t="n">
        <v>239</v>
      </c>
      <c r="S2702" t="n">
        <v>355</v>
      </c>
      <c r="T2702" t="n">
        <v>265</v>
      </c>
    </row>
    <row r="2703">
      <c r="A2703" t="inlineStr">
        <is>
          <t>Kylie Makeup</t>
        </is>
      </c>
      <c r="B2703" t="inlineStr">
        <is>
          <t>Lips (01245)</t>
        </is>
      </c>
      <c r="C2703" t="inlineStr">
        <is>
          <t>Kylie Supple Kiss Precision Lip Kit (00007015)</t>
        </is>
      </c>
      <c r="D2703" s="1" t="n">
        <v>4064941176381</v>
      </c>
      <c r="E2703" t="inlineStr">
        <is>
          <t>KJ MU SPP LKIT SET 3ML 1.14G COCNT GL IV</t>
        </is>
      </c>
      <c r="F2703" t="inlineStr">
        <is>
          <t>P_US_ALL_OTHERS</t>
        </is>
      </c>
      <c r="G2703" t="inlineStr">
        <is>
          <t>Month-2026.M09.W38</t>
        </is>
      </c>
      <c r="H2703" t="inlineStr">
        <is>
          <t>Supply Cuts</t>
        </is>
      </c>
    </row>
    <row r="2704">
      <c r="A2704" t="inlineStr">
        <is>
          <t>Kylie Makeup</t>
        </is>
      </c>
      <c r="B2704" t="inlineStr">
        <is>
          <t>Lips (01245)</t>
        </is>
      </c>
      <c r="C2704" t="inlineStr">
        <is>
          <t>Kylie Supple Kiss Precision Lip Kit (00007015)</t>
        </is>
      </c>
      <c r="D2704" s="1" t="n">
        <v>4064941176381</v>
      </c>
      <c r="E2704" t="inlineStr">
        <is>
          <t>KJ MU SPP LKIT SET 3ML 1.14G COCNT GL IV</t>
        </is>
      </c>
      <c r="F2704" t="inlineStr">
        <is>
          <t>P_US_FG</t>
        </is>
      </c>
      <c r="G2704" t="inlineStr">
        <is>
          <t>CurrentWorkingView</t>
        </is>
      </c>
      <c r="H2704" t="inlineStr">
        <is>
          <t>Consensus - Final LY M</t>
        </is>
      </c>
      <c r="I2704" t="n">
        <v>573</v>
      </c>
      <c r="J2704" t="n">
        <v>78</v>
      </c>
      <c r="K2704" t="n">
        <v>50</v>
      </c>
      <c r="L2704" t="n">
        <v>60</v>
      </c>
      <c r="N2704" t="n">
        <v>60</v>
      </c>
      <c r="O2704" t="n">
        <v>70</v>
      </c>
      <c r="Q2704" t="n">
        <v>346</v>
      </c>
      <c r="S2704" t="n">
        <v>30</v>
      </c>
    </row>
    <row r="2705">
      <c r="A2705" t="inlineStr">
        <is>
          <t>Kylie Makeup</t>
        </is>
      </c>
      <c r="B2705" t="inlineStr">
        <is>
          <t>Lips (01245)</t>
        </is>
      </c>
      <c r="C2705" t="inlineStr">
        <is>
          <t>Kylie Supple Kiss Precision Lip Kit (00007015)</t>
        </is>
      </c>
      <c r="D2705" s="1" t="n">
        <v>4064941176381</v>
      </c>
      <c r="E2705" t="inlineStr">
        <is>
          <t>KJ MU SPP LKIT SET 3ML 1.14G COCNT GL IV</t>
        </is>
      </c>
      <c r="F2705" t="inlineStr">
        <is>
          <t>P_US_FG</t>
        </is>
      </c>
      <c r="G2705" t="inlineStr">
        <is>
          <t>CurrentWorkingView</t>
        </is>
      </c>
      <c r="H2705" t="inlineStr">
        <is>
          <t>System FC - Final</t>
        </is>
      </c>
      <c r="K2705" t="n">
        <v>29</v>
      </c>
      <c r="L2705" t="n">
        <v>53</v>
      </c>
      <c r="M2705" t="n">
        <v>52</v>
      </c>
      <c r="N2705" t="n">
        <v>53</v>
      </c>
      <c r="O2705" t="n">
        <v>53</v>
      </c>
      <c r="P2705" t="n">
        <v>52</v>
      </c>
      <c r="Q2705" t="n">
        <v>53</v>
      </c>
      <c r="R2705" t="n">
        <v>52</v>
      </c>
      <c r="S2705" t="n">
        <v>53</v>
      </c>
      <c r="T2705" t="n">
        <v>52</v>
      </c>
    </row>
    <row r="2706">
      <c r="A2706" t="inlineStr">
        <is>
          <t>Kylie Makeup</t>
        </is>
      </c>
      <c r="B2706" t="inlineStr">
        <is>
          <t>Lips (01245)</t>
        </is>
      </c>
      <c r="C2706" t="inlineStr">
        <is>
          <t>Kylie Supple Kiss Precision Lip Kit (00007015)</t>
        </is>
      </c>
      <c r="D2706" s="1" t="n">
        <v>4064941176381</v>
      </c>
      <c r="E2706" t="inlineStr">
        <is>
          <t>KJ MU SPP LKIT SET 3ML 1.14G COCNT GL IV</t>
        </is>
      </c>
      <c r="F2706" t="inlineStr">
        <is>
          <t>P_US_FG</t>
        </is>
      </c>
      <c r="G2706" t="inlineStr">
        <is>
          <t>CurrentWorkingView</t>
        </is>
      </c>
      <c r="H2706" t="inlineStr">
        <is>
          <t>EPOS</t>
        </is>
      </c>
    </row>
    <row r="2707">
      <c r="A2707" t="inlineStr">
        <is>
          <t>Kylie Makeup</t>
        </is>
      </c>
      <c r="B2707" t="inlineStr">
        <is>
          <t>Lips (01245)</t>
        </is>
      </c>
      <c r="C2707" t="inlineStr">
        <is>
          <t>Kylie Supple Kiss Precision Lip Kit (00007015)</t>
        </is>
      </c>
      <c r="D2707" s="1" t="n">
        <v>4064941176381</v>
      </c>
      <c r="E2707" t="inlineStr">
        <is>
          <t>KJ MU SPP LKIT SET 3ML 1.14G COCNT GL IV</t>
        </is>
      </c>
      <c r="F2707" t="inlineStr">
        <is>
          <t>P_US_FG</t>
        </is>
      </c>
      <c r="G2707" t="inlineStr">
        <is>
          <t>CurrentWorkingView</t>
        </is>
      </c>
      <c r="H2707" t="inlineStr">
        <is>
          <t>Reasonability Adjustment</t>
        </is>
      </c>
    </row>
    <row r="2708">
      <c r="A2708" t="inlineStr">
        <is>
          <t>Kylie Makeup</t>
        </is>
      </c>
      <c r="B2708" t="inlineStr">
        <is>
          <t>Lips (01245)</t>
        </is>
      </c>
      <c r="C2708" t="inlineStr">
        <is>
          <t>Kylie Supple Kiss Precision Lip Kit (00007015)</t>
        </is>
      </c>
      <c r="D2708" s="1" t="n">
        <v>4064941176381</v>
      </c>
      <c r="E2708" t="inlineStr">
        <is>
          <t>KJ MU SPP LKIT SET 3ML 1.14G COCNT GL IV</t>
        </is>
      </c>
      <c r="F2708" t="inlineStr">
        <is>
          <t>P_US_FG</t>
        </is>
      </c>
      <c r="G2708" t="inlineStr">
        <is>
          <t>CurrentWorkingView</t>
        </is>
      </c>
      <c r="H2708" t="inlineStr">
        <is>
          <t>Total Demand Assumption</t>
        </is>
      </c>
    </row>
    <row r="2709">
      <c r="A2709" t="inlineStr">
        <is>
          <t>Kylie Makeup</t>
        </is>
      </c>
      <c r="B2709" t="inlineStr">
        <is>
          <t>Lips (01245)</t>
        </is>
      </c>
      <c r="C2709" t="inlineStr">
        <is>
          <t>Kylie Supple Kiss Precision Lip Kit (00007015)</t>
        </is>
      </c>
      <c r="D2709" s="1" t="n">
        <v>4064941176381</v>
      </c>
      <c r="E2709" t="inlineStr">
        <is>
          <t>KJ MU SPP LKIT SET 3ML 1.14G COCNT GL IV</t>
        </is>
      </c>
      <c r="F2709" t="inlineStr">
        <is>
          <t>P_US_FG</t>
        </is>
      </c>
      <c r="G2709" t="inlineStr">
        <is>
          <t>CurrentWorkingView</t>
        </is>
      </c>
      <c r="H2709" t="inlineStr">
        <is>
          <t>Consensus - Final</t>
        </is>
      </c>
      <c r="K2709" t="n">
        <v>0</v>
      </c>
    </row>
    <row r="2710">
      <c r="A2710" t="inlineStr">
        <is>
          <t>Kylie Makeup</t>
        </is>
      </c>
      <c r="B2710" t="inlineStr">
        <is>
          <t>Lips (01245)</t>
        </is>
      </c>
      <c r="C2710" t="inlineStr">
        <is>
          <t>Kylie Supple Kiss Precision Lip Kit (00007015)</t>
        </is>
      </c>
      <c r="D2710" s="1" t="n">
        <v>4064941176381</v>
      </c>
      <c r="E2710" t="inlineStr">
        <is>
          <t>KJ MU SPP LKIT SET 3ML 1.14G COCNT GL IV</t>
        </is>
      </c>
      <c r="F2710" t="inlineStr">
        <is>
          <t>P_US_FG</t>
        </is>
      </c>
      <c r="G2710" t="inlineStr">
        <is>
          <t>CurrentWorkingView</t>
        </is>
      </c>
      <c r="H2710" t="inlineStr">
        <is>
          <t>Supply Cuts</t>
        </is>
      </c>
    </row>
    <row r="2711">
      <c r="A2711" t="inlineStr">
        <is>
          <t>Kylie Makeup</t>
        </is>
      </c>
      <c r="B2711" t="inlineStr">
        <is>
          <t>Lips (01245)</t>
        </is>
      </c>
      <c r="C2711" t="inlineStr">
        <is>
          <t>Kylie Supple Kiss Precision Lip Kit (00007015)</t>
        </is>
      </c>
      <c r="D2711" s="1" t="n">
        <v>4064941176381</v>
      </c>
      <c r="E2711" t="inlineStr">
        <is>
          <t>KJ MU SPP LKIT SET 3ML 1.14G COCNT GL IV</t>
        </is>
      </c>
      <c r="F2711" t="inlineStr">
        <is>
          <t>P_US_FG</t>
        </is>
      </c>
      <c r="G2711" t="inlineStr">
        <is>
          <t>Month-2026.M09.W38</t>
        </is>
      </c>
      <c r="H2711" t="inlineStr">
        <is>
          <t>Consensus - Final LY M</t>
        </is>
      </c>
      <c r="I2711" t="n">
        <v>573</v>
      </c>
      <c r="J2711" t="n">
        <v>78</v>
      </c>
      <c r="K2711" t="n">
        <v>50</v>
      </c>
      <c r="L2711" t="n">
        <v>60</v>
      </c>
      <c r="N2711" t="n">
        <v>60</v>
      </c>
      <c r="O2711" t="n">
        <v>70</v>
      </c>
      <c r="Q2711" t="n">
        <v>346</v>
      </c>
      <c r="S2711" t="n">
        <v>30</v>
      </c>
    </row>
    <row r="2712">
      <c r="A2712" t="inlineStr">
        <is>
          <t>Kylie Makeup</t>
        </is>
      </c>
      <c r="B2712" t="inlineStr">
        <is>
          <t>Lips (01245)</t>
        </is>
      </c>
      <c r="C2712" t="inlineStr">
        <is>
          <t>Kylie Supple Kiss Precision Lip Kit (00007015)</t>
        </is>
      </c>
      <c r="D2712" s="1" t="n">
        <v>4064941176381</v>
      </c>
      <c r="E2712" t="inlineStr">
        <is>
          <t>KJ MU SPP LKIT SET 3ML 1.14G COCNT GL IV</t>
        </is>
      </c>
      <c r="F2712" t="inlineStr">
        <is>
          <t>P_US_FG</t>
        </is>
      </c>
      <c r="G2712" t="inlineStr">
        <is>
          <t>Month-2026.M09.W38</t>
        </is>
      </c>
      <c r="H2712" t="inlineStr">
        <is>
          <t>System FC - Final</t>
        </is>
      </c>
      <c r="K2712" t="n">
        <v>43</v>
      </c>
      <c r="L2712" t="n">
        <v>58</v>
      </c>
      <c r="M2712" t="n">
        <v>60</v>
      </c>
      <c r="N2712" t="n">
        <v>58</v>
      </c>
      <c r="O2712" t="n">
        <v>58</v>
      </c>
      <c r="P2712" t="n">
        <v>60</v>
      </c>
      <c r="Q2712" t="n">
        <v>58</v>
      </c>
      <c r="R2712" t="n">
        <v>60</v>
      </c>
      <c r="S2712" t="n">
        <v>58</v>
      </c>
      <c r="T2712" t="n">
        <v>47</v>
      </c>
    </row>
    <row r="2713">
      <c r="A2713" t="inlineStr">
        <is>
          <t>Kylie Makeup</t>
        </is>
      </c>
      <c r="B2713" t="inlineStr">
        <is>
          <t>Lips (01245)</t>
        </is>
      </c>
      <c r="C2713" t="inlineStr">
        <is>
          <t>Kylie Supple Kiss Precision Lip Kit (00007015)</t>
        </is>
      </c>
      <c r="D2713" s="1" t="n">
        <v>4064941176381</v>
      </c>
      <c r="E2713" t="inlineStr">
        <is>
          <t>KJ MU SPP LKIT SET 3ML 1.14G COCNT GL IV</t>
        </is>
      </c>
      <c r="F2713" t="inlineStr">
        <is>
          <t>P_US_FG</t>
        </is>
      </c>
      <c r="G2713" t="inlineStr">
        <is>
          <t>Month-2026.M09.W38</t>
        </is>
      </c>
      <c r="H2713" t="inlineStr">
        <is>
          <t>EPOS</t>
        </is>
      </c>
    </row>
    <row r="2714">
      <c r="A2714" t="inlineStr">
        <is>
          <t>Kylie Makeup</t>
        </is>
      </c>
      <c r="B2714" t="inlineStr">
        <is>
          <t>Lips (01245)</t>
        </is>
      </c>
      <c r="C2714" t="inlineStr">
        <is>
          <t>Kylie Supple Kiss Precision Lip Kit (00007015)</t>
        </is>
      </c>
      <c r="D2714" s="1" t="n">
        <v>4064941176381</v>
      </c>
      <c r="E2714" t="inlineStr">
        <is>
          <t>KJ MU SPP LKIT SET 3ML 1.14G COCNT GL IV</t>
        </is>
      </c>
      <c r="F2714" t="inlineStr">
        <is>
          <t>P_US_FG</t>
        </is>
      </c>
      <c r="G2714" t="inlineStr">
        <is>
          <t>Month-2026.M09.W38</t>
        </is>
      </c>
      <c r="H2714" t="inlineStr">
        <is>
          <t>Reasonability Adjustment</t>
        </is>
      </c>
    </row>
    <row r="2715">
      <c r="A2715" t="inlineStr">
        <is>
          <t>Kylie Makeup</t>
        </is>
      </c>
      <c r="B2715" t="inlineStr">
        <is>
          <t>Lips (01245)</t>
        </is>
      </c>
      <c r="C2715" t="inlineStr">
        <is>
          <t>Kylie Supple Kiss Precision Lip Kit (00007015)</t>
        </is>
      </c>
      <c r="D2715" s="1" t="n">
        <v>4064941176381</v>
      </c>
      <c r="E2715" t="inlineStr">
        <is>
          <t>KJ MU SPP LKIT SET 3ML 1.14G COCNT GL IV</t>
        </is>
      </c>
      <c r="F2715" t="inlineStr">
        <is>
          <t>P_US_FG</t>
        </is>
      </c>
      <c r="G2715" t="inlineStr">
        <is>
          <t>Month-2026.M09.W38</t>
        </is>
      </c>
      <c r="H2715" t="inlineStr">
        <is>
          <t>Total Demand Assumption</t>
        </is>
      </c>
    </row>
    <row r="2716">
      <c r="A2716" t="inlineStr">
        <is>
          <t>Kylie Makeup</t>
        </is>
      </c>
      <c r="B2716" t="inlineStr">
        <is>
          <t>Lips (01245)</t>
        </is>
      </c>
      <c r="C2716" t="inlineStr">
        <is>
          <t>Kylie Supple Kiss Precision Lip Kit (00007015)</t>
        </is>
      </c>
      <c r="D2716" s="1" t="n">
        <v>4064941176381</v>
      </c>
      <c r="E2716" t="inlineStr">
        <is>
          <t>KJ MU SPP LKIT SET 3ML 1.14G COCNT GL IV</t>
        </is>
      </c>
      <c r="F2716" t="inlineStr">
        <is>
          <t>P_US_FG</t>
        </is>
      </c>
      <c r="G2716" t="inlineStr">
        <is>
          <t>Month-2026.M09.W38</t>
        </is>
      </c>
      <c r="H2716" t="inlineStr">
        <is>
          <t>Consensus - Final</t>
        </is>
      </c>
      <c r="K2716" t="n">
        <v>0</v>
      </c>
    </row>
    <row r="2717">
      <c r="A2717" t="inlineStr">
        <is>
          <t>Kylie Makeup</t>
        </is>
      </c>
      <c r="B2717" t="inlineStr">
        <is>
          <t>Lips (01245)</t>
        </is>
      </c>
      <c r="C2717" t="inlineStr">
        <is>
          <t>Kylie Supple Kiss Precision Lip Kit (00007015)</t>
        </is>
      </c>
      <c r="D2717" s="1" t="n">
        <v>4064941176381</v>
      </c>
      <c r="E2717" t="inlineStr">
        <is>
          <t>KJ MU SPP LKIT SET 3ML 1.14G COCNT GL IV</t>
        </is>
      </c>
      <c r="F2717" t="inlineStr">
        <is>
          <t>P_US_FG</t>
        </is>
      </c>
      <c r="G2717" t="inlineStr">
        <is>
          <t>Month-2026.M09.W38</t>
        </is>
      </c>
      <c r="H2717" t="inlineStr">
        <is>
          <t>Supply Cuts</t>
        </is>
      </c>
    </row>
    <row r="2718">
      <c r="A2718" t="inlineStr">
        <is>
          <t>Kylie Makeup</t>
        </is>
      </c>
      <c r="B2718" t="inlineStr">
        <is>
          <t>Lips (01245)</t>
        </is>
      </c>
      <c r="C2718" t="inlineStr">
        <is>
          <t>Kylie Supple Kiss Precision Lip Kit (00007015)</t>
        </is>
      </c>
      <c r="D2718" s="1" t="n">
        <v>4064941176381</v>
      </c>
      <c r="E2718" t="inlineStr">
        <is>
          <t>KJ MU SPP LKIT SET 3ML 1.14G COCNT GL IV</t>
        </is>
      </c>
      <c r="F2718" t="inlineStr">
        <is>
          <t>P_US_ULTA</t>
        </is>
      </c>
      <c r="G2718" t="inlineStr">
        <is>
          <t>CurrentWorkingView</t>
        </is>
      </c>
      <c r="H2718" t="inlineStr">
        <is>
          <t>Consensus - Final LY M</t>
        </is>
      </c>
      <c r="I2718" t="n">
        <v>3936</v>
      </c>
      <c r="J2718" t="n">
        <v>2256</v>
      </c>
      <c r="K2718" t="n">
        <v>3216</v>
      </c>
      <c r="L2718" t="n">
        <v>6432</v>
      </c>
      <c r="M2718" t="n">
        <v>3634</v>
      </c>
      <c r="N2718" t="n">
        <v>3491</v>
      </c>
      <c r="O2718" t="n">
        <v>2112</v>
      </c>
      <c r="P2718" t="n">
        <v>3792</v>
      </c>
      <c r="Q2718" t="n">
        <v>4464</v>
      </c>
      <c r="R2718" t="n">
        <v>2400</v>
      </c>
      <c r="S2718" t="n">
        <v>3696</v>
      </c>
      <c r="T2718" t="n">
        <v>2976</v>
      </c>
    </row>
    <row r="2719">
      <c r="A2719" t="inlineStr">
        <is>
          <t>Kylie Makeup</t>
        </is>
      </c>
      <c r="B2719" t="inlineStr">
        <is>
          <t>Lips (01245)</t>
        </is>
      </c>
      <c r="C2719" t="inlineStr">
        <is>
          <t>Kylie Supple Kiss Precision Lip Kit (00007015)</t>
        </is>
      </c>
      <c r="D2719" s="1" t="n">
        <v>4064941176381</v>
      </c>
      <c r="E2719" t="inlineStr">
        <is>
          <t>KJ MU SPP LKIT SET 3ML 1.14G COCNT GL IV</t>
        </is>
      </c>
      <c r="F2719" t="inlineStr">
        <is>
          <t>P_US_ULTA</t>
        </is>
      </c>
      <c r="G2719" t="inlineStr">
        <is>
          <t>CurrentWorkingView</t>
        </is>
      </c>
      <c r="H2719" t="inlineStr">
        <is>
          <t>System FC - Final</t>
        </is>
      </c>
      <c r="I2719" t="n">
        <v>5280</v>
      </c>
      <c r="J2719" t="n">
        <v>3072</v>
      </c>
      <c r="K2719" t="n">
        <v>4143</v>
      </c>
      <c r="L2719" t="n">
        <v>3746</v>
      </c>
      <c r="M2719" t="n">
        <v>3742</v>
      </c>
      <c r="N2719" t="n">
        <v>3742</v>
      </c>
      <c r="O2719" t="n">
        <v>3742</v>
      </c>
      <c r="P2719" t="n">
        <v>3740</v>
      </c>
      <c r="Q2719" t="n">
        <v>3742</v>
      </c>
      <c r="R2719" t="n">
        <v>3742</v>
      </c>
      <c r="S2719" t="n">
        <v>3742</v>
      </c>
      <c r="T2719" t="n">
        <v>3741</v>
      </c>
    </row>
    <row r="2720">
      <c r="A2720" t="inlineStr">
        <is>
          <t>Kylie Makeup</t>
        </is>
      </c>
      <c r="B2720" t="inlineStr">
        <is>
          <t>Lips (01245)</t>
        </is>
      </c>
      <c r="C2720" t="inlineStr">
        <is>
          <t>Kylie Supple Kiss Precision Lip Kit (00007015)</t>
        </is>
      </c>
      <c r="D2720" s="1" t="n">
        <v>4064941176381</v>
      </c>
      <c r="E2720" t="inlineStr">
        <is>
          <t>KJ MU SPP LKIT SET 3ML 1.14G COCNT GL IV</t>
        </is>
      </c>
      <c r="F2720" t="inlineStr">
        <is>
          <t>P_US_ULTA</t>
        </is>
      </c>
      <c r="G2720" t="inlineStr">
        <is>
          <t>CurrentWorkingView</t>
        </is>
      </c>
      <c r="H2720" t="inlineStr">
        <is>
          <t>EPOS</t>
        </is>
      </c>
      <c r="I2720" t="n">
        <v>1749</v>
      </c>
    </row>
    <row r="2721">
      <c r="A2721" t="inlineStr">
        <is>
          <t>Kylie Makeup</t>
        </is>
      </c>
      <c r="B2721" t="inlineStr">
        <is>
          <t>Lips (01245)</t>
        </is>
      </c>
      <c r="C2721" t="inlineStr">
        <is>
          <t>Kylie Supple Kiss Precision Lip Kit (00007015)</t>
        </is>
      </c>
      <c r="D2721" s="1" t="n">
        <v>4064941176381</v>
      </c>
      <c r="E2721" t="inlineStr">
        <is>
          <t>KJ MU SPP LKIT SET 3ML 1.14G COCNT GL IV</t>
        </is>
      </c>
      <c r="F2721" t="inlineStr">
        <is>
          <t>P_US_ULTA</t>
        </is>
      </c>
      <c r="G2721" t="inlineStr">
        <is>
          <t>CurrentWorkingView</t>
        </is>
      </c>
      <c r="H2721" t="inlineStr">
        <is>
          <t>Reasonability Adjustment</t>
        </is>
      </c>
      <c r="Q2721" t="n">
        <v>-600</v>
      </c>
      <c r="R2721" t="n">
        <v>-1363</v>
      </c>
      <c r="S2721" t="n">
        <v>-133</v>
      </c>
      <c r="T2721" t="n">
        <v>-1022</v>
      </c>
    </row>
    <row r="2722">
      <c r="A2722" t="inlineStr">
        <is>
          <t>Kylie Makeup</t>
        </is>
      </c>
      <c r="B2722" t="inlineStr">
        <is>
          <t>Lips (01245)</t>
        </is>
      </c>
      <c r="C2722" t="inlineStr">
        <is>
          <t>Kylie Supple Kiss Precision Lip Kit (00007015)</t>
        </is>
      </c>
      <c r="D2722" s="1" t="n">
        <v>4064941176381</v>
      </c>
      <c r="E2722" t="inlineStr">
        <is>
          <t>KJ MU SPP LKIT SET 3ML 1.14G COCNT GL IV</t>
        </is>
      </c>
      <c r="F2722" t="inlineStr">
        <is>
          <t>P_US_ULTA</t>
        </is>
      </c>
      <c r="G2722" t="inlineStr">
        <is>
          <t>CurrentWorkingView</t>
        </is>
      </c>
      <c r="H2722" t="inlineStr">
        <is>
          <t>Total Demand Assumption</t>
        </is>
      </c>
    </row>
    <row r="2723">
      <c r="A2723" t="inlineStr">
        <is>
          <t>Kylie Makeup</t>
        </is>
      </c>
      <c r="B2723" t="inlineStr">
        <is>
          <t>Lips (01245)</t>
        </is>
      </c>
      <c r="C2723" t="inlineStr">
        <is>
          <t>Kylie Supple Kiss Precision Lip Kit (00007015)</t>
        </is>
      </c>
      <c r="D2723" s="1" t="n">
        <v>4064941176381</v>
      </c>
      <c r="E2723" t="inlineStr">
        <is>
          <t>KJ MU SPP LKIT SET 3ML 1.14G COCNT GL IV</t>
        </is>
      </c>
      <c r="F2723" t="inlineStr">
        <is>
          <t>P_US_ULTA</t>
        </is>
      </c>
      <c r="G2723" t="inlineStr">
        <is>
          <t>CurrentWorkingView</t>
        </is>
      </c>
      <c r="H2723" t="inlineStr">
        <is>
          <t>Consensus - Final</t>
        </is>
      </c>
      <c r="I2723" t="n">
        <v>5280</v>
      </c>
      <c r="J2723" t="n">
        <v>3072</v>
      </c>
      <c r="K2723" t="n">
        <v>4003</v>
      </c>
      <c r="L2723" t="n">
        <v>3746</v>
      </c>
      <c r="M2723" t="n">
        <v>3742</v>
      </c>
      <c r="N2723" t="n">
        <v>3742</v>
      </c>
      <c r="O2723" t="n">
        <v>3742</v>
      </c>
      <c r="P2723" t="n">
        <v>3740</v>
      </c>
      <c r="Q2723" t="n">
        <v>3142</v>
      </c>
      <c r="R2723" t="n">
        <v>2379</v>
      </c>
      <c r="S2723" t="n">
        <v>3609</v>
      </c>
      <c r="T2723" t="n">
        <v>2719</v>
      </c>
    </row>
    <row r="2724">
      <c r="A2724" t="inlineStr">
        <is>
          <t>Kylie Makeup</t>
        </is>
      </c>
      <c r="B2724" t="inlineStr">
        <is>
          <t>Lips (01245)</t>
        </is>
      </c>
      <c r="C2724" t="inlineStr">
        <is>
          <t>Kylie Supple Kiss Precision Lip Kit (00007015)</t>
        </is>
      </c>
      <c r="D2724" s="1" t="n">
        <v>4064941176381</v>
      </c>
      <c r="E2724" t="inlineStr">
        <is>
          <t>KJ MU SPP LKIT SET 3ML 1.14G COCNT GL IV</t>
        </is>
      </c>
      <c r="F2724" t="inlineStr">
        <is>
          <t>P_US_ULTA</t>
        </is>
      </c>
      <c r="G2724" t="inlineStr">
        <is>
          <t>CurrentWorkingView</t>
        </is>
      </c>
      <c r="H2724" t="inlineStr">
        <is>
          <t>Supply Cuts</t>
        </is>
      </c>
    </row>
    <row r="2725">
      <c r="A2725" t="inlineStr">
        <is>
          <t>Kylie Makeup</t>
        </is>
      </c>
      <c r="B2725" t="inlineStr">
        <is>
          <t>Lips (01245)</t>
        </is>
      </c>
      <c r="C2725" t="inlineStr">
        <is>
          <t>Kylie Supple Kiss Precision Lip Kit (00007015)</t>
        </is>
      </c>
      <c r="D2725" s="1" t="n">
        <v>4064941176381</v>
      </c>
      <c r="E2725" t="inlineStr">
        <is>
          <t>KJ MU SPP LKIT SET 3ML 1.14G COCNT GL IV</t>
        </is>
      </c>
      <c r="F2725" t="inlineStr">
        <is>
          <t>P_US_ULTA</t>
        </is>
      </c>
      <c r="G2725" t="inlineStr">
        <is>
          <t>Month-2026.M09.W38</t>
        </is>
      </c>
      <c r="H2725" t="inlineStr">
        <is>
          <t>Consensus - Final LY M</t>
        </is>
      </c>
      <c r="I2725" t="n">
        <v>3936</v>
      </c>
      <c r="J2725" t="n">
        <v>2256</v>
      </c>
      <c r="K2725" t="n">
        <v>3216</v>
      </c>
      <c r="L2725" t="n">
        <v>6432</v>
      </c>
      <c r="M2725" t="n">
        <v>3634</v>
      </c>
      <c r="N2725" t="n">
        <v>3491</v>
      </c>
      <c r="O2725" t="n">
        <v>2112</v>
      </c>
      <c r="P2725" t="n">
        <v>3792</v>
      </c>
      <c r="Q2725" t="n">
        <v>4464</v>
      </c>
      <c r="R2725" t="n">
        <v>2400</v>
      </c>
      <c r="S2725" t="n">
        <v>3696</v>
      </c>
      <c r="T2725" t="n">
        <v>2976</v>
      </c>
    </row>
    <row r="2726">
      <c r="A2726" t="inlineStr">
        <is>
          <t>Kylie Makeup</t>
        </is>
      </c>
      <c r="B2726" t="inlineStr">
        <is>
          <t>Lips (01245)</t>
        </is>
      </c>
      <c r="C2726" t="inlineStr">
        <is>
          <t>Kylie Supple Kiss Precision Lip Kit (00007015)</t>
        </is>
      </c>
      <c r="D2726" s="1" t="n">
        <v>4064941176381</v>
      </c>
      <c r="E2726" t="inlineStr">
        <is>
          <t>KJ MU SPP LKIT SET 3ML 1.14G COCNT GL IV</t>
        </is>
      </c>
      <c r="F2726" t="inlineStr">
        <is>
          <t>P_US_ULTA</t>
        </is>
      </c>
      <c r="G2726" t="inlineStr">
        <is>
          <t>Month-2026.M09.W38</t>
        </is>
      </c>
      <c r="H2726" t="inlineStr">
        <is>
          <t>System FC - Final</t>
        </is>
      </c>
      <c r="I2726" t="n">
        <v>5280</v>
      </c>
      <c r="J2726" t="n">
        <v>3072</v>
      </c>
      <c r="K2726" t="n">
        <v>4191</v>
      </c>
      <c r="L2726" t="n">
        <v>3898</v>
      </c>
      <c r="M2726" t="n">
        <v>3900</v>
      </c>
      <c r="N2726" t="n">
        <v>3901</v>
      </c>
      <c r="O2726" t="n">
        <v>3902</v>
      </c>
      <c r="P2726" t="n">
        <v>3900</v>
      </c>
      <c r="Q2726" t="n">
        <v>3902</v>
      </c>
      <c r="R2726" t="n">
        <v>3900</v>
      </c>
      <c r="S2726" t="n">
        <v>3902</v>
      </c>
      <c r="T2726" t="n">
        <v>3870</v>
      </c>
    </row>
    <row r="2727">
      <c r="A2727" t="inlineStr">
        <is>
          <t>Kylie Makeup</t>
        </is>
      </c>
      <c r="B2727" t="inlineStr">
        <is>
          <t>Lips (01245)</t>
        </is>
      </c>
      <c r="C2727" t="inlineStr">
        <is>
          <t>Kylie Supple Kiss Precision Lip Kit (00007015)</t>
        </is>
      </c>
      <c r="D2727" s="1" t="n">
        <v>4064941176381</v>
      </c>
      <c r="E2727" t="inlineStr">
        <is>
          <t>KJ MU SPP LKIT SET 3ML 1.14G COCNT GL IV</t>
        </is>
      </c>
      <c r="F2727" t="inlineStr">
        <is>
          <t>P_US_ULTA</t>
        </is>
      </c>
      <c r="G2727" t="inlineStr">
        <is>
          <t>Month-2026.M09.W38</t>
        </is>
      </c>
      <c r="H2727" t="inlineStr">
        <is>
          <t>EPOS</t>
        </is>
      </c>
      <c r="I2727" t="n">
        <v>1749</v>
      </c>
    </row>
    <row r="2728">
      <c r="A2728" t="inlineStr">
        <is>
          <t>Kylie Makeup</t>
        </is>
      </c>
      <c r="B2728" t="inlineStr">
        <is>
          <t>Lips (01245)</t>
        </is>
      </c>
      <c r="C2728" t="inlineStr">
        <is>
          <t>Kylie Supple Kiss Precision Lip Kit (00007015)</t>
        </is>
      </c>
      <c r="D2728" s="1" t="n">
        <v>4064941176381</v>
      </c>
      <c r="E2728" t="inlineStr">
        <is>
          <t>KJ MU SPP LKIT SET 3ML 1.14G COCNT GL IV</t>
        </is>
      </c>
      <c r="F2728" t="inlineStr">
        <is>
          <t>P_US_ULTA</t>
        </is>
      </c>
      <c r="G2728" t="inlineStr">
        <is>
          <t>Month-2026.M09.W38</t>
        </is>
      </c>
      <c r="H2728" t="inlineStr">
        <is>
          <t>Reasonability Adjustment</t>
        </is>
      </c>
      <c r="Q2728" t="n">
        <v>-600</v>
      </c>
      <c r="R2728" t="n">
        <v>-1363</v>
      </c>
      <c r="S2728" t="n">
        <v>-133</v>
      </c>
      <c r="T2728" t="n">
        <v>-1022</v>
      </c>
    </row>
    <row r="2729">
      <c r="A2729" t="inlineStr">
        <is>
          <t>Kylie Makeup</t>
        </is>
      </c>
      <c r="B2729" t="inlineStr">
        <is>
          <t>Lips (01245)</t>
        </is>
      </c>
      <c r="C2729" t="inlineStr">
        <is>
          <t>Kylie Supple Kiss Precision Lip Kit (00007015)</t>
        </is>
      </c>
      <c r="D2729" s="1" t="n">
        <v>4064941176381</v>
      </c>
      <c r="E2729" t="inlineStr">
        <is>
          <t>KJ MU SPP LKIT SET 3ML 1.14G COCNT GL IV</t>
        </is>
      </c>
      <c r="F2729" t="inlineStr">
        <is>
          <t>P_US_ULTA</t>
        </is>
      </c>
      <c r="G2729" t="inlineStr">
        <is>
          <t>Month-2026.M09.W38</t>
        </is>
      </c>
      <c r="H2729" t="inlineStr">
        <is>
          <t>Total Demand Assumption</t>
        </is>
      </c>
    </row>
    <row r="2730">
      <c r="A2730" t="inlineStr">
        <is>
          <t>Kylie Makeup</t>
        </is>
      </c>
      <c r="B2730" t="inlineStr">
        <is>
          <t>Lips (01245)</t>
        </is>
      </c>
      <c r="C2730" t="inlineStr">
        <is>
          <t>Kylie Supple Kiss Precision Lip Kit (00007015)</t>
        </is>
      </c>
      <c r="D2730" s="1" t="n">
        <v>4064941176381</v>
      </c>
      <c r="E2730" t="inlineStr">
        <is>
          <t>KJ MU SPP LKIT SET 3ML 1.14G COCNT GL IV</t>
        </is>
      </c>
      <c r="F2730" t="inlineStr">
        <is>
          <t>P_US_ULTA</t>
        </is>
      </c>
      <c r="G2730" t="inlineStr">
        <is>
          <t>Month-2026.M09.W38</t>
        </is>
      </c>
      <c r="H2730" t="inlineStr">
        <is>
          <t>Consensus - Final</t>
        </is>
      </c>
      <c r="I2730" t="n">
        <v>5280</v>
      </c>
      <c r="J2730" t="n">
        <v>3072</v>
      </c>
      <c r="K2730" t="n">
        <v>4003</v>
      </c>
      <c r="L2730" t="n">
        <v>3898</v>
      </c>
      <c r="M2730" t="n">
        <v>3900</v>
      </c>
      <c r="N2730" t="n">
        <v>3901</v>
      </c>
      <c r="O2730" t="n">
        <v>3902</v>
      </c>
      <c r="P2730" t="n">
        <v>3900</v>
      </c>
      <c r="Q2730" t="n">
        <v>3302</v>
      </c>
      <c r="R2730" t="n">
        <v>2537</v>
      </c>
      <c r="S2730" t="n">
        <v>3769</v>
      </c>
      <c r="T2730" t="n">
        <v>2848</v>
      </c>
    </row>
    <row r="2731">
      <c r="A2731" t="inlineStr">
        <is>
          <t>Kylie Makeup</t>
        </is>
      </c>
      <c r="B2731" t="inlineStr">
        <is>
          <t>Lips (01245)</t>
        </is>
      </c>
      <c r="C2731" t="inlineStr">
        <is>
          <t>Kylie Supple Kiss Precision Lip Kit (00007015)</t>
        </is>
      </c>
      <c r="D2731" s="1" t="n">
        <v>4064941176381</v>
      </c>
      <c r="E2731" t="inlineStr">
        <is>
          <t>KJ MU SPP LKIT SET 3ML 1.14G COCNT GL IV</t>
        </is>
      </c>
      <c r="F2731" t="inlineStr">
        <is>
          <t>P_US_ULTA</t>
        </is>
      </c>
      <c r="G2731" t="inlineStr">
        <is>
          <t>Month-2026.M09.W38</t>
        </is>
      </c>
      <c r="H2731" t="inlineStr">
        <is>
          <t>Supply Cuts</t>
        </is>
      </c>
    </row>
    <row r="2732">
      <c r="A2732" t="inlineStr">
        <is>
          <t>Gucci</t>
        </is>
      </c>
      <c r="B2732" t="inlineStr">
        <is>
          <t>Gucci Guilty (00840)</t>
        </is>
      </c>
      <c r="C2732" t="inlineStr">
        <is>
          <t>Gucci Guilty Pour Homme (00003463)</t>
        </is>
      </c>
      <c r="D2732" s="1" t="n">
        <v>737052339047</v>
      </c>
      <c r="E2732" t="inlineStr">
        <is>
          <t>GUCCI GUILT H EDT NS 90 ML IV</t>
        </is>
      </c>
      <c r="F2732" t="inlineStr">
        <is>
          <t>P_US_ALL_OTHERS</t>
        </is>
      </c>
      <c r="G2732" t="inlineStr">
        <is>
          <t>CurrentWorkingView</t>
        </is>
      </c>
      <c r="H2732" t="inlineStr">
        <is>
          <t>Consensus - Final LY M</t>
        </is>
      </c>
      <c r="I2732" t="n">
        <v>5423</v>
      </c>
      <c r="J2732" t="n">
        <v>4288</v>
      </c>
      <c r="K2732" t="n">
        <v>7997</v>
      </c>
      <c r="L2732" t="n">
        <v>7907</v>
      </c>
      <c r="M2732" t="n">
        <v>4119</v>
      </c>
      <c r="N2732" t="n">
        <v>5497</v>
      </c>
      <c r="O2732" t="n">
        <v>1326</v>
      </c>
      <c r="P2732" t="n">
        <v>2691</v>
      </c>
      <c r="Q2732" t="n">
        <v>5011</v>
      </c>
      <c r="R2732" t="n">
        <v>2808</v>
      </c>
      <c r="S2732" t="n">
        <v>2173</v>
      </c>
      <c r="T2732" t="n">
        <v>2925</v>
      </c>
    </row>
    <row r="2733">
      <c r="A2733" t="inlineStr">
        <is>
          <t>Gucci</t>
        </is>
      </c>
      <c r="B2733" t="inlineStr">
        <is>
          <t>Gucci Guilty (00840)</t>
        </is>
      </c>
      <c r="C2733" t="inlineStr">
        <is>
          <t>Gucci Guilty Pour Homme (00003463)</t>
        </is>
      </c>
      <c r="D2733" s="1" t="n">
        <v>737052339047</v>
      </c>
      <c r="E2733" t="inlineStr">
        <is>
          <t>GUCCI GUILT H EDT NS 90 ML IV</t>
        </is>
      </c>
      <c r="F2733" t="inlineStr">
        <is>
          <t>P_US_ALL_OTHERS</t>
        </is>
      </c>
      <c r="G2733" t="inlineStr">
        <is>
          <t>CurrentWorkingView</t>
        </is>
      </c>
      <c r="H2733" t="inlineStr">
        <is>
          <t>System FC - Final</t>
        </is>
      </c>
      <c r="I2733" t="n">
        <v>5766</v>
      </c>
      <c r="J2733" t="n">
        <v>3484</v>
      </c>
      <c r="K2733" t="n">
        <v>2826</v>
      </c>
      <c r="L2733" t="n">
        <v>3880</v>
      </c>
      <c r="M2733" t="n">
        <v>2987</v>
      </c>
      <c r="N2733" t="n">
        <v>3822</v>
      </c>
      <c r="O2733" t="n">
        <v>3126</v>
      </c>
      <c r="P2733" t="n">
        <v>2748</v>
      </c>
      <c r="Q2733" t="n">
        <v>3246</v>
      </c>
      <c r="R2733" t="n">
        <v>2619</v>
      </c>
      <c r="S2733" t="n">
        <v>3370</v>
      </c>
      <c r="T2733" t="n">
        <v>2692</v>
      </c>
    </row>
    <row r="2734">
      <c r="A2734" t="inlineStr">
        <is>
          <t>Gucci</t>
        </is>
      </c>
      <c r="B2734" t="inlineStr">
        <is>
          <t>Gucci Guilty (00840)</t>
        </is>
      </c>
      <c r="C2734" t="inlineStr">
        <is>
          <t>Gucci Guilty Pour Homme (00003463)</t>
        </is>
      </c>
      <c r="D2734" s="1" t="n">
        <v>737052339047</v>
      </c>
      <c r="E2734" t="inlineStr">
        <is>
          <t>GUCCI GUILT H EDT NS 90 ML IV</t>
        </is>
      </c>
      <c r="F2734" t="inlineStr">
        <is>
          <t>P_US_ALL_OTHERS</t>
        </is>
      </c>
      <c r="G2734" t="inlineStr">
        <is>
          <t>CurrentWorkingView</t>
        </is>
      </c>
      <c r="H2734" t="inlineStr">
        <is>
          <t>EPOS</t>
        </is>
      </c>
      <c r="I2734" t="n">
        <v>2369</v>
      </c>
    </row>
    <row r="2735">
      <c r="A2735" t="inlineStr">
        <is>
          <t>Gucci</t>
        </is>
      </c>
      <c r="B2735" t="inlineStr">
        <is>
          <t>Gucci Guilty (00840)</t>
        </is>
      </c>
      <c r="C2735" t="inlineStr">
        <is>
          <t>Gucci Guilty Pour Homme (00003463)</t>
        </is>
      </c>
      <c r="D2735" s="1" t="n">
        <v>737052339047</v>
      </c>
      <c r="E2735" t="inlineStr">
        <is>
          <t>GUCCI GUILT H EDT NS 90 ML IV</t>
        </is>
      </c>
      <c r="F2735" t="inlineStr">
        <is>
          <t>P_US_ALL_OTHERS</t>
        </is>
      </c>
      <c r="G2735" t="inlineStr">
        <is>
          <t>CurrentWorkingView</t>
        </is>
      </c>
      <c r="H2735" t="inlineStr">
        <is>
          <t>Reasonability Adjustment</t>
        </is>
      </c>
      <c r="J2735" t="n">
        <v>-2000</v>
      </c>
      <c r="K2735" t="n">
        <v>1120</v>
      </c>
      <c r="N2735" t="n">
        <v>-597</v>
      </c>
      <c r="O2735" t="n">
        <v>-1515</v>
      </c>
      <c r="P2735" t="n">
        <v>-896</v>
      </c>
      <c r="Q2735" t="n">
        <v>-1427</v>
      </c>
      <c r="S2735" t="n">
        <v>-485</v>
      </c>
      <c r="T2735" t="n">
        <v>-750</v>
      </c>
    </row>
    <row r="2736">
      <c r="A2736" t="inlineStr">
        <is>
          <t>Gucci</t>
        </is>
      </c>
      <c r="B2736" t="inlineStr">
        <is>
          <t>Gucci Guilty (00840)</t>
        </is>
      </c>
      <c r="C2736" t="inlineStr">
        <is>
          <t>Gucci Guilty Pour Homme (00003463)</t>
        </is>
      </c>
      <c r="D2736" s="1" t="n">
        <v>737052339047</v>
      </c>
      <c r="E2736" t="inlineStr">
        <is>
          <t>GUCCI GUILT H EDT NS 90 ML IV</t>
        </is>
      </c>
      <c r="F2736" t="inlineStr">
        <is>
          <t>P_US_ALL_OTHERS</t>
        </is>
      </c>
      <c r="G2736" t="inlineStr">
        <is>
          <t>CurrentWorkingView</t>
        </is>
      </c>
      <c r="H2736" t="inlineStr">
        <is>
          <t>Total Demand Assumption</t>
        </is>
      </c>
    </row>
    <row r="2737">
      <c r="A2737" t="inlineStr">
        <is>
          <t>Gucci</t>
        </is>
      </c>
      <c r="B2737" t="inlineStr">
        <is>
          <t>Gucci Guilty (00840)</t>
        </is>
      </c>
      <c r="C2737" t="inlineStr">
        <is>
          <t>Gucci Guilty Pour Homme (00003463)</t>
        </is>
      </c>
      <c r="D2737" s="1" t="n">
        <v>737052339047</v>
      </c>
      <c r="E2737" t="inlineStr">
        <is>
          <t>GUCCI GUILT H EDT NS 90 ML IV</t>
        </is>
      </c>
      <c r="F2737" t="inlineStr">
        <is>
          <t>P_US_ALL_OTHERS</t>
        </is>
      </c>
      <c r="G2737" t="inlineStr">
        <is>
          <t>CurrentWorkingView</t>
        </is>
      </c>
      <c r="H2737" t="inlineStr">
        <is>
          <t>Consensus - Final</t>
        </is>
      </c>
      <c r="I2737" t="n">
        <v>5766</v>
      </c>
      <c r="J2737" t="n">
        <v>3484</v>
      </c>
      <c r="K2737" t="n">
        <v>4297.67342995169</v>
      </c>
      <c r="L2737" t="n">
        <v>3880</v>
      </c>
      <c r="M2737" t="n">
        <v>2987</v>
      </c>
      <c r="N2737" t="n">
        <v>3225</v>
      </c>
      <c r="O2737" t="n">
        <v>1611</v>
      </c>
      <c r="P2737" t="n">
        <v>1852</v>
      </c>
      <c r="Q2737" t="n">
        <v>1819</v>
      </c>
      <c r="R2737" t="n">
        <v>2619</v>
      </c>
      <c r="S2737" t="n">
        <v>2885</v>
      </c>
      <c r="T2737" t="n">
        <v>1942</v>
      </c>
    </row>
    <row r="2738">
      <c r="A2738" t="inlineStr">
        <is>
          <t>Gucci</t>
        </is>
      </c>
      <c r="B2738" t="inlineStr">
        <is>
          <t>Gucci Guilty (00840)</t>
        </is>
      </c>
      <c r="C2738" t="inlineStr">
        <is>
          <t>Gucci Guilty Pour Homme (00003463)</t>
        </is>
      </c>
      <c r="D2738" s="1" t="n">
        <v>737052339047</v>
      </c>
      <c r="E2738" t="inlineStr">
        <is>
          <t>GUCCI GUILT H EDT NS 90 ML IV</t>
        </is>
      </c>
      <c r="F2738" t="inlineStr">
        <is>
          <t>P_US_ALL_OTHERS</t>
        </is>
      </c>
      <c r="G2738" t="inlineStr">
        <is>
          <t>CurrentWorkingView</t>
        </is>
      </c>
      <c r="H2738" t="inlineStr">
        <is>
          <t>Supply Cuts</t>
        </is>
      </c>
    </row>
    <row r="2739">
      <c r="A2739" t="inlineStr">
        <is>
          <t>Gucci</t>
        </is>
      </c>
      <c r="B2739" t="inlineStr">
        <is>
          <t>Gucci Guilty (00840)</t>
        </is>
      </c>
      <c r="C2739" t="inlineStr">
        <is>
          <t>Gucci Guilty Pour Homme (00003463)</t>
        </is>
      </c>
      <c r="D2739" s="1" t="n">
        <v>737052339047</v>
      </c>
      <c r="E2739" t="inlineStr">
        <is>
          <t>GUCCI GUILT H EDT NS 90 ML IV</t>
        </is>
      </c>
      <c r="F2739" t="inlineStr">
        <is>
          <t>P_US_ALL_OTHERS</t>
        </is>
      </c>
      <c r="G2739" t="inlineStr">
        <is>
          <t>Month-2026.M09.W38</t>
        </is>
      </c>
      <c r="H2739" t="inlineStr">
        <is>
          <t>Consensus - Final LY M</t>
        </is>
      </c>
      <c r="I2739" t="n">
        <v>5423</v>
      </c>
      <c r="J2739" t="n">
        <v>4288</v>
      </c>
      <c r="K2739" t="n">
        <v>7997</v>
      </c>
      <c r="L2739" t="n">
        <v>7907</v>
      </c>
      <c r="M2739" t="n">
        <v>4119</v>
      </c>
      <c r="N2739" t="n">
        <v>5497</v>
      </c>
      <c r="O2739" t="n">
        <v>1326</v>
      </c>
      <c r="P2739" t="n">
        <v>2691</v>
      </c>
      <c r="Q2739" t="n">
        <v>5011</v>
      </c>
      <c r="R2739" t="n">
        <v>2808</v>
      </c>
      <c r="S2739" t="n">
        <v>2173</v>
      </c>
      <c r="T2739" t="n">
        <v>2925</v>
      </c>
    </row>
    <row r="2740">
      <c r="A2740" t="inlineStr">
        <is>
          <t>Gucci</t>
        </is>
      </c>
      <c r="B2740" t="inlineStr">
        <is>
          <t>Gucci Guilty (00840)</t>
        </is>
      </c>
      <c r="C2740" t="inlineStr">
        <is>
          <t>Gucci Guilty Pour Homme (00003463)</t>
        </is>
      </c>
      <c r="D2740" s="1" t="n">
        <v>737052339047</v>
      </c>
      <c r="E2740" t="inlineStr">
        <is>
          <t>GUCCI GUILT H EDT NS 90 ML IV</t>
        </is>
      </c>
      <c r="F2740" t="inlineStr">
        <is>
          <t>P_US_ALL_OTHERS</t>
        </is>
      </c>
      <c r="G2740" t="inlineStr">
        <is>
          <t>Month-2026.M09.W38</t>
        </is>
      </c>
      <c r="H2740" t="inlineStr">
        <is>
          <t>System FC - Final</t>
        </is>
      </c>
      <c r="I2740" t="n">
        <v>5766</v>
      </c>
      <c r="J2740" t="n">
        <v>3484</v>
      </c>
      <c r="K2740" t="n">
        <v>3634</v>
      </c>
      <c r="L2740" t="n">
        <v>4016</v>
      </c>
      <c r="M2740" t="n">
        <v>2562</v>
      </c>
      <c r="N2740" t="n">
        <v>3105</v>
      </c>
      <c r="O2740" t="n">
        <v>3591</v>
      </c>
      <c r="P2740" t="n">
        <v>3188</v>
      </c>
      <c r="Q2740" t="n">
        <v>3649</v>
      </c>
      <c r="R2740" t="n">
        <v>2258</v>
      </c>
      <c r="S2740" t="n">
        <v>2958</v>
      </c>
      <c r="T2740" t="n">
        <v>2303</v>
      </c>
    </row>
    <row r="2741">
      <c r="A2741" t="inlineStr">
        <is>
          <t>Gucci</t>
        </is>
      </c>
      <c r="B2741" t="inlineStr">
        <is>
          <t>Gucci Guilty (00840)</t>
        </is>
      </c>
      <c r="C2741" t="inlineStr">
        <is>
          <t>Gucci Guilty Pour Homme (00003463)</t>
        </is>
      </c>
      <c r="D2741" s="1" t="n">
        <v>737052339047</v>
      </c>
      <c r="E2741" t="inlineStr">
        <is>
          <t>GUCCI GUILT H EDT NS 90 ML IV</t>
        </is>
      </c>
      <c r="F2741" t="inlineStr">
        <is>
          <t>P_US_ALL_OTHERS</t>
        </is>
      </c>
      <c r="G2741" t="inlineStr">
        <is>
          <t>Month-2026.M09.W38</t>
        </is>
      </c>
      <c r="H2741" t="inlineStr">
        <is>
          <t>EPOS</t>
        </is>
      </c>
      <c r="I2741" t="n">
        <v>2369</v>
      </c>
    </row>
    <row r="2742">
      <c r="A2742" t="inlineStr">
        <is>
          <t>Gucci</t>
        </is>
      </c>
      <c r="B2742" t="inlineStr">
        <is>
          <t>Gucci Guilty (00840)</t>
        </is>
      </c>
      <c r="C2742" t="inlineStr">
        <is>
          <t>Gucci Guilty Pour Homme (00003463)</t>
        </is>
      </c>
      <c r="D2742" s="1" t="n">
        <v>737052339047</v>
      </c>
      <c r="E2742" t="inlineStr">
        <is>
          <t>GUCCI GUILT H EDT NS 90 ML IV</t>
        </is>
      </c>
      <c r="F2742" t="inlineStr">
        <is>
          <t>P_US_ALL_OTHERS</t>
        </is>
      </c>
      <c r="G2742" t="inlineStr">
        <is>
          <t>Month-2026.M09.W38</t>
        </is>
      </c>
      <c r="H2742" t="inlineStr">
        <is>
          <t>Reasonability Adjustment</t>
        </is>
      </c>
      <c r="J2742" t="n">
        <v>-2000</v>
      </c>
      <c r="K2742" t="n">
        <v>1120</v>
      </c>
      <c r="N2742" t="n">
        <v>-597</v>
      </c>
      <c r="O2742" t="n">
        <v>-1515</v>
      </c>
      <c r="P2742" t="n">
        <v>-896</v>
      </c>
      <c r="Q2742" t="n">
        <v>-1427</v>
      </c>
      <c r="S2742" t="n">
        <v>-485</v>
      </c>
      <c r="T2742" t="n">
        <v>-750</v>
      </c>
    </row>
    <row r="2743">
      <c r="A2743" t="inlineStr">
        <is>
          <t>Gucci</t>
        </is>
      </c>
      <c r="B2743" t="inlineStr">
        <is>
          <t>Gucci Guilty (00840)</t>
        </is>
      </c>
      <c r="C2743" t="inlineStr">
        <is>
          <t>Gucci Guilty Pour Homme (00003463)</t>
        </is>
      </c>
      <c r="D2743" s="1" t="n">
        <v>737052339047</v>
      </c>
      <c r="E2743" t="inlineStr">
        <is>
          <t>GUCCI GUILT H EDT NS 90 ML IV</t>
        </is>
      </c>
      <c r="F2743" t="inlineStr">
        <is>
          <t>P_US_ALL_OTHERS</t>
        </is>
      </c>
      <c r="G2743" t="inlineStr">
        <is>
          <t>Month-2026.M09.W38</t>
        </is>
      </c>
      <c r="H2743" t="inlineStr">
        <is>
          <t>Total Demand Assumption</t>
        </is>
      </c>
    </row>
    <row r="2744">
      <c r="A2744" t="inlineStr">
        <is>
          <t>Gucci</t>
        </is>
      </c>
      <c r="B2744" t="inlineStr">
        <is>
          <t>Gucci Guilty (00840)</t>
        </is>
      </c>
      <c r="C2744" t="inlineStr">
        <is>
          <t>Gucci Guilty Pour Homme (00003463)</t>
        </is>
      </c>
      <c r="D2744" s="1" t="n">
        <v>737052339047</v>
      </c>
      <c r="E2744" t="inlineStr">
        <is>
          <t>GUCCI GUILT H EDT NS 90 ML IV</t>
        </is>
      </c>
      <c r="F2744" t="inlineStr">
        <is>
          <t>P_US_ALL_OTHERS</t>
        </is>
      </c>
      <c r="G2744" t="inlineStr">
        <is>
          <t>Month-2026.M09.W38</t>
        </is>
      </c>
      <c r="H2744" t="inlineStr">
        <is>
          <t>Consensus - Final</t>
        </is>
      </c>
      <c r="I2744" t="n">
        <v>5766</v>
      </c>
      <c r="J2744" t="n">
        <v>3484</v>
      </c>
      <c r="K2744" t="n">
        <v>4297.67342995169</v>
      </c>
      <c r="L2744" t="n">
        <v>4016</v>
      </c>
      <c r="M2744" t="n">
        <v>2562</v>
      </c>
      <c r="N2744" t="n">
        <v>2508</v>
      </c>
      <c r="O2744" t="n">
        <v>2076</v>
      </c>
      <c r="P2744" t="n">
        <v>2292</v>
      </c>
      <c r="Q2744" t="n">
        <v>2222</v>
      </c>
      <c r="R2744" t="n">
        <v>2258</v>
      </c>
      <c r="S2744" t="n">
        <v>2473</v>
      </c>
      <c r="T2744" t="n">
        <v>1553</v>
      </c>
    </row>
    <row r="2745">
      <c r="A2745" t="inlineStr">
        <is>
          <t>Gucci</t>
        </is>
      </c>
      <c r="B2745" t="inlineStr">
        <is>
          <t>Gucci Guilty (00840)</t>
        </is>
      </c>
      <c r="C2745" t="inlineStr">
        <is>
          <t>Gucci Guilty Pour Homme (00003463)</t>
        </is>
      </c>
      <c r="D2745" s="1" t="n">
        <v>737052339047</v>
      </c>
      <c r="E2745" t="inlineStr">
        <is>
          <t>GUCCI GUILT H EDT NS 90 ML IV</t>
        </is>
      </c>
      <c r="F2745" t="inlineStr">
        <is>
          <t>P_US_ALL_OTHERS</t>
        </is>
      </c>
      <c r="G2745" t="inlineStr">
        <is>
          <t>Month-2026.M09.W38</t>
        </is>
      </c>
      <c r="H2745" t="inlineStr">
        <is>
          <t>Supply Cuts</t>
        </is>
      </c>
    </row>
    <row r="2746">
      <c r="A2746" t="inlineStr">
        <is>
          <t>Gucci</t>
        </is>
      </c>
      <c r="B2746" t="inlineStr">
        <is>
          <t>Gucci Guilty (00840)</t>
        </is>
      </c>
      <c r="C2746" t="inlineStr">
        <is>
          <t>Gucci Guilty Pour Homme (00003463)</t>
        </is>
      </c>
      <c r="D2746" s="1" t="n">
        <v>737052339047</v>
      </c>
      <c r="E2746" t="inlineStr">
        <is>
          <t>GUCCI GUILT H EDT NS 90 ML IV</t>
        </is>
      </c>
      <c r="F2746" t="inlineStr">
        <is>
          <t>P_US_FG</t>
        </is>
      </c>
      <c r="G2746" t="inlineStr">
        <is>
          <t>CurrentWorkingView</t>
        </is>
      </c>
      <c r="H2746" t="inlineStr">
        <is>
          <t>Consensus - Final LY M</t>
        </is>
      </c>
      <c r="I2746" t="n">
        <v>1</v>
      </c>
      <c r="J2746" t="n">
        <v>15</v>
      </c>
      <c r="K2746" t="n">
        <v>1</v>
      </c>
      <c r="M2746" t="n">
        <v>81</v>
      </c>
      <c r="P2746" t="n">
        <v>15</v>
      </c>
      <c r="R2746" t="n">
        <v>397</v>
      </c>
      <c r="T2746" t="n">
        <v>39</v>
      </c>
    </row>
    <row r="2747">
      <c r="A2747" t="inlineStr">
        <is>
          <t>Gucci</t>
        </is>
      </c>
      <c r="B2747" t="inlineStr">
        <is>
          <t>Gucci Guilty (00840)</t>
        </is>
      </c>
      <c r="C2747" t="inlineStr">
        <is>
          <t>Gucci Guilty Pour Homme (00003463)</t>
        </is>
      </c>
      <c r="D2747" s="1" t="n">
        <v>737052339047</v>
      </c>
      <c r="E2747" t="inlineStr">
        <is>
          <t>GUCCI GUILT H EDT NS 90 ML IV</t>
        </is>
      </c>
      <c r="F2747" t="inlineStr">
        <is>
          <t>P_US_FG</t>
        </is>
      </c>
      <c r="G2747" t="inlineStr">
        <is>
          <t>CurrentWorkingView</t>
        </is>
      </c>
      <c r="H2747" t="inlineStr">
        <is>
          <t>System FC - Final</t>
        </is>
      </c>
      <c r="J2747" t="n">
        <v>6</v>
      </c>
      <c r="K2747" t="n">
        <v>523</v>
      </c>
      <c r="L2747" t="n">
        <v>23</v>
      </c>
      <c r="M2747" t="n">
        <v>27</v>
      </c>
      <c r="N2747" t="n">
        <v>22</v>
      </c>
      <c r="O2747" t="n">
        <v>22</v>
      </c>
      <c r="P2747" t="n">
        <v>24</v>
      </c>
      <c r="Q2747" t="n">
        <v>26</v>
      </c>
      <c r="R2747" t="n">
        <v>27</v>
      </c>
      <c r="S2747" t="n">
        <v>22</v>
      </c>
      <c r="T2747" t="n">
        <v>21</v>
      </c>
    </row>
    <row r="2748">
      <c r="A2748" t="inlineStr">
        <is>
          <t>Gucci</t>
        </is>
      </c>
      <c r="B2748" t="inlineStr">
        <is>
          <t>Gucci Guilty (00840)</t>
        </is>
      </c>
      <c r="C2748" t="inlineStr">
        <is>
          <t>Gucci Guilty Pour Homme (00003463)</t>
        </is>
      </c>
      <c r="D2748" s="1" t="n">
        <v>737052339047</v>
      </c>
      <c r="E2748" t="inlineStr">
        <is>
          <t>GUCCI GUILT H EDT NS 90 ML IV</t>
        </is>
      </c>
      <c r="F2748" t="inlineStr">
        <is>
          <t>P_US_FG</t>
        </is>
      </c>
      <c r="G2748" t="inlineStr">
        <is>
          <t>CurrentWorkingView</t>
        </is>
      </c>
      <c r="H2748" t="inlineStr">
        <is>
          <t>EPOS</t>
        </is>
      </c>
    </row>
    <row r="2749">
      <c r="A2749" t="inlineStr">
        <is>
          <t>Gucci</t>
        </is>
      </c>
      <c r="B2749" t="inlineStr">
        <is>
          <t>Gucci Guilty (00840)</t>
        </is>
      </c>
      <c r="C2749" t="inlineStr">
        <is>
          <t>Gucci Guilty Pour Homme (00003463)</t>
        </is>
      </c>
      <c r="D2749" s="1" t="n">
        <v>737052339047</v>
      </c>
      <c r="E2749" t="inlineStr">
        <is>
          <t>GUCCI GUILT H EDT NS 90 ML IV</t>
        </is>
      </c>
      <c r="F2749" t="inlineStr">
        <is>
          <t>P_US_FG</t>
        </is>
      </c>
      <c r="G2749" t="inlineStr">
        <is>
          <t>CurrentWorkingView</t>
        </is>
      </c>
      <c r="H2749" t="inlineStr">
        <is>
          <t>Reasonability Adjustment</t>
        </is>
      </c>
      <c r="K2749" t="n">
        <v>5</v>
      </c>
      <c r="L2749" t="n">
        <v>11</v>
      </c>
      <c r="M2749" t="n">
        <v>5</v>
      </c>
      <c r="P2749" t="n">
        <v>-2</v>
      </c>
      <c r="T2749" t="n">
        <v>-4</v>
      </c>
    </row>
    <row r="2750">
      <c r="A2750" t="inlineStr">
        <is>
          <t>Gucci</t>
        </is>
      </c>
      <c r="B2750" t="inlineStr">
        <is>
          <t>Gucci Guilty (00840)</t>
        </is>
      </c>
      <c r="C2750" t="inlineStr">
        <is>
          <t>Gucci Guilty Pour Homme (00003463)</t>
        </is>
      </c>
      <c r="D2750" s="1" t="n">
        <v>737052339047</v>
      </c>
      <c r="E2750" t="inlineStr">
        <is>
          <t>GUCCI GUILT H EDT NS 90 ML IV</t>
        </is>
      </c>
      <c r="F2750" t="inlineStr">
        <is>
          <t>P_US_FG</t>
        </is>
      </c>
      <c r="G2750" t="inlineStr">
        <is>
          <t>CurrentWorkingView</t>
        </is>
      </c>
      <c r="H2750" t="inlineStr">
        <is>
          <t>Total Demand Assumption</t>
        </is>
      </c>
    </row>
    <row r="2751">
      <c r="A2751" t="inlineStr">
        <is>
          <t>Gucci</t>
        </is>
      </c>
      <c r="B2751" t="inlineStr">
        <is>
          <t>Gucci Guilty (00840)</t>
        </is>
      </c>
      <c r="C2751" t="inlineStr">
        <is>
          <t>Gucci Guilty Pour Homme (00003463)</t>
        </is>
      </c>
      <c r="D2751" s="1" t="n">
        <v>737052339047</v>
      </c>
      <c r="E2751" t="inlineStr">
        <is>
          <t>GUCCI GUILT H EDT NS 90 ML IV</t>
        </is>
      </c>
      <c r="F2751" t="inlineStr">
        <is>
          <t>P_US_FG</t>
        </is>
      </c>
      <c r="G2751" t="inlineStr">
        <is>
          <t>CurrentWorkingView</t>
        </is>
      </c>
      <c r="H2751" t="inlineStr">
        <is>
          <t>Consensus - Final</t>
        </is>
      </c>
      <c r="J2751" t="n">
        <v>6</v>
      </c>
      <c r="K2751" t="n">
        <v>512</v>
      </c>
      <c r="L2751" t="n">
        <v>11</v>
      </c>
      <c r="M2751" t="n">
        <v>5</v>
      </c>
      <c r="P2751" t="n">
        <v>0</v>
      </c>
      <c r="T2751" t="n">
        <v>0</v>
      </c>
    </row>
    <row r="2752">
      <c r="A2752" t="inlineStr">
        <is>
          <t>Gucci</t>
        </is>
      </c>
      <c r="B2752" t="inlineStr">
        <is>
          <t>Gucci Guilty (00840)</t>
        </is>
      </c>
      <c r="C2752" t="inlineStr">
        <is>
          <t>Gucci Guilty Pour Homme (00003463)</t>
        </is>
      </c>
      <c r="D2752" s="1" t="n">
        <v>737052339047</v>
      </c>
      <c r="E2752" t="inlineStr">
        <is>
          <t>GUCCI GUILT H EDT NS 90 ML IV</t>
        </is>
      </c>
      <c r="F2752" t="inlineStr">
        <is>
          <t>P_US_FG</t>
        </is>
      </c>
      <c r="G2752" t="inlineStr">
        <is>
          <t>CurrentWorkingView</t>
        </is>
      </c>
      <c r="H2752" t="inlineStr">
        <is>
          <t>Supply Cuts</t>
        </is>
      </c>
    </row>
    <row r="2753">
      <c r="A2753" t="inlineStr">
        <is>
          <t>Gucci</t>
        </is>
      </c>
      <c r="B2753" t="inlineStr">
        <is>
          <t>Gucci Guilty (00840)</t>
        </is>
      </c>
      <c r="C2753" t="inlineStr">
        <is>
          <t>Gucci Guilty Pour Homme (00003463)</t>
        </is>
      </c>
      <c r="D2753" s="1" t="n">
        <v>737052339047</v>
      </c>
      <c r="E2753" t="inlineStr">
        <is>
          <t>GUCCI GUILT H EDT NS 90 ML IV</t>
        </is>
      </c>
      <c r="F2753" t="inlineStr">
        <is>
          <t>P_US_FG</t>
        </is>
      </c>
      <c r="G2753" t="inlineStr">
        <is>
          <t>Month-2026.M09.W38</t>
        </is>
      </c>
      <c r="H2753" t="inlineStr">
        <is>
          <t>Consensus - Final LY M</t>
        </is>
      </c>
      <c r="I2753" t="n">
        <v>1</v>
      </c>
      <c r="J2753" t="n">
        <v>15</v>
      </c>
      <c r="K2753" t="n">
        <v>1</v>
      </c>
      <c r="M2753" t="n">
        <v>81</v>
      </c>
      <c r="P2753" t="n">
        <v>15</v>
      </c>
      <c r="R2753" t="n">
        <v>397</v>
      </c>
      <c r="T2753" t="n">
        <v>39</v>
      </c>
    </row>
    <row r="2754">
      <c r="A2754" t="inlineStr">
        <is>
          <t>Gucci</t>
        </is>
      </c>
      <c r="B2754" t="inlineStr">
        <is>
          <t>Gucci Guilty (00840)</t>
        </is>
      </c>
      <c r="C2754" t="inlineStr">
        <is>
          <t>Gucci Guilty Pour Homme (00003463)</t>
        </is>
      </c>
      <c r="D2754" s="1" t="n">
        <v>737052339047</v>
      </c>
      <c r="E2754" t="inlineStr">
        <is>
          <t>GUCCI GUILT H EDT NS 90 ML IV</t>
        </is>
      </c>
      <c r="F2754" t="inlineStr">
        <is>
          <t>P_US_FG</t>
        </is>
      </c>
      <c r="G2754" t="inlineStr">
        <is>
          <t>Month-2026.M09.W38</t>
        </is>
      </c>
      <c r="H2754" t="inlineStr">
        <is>
          <t>System FC - Final</t>
        </is>
      </c>
      <c r="J2754" t="n">
        <v>6</v>
      </c>
      <c r="K2754" t="n">
        <v>528</v>
      </c>
      <c r="L2754" t="n">
        <v>26</v>
      </c>
      <c r="M2754" t="n">
        <v>26</v>
      </c>
      <c r="N2754" t="n">
        <v>22</v>
      </c>
      <c r="O2754" t="n">
        <v>26</v>
      </c>
      <c r="P2754" t="n">
        <v>28</v>
      </c>
      <c r="Q2754" t="n">
        <v>27</v>
      </c>
      <c r="R2754" t="n">
        <v>30</v>
      </c>
      <c r="S2754" t="n">
        <v>22</v>
      </c>
      <c r="T2754" t="n">
        <v>11</v>
      </c>
    </row>
    <row r="2755">
      <c r="A2755" t="inlineStr">
        <is>
          <t>Gucci</t>
        </is>
      </c>
      <c r="B2755" t="inlineStr">
        <is>
          <t>Gucci Guilty (00840)</t>
        </is>
      </c>
      <c r="C2755" t="inlineStr">
        <is>
          <t>Gucci Guilty Pour Homme (00003463)</t>
        </is>
      </c>
      <c r="D2755" s="1" t="n">
        <v>737052339047</v>
      </c>
      <c r="E2755" t="inlineStr">
        <is>
          <t>GUCCI GUILT H EDT NS 90 ML IV</t>
        </is>
      </c>
      <c r="F2755" t="inlineStr">
        <is>
          <t>P_US_FG</t>
        </is>
      </c>
      <c r="G2755" t="inlineStr">
        <is>
          <t>Month-2026.M09.W38</t>
        </is>
      </c>
      <c r="H2755" t="inlineStr">
        <is>
          <t>EPOS</t>
        </is>
      </c>
    </row>
    <row r="2756">
      <c r="A2756" t="inlineStr">
        <is>
          <t>Gucci</t>
        </is>
      </c>
      <c r="B2756" t="inlineStr">
        <is>
          <t>Gucci Guilty (00840)</t>
        </is>
      </c>
      <c r="C2756" t="inlineStr">
        <is>
          <t>Gucci Guilty Pour Homme (00003463)</t>
        </is>
      </c>
      <c r="D2756" s="1" t="n">
        <v>737052339047</v>
      </c>
      <c r="E2756" t="inlineStr">
        <is>
          <t>GUCCI GUILT H EDT NS 90 ML IV</t>
        </is>
      </c>
      <c r="F2756" t="inlineStr">
        <is>
          <t>P_US_FG</t>
        </is>
      </c>
      <c r="G2756" t="inlineStr">
        <is>
          <t>Month-2026.M09.W38</t>
        </is>
      </c>
      <c r="H2756" t="inlineStr">
        <is>
          <t>Reasonability Adjustment</t>
        </is>
      </c>
      <c r="K2756" t="n">
        <v>5</v>
      </c>
      <c r="L2756" t="n">
        <v>11</v>
      </c>
      <c r="M2756" t="n">
        <v>5</v>
      </c>
      <c r="P2756" t="n">
        <v>-2</v>
      </c>
      <c r="T2756" t="n">
        <v>-4</v>
      </c>
    </row>
    <row r="2757">
      <c r="A2757" t="inlineStr">
        <is>
          <t>Gucci</t>
        </is>
      </c>
      <c r="B2757" t="inlineStr">
        <is>
          <t>Gucci Guilty (00840)</t>
        </is>
      </c>
      <c r="C2757" t="inlineStr">
        <is>
          <t>Gucci Guilty Pour Homme (00003463)</t>
        </is>
      </c>
      <c r="D2757" s="1" t="n">
        <v>737052339047</v>
      </c>
      <c r="E2757" t="inlineStr">
        <is>
          <t>GUCCI GUILT H EDT NS 90 ML IV</t>
        </is>
      </c>
      <c r="F2757" t="inlineStr">
        <is>
          <t>P_US_FG</t>
        </is>
      </c>
      <c r="G2757" t="inlineStr">
        <is>
          <t>Month-2026.M09.W38</t>
        </is>
      </c>
      <c r="H2757" t="inlineStr">
        <is>
          <t>Total Demand Assumption</t>
        </is>
      </c>
    </row>
    <row r="2758">
      <c r="A2758" t="inlineStr">
        <is>
          <t>Gucci</t>
        </is>
      </c>
      <c r="B2758" t="inlineStr">
        <is>
          <t>Gucci Guilty (00840)</t>
        </is>
      </c>
      <c r="C2758" t="inlineStr">
        <is>
          <t>Gucci Guilty Pour Homme (00003463)</t>
        </is>
      </c>
      <c r="D2758" s="1" t="n">
        <v>737052339047</v>
      </c>
      <c r="E2758" t="inlineStr">
        <is>
          <t>GUCCI GUILT H EDT NS 90 ML IV</t>
        </is>
      </c>
      <c r="F2758" t="inlineStr">
        <is>
          <t>P_US_FG</t>
        </is>
      </c>
      <c r="G2758" t="inlineStr">
        <is>
          <t>Month-2026.M09.W38</t>
        </is>
      </c>
      <c r="H2758" t="inlineStr">
        <is>
          <t>Consensus - Final</t>
        </is>
      </c>
      <c r="J2758" t="n">
        <v>6</v>
      </c>
      <c r="K2758" t="n">
        <v>512</v>
      </c>
      <c r="L2758" t="n">
        <v>11</v>
      </c>
      <c r="M2758" t="n">
        <v>5</v>
      </c>
      <c r="P2758" t="n">
        <v>0</v>
      </c>
      <c r="T2758" t="n">
        <v>0</v>
      </c>
    </row>
    <row r="2759">
      <c r="A2759" t="inlineStr">
        <is>
          <t>Gucci</t>
        </is>
      </c>
      <c r="B2759" t="inlineStr">
        <is>
          <t>Gucci Guilty (00840)</t>
        </is>
      </c>
      <c r="C2759" t="inlineStr">
        <is>
          <t>Gucci Guilty Pour Homme (00003463)</t>
        </is>
      </c>
      <c r="D2759" s="1" t="n">
        <v>737052339047</v>
      </c>
      <c r="E2759" t="inlineStr">
        <is>
          <t>GUCCI GUILT H EDT NS 90 ML IV</t>
        </is>
      </c>
      <c r="F2759" t="inlineStr">
        <is>
          <t>P_US_FG</t>
        </is>
      </c>
      <c r="G2759" t="inlineStr">
        <is>
          <t>Month-2026.M09.W38</t>
        </is>
      </c>
      <c r="H2759" t="inlineStr">
        <is>
          <t>Supply Cuts</t>
        </is>
      </c>
    </row>
    <row r="2760">
      <c r="A2760" t="inlineStr">
        <is>
          <t>Gucci</t>
        </is>
      </c>
      <c r="B2760" t="inlineStr">
        <is>
          <t>Gucci Guilty (00840)</t>
        </is>
      </c>
      <c r="C2760" t="inlineStr">
        <is>
          <t>Gucci Guilty Pour Homme (00003463)</t>
        </is>
      </c>
      <c r="D2760" s="1" t="n">
        <v>737052339047</v>
      </c>
      <c r="E2760" t="inlineStr">
        <is>
          <t>GUCCI GUILT H EDT NS 90 ML IV</t>
        </is>
      </c>
      <c r="F2760" t="inlineStr">
        <is>
          <t>P_US_ULTA</t>
        </is>
      </c>
      <c r="G2760" t="inlineStr">
        <is>
          <t>CurrentWorkingView</t>
        </is>
      </c>
      <c r="H2760" t="inlineStr">
        <is>
          <t>Consensus - Final LY M</t>
        </is>
      </c>
      <c r="I2760" t="n">
        <v>336</v>
      </c>
      <c r="J2760" t="n">
        <v>2016</v>
      </c>
      <c r="K2760" t="n">
        <v>5465</v>
      </c>
      <c r="L2760" t="n">
        <v>216</v>
      </c>
      <c r="M2760" t="n">
        <v>1632</v>
      </c>
      <c r="N2760" t="n">
        <v>1464</v>
      </c>
      <c r="O2760" t="n">
        <v>2424</v>
      </c>
      <c r="P2760" t="n">
        <v>1080</v>
      </c>
      <c r="Q2760" t="n">
        <v>1176</v>
      </c>
      <c r="R2760" t="n">
        <v>816</v>
      </c>
      <c r="S2760" t="n">
        <v>4968</v>
      </c>
    </row>
    <row r="2761">
      <c r="A2761" t="inlineStr">
        <is>
          <t>Gucci</t>
        </is>
      </c>
      <c r="B2761" t="inlineStr">
        <is>
          <t>Gucci Guilty (00840)</t>
        </is>
      </c>
      <c r="C2761" t="inlineStr">
        <is>
          <t>Gucci Guilty Pour Homme (00003463)</t>
        </is>
      </c>
      <c r="D2761" s="1" t="n">
        <v>737052339047</v>
      </c>
      <c r="E2761" t="inlineStr">
        <is>
          <t>GUCCI GUILT H EDT NS 90 ML IV</t>
        </is>
      </c>
      <c r="F2761" t="inlineStr">
        <is>
          <t>P_US_ULTA</t>
        </is>
      </c>
      <c r="G2761" t="inlineStr">
        <is>
          <t>CurrentWorkingView</t>
        </is>
      </c>
      <c r="H2761" t="inlineStr">
        <is>
          <t>System FC - Final</t>
        </is>
      </c>
      <c r="I2761" t="n">
        <v>264</v>
      </c>
      <c r="J2761" t="n">
        <v>864</v>
      </c>
      <c r="K2761" t="n">
        <v>3774</v>
      </c>
      <c r="L2761" t="n">
        <v>807</v>
      </c>
      <c r="M2761" t="n">
        <v>1902</v>
      </c>
      <c r="N2761" t="n">
        <v>2095</v>
      </c>
      <c r="O2761" t="n">
        <v>1151</v>
      </c>
      <c r="P2761" t="n">
        <v>2152</v>
      </c>
      <c r="Q2761" t="n">
        <v>1466</v>
      </c>
      <c r="R2761" t="n">
        <v>750</v>
      </c>
      <c r="S2761" t="n">
        <v>3135</v>
      </c>
      <c r="T2761" t="n">
        <v>810</v>
      </c>
    </row>
    <row r="2762">
      <c r="A2762" t="inlineStr">
        <is>
          <t>Gucci</t>
        </is>
      </c>
      <c r="B2762" t="inlineStr">
        <is>
          <t>Gucci Guilty (00840)</t>
        </is>
      </c>
      <c r="C2762" t="inlineStr">
        <is>
          <t>Gucci Guilty Pour Homme (00003463)</t>
        </is>
      </c>
      <c r="D2762" s="1" t="n">
        <v>737052339047</v>
      </c>
      <c r="E2762" t="inlineStr">
        <is>
          <t>GUCCI GUILT H EDT NS 90 ML IV</t>
        </is>
      </c>
      <c r="F2762" t="inlineStr">
        <is>
          <t>P_US_ULTA</t>
        </is>
      </c>
      <c r="G2762" t="inlineStr">
        <is>
          <t>CurrentWorkingView</t>
        </is>
      </c>
      <c r="H2762" t="inlineStr">
        <is>
          <t>EPOS</t>
        </is>
      </c>
      <c r="I2762" t="n">
        <v>837</v>
      </c>
    </row>
    <row r="2763">
      <c r="A2763" t="inlineStr">
        <is>
          <t>Gucci</t>
        </is>
      </c>
      <c r="B2763" t="inlineStr">
        <is>
          <t>Gucci Guilty (00840)</t>
        </is>
      </c>
      <c r="C2763" t="inlineStr">
        <is>
          <t>Gucci Guilty Pour Homme (00003463)</t>
        </is>
      </c>
      <c r="D2763" s="1" t="n">
        <v>737052339047</v>
      </c>
      <c r="E2763" t="inlineStr">
        <is>
          <t>GUCCI GUILT H EDT NS 90 ML IV</t>
        </is>
      </c>
      <c r="F2763" t="inlineStr">
        <is>
          <t>P_US_ULTA</t>
        </is>
      </c>
      <c r="G2763" t="inlineStr">
        <is>
          <t>CurrentWorkingView</t>
        </is>
      </c>
      <c r="H2763" t="inlineStr">
        <is>
          <t>Reasonability Adjustment</t>
        </is>
      </c>
      <c r="K2763" t="n">
        <v>875</v>
      </c>
      <c r="N2763" t="n">
        <v>-403</v>
      </c>
      <c r="O2763" t="n">
        <v>-485</v>
      </c>
      <c r="P2763" t="n">
        <v>-604</v>
      </c>
      <c r="Q2763" t="n">
        <v>-573</v>
      </c>
      <c r="S2763" t="n">
        <v>-515</v>
      </c>
      <c r="T2763" t="n">
        <v>-250</v>
      </c>
    </row>
    <row r="2764">
      <c r="A2764" t="inlineStr">
        <is>
          <t>Gucci</t>
        </is>
      </c>
      <c r="B2764" t="inlineStr">
        <is>
          <t>Gucci Guilty (00840)</t>
        </is>
      </c>
      <c r="C2764" t="inlineStr">
        <is>
          <t>Gucci Guilty Pour Homme (00003463)</t>
        </is>
      </c>
      <c r="D2764" s="1" t="n">
        <v>737052339047</v>
      </c>
      <c r="E2764" t="inlineStr">
        <is>
          <t>GUCCI GUILT H EDT NS 90 ML IV</t>
        </is>
      </c>
      <c r="F2764" t="inlineStr">
        <is>
          <t>P_US_ULTA</t>
        </is>
      </c>
      <c r="G2764" t="inlineStr">
        <is>
          <t>CurrentWorkingView</t>
        </is>
      </c>
      <c r="H2764" t="inlineStr">
        <is>
          <t>Total Demand Assumption</t>
        </is>
      </c>
    </row>
    <row r="2765">
      <c r="A2765" t="inlineStr">
        <is>
          <t>Gucci</t>
        </is>
      </c>
      <c r="B2765" t="inlineStr">
        <is>
          <t>Gucci Guilty (00840)</t>
        </is>
      </c>
      <c r="C2765" t="inlineStr">
        <is>
          <t>Gucci Guilty Pour Homme (00003463)</t>
        </is>
      </c>
      <c r="D2765" s="1" t="n">
        <v>737052339047</v>
      </c>
      <c r="E2765" t="inlineStr">
        <is>
          <t>GUCCI GUILT H EDT NS 90 ML IV</t>
        </is>
      </c>
      <c r="F2765" t="inlineStr">
        <is>
          <t>P_US_ULTA</t>
        </is>
      </c>
      <c r="G2765" t="inlineStr">
        <is>
          <t>CurrentWorkingView</t>
        </is>
      </c>
      <c r="H2765" t="inlineStr">
        <is>
          <t>Consensus - Final</t>
        </is>
      </c>
      <c r="I2765" t="n">
        <v>264</v>
      </c>
      <c r="J2765" t="n">
        <v>864</v>
      </c>
      <c r="K2765" t="n">
        <v>3653.3265700483</v>
      </c>
      <c r="L2765" t="n">
        <v>807</v>
      </c>
      <c r="M2765" t="n">
        <v>1902</v>
      </c>
      <c r="N2765" t="n">
        <v>1692</v>
      </c>
      <c r="O2765" t="n">
        <v>666</v>
      </c>
      <c r="P2765" t="n">
        <v>1548</v>
      </c>
      <c r="Q2765" t="n">
        <v>893</v>
      </c>
      <c r="R2765" t="n">
        <v>750</v>
      </c>
      <c r="S2765" t="n">
        <v>2620</v>
      </c>
      <c r="T2765" t="n">
        <v>560</v>
      </c>
    </row>
    <row r="2766">
      <c r="A2766" t="inlineStr">
        <is>
          <t>Gucci</t>
        </is>
      </c>
      <c r="B2766" t="inlineStr">
        <is>
          <t>Gucci Guilty (00840)</t>
        </is>
      </c>
      <c r="C2766" t="inlineStr">
        <is>
          <t>Gucci Guilty Pour Homme (00003463)</t>
        </is>
      </c>
      <c r="D2766" s="1" t="n">
        <v>737052339047</v>
      </c>
      <c r="E2766" t="inlineStr">
        <is>
          <t>GUCCI GUILT H EDT NS 90 ML IV</t>
        </is>
      </c>
      <c r="F2766" t="inlineStr">
        <is>
          <t>P_US_ULTA</t>
        </is>
      </c>
      <c r="G2766" t="inlineStr">
        <is>
          <t>CurrentWorkingView</t>
        </is>
      </c>
      <c r="H2766" t="inlineStr">
        <is>
          <t>Supply Cuts</t>
        </is>
      </c>
    </row>
    <row r="2767">
      <c r="A2767" t="inlineStr">
        <is>
          <t>Gucci</t>
        </is>
      </c>
      <c r="B2767" t="inlineStr">
        <is>
          <t>Gucci Guilty (00840)</t>
        </is>
      </c>
      <c r="C2767" t="inlineStr">
        <is>
          <t>Gucci Guilty Pour Homme (00003463)</t>
        </is>
      </c>
      <c r="D2767" s="1" t="n">
        <v>737052339047</v>
      </c>
      <c r="E2767" t="inlineStr">
        <is>
          <t>GUCCI GUILT H EDT NS 90 ML IV</t>
        </is>
      </c>
      <c r="F2767" t="inlineStr">
        <is>
          <t>P_US_ULTA</t>
        </is>
      </c>
      <c r="G2767" t="inlineStr">
        <is>
          <t>Month-2026.M09.W38</t>
        </is>
      </c>
      <c r="H2767" t="inlineStr">
        <is>
          <t>Consensus - Final LY M</t>
        </is>
      </c>
      <c r="I2767" t="n">
        <v>336</v>
      </c>
      <c r="J2767" t="n">
        <v>2016</v>
      </c>
      <c r="K2767" t="n">
        <v>5465</v>
      </c>
      <c r="L2767" t="n">
        <v>216</v>
      </c>
      <c r="M2767" t="n">
        <v>1632</v>
      </c>
      <c r="N2767" t="n">
        <v>1464</v>
      </c>
      <c r="O2767" t="n">
        <v>2424</v>
      </c>
      <c r="P2767" t="n">
        <v>1080</v>
      </c>
      <c r="Q2767" t="n">
        <v>1176</v>
      </c>
      <c r="R2767" t="n">
        <v>816</v>
      </c>
      <c r="S2767" t="n">
        <v>4968</v>
      </c>
    </row>
    <row r="2768">
      <c r="A2768" t="inlineStr">
        <is>
          <t>Gucci</t>
        </is>
      </c>
      <c r="B2768" t="inlineStr">
        <is>
          <t>Gucci Guilty (00840)</t>
        </is>
      </c>
      <c r="C2768" t="inlineStr">
        <is>
          <t>Gucci Guilty Pour Homme (00003463)</t>
        </is>
      </c>
      <c r="D2768" s="1" t="n">
        <v>737052339047</v>
      </c>
      <c r="E2768" t="inlineStr">
        <is>
          <t>GUCCI GUILT H EDT NS 90 ML IV</t>
        </is>
      </c>
      <c r="F2768" t="inlineStr">
        <is>
          <t>P_US_ULTA</t>
        </is>
      </c>
      <c r="G2768" t="inlineStr">
        <is>
          <t>Month-2026.M09.W38</t>
        </is>
      </c>
      <c r="H2768" t="inlineStr">
        <is>
          <t>System FC - Final</t>
        </is>
      </c>
      <c r="I2768" t="n">
        <v>264</v>
      </c>
      <c r="J2768" t="n">
        <v>864</v>
      </c>
      <c r="K2768" t="n">
        <v>3202</v>
      </c>
      <c r="L2768" t="n">
        <v>807</v>
      </c>
      <c r="M2768" t="n">
        <v>1902</v>
      </c>
      <c r="N2768" t="n">
        <v>2095</v>
      </c>
      <c r="O2768" t="n">
        <v>1151</v>
      </c>
      <c r="P2768" t="n">
        <v>2152</v>
      </c>
      <c r="Q2768" t="n">
        <v>1466</v>
      </c>
      <c r="R2768" t="n">
        <v>750</v>
      </c>
      <c r="S2768" t="n">
        <v>3135</v>
      </c>
      <c r="T2768" t="n">
        <v>768</v>
      </c>
    </row>
    <row r="2769">
      <c r="A2769" t="inlineStr">
        <is>
          <t>Gucci</t>
        </is>
      </c>
      <c r="B2769" t="inlineStr">
        <is>
          <t>Gucci Guilty (00840)</t>
        </is>
      </c>
      <c r="C2769" t="inlineStr">
        <is>
          <t>Gucci Guilty Pour Homme (00003463)</t>
        </is>
      </c>
      <c r="D2769" s="1" t="n">
        <v>737052339047</v>
      </c>
      <c r="E2769" t="inlineStr">
        <is>
          <t>GUCCI GUILT H EDT NS 90 ML IV</t>
        </is>
      </c>
      <c r="F2769" t="inlineStr">
        <is>
          <t>P_US_ULTA</t>
        </is>
      </c>
      <c r="G2769" t="inlineStr">
        <is>
          <t>Month-2026.M09.W38</t>
        </is>
      </c>
      <c r="H2769" t="inlineStr">
        <is>
          <t>EPOS</t>
        </is>
      </c>
      <c r="I2769" t="n">
        <v>837</v>
      </c>
    </row>
    <row r="2770">
      <c r="A2770" t="inlineStr">
        <is>
          <t>Gucci</t>
        </is>
      </c>
      <c r="B2770" t="inlineStr">
        <is>
          <t>Gucci Guilty (00840)</t>
        </is>
      </c>
      <c r="C2770" t="inlineStr">
        <is>
          <t>Gucci Guilty Pour Homme (00003463)</t>
        </is>
      </c>
      <c r="D2770" s="1" t="n">
        <v>737052339047</v>
      </c>
      <c r="E2770" t="inlineStr">
        <is>
          <t>GUCCI GUILT H EDT NS 90 ML IV</t>
        </is>
      </c>
      <c r="F2770" t="inlineStr">
        <is>
          <t>P_US_ULTA</t>
        </is>
      </c>
      <c r="G2770" t="inlineStr">
        <is>
          <t>Month-2026.M09.W38</t>
        </is>
      </c>
      <c r="H2770" t="inlineStr">
        <is>
          <t>Reasonability Adjustment</t>
        </is>
      </c>
      <c r="K2770" t="n">
        <v>875</v>
      </c>
      <c r="N2770" t="n">
        <v>-403</v>
      </c>
      <c r="O2770" t="n">
        <v>-485</v>
      </c>
      <c r="P2770" t="n">
        <v>-604</v>
      </c>
      <c r="Q2770" t="n">
        <v>-573</v>
      </c>
      <c r="S2770" t="n">
        <v>-515</v>
      </c>
      <c r="T2770" t="n">
        <v>-250</v>
      </c>
    </row>
    <row r="2771">
      <c r="A2771" t="inlineStr">
        <is>
          <t>Gucci</t>
        </is>
      </c>
      <c r="B2771" t="inlineStr">
        <is>
          <t>Gucci Guilty (00840)</t>
        </is>
      </c>
      <c r="C2771" t="inlineStr">
        <is>
          <t>Gucci Guilty Pour Homme (00003463)</t>
        </is>
      </c>
      <c r="D2771" s="1" t="n">
        <v>737052339047</v>
      </c>
      <c r="E2771" t="inlineStr">
        <is>
          <t>GUCCI GUILT H EDT NS 90 ML IV</t>
        </is>
      </c>
      <c r="F2771" t="inlineStr">
        <is>
          <t>P_US_ULTA</t>
        </is>
      </c>
      <c r="G2771" t="inlineStr">
        <is>
          <t>Month-2026.M09.W38</t>
        </is>
      </c>
      <c r="H2771" t="inlineStr">
        <is>
          <t>Total Demand Assumption</t>
        </is>
      </c>
    </row>
    <row r="2772">
      <c r="A2772" t="inlineStr">
        <is>
          <t>Gucci</t>
        </is>
      </c>
      <c r="B2772" t="inlineStr">
        <is>
          <t>Gucci Guilty (00840)</t>
        </is>
      </c>
      <c r="C2772" t="inlineStr">
        <is>
          <t>Gucci Guilty Pour Homme (00003463)</t>
        </is>
      </c>
      <c r="D2772" s="1" t="n">
        <v>737052339047</v>
      </c>
      <c r="E2772" t="inlineStr">
        <is>
          <t>GUCCI GUILT H EDT NS 90 ML IV</t>
        </is>
      </c>
      <c r="F2772" t="inlineStr">
        <is>
          <t>P_US_ULTA</t>
        </is>
      </c>
      <c r="G2772" t="inlineStr">
        <is>
          <t>Month-2026.M09.W38</t>
        </is>
      </c>
      <c r="H2772" t="inlineStr">
        <is>
          <t>Consensus - Final</t>
        </is>
      </c>
      <c r="I2772" t="n">
        <v>264</v>
      </c>
      <c r="J2772" t="n">
        <v>864</v>
      </c>
      <c r="K2772" t="n">
        <v>3653.3265700483</v>
      </c>
      <c r="L2772" t="n">
        <v>807</v>
      </c>
      <c r="M2772" t="n">
        <v>1902</v>
      </c>
      <c r="N2772" t="n">
        <v>1692</v>
      </c>
      <c r="O2772" t="n">
        <v>666</v>
      </c>
      <c r="P2772" t="n">
        <v>1548</v>
      </c>
      <c r="Q2772" t="n">
        <v>893</v>
      </c>
      <c r="R2772" t="n">
        <v>750</v>
      </c>
      <c r="S2772" t="n">
        <v>2620</v>
      </c>
      <c r="T2772" t="n">
        <v>518</v>
      </c>
    </row>
    <row r="2773">
      <c r="A2773" t="inlineStr">
        <is>
          <t>Gucci</t>
        </is>
      </c>
      <c r="B2773" t="inlineStr">
        <is>
          <t>Gucci Guilty (00840)</t>
        </is>
      </c>
      <c r="C2773" t="inlineStr">
        <is>
          <t>Gucci Guilty Pour Homme (00003463)</t>
        </is>
      </c>
      <c r="D2773" s="1" t="n">
        <v>737052339047</v>
      </c>
      <c r="E2773" t="inlineStr">
        <is>
          <t>GUCCI GUILT H EDT NS 90 ML IV</t>
        </is>
      </c>
      <c r="F2773" t="inlineStr">
        <is>
          <t>P_US_ULTA</t>
        </is>
      </c>
      <c r="G2773" t="inlineStr">
        <is>
          <t>Month-2026.M09.W38</t>
        </is>
      </c>
      <c r="H2773" t="inlineStr">
        <is>
          <t>Supply Cuts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32"/>
  <sheetViews>
    <sheetView workbookViewId="0">
      <selection activeCell="B1" sqref="B1:B1048576"/>
    </sheetView>
  </sheetViews>
  <sheetFormatPr baseColWidth="8" defaultRowHeight="14.5"/>
  <cols>
    <col width="16.453125" bestFit="1" customWidth="1" style="1" min="2" max="2"/>
  </cols>
  <sheetData>
    <row r="1">
      <c r="A1" t="inlineStr">
        <is>
          <t>Version Name</t>
        </is>
      </c>
      <c r="B1" s="1" t="inlineStr">
        <is>
          <t>ST Stat Item</t>
        </is>
      </c>
      <c r="C1" t="inlineStr">
        <is>
          <t>ST Stat Account</t>
        </is>
      </c>
      <c r="D1" t="inlineStr">
        <is>
          <t>Data</t>
        </is>
      </c>
      <c r="E1" t="inlineStr">
        <is>
          <t>2026.M07</t>
        </is>
      </c>
      <c r="F1" t="inlineStr">
        <is>
          <t>2026.M08</t>
        </is>
      </c>
      <c r="G1" t="inlineStr">
        <is>
          <t>2026.M09</t>
        </is>
      </c>
      <c r="H1" t="inlineStr">
        <is>
          <t>2026.M10</t>
        </is>
      </c>
      <c r="I1" t="inlineStr">
        <is>
          <t>2026.M11</t>
        </is>
      </c>
      <c r="J1" t="inlineStr">
        <is>
          <t>2026.M12</t>
        </is>
      </c>
      <c r="K1" t="inlineStr">
        <is>
          <t>2027.M01</t>
        </is>
      </c>
      <c r="L1" t="inlineStr">
        <is>
          <t>2027.M02</t>
        </is>
      </c>
      <c r="M1" t="inlineStr">
        <is>
          <t>2027.M03</t>
        </is>
      </c>
      <c r="N1" t="inlineStr">
        <is>
          <t>2027.M04</t>
        </is>
      </c>
      <c r="O1" t="inlineStr">
        <is>
          <t>2027.M05</t>
        </is>
      </c>
      <c r="P1" t="inlineStr">
        <is>
          <t>2027.M06</t>
        </is>
      </c>
    </row>
    <row r="2">
      <c r="A2" t="inlineStr">
        <is>
          <t>CurrentWorkingView</t>
        </is>
      </c>
      <c r="B2" s="1" t="n">
        <v>3614229382112</v>
      </c>
      <c r="C2" t="inlineStr">
        <is>
          <t>P_US_ALL_OTHERS</t>
        </is>
      </c>
      <c r="D2" t="inlineStr">
        <is>
          <t>System FC - Final</t>
        </is>
      </c>
      <c r="E2" t="n">
        <v>2386</v>
      </c>
      <c r="F2" t="n">
        <v>617</v>
      </c>
      <c r="G2" t="n">
        <v>805</v>
      </c>
      <c r="H2" t="n">
        <v>2610</v>
      </c>
      <c r="I2" t="n">
        <v>922</v>
      </c>
      <c r="J2" t="n">
        <v>673</v>
      </c>
      <c r="K2" t="n">
        <v>695</v>
      </c>
      <c r="L2" t="n">
        <v>1392</v>
      </c>
      <c r="M2" t="n">
        <v>1280</v>
      </c>
      <c r="N2" t="n">
        <v>758</v>
      </c>
      <c r="O2" t="n">
        <v>1315</v>
      </c>
      <c r="P2" t="n">
        <v>716</v>
      </c>
    </row>
    <row r="3">
      <c r="A3" t="inlineStr">
        <is>
          <t>CurrentWorkingView</t>
        </is>
      </c>
      <c r="B3" s="1" t="n">
        <v>3614229382112</v>
      </c>
      <c r="C3" t="inlineStr">
        <is>
          <t>P_US_ALL_OTHERS</t>
        </is>
      </c>
      <c r="D3" t="inlineStr">
        <is>
          <t>CML Fcst</t>
        </is>
      </c>
      <c r="H3" t="n">
        <v>1696</v>
      </c>
      <c r="I3" t="n">
        <v>536</v>
      </c>
      <c r="J3" t="n">
        <v>1435</v>
      </c>
      <c r="K3" t="n">
        <v>846</v>
      </c>
      <c r="L3" t="n">
        <v>1296</v>
      </c>
      <c r="M3" t="n">
        <v>1408</v>
      </c>
      <c r="N3" t="n">
        <v>1633</v>
      </c>
      <c r="O3" t="n">
        <v>1116</v>
      </c>
      <c r="P3" t="n">
        <v>2130</v>
      </c>
    </row>
    <row r="4">
      <c r="A4" t="inlineStr">
        <is>
          <t>CurrentWorkingView</t>
        </is>
      </c>
      <c r="B4" s="1" t="n">
        <v>3614229382112</v>
      </c>
      <c r="C4" t="inlineStr">
        <is>
          <t>P_US_ALL_OTHERS</t>
        </is>
      </c>
      <c r="D4" t="inlineStr">
        <is>
          <t>ST Stat Fcst</t>
        </is>
      </c>
      <c r="E4" t="n">
        <v>2386</v>
      </c>
      <c r="F4" t="n">
        <v>617</v>
      </c>
      <c r="G4" t="n">
        <v>660</v>
      </c>
      <c r="H4" t="n">
        <v>2609</v>
      </c>
      <c r="I4" t="n">
        <v>922</v>
      </c>
      <c r="J4" t="n">
        <v>673</v>
      </c>
      <c r="K4" t="n">
        <v>695</v>
      </c>
      <c r="L4" t="n">
        <v>1392</v>
      </c>
      <c r="M4" t="n">
        <v>1280</v>
      </c>
      <c r="N4" t="n">
        <v>758</v>
      </c>
      <c r="O4" t="n">
        <v>1315</v>
      </c>
      <c r="P4" t="n">
        <v>716</v>
      </c>
    </row>
    <row r="5">
      <c r="A5" t="inlineStr">
        <is>
          <t>CurrentWorkingView</t>
        </is>
      </c>
      <c r="B5" s="1" t="n">
        <v>3614229382112</v>
      </c>
      <c r="C5" t="inlineStr">
        <is>
          <t>P_US_ALL_OTHERS</t>
        </is>
      </c>
      <c r="D5" t="inlineStr">
        <is>
          <t>LT Stat Fcst</t>
        </is>
      </c>
      <c r="H5" t="n">
        <v>2051</v>
      </c>
      <c r="I5" t="n">
        <v>2048</v>
      </c>
      <c r="J5" t="n">
        <v>2042</v>
      </c>
      <c r="K5" t="n">
        <v>2045</v>
      </c>
      <c r="L5" t="n">
        <v>2044</v>
      </c>
      <c r="M5" t="n">
        <v>2041</v>
      </c>
      <c r="N5" t="n">
        <v>2041</v>
      </c>
      <c r="O5" t="n">
        <v>2041</v>
      </c>
      <c r="P5" t="n">
        <v>1836</v>
      </c>
    </row>
    <row r="6">
      <c r="A6" t="inlineStr">
        <is>
          <t>CurrentWorkingView</t>
        </is>
      </c>
      <c r="B6" s="1" t="n">
        <v>3614229382112</v>
      </c>
      <c r="C6" t="inlineStr">
        <is>
          <t>P_US_ALL_OTHERS</t>
        </is>
      </c>
      <c r="D6" t="inlineStr">
        <is>
          <t>System BestFit Final</t>
        </is>
      </c>
      <c r="E6" t="inlineStr">
        <is>
          <t>ST</t>
        </is>
      </c>
      <c r="F6" t="inlineStr">
        <is>
          <t>ST</t>
        </is>
      </c>
      <c r="G6" t="inlineStr">
        <is>
          <t>ST</t>
        </is>
      </c>
      <c r="H6" t="inlineStr">
        <is>
          <t>ST</t>
        </is>
      </c>
      <c r="I6" t="inlineStr">
        <is>
          <t>ST</t>
        </is>
      </c>
      <c r="J6" t="inlineStr">
        <is>
          <t>ST</t>
        </is>
      </c>
      <c r="K6" t="inlineStr">
        <is>
          <t>ST</t>
        </is>
      </c>
      <c r="L6" t="inlineStr">
        <is>
          <t>ST</t>
        </is>
      </c>
      <c r="M6" t="inlineStr">
        <is>
          <t>ST</t>
        </is>
      </c>
      <c r="N6" t="inlineStr">
        <is>
          <t>ST</t>
        </is>
      </c>
      <c r="O6" t="inlineStr">
        <is>
          <t>ST</t>
        </is>
      </c>
      <c r="P6" t="inlineStr">
        <is>
          <t>ST</t>
        </is>
      </c>
    </row>
    <row r="7">
      <c r="A7" t="inlineStr">
        <is>
          <t>CurrentWorkingView</t>
        </is>
      </c>
      <c r="B7" s="1" t="n">
        <v>3614229382112</v>
      </c>
      <c r="C7" t="inlineStr">
        <is>
          <t>P_US_ALL_OTHERS</t>
        </is>
      </c>
      <c r="D7" t="inlineStr">
        <is>
          <t>System Bestfit Model ST</t>
        </is>
      </c>
      <c r="E7" t="inlineStr">
        <is>
          <t>ST</t>
        </is>
      </c>
      <c r="F7" t="inlineStr">
        <is>
          <t>ST</t>
        </is>
      </c>
      <c r="G7" t="inlineStr">
        <is>
          <t>ST</t>
        </is>
      </c>
      <c r="H7" t="inlineStr">
        <is>
          <t>ST</t>
        </is>
      </c>
      <c r="I7" t="inlineStr">
        <is>
          <t>ST</t>
        </is>
      </c>
      <c r="J7" t="inlineStr">
        <is>
          <t>ST</t>
        </is>
      </c>
      <c r="K7" t="inlineStr">
        <is>
          <t>ST</t>
        </is>
      </c>
      <c r="L7" t="inlineStr">
        <is>
          <t>ST</t>
        </is>
      </c>
      <c r="M7" t="inlineStr">
        <is>
          <t>ST</t>
        </is>
      </c>
      <c r="N7" t="inlineStr">
        <is>
          <t>ST</t>
        </is>
      </c>
      <c r="O7" t="inlineStr">
        <is>
          <t>ST</t>
        </is>
      </c>
      <c r="P7" t="inlineStr">
        <is>
          <t>ST</t>
        </is>
      </c>
    </row>
    <row r="8">
      <c r="A8" t="inlineStr">
        <is>
          <t>CurrentWorkingView</t>
        </is>
      </c>
      <c r="B8" s="1" t="n">
        <v>3614229382112</v>
      </c>
      <c r="C8" t="inlineStr">
        <is>
          <t>P_US_ALL_OTHERS</t>
        </is>
      </c>
      <c r="D8" t="inlineStr">
        <is>
          <t>Planner BestFit Model</t>
        </is>
      </c>
      <c r="E8" t="inlineStr">
        <is>
          <t>ST</t>
        </is>
      </c>
      <c r="F8" t="inlineStr">
        <is>
          <t>ST</t>
        </is>
      </c>
      <c r="G8" t="inlineStr">
        <is>
          <t>ST</t>
        </is>
      </c>
      <c r="H8" t="inlineStr">
        <is>
          <t>ST</t>
        </is>
      </c>
      <c r="I8" t="inlineStr">
        <is>
          <t>ST</t>
        </is>
      </c>
      <c r="J8" t="inlineStr">
        <is>
          <t>ST</t>
        </is>
      </c>
      <c r="K8" t="inlineStr">
        <is>
          <t>ST</t>
        </is>
      </c>
      <c r="L8" t="inlineStr">
        <is>
          <t>ST</t>
        </is>
      </c>
      <c r="M8" t="inlineStr">
        <is>
          <t>ST</t>
        </is>
      </c>
      <c r="N8" t="inlineStr">
        <is>
          <t>ST</t>
        </is>
      </c>
      <c r="O8" t="inlineStr">
        <is>
          <t>ST</t>
        </is>
      </c>
      <c r="P8" t="inlineStr">
        <is>
          <t>ST</t>
        </is>
      </c>
    </row>
    <row r="9">
      <c r="A9" t="inlineStr">
        <is>
          <t>CurrentWorkingView</t>
        </is>
      </c>
      <c r="B9" s="1" t="n">
        <v>3614229382112</v>
      </c>
      <c r="C9" t="inlineStr">
        <is>
          <t>P_US_ULTA</t>
        </is>
      </c>
      <c r="D9" t="inlineStr">
        <is>
          <t>System FC - Final</t>
        </is>
      </c>
      <c r="E9" t="n">
        <v>166</v>
      </c>
      <c r="F9" t="n">
        <v>331</v>
      </c>
      <c r="G9" t="n">
        <v>521</v>
      </c>
      <c r="H9" t="n">
        <v>0</v>
      </c>
      <c r="I9" t="n">
        <v>248</v>
      </c>
      <c r="J9" t="n">
        <v>177</v>
      </c>
      <c r="K9" t="n">
        <v>40</v>
      </c>
      <c r="L9" t="n">
        <v>852</v>
      </c>
      <c r="M9" t="n">
        <v>487</v>
      </c>
      <c r="N9" t="n">
        <v>55</v>
      </c>
      <c r="O9" t="n">
        <v>376</v>
      </c>
      <c r="P9" t="n">
        <v>540</v>
      </c>
    </row>
    <row r="10">
      <c r="A10" t="inlineStr">
        <is>
          <t>CurrentWorkingView</t>
        </is>
      </c>
      <c r="B10" s="1" t="n">
        <v>3614229382112</v>
      </c>
      <c r="C10" t="inlineStr">
        <is>
          <t>P_US_ULTA</t>
        </is>
      </c>
      <c r="D10" t="inlineStr">
        <is>
          <t>CML Fcst</t>
        </is>
      </c>
      <c r="H10" t="n">
        <v>398</v>
      </c>
      <c r="I10" t="n">
        <v>754</v>
      </c>
      <c r="J10" t="n">
        <v>700</v>
      </c>
      <c r="K10" t="n">
        <v>288</v>
      </c>
      <c r="L10" t="n">
        <v>532</v>
      </c>
      <c r="M10" t="n">
        <v>328</v>
      </c>
      <c r="N10" t="n">
        <v>223</v>
      </c>
      <c r="O10" t="n">
        <v>523</v>
      </c>
      <c r="P10" t="n">
        <v>253</v>
      </c>
    </row>
    <row r="11">
      <c r="A11" t="inlineStr">
        <is>
          <t>CurrentWorkingView</t>
        </is>
      </c>
      <c r="B11" s="1" t="n">
        <v>3614229382112</v>
      </c>
      <c r="C11" t="inlineStr">
        <is>
          <t>P_US_ULTA</t>
        </is>
      </c>
      <c r="D11" t="inlineStr">
        <is>
          <t>ST Stat Fcst</t>
        </is>
      </c>
      <c r="E11" t="n">
        <v>166</v>
      </c>
      <c r="F11" t="n">
        <v>331</v>
      </c>
      <c r="G11" t="n">
        <v>428</v>
      </c>
      <c r="H11" t="n">
        <v>0</v>
      </c>
      <c r="I11" t="n">
        <v>248</v>
      </c>
      <c r="J11" t="n">
        <v>177</v>
      </c>
      <c r="K11" t="n">
        <v>40</v>
      </c>
      <c r="L11" t="n">
        <v>852</v>
      </c>
      <c r="M11" t="n">
        <v>487</v>
      </c>
      <c r="N11" t="n">
        <v>55</v>
      </c>
      <c r="O11" t="n">
        <v>376</v>
      </c>
      <c r="P11" t="n">
        <v>540</v>
      </c>
    </row>
    <row r="12">
      <c r="A12" t="inlineStr">
        <is>
          <t>CurrentWorkingView</t>
        </is>
      </c>
      <c r="B12" s="1" t="n">
        <v>3614229382112</v>
      </c>
      <c r="C12" t="inlineStr">
        <is>
          <t>P_US_ULTA</t>
        </is>
      </c>
      <c r="D12" t="inlineStr">
        <is>
          <t>LT Stat Fcst</t>
        </is>
      </c>
      <c r="H12" t="n">
        <v>288</v>
      </c>
      <c r="I12" t="n">
        <v>288</v>
      </c>
      <c r="J12" t="n">
        <v>292</v>
      </c>
      <c r="K12" t="n">
        <v>288</v>
      </c>
      <c r="L12" t="n">
        <v>288</v>
      </c>
      <c r="M12" t="n">
        <v>288</v>
      </c>
      <c r="N12" t="n">
        <v>288</v>
      </c>
      <c r="O12" t="n">
        <v>288</v>
      </c>
      <c r="P12" t="n">
        <v>259</v>
      </c>
    </row>
    <row r="13">
      <c r="A13" t="inlineStr">
        <is>
          <t>CurrentWorkingView</t>
        </is>
      </c>
      <c r="B13" s="1" t="n">
        <v>3614229382112</v>
      </c>
      <c r="C13" t="inlineStr">
        <is>
          <t>P_US_ULTA</t>
        </is>
      </c>
      <c r="D13" t="inlineStr">
        <is>
          <t>System BestFit Final</t>
        </is>
      </c>
      <c r="E13" t="inlineStr">
        <is>
          <t>ST</t>
        </is>
      </c>
      <c r="F13" t="inlineStr">
        <is>
          <t>ST</t>
        </is>
      </c>
      <c r="G13" t="inlineStr">
        <is>
          <t>ST</t>
        </is>
      </c>
      <c r="H13" t="inlineStr">
        <is>
          <t>ST</t>
        </is>
      </c>
      <c r="I13" t="inlineStr">
        <is>
          <t>ST</t>
        </is>
      </c>
      <c r="J13" t="inlineStr">
        <is>
          <t>ST</t>
        </is>
      </c>
      <c r="K13" t="inlineStr">
        <is>
          <t>ST</t>
        </is>
      </c>
      <c r="L13" t="inlineStr">
        <is>
          <t>ST</t>
        </is>
      </c>
      <c r="M13" t="inlineStr">
        <is>
          <t>ST</t>
        </is>
      </c>
      <c r="N13" t="inlineStr">
        <is>
          <t>ST</t>
        </is>
      </c>
      <c r="O13" t="inlineStr">
        <is>
          <t>ST</t>
        </is>
      </c>
      <c r="P13" t="inlineStr">
        <is>
          <t>ST</t>
        </is>
      </c>
    </row>
    <row r="14">
      <c r="A14" t="inlineStr">
        <is>
          <t>CurrentWorkingView</t>
        </is>
      </c>
      <c r="B14" s="1" t="n">
        <v>3614229382112</v>
      </c>
      <c r="C14" t="inlineStr">
        <is>
          <t>P_US_ULTA</t>
        </is>
      </c>
      <c r="D14" t="inlineStr">
        <is>
          <t>System Bestfit Model ST</t>
        </is>
      </c>
      <c r="E14" t="inlineStr">
        <is>
          <t>ST</t>
        </is>
      </c>
      <c r="F14" t="inlineStr">
        <is>
          <t>ST</t>
        </is>
      </c>
      <c r="G14" t="inlineStr">
        <is>
          <t>ST</t>
        </is>
      </c>
      <c r="H14" t="inlineStr">
        <is>
          <t>ST</t>
        </is>
      </c>
      <c r="I14" t="inlineStr">
        <is>
          <t>ST</t>
        </is>
      </c>
      <c r="J14" t="inlineStr">
        <is>
          <t>ST</t>
        </is>
      </c>
      <c r="K14" t="inlineStr">
        <is>
          <t>ST</t>
        </is>
      </c>
      <c r="L14" t="inlineStr">
        <is>
          <t>ST</t>
        </is>
      </c>
      <c r="M14" t="inlineStr">
        <is>
          <t>ST</t>
        </is>
      </c>
      <c r="N14" t="inlineStr">
        <is>
          <t>ST</t>
        </is>
      </c>
      <c r="O14" t="inlineStr">
        <is>
          <t>ST</t>
        </is>
      </c>
      <c r="P14" t="inlineStr">
        <is>
          <t>ST</t>
        </is>
      </c>
    </row>
    <row r="15">
      <c r="A15" t="inlineStr">
        <is>
          <t>CurrentWorkingView</t>
        </is>
      </c>
      <c r="B15" s="1" t="n">
        <v>3614229382112</v>
      </c>
      <c r="C15" t="inlineStr">
        <is>
          <t>P_US_ULTA</t>
        </is>
      </c>
      <c r="D15" t="inlineStr">
        <is>
          <t>Planner BestFit Model</t>
        </is>
      </c>
      <c r="E15" t="inlineStr">
        <is>
          <t>ST</t>
        </is>
      </c>
      <c r="F15" t="inlineStr">
        <is>
          <t>ST</t>
        </is>
      </c>
      <c r="G15" t="inlineStr">
        <is>
          <t>ST</t>
        </is>
      </c>
      <c r="H15" t="inlineStr">
        <is>
          <t>ST</t>
        </is>
      </c>
      <c r="I15" t="inlineStr">
        <is>
          <t>ST</t>
        </is>
      </c>
      <c r="J15" t="inlineStr">
        <is>
          <t>ST</t>
        </is>
      </c>
      <c r="K15" t="inlineStr">
        <is>
          <t>ST</t>
        </is>
      </c>
      <c r="L15" t="inlineStr">
        <is>
          <t>ST</t>
        </is>
      </c>
      <c r="M15" t="inlineStr">
        <is>
          <t>ST</t>
        </is>
      </c>
      <c r="N15" t="inlineStr">
        <is>
          <t>ST</t>
        </is>
      </c>
      <c r="O15" t="inlineStr">
        <is>
          <t>ST</t>
        </is>
      </c>
      <c r="P15" t="inlineStr">
        <is>
          <t>ST</t>
        </is>
      </c>
    </row>
    <row r="16">
      <c r="A16" t="inlineStr">
        <is>
          <t>CurrentWorkingView</t>
        </is>
      </c>
      <c r="B16" s="1" t="n">
        <v>3614229382129</v>
      </c>
      <c r="C16" t="inlineStr">
        <is>
          <t>P_US_ALL_OTHERS</t>
        </is>
      </c>
      <c r="D16" t="inlineStr">
        <is>
          <t>System FC - Final</t>
        </is>
      </c>
      <c r="E16" t="n">
        <v>3672</v>
      </c>
      <c r="F16" t="n">
        <v>2128</v>
      </c>
      <c r="G16" t="n">
        <v>1932</v>
      </c>
      <c r="H16" t="n">
        <v>3455</v>
      </c>
      <c r="I16" t="n">
        <v>1723</v>
      </c>
      <c r="J16" t="n">
        <v>2914</v>
      </c>
      <c r="K16" t="n">
        <v>1063</v>
      </c>
      <c r="L16" t="n">
        <v>1044</v>
      </c>
      <c r="M16" t="n">
        <v>992</v>
      </c>
      <c r="N16" t="n">
        <v>1325</v>
      </c>
      <c r="O16" t="n">
        <v>2825</v>
      </c>
      <c r="P16" t="n">
        <v>2250</v>
      </c>
    </row>
    <row r="17">
      <c r="A17" t="inlineStr">
        <is>
          <t>CurrentWorkingView</t>
        </is>
      </c>
      <c r="B17" s="1" t="n">
        <v>3614229382129</v>
      </c>
      <c r="C17" t="inlineStr">
        <is>
          <t>P_US_ALL_OTHERS</t>
        </is>
      </c>
      <c r="D17" t="inlineStr">
        <is>
          <t>CML Fcst</t>
        </is>
      </c>
      <c r="H17" t="n">
        <v>4162</v>
      </c>
      <c r="I17" t="n">
        <v>2202</v>
      </c>
      <c r="J17" t="n">
        <v>2768</v>
      </c>
      <c r="K17" t="n">
        <v>1298</v>
      </c>
      <c r="L17" t="n">
        <v>1108</v>
      </c>
      <c r="M17" t="n">
        <v>2458</v>
      </c>
      <c r="N17" t="n">
        <v>1783</v>
      </c>
      <c r="O17" t="n">
        <v>1949</v>
      </c>
      <c r="P17" t="n">
        <v>1590</v>
      </c>
    </row>
    <row r="18">
      <c r="A18" t="inlineStr">
        <is>
          <t>CurrentWorkingView</t>
        </is>
      </c>
      <c r="B18" s="1" t="n">
        <v>3614229382129</v>
      </c>
      <c r="C18" t="inlineStr">
        <is>
          <t>P_US_ALL_OTHERS</t>
        </is>
      </c>
      <c r="D18" t="inlineStr">
        <is>
          <t>ST Stat Fcst</t>
        </is>
      </c>
      <c r="E18" t="n">
        <v>3672</v>
      </c>
      <c r="F18" t="n">
        <v>2128</v>
      </c>
      <c r="G18" t="n">
        <v>1932</v>
      </c>
      <c r="H18" t="n">
        <v>3455</v>
      </c>
      <c r="I18" t="n">
        <v>1722</v>
      </c>
      <c r="J18" t="n">
        <v>2914</v>
      </c>
      <c r="K18" t="n">
        <v>1063</v>
      </c>
      <c r="L18" t="n">
        <v>1044</v>
      </c>
      <c r="M18" t="n">
        <v>992</v>
      </c>
      <c r="N18" t="n">
        <v>1325</v>
      </c>
      <c r="O18" t="n">
        <v>2825</v>
      </c>
      <c r="P18" t="n">
        <v>2250</v>
      </c>
    </row>
    <row r="19">
      <c r="A19" t="inlineStr">
        <is>
          <t>CurrentWorkingView</t>
        </is>
      </c>
      <c r="B19" s="1" t="n">
        <v>3614229382129</v>
      </c>
      <c r="C19" t="inlineStr">
        <is>
          <t>P_US_ALL_OTHERS</t>
        </is>
      </c>
      <c r="D19" t="inlineStr">
        <is>
          <t>LT Stat Fcst</t>
        </is>
      </c>
      <c r="H19" t="n">
        <v>2790</v>
      </c>
      <c r="I19" t="n">
        <v>2782</v>
      </c>
      <c r="J19" t="n">
        <v>2777</v>
      </c>
      <c r="K19" t="n">
        <v>2777</v>
      </c>
      <c r="L19" t="n">
        <v>2776</v>
      </c>
      <c r="M19" t="n">
        <v>2777</v>
      </c>
      <c r="N19" t="n">
        <v>2777</v>
      </c>
      <c r="O19" t="n">
        <v>2776</v>
      </c>
      <c r="P19" t="n">
        <v>2499</v>
      </c>
    </row>
    <row r="20">
      <c r="A20" t="inlineStr">
        <is>
          <t>CurrentWorkingView</t>
        </is>
      </c>
      <c r="B20" s="1" t="n">
        <v>3614229382129</v>
      </c>
      <c r="C20" t="inlineStr">
        <is>
          <t>P_US_ALL_OTHERS</t>
        </is>
      </c>
      <c r="D20" t="inlineStr">
        <is>
          <t>System BestFit Final</t>
        </is>
      </c>
      <c r="E20" t="inlineStr">
        <is>
          <t>ST</t>
        </is>
      </c>
      <c r="F20" t="inlineStr">
        <is>
          <t>ST</t>
        </is>
      </c>
      <c r="G20" t="inlineStr">
        <is>
          <t>ST</t>
        </is>
      </c>
      <c r="H20" t="inlineStr">
        <is>
          <t>ST</t>
        </is>
      </c>
      <c r="I20" t="inlineStr">
        <is>
          <t>ST</t>
        </is>
      </c>
      <c r="J20" t="inlineStr">
        <is>
          <t>ST</t>
        </is>
      </c>
      <c r="K20" t="inlineStr">
        <is>
          <t>ST</t>
        </is>
      </c>
      <c r="L20" t="inlineStr">
        <is>
          <t>ST</t>
        </is>
      </c>
      <c r="M20" t="inlineStr">
        <is>
          <t>ST</t>
        </is>
      </c>
      <c r="N20" t="inlineStr">
        <is>
          <t>ST</t>
        </is>
      </c>
      <c r="O20" t="inlineStr">
        <is>
          <t>ST</t>
        </is>
      </c>
      <c r="P20" t="inlineStr">
        <is>
          <t>ST</t>
        </is>
      </c>
    </row>
    <row r="21">
      <c r="A21" t="inlineStr">
        <is>
          <t>CurrentWorkingView</t>
        </is>
      </c>
      <c r="B21" s="1" t="n">
        <v>3614229382129</v>
      </c>
      <c r="C21" t="inlineStr">
        <is>
          <t>P_US_ALL_OTHERS</t>
        </is>
      </c>
      <c r="D21" t="inlineStr">
        <is>
          <t>System Bestfit Model ST</t>
        </is>
      </c>
      <c r="E21" t="inlineStr">
        <is>
          <t>ST</t>
        </is>
      </c>
      <c r="F21" t="inlineStr">
        <is>
          <t>ST</t>
        </is>
      </c>
      <c r="G21" t="inlineStr">
        <is>
          <t>ST</t>
        </is>
      </c>
      <c r="H21" t="inlineStr">
        <is>
          <t>ST</t>
        </is>
      </c>
      <c r="I21" t="inlineStr">
        <is>
          <t>ST</t>
        </is>
      </c>
      <c r="J21" t="inlineStr">
        <is>
          <t>ST</t>
        </is>
      </c>
      <c r="K21" t="inlineStr">
        <is>
          <t>ST</t>
        </is>
      </c>
      <c r="L21" t="inlineStr">
        <is>
          <t>ST</t>
        </is>
      </c>
      <c r="M21" t="inlineStr">
        <is>
          <t>ST</t>
        </is>
      </c>
      <c r="N21" t="inlineStr">
        <is>
          <t>ST</t>
        </is>
      </c>
      <c r="O21" t="inlineStr">
        <is>
          <t>ST</t>
        </is>
      </c>
      <c r="P21" t="inlineStr">
        <is>
          <t>ST</t>
        </is>
      </c>
    </row>
    <row r="22">
      <c r="A22" t="inlineStr">
        <is>
          <t>CurrentWorkingView</t>
        </is>
      </c>
      <c r="B22" s="1" t="n">
        <v>3614229382129</v>
      </c>
      <c r="C22" t="inlineStr">
        <is>
          <t>P_US_ALL_OTHERS</t>
        </is>
      </c>
      <c r="D22" t="inlineStr">
        <is>
          <t>Planner BestFit Model</t>
        </is>
      </c>
      <c r="E22" t="inlineStr">
        <is>
          <t>ST</t>
        </is>
      </c>
      <c r="F22" t="inlineStr">
        <is>
          <t>ST</t>
        </is>
      </c>
      <c r="G22" t="inlineStr">
        <is>
          <t>ST</t>
        </is>
      </c>
      <c r="H22" t="inlineStr">
        <is>
          <t>ST</t>
        </is>
      </c>
      <c r="I22" t="inlineStr">
        <is>
          <t>ST</t>
        </is>
      </c>
      <c r="J22" t="inlineStr">
        <is>
          <t>ST</t>
        </is>
      </c>
      <c r="K22" t="inlineStr">
        <is>
          <t>ST</t>
        </is>
      </c>
      <c r="L22" t="inlineStr">
        <is>
          <t>ST</t>
        </is>
      </c>
      <c r="M22" t="inlineStr">
        <is>
          <t>ST</t>
        </is>
      </c>
      <c r="N22" t="inlineStr">
        <is>
          <t>ST</t>
        </is>
      </c>
      <c r="O22" t="inlineStr">
        <is>
          <t>ST</t>
        </is>
      </c>
      <c r="P22" t="inlineStr">
        <is>
          <t>ST</t>
        </is>
      </c>
    </row>
    <row r="23">
      <c r="A23" t="inlineStr">
        <is>
          <t>CurrentWorkingView</t>
        </is>
      </c>
      <c r="B23" s="1" t="n">
        <v>3614229382129</v>
      </c>
      <c r="C23" t="inlineStr">
        <is>
          <t>P_US_ULTA</t>
        </is>
      </c>
      <c r="D23" t="inlineStr">
        <is>
          <t>System FC - Final</t>
        </is>
      </c>
      <c r="E23" t="n">
        <v>471</v>
      </c>
      <c r="F23" t="n">
        <v>608</v>
      </c>
      <c r="G23" t="n">
        <v>1177</v>
      </c>
      <c r="H23" t="n">
        <v>1180</v>
      </c>
      <c r="I23" t="n">
        <v>1177</v>
      </c>
      <c r="J23" t="n">
        <v>1173</v>
      </c>
      <c r="K23" t="n">
        <v>1174</v>
      </c>
      <c r="L23" t="n">
        <v>1172</v>
      </c>
      <c r="M23" t="n">
        <v>1174</v>
      </c>
      <c r="N23" t="n">
        <v>1174</v>
      </c>
      <c r="O23" t="n">
        <v>1174</v>
      </c>
      <c r="P23" t="n">
        <v>1057</v>
      </c>
    </row>
    <row r="24">
      <c r="A24" t="inlineStr">
        <is>
          <t>CurrentWorkingView</t>
        </is>
      </c>
      <c r="B24" s="1" t="n">
        <v>3614229382129</v>
      </c>
      <c r="C24" t="inlineStr">
        <is>
          <t>P_US_ULTA</t>
        </is>
      </c>
      <c r="D24" t="inlineStr">
        <is>
          <t>CML Fcst</t>
        </is>
      </c>
      <c r="H24" t="n">
        <v>832</v>
      </c>
      <c r="I24" t="n">
        <v>1380</v>
      </c>
      <c r="J24" t="n">
        <v>1821</v>
      </c>
      <c r="K24" t="n">
        <v>819</v>
      </c>
      <c r="L24" t="n">
        <v>580</v>
      </c>
      <c r="M24" t="n">
        <v>899</v>
      </c>
      <c r="N24" t="n">
        <v>403</v>
      </c>
      <c r="O24" t="n">
        <v>917</v>
      </c>
      <c r="P24" t="n">
        <v>334</v>
      </c>
    </row>
    <row r="25">
      <c r="A25" t="inlineStr">
        <is>
          <t>CurrentWorkingView</t>
        </is>
      </c>
      <c r="B25" s="1" t="n">
        <v>3614229382129</v>
      </c>
      <c r="C25" t="inlineStr">
        <is>
          <t>P_US_ULTA</t>
        </is>
      </c>
      <c r="D25" t="inlineStr">
        <is>
          <t>ST Stat Fcst</t>
        </is>
      </c>
      <c r="E25" t="n">
        <v>471</v>
      </c>
      <c r="F25" t="n">
        <v>608</v>
      </c>
      <c r="G25" t="n">
        <v>1790</v>
      </c>
      <c r="H25" t="n">
        <v>558</v>
      </c>
      <c r="I25" t="n">
        <v>1474</v>
      </c>
      <c r="J25" t="n">
        <v>1661</v>
      </c>
      <c r="K25" t="n">
        <v>731</v>
      </c>
      <c r="L25" t="n">
        <v>1344</v>
      </c>
      <c r="M25" t="n">
        <v>1789</v>
      </c>
      <c r="N25" t="n">
        <v>608</v>
      </c>
      <c r="O25" t="n">
        <v>2507</v>
      </c>
      <c r="P25" t="n">
        <v>703</v>
      </c>
    </row>
    <row r="26">
      <c r="A26" t="inlineStr">
        <is>
          <t>CurrentWorkingView</t>
        </is>
      </c>
      <c r="B26" s="1" t="n">
        <v>3614229382129</v>
      </c>
      <c r="C26" t="inlineStr">
        <is>
          <t>P_US_ULTA</t>
        </is>
      </c>
      <c r="D26" t="inlineStr">
        <is>
          <t>LT Stat Fcst</t>
        </is>
      </c>
      <c r="H26" t="n">
        <v>1181</v>
      </c>
      <c r="I26" t="n">
        <v>1178</v>
      </c>
      <c r="J26" t="n">
        <v>1173</v>
      </c>
      <c r="K26" t="n">
        <v>1174</v>
      </c>
      <c r="L26" t="n">
        <v>1172</v>
      </c>
      <c r="M26" t="n">
        <v>1174</v>
      </c>
      <c r="N26" t="n">
        <v>1174</v>
      </c>
      <c r="O26" t="n">
        <v>1174</v>
      </c>
      <c r="P26" t="n">
        <v>1057</v>
      </c>
    </row>
    <row r="27">
      <c r="A27" t="inlineStr">
        <is>
          <t>CurrentWorkingView</t>
        </is>
      </c>
      <c r="B27" s="1" t="n">
        <v>3614229382129</v>
      </c>
      <c r="C27" t="inlineStr">
        <is>
          <t>P_US_ULTA</t>
        </is>
      </c>
      <c r="D27" t="inlineStr">
        <is>
          <t>System BestFit Final</t>
        </is>
      </c>
      <c r="E27" t="inlineStr">
        <is>
          <t>LT</t>
        </is>
      </c>
      <c r="F27" t="inlineStr">
        <is>
          <t>LT</t>
        </is>
      </c>
      <c r="G27" t="inlineStr">
        <is>
          <t>LT</t>
        </is>
      </c>
      <c r="H27" t="inlineStr">
        <is>
          <t>LT</t>
        </is>
      </c>
      <c r="I27" t="inlineStr">
        <is>
          <t>LT</t>
        </is>
      </c>
      <c r="J27" t="inlineStr">
        <is>
          <t>LT</t>
        </is>
      </c>
      <c r="K27" t="inlineStr">
        <is>
          <t>LT</t>
        </is>
      </c>
      <c r="L27" t="inlineStr">
        <is>
          <t>LT</t>
        </is>
      </c>
      <c r="M27" t="inlineStr">
        <is>
          <t>LT</t>
        </is>
      </c>
      <c r="N27" t="inlineStr">
        <is>
          <t>LT</t>
        </is>
      </c>
      <c r="O27" t="inlineStr">
        <is>
          <t>LT</t>
        </is>
      </c>
      <c r="P27" t="inlineStr">
        <is>
          <t>LT</t>
        </is>
      </c>
    </row>
    <row r="28">
      <c r="A28" t="inlineStr">
        <is>
          <t>CurrentWorkingView</t>
        </is>
      </c>
      <c r="B28" s="1" t="n">
        <v>3614229382129</v>
      </c>
      <c r="C28" t="inlineStr">
        <is>
          <t>P_US_ULTA</t>
        </is>
      </c>
      <c r="D28" t="inlineStr">
        <is>
          <t>System Bestfit Model ST</t>
        </is>
      </c>
    </row>
    <row r="29">
      <c r="A29" t="inlineStr">
        <is>
          <t>CurrentWorkingView</t>
        </is>
      </c>
      <c r="B29" s="1" t="n">
        <v>3614229382129</v>
      </c>
      <c r="C29" t="inlineStr">
        <is>
          <t>P_US_ULTA</t>
        </is>
      </c>
      <c r="D29" t="inlineStr">
        <is>
          <t>Planner BestFit Model</t>
        </is>
      </c>
      <c r="E29" t="inlineStr">
        <is>
          <t>LT</t>
        </is>
      </c>
      <c r="F29" t="inlineStr">
        <is>
          <t>LT</t>
        </is>
      </c>
      <c r="G29" t="inlineStr">
        <is>
          <t>LT</t>
        </is>
      </c>
      <c r="H29" t="inlineStr">
        <is>
          <t>LT</t>
        </is>
      </c>
      <c r="I29" t="inlineStr">
        <is>
          <t>LT</t>
        </is>
      </c>
      <c r="J29" t="inlineStr">
        <is>
          <t>LT</t>
        </is>
      </c>
      <c r="K29" t="inlineStr">
        <is>
          <t>LT</t>
        </is>
      </c>
      <c r="L29" t="inlineStr">
        <is>
          <t>LT</t>
        </is>
      </c>
      <c r="M29" t="inlineStr">
        <is>
          <t>LT</t>
        </is>
      </c>
      <c r="N29" t="inlineStr">
        <is>
          <t>LT</t>
        </is>
      </c>
      <c r="O29" t="inlineStr">
        <is>
          <t>LT</t>
        </is>
      </c>
      <c r="P29" t="inlineStr">
        <is>
          <t>LT</t>
        </is>
      </c>
    </row>
    <row r="30">
      <c r="A30" t="inlineStr">
        <is>
          <t>CurrentWorkingView</t>
        </is>
      </c>
      <c r="B30" s="1" t="n">
        <v>3616301794639</v>
      </c>
      <c r="C30" t="inlineStr">
        <is>
          <t>P_US_ALL_OTHERS</t>
        </is>
      </c>
      <c r="D30" t="inlineStr">
        <is>
          <t>System FC - Final</t>
        </is>
      </c>
      <c r="E30" t="n">
        <v>53</v>
      </c>
      <c r="F30" t="n">
        <v>90</v>
      </c>
      <c r="G30" t="n">
        <v>112</v>
      </c>
      <c r="H30" t="n">
        <v>612</v>
      </c>
      <c r="I30" t="n">
        <v>76</v>
      </c>
      <c r="J30" t="n">
        <v>76</v>
      </c>
      <c r="K30" t="n">
        <v>75</v>
      </c>
      <c r="L30" t="n">
        <v>468</v>
      </c>
      <c r="M30" t="n">
        <v>208</v>
      </c>
      <c r="N30" t="n">
        <v>77</v>
      </c>
      <c r="O30" t="n">
        <v>75</v>
      </c>
      <c r="P30" t="n">
        <v>70</v>
      </c>
    </row>
    <row r="31">
      <c r="A31" t="inlineStr">
        <is>
          <t>CurrentWorkingView</t>
        </is>
      </c>
      <c r="B31" s="1" t="n">
        <v>3616301794639</v>
      </c>
      <c r="C31" t="inlineStr">
        <is>
          <t>P_US_ALL_OTHERS</t>
        </is>
      </c>
      <c r="D31" t="inlineStr">
        <is>
          <t>CML Fcst</t>
        </is>
      </c>
      <c r="H31" t="n">
        <v>594</v>
      </c>
      <c r="I31" t="n">
        <v>420</v>
      </c>
      <c r="J31" t="n">
        <v>394</v>
      </c>
      <c r="K31" t="n">
        <v>151</v>
      </c>
      <c r="L31" t="n">
        <v>152</v>
      </c>
      <c r="M31" t="n">
        <v>159</v>
      </c>
      <c r="N31" t="n">
        <v>142</v>
      </c>
      <c r="O31" t="n">
        <v>128</v>
      </c>
      <c r="P31" t="n">
        <v>94</v>
      </c>
    </row>
    <row r="32">
      <c r="A32" t="inlineStr">
        <is>
          <t>CurrentWorkingView</t>
        </is>
      </c>
      <c r="B32" s="1" t="n">
        <v>3616301794639</v>
      </c>
      <c r="C32" t="inlineStr">
        <is>
          <t>P_US_ALL_OTHERS</t>
        </is>
      </c>
      <c r="D32" t="inlineStr">
        <is>
          <t>ST Stat Fcst</t>
        </is>
      </c>
      <c r="E32" t="n">
        <v>53</v>
      </c>
      <c r="F32" t="n">
        <v>90</v>
      </c>
      <c r="G32" t="n">
        <v>362</v>
      </c>
      <c r="H32" t="n">
        <v>1307</v>
      </c>
      <c r="I32" t="n">
        <v>960</v>
      </c>
      <c r="J32" t="n">
        <v>753</v>
      </c>
      <c r="K32" t="n">
        <v>385</v>
      </c>
      <c r="L32" t="n">
        <v>812</v>
      </c>
      <c r="M32" t="n">
        <v>332</v>
      </c>
      <c r="N32" t="n">
        <v>540</v>
      </c>
      <c r="O32" t="n">
        <v>376</v>
      </c>
      <c r="P32" t="n">
        <v>382</v>
      </c>
    </row>
    <row r="33">
      <c r="A33" t="inlineStr">
        <is>
          <t>CurrentWorkingView</t>
        </is>
      </c>
      <c r="B33" s="1" t="n">
        <v>3616301794639</v>
      </c>
      <c r="C33" t="inlineStr">
        <is>
          <t>P_US_ALL_OTHERS</t>
        </is>
      </c>
      <c r="D33" t="inlineStr">
        <is>
          <t>LT Stat Fcst</t>
        </is>
      </c>
      <c r="H33" t="n">
        <v>612</v>
      </c>
      <c r="I33" t="n">
        <v>76</v>
      </c>
      <c r="J33" t="n">
        <v>76</v>
      </c>
      <c r="K33" t="n">
        <v>75</v>
      </c>
      <c r="L33" t="n">
        <v>468</v>
      </c>
      <c r="M33" t="n">
        <v>208</v>
      </c>
      <c r="N33" t="n">
        <v>77</v>
      </c>
      <c r="O33" t="n">
        <v>75</v>
      </c>
      <c r="P33" t="n">
        <v>70</v>
      </c>
    </row>
    <row r="34">
      <c r="A34" t="inlineStr">
        <is>
          <t>CurrentWorkingView</t>
        </is>
      </c>
      <c r="B34" s="1" t="n">
        <v>3616301794639</v>
      </c>
      <c r="C34" t="inlineStr">
        <is>
          <t>P_US_ALL_OTHERS</t>
        </is>
      </c>
      <c r="D34" t="inlineStr">
        <is>
          <t>System BestFit Final</t>
        </is>
      </c>
      <c r="E34" t="inlineStr">
        <is>
          <t>LT</t>
        </is>
      </c>
      <c r="F34" t="inlineStr">
        <is>
          <t>LT</t>
        </is>
      </c>
      <c r="G34" t="inlineStr">
        <is>
          <t>LT</t>
        </is>
      </c>
      <c r="H34" t="inlineStr">
        <is>
          <t>LT</t>
        </is>
      </c>
      <c r="I34" t="inlineStr">
        <is>
          <t>LT</t>
        </is>
      </c>
      <c r="J34" t="inlineStr">
        <is>
          <t>LT</t>
        </is>
      </c>
      <c r="K34" t="inlineStr">
        <is>
          <t>LT</t>
        </is>
      </c>
      <c r="L34" t="inlineStr">
        <is>
          <t>LT</t>
        </is>
      </c>
      <c r="M34" t="inlineStr">
        <is>
          <t>LT</t>
        </is>
      </c>
      <c r="N34" t="inlineStr">
        <is>
          <t>LT</t>
        </is>
      </c>
      <c r="O34" t="inlineStr">
        <is>
          <t>LT</t>
        </is>
      </c>
      <c r="P34" t="inlineStr">
        <is>
          <t>LT</t>
        </is>
      </c>
    </row>
    <row r="35">
      <c r="A35" t="inlineStr">
        <is>
          <t>CurrentWorkingView</t>
        </is>
      </c>
      <c r="B35" s="1" t="n">
        <v>3616301794639</v>
      </c>
      <c r="C35" t="inlineStr">
        <is>
          <t>P_US_ALL_OTHERS</t>
        </is>
      </c>
      <c r="D35" t="inlineStr">
        <is>
          <t>System Bestfit Model ST</t>
        </is>
      </c>
    </row>
    <row r="36">
      <c r="A36" t="inlineStr">
        <is>
          <t>CurrentWorkingView</t>
        </is>
      </c>
      <c r="B36" s="1" t="n">
        <v>3616301794639</v>
      </c>
      <c r="C36" t="inlineStr">
        <is>
          <t>P_US_ALL_OTHERS</t>
        </is>
      </c>
      <c r="D36" t="inlineStr">
        <is>
          <t>Planner BestFit Model</t>
        </is>
      </c>
      <c r="E36" t="inlineStr">
        <is>
          <t>LT</t>
        </is>
      </c>
      <c r="F36" t="inlineStr">
        <is>
          <t>LT</t>
        </is>
      </c>
      <c r="G36" t="inlineStr">
        <is>
          <t>LT</t>
        </is>
      </c>
      <c r="H36" t="inlineStr">
        <is>
          <t>LT</t>
        </is>
      </c>
      <c r="I36" t="inlineStr">
        <is>
          <t>LT</t>
        </is>
      </c>
      <c r="J36" t="inlineStr">
        <is>
          <t>LT</t>
        </is>
      </c>
      <c r="K36" t="inlineStr">
        <is>
          <t>LT</t>
        </is>
      </c>
      <c r="L36" t="inlineStr">
        <is>
          <t>LT</t>
        </is>
      </c>
      <c r="M36" t="inlineStr">
        <is>
          <t>LT</t>
        </is>
      </c>
      <c r="N36" t="inlineStr">
        <is>
          <t>LT</t>
        </is>
      </c>
      <c r="O36" t="inlineStr">
        <is>
          <t>LT</t>
        </is>
      </c>
      <c r="P36" t="inlineStr">
        <is>
          <t>LT</t>
        </is>
      </c>
    </row>
    <row r="37">
      <c r="A37" t="inlineStr">
        <is>
          <t>CurrentWorkingView</t>
        </is>
      </c>
      <c r="B37" s="1" t="n">
        <v>3616301794639</v>
      </c>
      <c r="C37" t="inlineStr">
        <is>
          <t>P_US_ULTA</t>
        </is>
      </c>
      <c r="D37" t="inlineStr">
        <is>
          <t>System FC - Final</t>
        </is>
      </c>
      <c r="E37" t="n">
        <v>89</v>
      </c>
      <c r="F37" t="n">
        <v>98</v>
      </c>
      <c r="G37" t="n">
        <v>100</v>
      </c>
      <c r="H37" t="n">
        <v>270</v>
      </c>
      <c r="I37" t="n">
        <v>34</v>
      </c>
      <c r="J37" t="n">
        <v>35</v>
      </c>
      <c r="K37" t="n">
        <v>35</v>
      </c>
      <c r="L37" t="n">
        <v>212</v>
      </c>
      <c r="M37" t="n">
        <v>93</v>
      </c>
      <c r="N37" t="n">
        <v>34</v>
      </c>
      <c r="O37" t="n">
        <v>36</v>
      </c>
      <c r="P37" t="n">
        <v>31</v>
      </c>
    </row>
    <row r="38">
      <c r="A38" t="inlineStr">
        <is>
          <t>CurrentWorkingView</t>
        </is>
      </c>
      <c r="B38" s="1" t="n">
        <v>3616301794639</v>
      </c>
      <c r="C38" t="inlineStr">
        <is>
          <t>P_US_ULTA</t>
        </is>
      </c>
      <c r="D38" t="inlineStr">
        <is>
          <t>CML Fcst</t>
        </is>
      </c>
      <c r="H38" t="n">
        <v>457</v>
      </c>
      <c r="I38" t="n">
        <v>138</v>
      </c>
      <c r="J38" t="n">
        <v>151</v>
      </c>
      <c r="K38" t="n">
        <v>120</v>
      </c>
      <c r="L38" t="n">
        <v>120</v>
      </c>
      <c r="M38" t="n">
        <v>208</v>
      </c>
      <c r="N38" t="n">
        <v>77</v>
      </c>
      <c r="O38" t="n">
        <v>248</v>
      </c>
      <c r="P38" t="n">
        <v>72</v>
      </c>
    </row>
    <row r="39">
      <c r="A39" t="inlineStr">
        <is>
          <t>CurrentWorkingView</t>
        </is>
      </c>
      <c r="B39" s="1" t="n">
        <v>3616301794639</v>
      </c>
      <c r="C39" t="inlineStr">
        <is>
          <t>P_US_ULTA</t>
        </is>
      </c>
      <c r="D39" t="inlineStr">
        <is>
          <t>ST Stat Fcst</t>
        </is>
      </c>
      <c r="E39" t="n">
        <v>89</v>
      </c>
      <c r="F39" t="n">
        <v>98</v>
      </c>
      <c r="G39" t="n">
        <v>145</v>
      </c>
      <c r="H39" t="n">
        <v>239</v>
      </c>
      <c r="I39" t="n">
        <v>176</v>
      </c>
      <c r="J39" t="n">
        <v>164</v>
      </c>
      <c r="K39" t="n">
        <v>177</v>
      </c>
      <c r="L39" t="n">
        <v>196</v>
      </c>
      <c r="M39" t="n">
        <v>190</v>
      </c>
      <c r="N39" t="n">
        <v>180</v>
      </c>
      <c r="O39" t="n">
        <v>182</v>
      </c>
      <c r="P39" t="n">
        <v>185</v>
      </c>
    </row>
    <row r="40">
      <c r="A40" t="inlineStr">
        <is>
          <t>CurrentWorkingView</t>
        </is>
      </c>
      <c r="B40" s="1" t="n">
        <v>3616301794639</v>
      </c>
      <c r="C40" t="inlineStr">
        <is>
          <t>P_US_ULTA</t>
        </is>
      </c>
      <c r="D40" t="inlineStr">
        <is>
          <t>LT Stat Fcst</t>
        </is>
      </c>
      <c r="H40" t="n">
        <v>271</v>
      </c>
      <c r="I40" t="n">
        <v>34</v>
      </c>
      <c r="J40" t="n">
        <v>35</v>
      </c>
      <c r="K40" t="n">
        <v>35</v>
      </c>
      <c r="L40" t="n">
        <v>212</v>
      </c>
      <c r="M40" t="n">
        <v>93</v>
      </c>
      <c r="N40" t="n">
        <v>34</v>
      </c>
      <c r="O40" t="n">
        <v>36</v>
      </c>
      <c r="P40" t="n">
        <v>31</v>
      </c>
    </row>
    <row r="41">
      <c r="A41" t="inlineStr">
        <is>
          <t>CurrentWorkingView</t>
        </is>
      </c>
      <c r="B41" s="1" t="n">
        <v>3616301794639</v>
      </c>
      <c r="C41" t="inlineStr">
        <is>
          <t>P_US_ULTA</t>
        </is>
      </c>
      <c r="D41" t="inlineStr">
        <is>
          <t>System BestFit Final</t>
        </is>
      </c>
      <c r="E41" t="inlineStr">
        <is>
          <t>LT</t>
        </is>
      </c>
      <c r="F41" t="inlineStr">
        <is>
          <t>LT</t>
        </is>
      </c>
      <c r="G41" t="inlineStr">
        <is>
          <t>LT</t>
        </is>
      </c>
      <c r="H41" t="inlineStr">
        <is>
          <t>LT</t>
        </is>
      </c>
      <c r="I41" t="inlineStr">
        <is>
          <t>LT</t>
        </is>
      </c>
      <c r="J41" t="inlineStr">
        <is>
          <t>LT</t>
        </is>
      </c>
      <c r="K41" t="inlineStr">
        <is>
          <t>LT</t>
        </is>
      </c>
      <c r="L41" t="inlineStr">
        <is>
          <t>LT</t>
        </is>
      </c>
      <c r="M41" t="inlineStr">
        <is>
          <t>LT</t>
        </is>
      </c>
      <c r="N41" t="inlineStr">
        <is>
          <t>LT</t>
        </is>
      </c>
      <c r="O41" t="inlineStr">
        <is>
          <t>LT</t>
        </is>
      </c>
      <c r="P41" t="inlineStr">
        <is>
          <t>LT</t>
        </is>
      </c>
    </row>
    <row r="42">
      <c r="A42" t="inlineStr">
        <is>
          <t>CurrentWorkingView</t>
        </is>
      </c>
      <c r="B42" s="1" t="n">
        <v>3616301794639</v>
      </c>
      <c r="C42" t="inlineStr">
        <is>
          <t>P_US_ULTA</t>
        </is>
      </c>
      <c r="D42" t="inlineStr">
        <is>
          <t>System Bestfit Model ST</t>
        </is>
      </c>
    </row>
    <row r="43">
      <c r="A43" t="inlineStr">
        <is>
          <t>CurrentWorkingView</t>
        </is>
      </c>
      <c r="B43" s="1" t="n">
        <v>3616301794639</v>
      </c>
      <c r="C43" t="inlineStr">
        <is>
          <t>P_US_ULTA</t>
        </is>
      </c>
      <c r="D43" t="inlineStr">
        <is>
          <t>Planner BestFit Model</t>
        </is>
      </c>
      <c r="E43" t="inlineStr">
        <is>
          <t>LT</t>
        </is>
      </c>
      <c r="F43" t="inlineStr">
        <is>
          <t>LT</t>
        </is>
      </c>
      <c r="G43" t="inlineStr">
        <is>
          <t>LT</t>
        </is>
      </c>
      <c r="H43" t="inlineStr">
        <is>
          <t>LT</t>
        </is>
      </c>
      <c r="I43" t="inlineStr">
        <is>
          <t>LT</t>
        </is>
      </c>
      <c r="J43" t="inlineStr">
        <is>
          <t>LT</t>
        </is>
      </c>
      <c r="K43" t="inlineStr">
        <is>
          <t>LT</t>
        </is>
      </c>
      <c r="L43" t="inlineStr">
        <is>
          <t>LT</t>
        </is>
      </c>
      <c r="M43" t="inlineStr">
        <is>
          <t>LT</t>
        </is>
      </c>
      <c r="N43" t="inlineStr">
        <is>
          <t>LT</t>
        </is>
      </c>
      <c r="O43" t="inlineStr">
        <is>
          <t>LT</t>
        </is>
      </c>
      <c r="P43" t="inlineStr">
        <is>
          <t>LT</t>
        </is>
      </c>
    </row>
    <row r="44">
      <c r="A44" t="inlineStr">
        <is>
          <t>CurrentWorkingView</t>
        </is>
      </c>
      <c r="B44" s="1" t="n">
        <v>3616301976141</v>
      </c>
      <c r="C44" t="inlineStr">
        <is>
          <t>P_US_ALL_OTHERS</t>
        </is>
      </c>
      <c r="D44" t="inlineStr">
        <is>
          <t>System FC - Final</t>
        </is>
      </c>
      <c r="E44" t="n">
        <v>852</v>
      </c>
      <c r="F44" t="n">
        <v>2271</v>
      </c>
      <c r="G44" t="n">
        <v>2152</v>
      </c>
      <c r="H44" t="n">
        <v>1036</v>
      </c>
      <c r="I44" t="n">
        <v>492</v>
      </c>
      <c r="J44" t="n">
        <v>1080</v>
      </c>
      <c r="K44" t="n">
        <v>567</v>
      </c>
      <c r="L44" t="n">
        <v>1236</v>
      </c>
      <c r="M44" t="n">
        <v>429</v>
      </c>
      <c r="N44" t="n">
        <v>634</v>
      </c>
      <c r="O44" t="n">
        <v>1001</v>
      </c>
      <c r="P44" t="n">
        <v>746</v>
      </c>
    </row>
    <row r="45">
      <c r="A45" t="inlineStr">
        <is>
          <t>CurrentWorkingView</t>
        </is>
      </c>
      <c r="B45" s="1" t="n">
        <v>3616301976141</v>
      </c>
      <c r="C45" t="inlineStr">
        <is>
          <t>P_US_ALL_OTHERS</t>
        </is>
      </c>
      <c r="D45" t="inlineStr">
        <is>
          <t>CML Fcst</t>
        </is>
      </c>
      <c r="H45" t="n">
        <v>1502</v>
      </c>
      <c r="I45" t="n">
        <v>1080</v>
      </c>
      <c r="J45" t="n">
        <v>1925</v>
      </c>
      <c r="K45" t="n">
        <v>753</v>
      </c>
      <c r="L45" t="n">
        <v>1568</v>
      </c>
      <c r="M45" t="n">
        <v>1338</v>
      </c>
      <c r="N45" t="n">
        <v>1011</v>
      </c>
      <c r="O45" t="n">
        <v>1341</v>
      </c>
      <c r="P45" t="n">
        <v>1122</v>
      </c>
    </row>
    <row r="46">
      <c r="A46" t="inlineStr">
        <is>
          <t>CurrentWorkingView</t>
        </is>
      </c>
      <c r="B46" s="1" t="n">
        <v>3616301976141</v>
      </c>
      <c r="C46" t="inlineStr">
        <is>
          <t>P_US_ALL_OTHERS</t>
        </is>
      </c>
      <c r="D46" t="inlineStr">
        <is>
          <t>ST Stat Fcst</t>
        </is>
      </c>
      <c r="E46" t="n">
        <v>852</v>
      </c>
      <c r="F46" t="n">
        <v>2271</v>
      </c>
      <c r="G46" t="n">
        <v>1654</v>
      </c>
      <c r="H46" t="n">
        <v>1036</v>
      </c>
      <c r="I46" t="n">
        <v>492</v>
      </c>
      <c r="J46" t="n">
        <v>1080</v>
      </c>
      <c r="K46" t="n">
        <v>567</v>
      </c>
      <c r="L46" t="n">
        <v>1236</v>
      </c>
      <c r="M46" t="n">
        <v>429</v>
      </c>
      <c r="N46" t="n">
        <v>634</v>
      </c>
      <c r="O46" t="n">
        <v>1001</v>
      </c>
      <c r="P46" t="n">
        <v>746</v>
      </c>
    </row>
    <row r="47">
      <c r="A47" t="inlineStr">
        <is>
          <t>CurrentWorkingView</t>
        </is>
      </c>
      <c r="B47" s="1" t="n">
        <v>3616301976141</v>
      </c>
      <c r="C47" t="inlineStr">
        <is>
          <t>P_US_ALL_OTHERS</t>
        </is>
      </c>
      <c r="D47" t="inlineStr">
        <is>
          <t>LT Stat Fcst</t>
        </is>
      </c>
      <c r="H47" t="n">
        <v>903</v>
      </c>
      <c r="I47" t="n">
        <v>652</v>
      </c>
      <c r="J47" t="n">
        <v>1338</v>
      </c>
      <c r="K47" t="n">
        <v>842</v>
      </c>
      <c r="L47" t="n">
        <v>1120</v>
      </c>
      <c r="M47" t="n">
        <v>1705</v>
      </c>
      <c r="N47" t="n">
        <v>472</v>
      </c>
      <c r="O47" t="n">
        <v>930</v>
      </c>
      <c r="P47" t="n">
        <v>482</v>
      </c>
    </row>
    <row r="48">
      <c r="A48" t="inlineStr">
        <is>
          <t>CurrentWorkingView</t>
        </is>
      </c>
      <c r="B48" s="1" t="n">
        <v>3616301976141</v>
      </c>
      <c r="C48" t="inlineStr">
        <is>
          <t>P_US_ALL_OTHERS</t>
        </is>
      </c>
      <c r="D48" t="inlineStr">
        <is>
          <t>System BestFit Final</t>
        </is>
      </c>
      <c r="E48" t="inlineStr">
        <is>
          <t>ST</t>
        </is>
      </c>
      <c r="F48" t="inlineStr">
        <is>
          <t>ST</t>
        </is>
      </c>
      <c r="G48" t="inlineStr">
        <is>
          <t>ST</t>
        </is>
      </c>
      <c r="H48" t="inlineStr">
        <is>
          <t>ST</t>
        </is>
      </c>
      <c r="I48" t="inlineStr">
        <is>
          <t>ST</t>
        </is>
      </c>
      <c r="J48" t="inlineStr">
        <is>
          <t>ST</t>
        </is>
      </c>
      <c r="K48" t="inlineStr">
        <is>
          <t>ST</t>
        </is>
      </c>
      <c r="L48" t="inlineStr">
        <is>
          <t>ST</t>
        </is>
      </c>
      <c r="M48" t="inlineStr">
        <is>
          <t>ST</t>
        </is>
      </c>
      <c r="N48" t="inlineStr">
        <is>
          <t>ST</t>
        </is>
      </c>
      <c r="O48" t="inlineStr">
        <is>
          <t>ST</t>
        </is>
      </c>
      <c r="P48" t="inlineStr">
        <is>
          <t>ST</t>
        </is>
      </c>
    </row>
    <row r="49">
      <c r="A49" t="inlineStr">
        <is>
          <t>CurrentWorkingView</t>
        </is>
      </c>
      <c r="B49" s="1" t="n">
        <v>3616301976141</v>
      </c>
      <c r="C49" t="inlineStr">
        <is>
          <t>P_US_ALL_OTHERS</t>
        </is>
      </c>
      <c r="D49" t="inlineStr">
        <is>
          <t>System Bestfit Model ST</t>
        </is>
      </c>
      <c r="E49" t="inlineStr">
        <is>
          <t>ST</t>
        </is>
      </c>
      <c r="F49" t="inlineStr">
        <is>
          <t>ST</t>
        </is>
      </c>
      <c r="G49" t="inlineStr">
        <is>
          <t>ST</t>
        </is>
      </c>
      <c r="H49" t="inlineStr">
        <is>
          <t>ST</t>
        </is>
      </c>
      <c r="I49" t="inlineStr">
        <is>
          <t>ST</t>
        </is>
      </c>
      <c r="J49" t="inlineStr">
        <is>
          <t>ST</t>
        </is>
      </c>
      <c r="K49" t="inlineStr">
        <is>
          <t>ST</t>
        </is>
      </c>
      <c r="L49" t="inlineStr">
        <is>
          <t>ST</t>
        </is>
      </c>
      <c r="M49" t="inlineStr">
        <is>
          <t>ST</t>
        </is>
      </c>
      <c r="N49" t="inlineStr">
        <is>
          <t>ST</t>
        </is>
      </c>
      <c r="O49" t="inlineStr">
        <is>
          <t>ST</t>
        </is>
      </c>
      <c r="P49" t="inlineStr">
        <is>
          <t>ST</t>
        </is>
      </c>
    </row>
    <row r="50">
      <c r="A50" t="inlineStr">
        <is>
          <t>CurrentWorkingView</t>
        </is>
      </c>
      <c r="B50" s="1" t="n">
        <v>3616301976141</v>
      </c>
      <c r="C50" t="inlineStr">
        <is>
          <t>P_US_ALL_OTHERS</t>
        </is>
      </c>
      <c r="D50" t="inlineStr">
        <is>
          <t>Planner BestFit Model</t>
        </is>
      </c>
      <c r="E50" t="inlineStr">
        <is>
          <t>ST</t>
        </is>
      </c>
      <c r="F50" t="inlineStr">
        <is>
          <t>ST</t>
        </is>
      </c>
      <c r="G50" t="inlineStr">
        <is>
          <t>ST</t>
        </is>
      </c>
      <c r="H50" t="inlineStr">
        <is>
          <t>ST</t>
        </is>
      </c>
      <c r="I50" t="inlineStr">
        <is>
          <t>ST</t>
        </is>
      </c>
      <c r="J50" t="inlineStr">
        <is>
          <t>ST</t>
        </is>
      </c>
      <c r="K50" t="inlineStr">
        <is>
          <t>ST</t>
        </is>
      </c>
      <c r="L50" t="inlineStr">
        <is>
          <t>ST</t>
        </is>
      </c>
      <c r="M50" t="inlineStr">
        <is>
          <t>ST</t>
        </is>
      </c>
      <c r="N50" t="inlineStr">
        <is>
          <t>ST</t>
        </is>
      </c>
      <c r="O50" t="inlineStr">
        <is>
          <t>ST</t>
        </is>
      </c>
      <c r="P50" t="inlineStr">
        <is>
          <t>ST</t>
        </is>
      </c>
    </row>
    <row r="51">
      <c r="A51" t="inlineStr">
        <is>
          <t>CurrentWorkingView</t>
        </is>
      </c>
      <c r="B51" s="1" t="n">
        <v>3616301976141</v>
      </c>
      <c r="C51" t="inlineStr">
        <is>
          <t>P_US_ULTA</t>
        </is>
      </c>
      <c r="D51" t="inlineStr">
        <is>
          <t>System FC - Final</t>
        </is>
      </c>
      <c r="E51" t="n">
        <v>114</v>
      </c>
      <c r="F51" t="n">
        <v>231</v>
      </c>
      <c r="G51" t="n">
        <v>893</v>
      </c>
      <c r="H51" t="n">
        <v>678</v>
      </c>
      <c r="I51" t="n">
        <v>638</v>
      </c>
      <c r="J51" t="n">
        <v>1186</v>
      </c>
      <c r="K51" t="n">
        <v>456</v>
      </c>
      <c r="L51" t="n">
        <v>596</v>
      </c>
      <c r="M51" t="n">
        <v>934</v>
      </c>
      <c r="N51" t="n">
        <v>415</v>
      </c>
      <c r="O51" t="n">
        <v>368</v>
      </c>
      <c r="P51" t="n">
        <v>197</v>
      </c>
    </row>
    <row r="52">
      <c r="A52" t="inlineStr">
        <is>
          <t>CurrentWorkingView</t>
        </is>
      </c>
      <c r="B52" s="1" t="n">
        <v>3616301976141</v>
      </c>
      <c r="C52" t="inlineStr">
        <is>
          <t>P_US_ULTA</t>
        </is>
      </c>
      <c r="D52" t="inlineStr">
        <is>
          <t>CML Fcst</t>
        </is>
      </c>
      <c r="H52" t="n">
        <v>169</v>
      </c>
      <c r="I52" t="n">
        <v>304</v>
      </c>
      <c r="J52" t="n">
        <v>501</v>
      </c>
      <c r="K52" t="n">
        <v>642</v>
      </c>
      <c r="L52" t="n">
        <v>276</v>
      </c>
      <c r="M52" t="n">
        <v>762</v>
      </c>
      <c r="N52" t="n">
        <v>227</v>
      </c>
      <c r="O52" t="n">
        <v>492</v>
      </c>
      <c r="P52" t="n">
        <v>146</v>
      </c>
    </row>
    <row r="53">
      <c r="A53" t="inlineStr">
        <is>
          <t>CurrentWorkingView</t>
        </is>
      </c>
      <c r="B53" s="1" t="n">
        <v>3616301976141</v>
      </c>
      <c r="C53" t="inlineStr">
        <is>
          <t>P_US_ULTA</t>
        </is>
      </c>
      <c r="D53" t="inlineStr">
        <is>
          <t>ST Stat Fcst</t>
        </is>
      </c>
      <c r="E53" t="n">
        <v>114</v>
      </c>
      <c r="F53" t="n">
        <v>231</v>
      </c>
      <c r="G53" t="n">
        <v>670</v>
      </c>
      <c r="H53" t="n">
        <v>678</v>
      </c>
      <c r="I53" t="n">
        <v>638</v>
      </c>
      <c r="J53" t="n">
        <v>1186</v>
      </c>
      <c r="K53" t="n">
        <v>456</v>
      </c>
      <c r="L53" t="n">
        <v>596</v>
      </c>
      <c r="M53" t="n">
        <v>934</v>
      </c>
      <c r="N53" t="n">
        <v>415</v>
      </c>
      <c r="O53" t="n">
        <v>368</v>
      </c>
      <c r="P53" t="n">
        <v>197</v>
      </c>
    </row>
    <row r="54">
      <c r="A54" t="inlineStr">
        <is>
          <t>CurrentWorkingView</t>
        </is>
      </c>
      <c r="B54" s="1" t="n">
        <v>3616301976141</v>
      </c>
      <c r="C54" t="inlineStr">
        <is>
          <t>P_US_ULTA</t>
        </is>
      </c>
      <c r="D54" t="inlineStr">
        <is>
          <t>LT Stat Fcst</t>
        </is>
      </c>
      <c r="H54" t="n">
        <v>434</v>
      </c>
      <c r="I54" t="n">
        <v>312</v>
      </c>
      <c r="J54" t="n">
        <v>642</v>
      </c>
      <c r="K54" t="n">
        <v>403</v>
      </c>
      <c r="L54" t="n">
        <v>540</v>
      </c>
      <c r="M54" t="n">
        <v>820</v>
      </c>
      <c r="N54" t="n">
        <v>227</v>
      </c>
      <c r="O54" t="n">
        <v>448</v>
      </c>
      <c r="P54" t="n">
        <v>235</v>
      </c>
    </row>
    <row r="55">
      <c r="A55" t="inlineStr">
        <is>
          <t>CurrentWorkingView</t>
        </is>
      </c>
      <c r="B55" s="1" t="n">
        <v>3616301976141</v>
      </c>
      <c r="C55" t="inlineStr">
        <is>
          <t>P_US_ULTA</t>
        </is>
      </c>
      <c r="D55" t="inlineStr">
        <is>
          <t>System BestFit Final</t>
        </is>
      </c>
      <c r="E55" t="inlineStr">
        <is>
          <t>ST</t>
        </is>
      </c>
      <c r="F55" t="inlineStr">
        <is>
          <t>ST</t>
        </is>
      </c>
      <c r="G55" t="inlineStr">
        <is>
          <t>ST</t>
        </is>
      </c>
      <c r="H55" t="inlineStr">
        <is>
          <t>ST</t>
        </is>
      </c>
      <c r="I55" t="inlineStr">
        <is>
          <t>ST</t>
        </is>
      </c>
      <c r="J55" t="inlineStr">
        <is>
          <t>ST</t>
        </is>
      </c>
      <c r="K55" t="inlineStr">
        <is>
          <t>ST</t>
        </is>
      </c>
      <c r="L55" t="inlineStr">
        <is>
          <t>ST</t>
        </is>
      </c>
      <c r="M55" t="inlineStr">
        <is>
          <t>ST</t>
        </is>
      </c>
      <c r="N55" t="inlineStr">
        <is>
          <t>ST</t>
        </is>
      </c>
      <c r="O55" t="inlineStr">
        <is>
          <t>ST</t>
        </is>
      </c>
      <c r="P55" t="inlineStr">
        <is>
          <t>ST</t>
        </is>
      </c>
    </row>
    <row r="56">
      <c r="A56" t="inlineStr">
        <is>
          <t>CurrentWorkingView</t>
        </is>
      </c>
      <c r="B56" s="1" t="n">
        <v>3616301976141</v>
      </c>
      <c r="C56" t="inlineStr">
        <is>
          <t>P_US_ULTA</t>
        </is>
      </c>
      <c r="D56" t="inlineStr">
        <is>
          <t>System Bestfit Model ST</t>
        </is>
      </c>
      <c r="E56" t="inlineStr">
        <is>
          <t>ST</t>
        </is>
      </c>
      <c r="F56" t="inlineStr">
        <is>
          <t>ST</t>
        </is>
      </c>
      <c r="G56" t="inlineStr">
        <is>
          <t>ST</t>
        </is>
      </c>
      <c r="H56" t="inlineStr">
        <is>
          <t>ST</t>
        </is>
      </c>
      <c r="I56" t="inlineStr">
        <is>
          <t>ST</t>
        </is>
      </c>
      <c r="J56" t="inlineStr">
        <is>
          <t>ST</t>
        </is>
      </c>
      <c r="K56" t="inlineStr">
        <is>
          <t>ST</t>
        </is>
      </c>
      <c r="L56" t="inlineStr">
        <is>
          <t>ST</t>
        </is>
      </c>
      <c r="M56" t="inlineStr">
        <is>
          <t>ST</t>
        </is>
      </c>
      <c r="N56" t="inlineStr">
        <is>
          <t>ST</t>
        </is>
      </c>
      <c r="O56" t="inlineStr">
        <is>
          <t>ST</t>
        </is>
      </c>
      <c r="P56" t="inlineStr">
        <is>
          <t>ST</t>
        </is>
      </c>
    </row>
    <row r="57">
      <c r="A57" t="inlineStr">
        <is>
          <t>CurrentWorkingView</t>
        </is>
      </c>
      <c r="B57" s="1" t="n">
        <v>3616301976141</v>
      </c>
      <c r="C57" t="inlineStr">
        <is>
          <t>P_US_ULTA</t>
        </is>
      </c>
      <c r="D57" t="inlineStr">
        <is>
          <t>Planner BestFit Model</t>
        </is>
      </c>
      <c r="E57" t="inlineStr">
        <is>
          <t>ST</t>
        </is>
      </c>
      <c r="F57" t="inlineStr">
        <is>
          <t>ST</t>
        </is>
      </c>
      <c r="G57" t="inlineStr">
        <is>
          <t>ST</t>
        </is>
      </c>
      <c r="H57" t="inlineStr">
        <is>
          <t>ST</t>
        </is>
      </c>
      <c r="I57" t="inlineStr">
        <is>
          <t>ST</t>
        </is>
      </c>
      <c r="J57" t="inlineStr">
        <is>
          <t>ST</t>
        </is>
      </c>
      <c r="K57" t="inlineStr">
        <is>
          <t>ST</t>
        </is>
      </c>
      <c r="L57" t="inlineStr">
        <is>
          <t>ST</t>
        </is>
      </c>
      <c r="M57" t="inlineStr">
        <is>
          <t>ST</t>
        </is>
      </c>
      <c r="N57" t="inlineStr">
        <is>
          <t>ST</t>
        </is>
      </c>
      <c r="O57" t="inlineStr">
        <is>
          <t>ST</t>
        </is>
      </c>
      <c r="P57" t="inlineStr">
        <is>
          <t>ST</t>
        </is>
      </c>
    </row>
    <row r="58">
      <c r="A58" t="inlineStr">
        <is>
          <t>CurrentWorkingView</t>
        </is>
      </c>
      <c r="B58" s="1" t="n">
        <v>3616302033683</v>
      </c>
      <c r="C58" t="inlineStr">
        <is>
          <t>P_US_ALL_OTHERS</t>
        </is>
      </c>
      <c r="D58" t="inlineStr">
        <is>
          <t>System FC - Final</t>
        </is>
      </c>
      <c r="E58" t="n">
        <v>386</v>
      </c>
      <c r="F58" t="n">
        <v>624</v>
      </c>
      <c r="G58" t="n">
        <v>756</v>
      </c>
      <c r="H58" t="n">
        <v>660</v>
      </c>
      <c r="I58" t="n">
        <v>578</v>
      </c>
      <c r="J58" t="n">
        <v>722</v>
      </c>
    </row>
    <row r="59">
      <c r="A59" t="inlineStr">
        <is>
          <t>CurrentWorkingView</t>
        </is>
      </c>
      <c r="B59" s="1" t="n">
        <v>3616302033683</v>
      </c>
      <c r="C59" t="inlineStr">
        <is>
          <t>P_US_ALL_OTHERS</t>
        </is>
      </c>
      <c r="D59" t="inlineStr">
        <is>
          <t>CML Fcst</t>
        </is>
      </c>
      <c r="H59" t="n">
        <v>572</v>
      </c>
      <c r="I59" t="n">
        <v>214</v>
      </c>
      <c r="J59" t="n">
        <v>372</v>
      </c>
      <c r="K59" t="n">
        <v>270</v>
      </c>
      <c r="L59" t="n">
        <v>404</v>
      </c>
      <c r="M59" t="n">
        <v>788</v>
      </c>
      <c r="N59" t="n">
        <v>417</v>
      </c>
      <c r="O59" t="n">
        <v>314</v>
      </c>
      <c r="P59" t="n">
        <v>300</v>
      </c>
    </row>
    <row r="60">
      <c r="A60" t="inlineStr">
        <is>
          <t>CurrentWorkingView</t>
        </is>
      </c>
      <c r="B60" s="1" t="n">
        <v>3616302033683</v>
      </c>
      <c r="C60" t="inlineStr">
        <is>
          <t>P_US_ALL_OTHERS</t>
        </is>
      </c>
      <c r="D60" t="inlineStr">
        <is>
          <t>ST Stat Fcst</t>
        </is>
      </c>
      <c r="E60" t="n">
        <v>386</v>
      </c>
      <c r="F60" t="n">
        <v>624</v>
      </c>
      <c r="G60" t="n">
        <v>363</v>
      </c>
      <c r="H60" t="n">
        <v>403</v>
      </c>
      <c r="I60" t="n">
        <v>408</v>
      </c>
      <c r="J60" t="n">
        <v>456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CurrentWorkingView</t>
        </is>
      </c>
      <c r="B61" s="1" t="n">
        <v>3616302033683</v>
      </c>
      <c r="C61" t="inlineStr">
        <is>
          <t>P_US_ALL_OTHERS</t>
        </is>
      </c>
      <c r="D61" t="inlineStr">
        <is>
          <t>LT Stat Fcst</t>
        </is>
      </c>
      <c r="H61" t="n">
        <v>660</v>
      </c>
      <c r="I61" t="n">
        <v>578</v>
      </c>
      <c r="J61" t="n">
        <v>722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CurrentWorkingView</t>
        </is>
      </c>
      <c r="B62" s="1" t="n">
        <v>3616302033683</v>
      </c>
      <c r="C62" t="inlineStr">
        <is>
          <t>P_US_ALL_OTHERS</t>
        </is>
      </c>
      <c r="D62" t="inlineStr">
        <is>
          <t>System BestFit Final</t>
        </is>
      </c>
      <c r="E62" t="inlineStr">
        <is>
          <t>LT</t>
        </is>
      </c>
      <c r="F62" t="inlineStr">
        <is>
          <t>LT</t>
        </is>
      </c>
      <c r="G62" t="inlineStr">
        <is>
          <t>LT</t>
        </is>
      </c>
      <c r="H62" t="inlineStr">
        <is>
          <t>LT</t>
        </is>
      </c>
      <c r="I62" t="inlineStr">
        <is>
          <t>LT</t>
        </is>
      </c>
      <c r="J62" t="inlineStr">
        <is>
          <t>LT</t>
        </is>
      </c>
      <c r="K62" t="inlineStr">
        <is>
          <t>LT</t>
        </is>
      </c>
      <c r="L62" t="inlineStr">
        <is>
          <t>LT</t>
        </is>
      </c>
      <c r="M62" t="inlineStr">
        <is>
          <t>LT</t>
        </is>
      </c>
      <c r="N62" t="inlineStr">
        <is>
          <t>LT</t>
        </is>
      </c>
      <c r="O62" t="inlineStr">
        <is>
          <t>LT</t>
        </is>
      </c>
      <c r="P62" t="inlineStr">
        <is>
          <t>LT</t>
        </is>
      </c>
    </row>
    <row r="63">
      <c r="A63" t="inlineStr">
        <is>
          <t>CurrentWorkingView</t>
        </is>
      </c>
      <c r="B63" s="1" t="n">
        <v>3616302033683</v>
      </c>
      <c r="C63" t="inlineStr">
        <is>
          <t>P_US_ALL_OTHERS</t>
        </is>
      </c>
      <c r="D63" t="inlineStr">
        <is>
          <t>System Bestfit Model ST</t>
        </is>
      </c>
    </row>
    <row r="64">
      <c r="A64" t="inlineStr">
        <is>
          <t>CurrentWorkingView</t>
        </is>
      </c>
      <c r="B64" s="1" t="n">
        <v>3616302033683</v>
      </c>
      <c r="C64" t="inlineStr">
        <is>
          <t>P_US_ALL_OTHERS</t>
        </is>
      </c>
      <c r="D64" t="inlineStr">
        <is>
          <t>Planner BestFit Model</t>
        </is>
      </c>
    </row>
    <row r="65">
      <c r="A65" t="inlineStr">
        <is>
          <t>CurrentWorkingView</t>
        </is>
      </c>
      <c r="B65" s="1" t="n">
        <v>3616302039357</v>
      </c>
      <c r="C65" t="inlineStr">
        <is>
          <t>P_US_ALL_OTHERS</t>
        </is>
      </c>
      <c r="D65" t="inlineStr">
        <is>
          <t>System FC - Final</t>
        </is>
      </c>
      <c r="E65" t="n">
        <v>10553</v>
      </c>
      <c r="F65" t="n">
        <v>9998</v>
      </c>
      <c r="G65" t="n">
        <v>13835</v>
      </c>
      <c r="H65" t="n">
        <v>8937</v>
      </c>
      <c r="I65" t="n">
        <v>4032</v>
      </c>
      <c r="J65" t="n">
        <v>7874</v>
      </c>
      <c r="K65" t="n">
        <v>3313</v>
      </c>
      <c r="L65" t="n">
        <v>6292</v>
      </c>
      <c r="M65" t="n">
        <v>11652</v>
      </c>
      <c r="N65" t="n">
        <v>5508</v>
      </c>
      <c r="O65" t="n">
        <v>6458</v>
      </c>
      <c r="P65" t="n">
        <v>7926</v>
      </c>
    </row>
    <row r="66">
      <c r="A66" t="inlineStr">
        <is>
          <t>CurrentWorkingView</t>
        </is>
      </c>
      <c r="B66" s="1" t="n">
        <v>3616302039357</v>
      </c>
      <c r="C66" t="inlineStr">
        <is>
          <t>P_US_ALL_OTHERS</t>
        </is>
      </c>
      <c r="D66" t="inlineStr">
        <is>
          <t>CML Fcst</t>
        </is>
      </c>
      <c r="H66" t="n">
        <v>2818</v>
      </c>
      <c r="I66" t="n">
        <v>4568</v>
      </c>
      <c r="J66" t="n">
        <v>8817</v>
      </c>
      <c r="K66" t="n">
        <v>2303</v>
      </c>
      <c r="L66" t="n">
        <v>1372</v>
      </c>
      <c r="M66" t="n">
        <v>5593</v>
      </c>
      <c r="N66" t="n">
        <v>3502</v>
      </c>
      <c r="O66" t="n">
        <v>3038</v>
      </c>
      <c r="P66" t="n">
        <v>6279</v>
      </c>
    </row>
    <row r="67">
      <c r="A67" t="inlineStr">
        <is>
          <t>CurrentWorkingView</t>
        </is>
      </c>
      <c r="B67" s="1" t="n">
        <v>3616302039357</v>
      </c>
      <c r="C67" t="inlineStr">
        <is>
          <t>P_US_ALL_OTHERS</t>
        </is>
      </c>
      <c r="D67" t="inlineStr">
        <is>
          <t>ST Stat Fcst</t>
        </is>
      </c>
      <c r="E67" t="n">
        <v>10553</v>
      </c>
      <c r="F67" t="n">
        <v>9998</v>
      </c>
      <c r="G67" t="n">
        <v>9118</v>
      </c>
      <c r="H67" t="n">
        <v>1519</v>
      </c>
      <c r="I67" t="n">
        <v>1518</v>
      </c>
      <c r="J67" t="n">
        <v>11630</v>
      </c>
      <c r="K67" t="n">
        <v>1519</v>
      </c>
      <c r="L67" t="n">
        <v>1520</v>
      </c>
      <c r="M67" t="n">
        <v>9623</v>
      </c>
      <c r="N67" t="n">
        <v>1517</v>
      </c>
      <c r="O67" t="n">
        <v>8286</v>
      </c>
      <c r="P67" t="n">
        <v>9035</v>
      </c>
    </row>
    <row r="68">
      <c r="A68" t="inlineStr">
        <is>
          <t>CurrentWorkingView</t>
        </is>
      </c>
      <c r="B68" s="1" t="n">
        <v>3616302039357</v>
      </c>
      <c r="C68" t="inlineStr">
        <is>
          <t>P_US_ALL_OTHERS</t>
        </is>
      </c>
      <c r="D68" t="inlineStr">
        <is>
          <t>LT Stat Fcst</t>
        </is>
      </c>
      <c r="H68" t="n">
        <v>8937</v>
      </c>
      <c r="I68" t="n">
        <v>4032</v>
      </c>
      <c r="J68" t="n">
        <v>7874</v>
      </c>
      <c r="K68" t="n">
        <v>3313</v>
      </c>
      <c r="L68" t="n">
        <v>6292</v>
      </c>
      <c r="M68" t="n">
        <v>11652</v>
      </c>
      <c r="N68" t="n">
        <v>5508</v>
      </c>
      <c r="O68" t="n">
        <v>6458</v>
      </c>
      <c r="P68" t="n">
        <v>7926</v>
      </c>
    </row>
    <row r="69">
      <c r="A69" t="inlineStr">
        <is>
          <t>CurrentWorkingView</t>
        </is>
      </c>
      <c r="B69" s="1" t="n">
        <v>3616302039357</v>
      </c>
      <c r="C69" t="inlineStr">
        <is>
          <t>P_US_ALL_OTHERS</t>
        </is>
      </c>
      <c r="D69" t="inlineStr">
        <is>
          <t>System BestFit Final</t>
        </is>
      </c>
      <c r="E69" t="inlineStr">
        <is>
          <t>LT</t>
        </is>
      </c>
      <c r="F69" t="inlineStr">
        <is>
          <t>LT</t>
        </is>
      </c>
      <c r="G69" t="inlineStr">
        <is>
          <t>LT</t>
        </is>
      </c>
      <c r="H69" t="inlineStr">
        <is>
          <t>LT</t>
        </is>
      </c>
      <c r="I69" t="inlineStr">
        <is>
          <t>LT</t>
        </is>
      </c>
      <c r="J69" t="inlineStr">
        <is>
          <t>LT</t>
        </is>
      </c>
      <c r="K69" t="inlineStr">
        <is>
          <t>LT</t>
        </is>
      </c>
      <c r="L69" t="inlineStr">
        <is>
          <t>LT</t>
        </is>
      </c>
      <c r="M69" t="inlineStr">
        <is>
          <t>LT</t>
        </is>
      </c>
      <c r="N69" t="inlineStr">
        <is>
          <t>LT</t>
        </is>
      </c>
      <c r="O69" t="inlineStr">
        <is>
          <t>LT</t>
        </is>
      </c>
      <c r="P69" t="inlineStr">
        <is>
          <t>LT</t>
        </is>
      </c>
    </row>
    <row r="70">
      <c r="A70" t="inlineStr">
        <is>
          <t>CurrentWorkingView</t>
        </is>
      </c>
      <c r="B70" s="1" t="n">
        <v>3616302039357</v>
      </c>
      <c r="C70" t="inlineStr">
        <is>
          <t>P_US_ALL_OTHERS</t>
        </is>
      </c>
      <c r="D70" t="inlineStr">
        <is>
          <t>System Bestfit Model ST</t>
        </is>
      </c>
    </row>
    <row r="71">
      <c r="A71" t="inlineStr">
        <is>
          <t>CurrentWorkingView</t>
        </is>
      </c>
      <c r="B71" s="1" t="n">
        <v>3616302039357</v>
      </c>
      <c r="C71" t="inlineStr">
        <is>
          <t>P_US_ALL_OTHERS</t>
        </is>
      </c>
      <c r="D71" t="inlineStr">
        <is>
          <t>Planner BestFit Model</t>
        </is>
      </c>
      <c r="E71" t="inlineStr">
        <is>
          <t>LT</t>
        </is>
      </c>
      <c r="F71" t="inlineStr">
        <is>
          <t>LT</t>
        </is>
      </c>
      <c r="G71" t="inlineStr">
        <is>
          <t>LT</t>
        </is>
      </c>
      <c r="H71" t="inlineStr">
        <is>
          <t>LT</t>
        </is>
      </c>
      <c r="I71" t="inlineStr">
        <is>
          <t>LT</t>
        </is>
      </c>
      <c r="J71" t="inlineStr">
        <is>
          <t>LT</t>
        </is>
      </c>
      <c r="K71" t="inlineStr">
        <is>
          <t>LT</t>
        </is>
      </c>
      <c r="L71" t="inlineStr">
        <is>
          <t>LT</t>
        </is>
      </c>
      <c r="M71" t="inlineStr">
        <is>
          <t>LT</t>
        </is>
      </c>
      <c r="N71" t="inlineStr">
        <is>
          <t>LT</t>
        </is>
      </c>
      <c r="O71" t="inlineStr">
        <is>
          <t>LT</t>
        </is>
      </c>
      <c r="P71" t="inlineStr">
        <is>
          <t>LT</t>
        </is>
      </c>
    </row>
    <row r="72">
      <c r="A72" t="inlineStr">
        <is>
          <t>CurrentWorkingView</t>
        </is>
      </c>
      <c r="B72" s="1" t="n">
        <v>3616302039357</v>
      </c>
      <c r="C72" t="inlineStr">
        <is>
          <t>P_US_ULTA</t>
        </is>
      </c>
      <c r="D72" t="inlineStr">
        <is>
          <t>System FC - Final</t>
        </is>
      </c>
      <c r="E72" t="n">
        <v>4215</v>
      </c>
      <c r="F72" t="n">
        <v>5684</v>
      </c>
      <c r="G72" t="n">
        <v>8494</v>
      </c>
      <c r="H72" t="n">
        <v>4640</v>
      </c>
      <c r="I72" t="n">
        <v>2093</v>
      </c>
      <c r="J72" t="n">
        <v>4087</v>
      </c>
      <c r="K72" t="n">
        <v>1719</v>
      </c>
      <c r="L72" t="n">
        <v>3268</v>
      </c>
      <c r="M72" t="n">
        <v>6049</v>
      </c>
      <c r="N72" t="n">
        <v>2859</v>
      </c>
      <c r="O72" t="n">
        <v>3353</v>
      </c>
      <c r="P72" t="n">
        <v>4115</v>
      </c>
    </row>
    <row r="73">
      <c r="A73" t="inlineStr">
        <is>
          <t>CurrentWorkingView</t>
        </is>
      </c>
      <c r="B73" s="1" t="n">
        <v>3616302039357</v>
      </c>
      <c r="C73" t="inlineStr">
        <is>
          <t>P_US_ULTA</t>
        </is>
      </c>
      <c r="D73" t="inlineStr">
        <is>
          <t>CML Fcst</t>
        </is>
      </c>
      <c r="H73" t="n">
        <v>1360</v>
      </c>
      <c r="I73" t="n">
        <v>1230</v>
      </c>
      <c r="J73" t="n">
        <v>1998</v>
      </c>
      <c r="K73" t="n">
        <v>0</v>
      </c>
      <c r="L73" t="n">
        <v>1772</v>
      </c>
      <c r="M73" t="n">
        <v>8135</v>
      </c>
      <c r="N73" t="n">
        <v>510</v>
      </c>
      <c r="O73" t="n">
        <v>1081</v>
      </c>
      <c r="P73" t="n">
        <v>1745</v>
      </c>
    </row>
    <row r="74">
      <c r="A74" t="inlineStr">
        <is>
          <t>CurrentWorkingView</t>
        </is>
      </c>
      <c r="B74" s="1" t="n">
        <v>3616302039357</v>
      </c>
      <c r="C74" t="inlineStr">
        <is>
          <t>P_US_ULTA</t>
        </is>
      </c>
      <c r="D74" t="inlineStr">
        <is>
          <t>ST Stat Fcst</t>
        </is>
      </c>
      <c r="E74" t="n">
        <v>4215</v>
      </c>
      <c r="F74" t="n">
        <v>5684</v>
      </c>
      <c r="G74" t="n">
        <v>8242</v>
      </c>
      <c r="H74" t="n">
        <v>9526</v>
      </c>
      <c r="I74" t="n">
        <v>2156</v>
      </c>
      <c r="J74" t="n">
        <v>735</v>
      </c>
      <c r="K74" t="n">
        <v>332</v>
      </c>
      <c r="L74" t="n">
        <v>4508</v>
      </c>
      <c r="M74" t="n">
        <v>7095</v>
      </c>
      <c r="N74" t="n">
        <v>3403</v>
      </c>
      <c r="O74" t="n">
        <v>2759</v>
      </c>
      <c r="P74" t="n">
        <v>3977</v>
      </c>
    </row>
    <row r="75">
      <c r="A75" t="inlineStr">
        <is>
          <t>CurrentWorkingView</t>
        </is>
      </c>
      <c r="B75" s="1" t="n">
        <v>3616302039357</v>
      </c>
      <c r="C75" t="inlineStr">
        <is>
          <t>P_US_ULTA</t>
        </is>
      </c>
      <c r="D75" t="inlineStr">
        <is>
          <t>LT Stat Fcst</t>
        </is>
      </c>
      <c r="H75" t="n">
        <v>4639</v>
      </c>
      <c r="I75" t="n">
        <v>2092</v>
      </c>
      <c r="J75" t="n">
        <v>4087</v>
      </c>
      <c r="K75" t="n">
        <v>1719</v>
      </c>
      <c r="L75" t="n">
        <v>3268</v>
      </c>
      <c r="M75" t="n">
        <v>6049</v>
      </c>
      <c r="N75" t="n">
        <v>2859</v>
      </c>
      <c r="O75" t="n">
        <v>3353</v>
      </c>
      <c r="P75" t="n">
        <v>4115</v>
      </c>
    </row>
    <row r="76">
      <c r="A76" t="inlineStr">
        <is>
          <t>CurrentWorkingView</t>
        </is>
      </c>
      <c r="B76" s="1" t="n">
        <v>3616302039357</v>
      </c>
      <c r="C76" t="inlineStr">
        <is>
          <t>P_US_ULTA</t>
        </is>
      </c>
      <c r="D76" t="inlineStr">
        <is>
          <t>System BestFit Final</t>
        </is>
      </c>
      <c r="E76" t="inlineStr">
        <is>
          <t>LT</t>
        </is>
      </c>
      <c r="F76" t="inlineStr">
        <is>
          <t>LT</t>
        </is>
      </c>
      <c r="G76" t="inlineStr">
        <is>
          <t>LT</t>
        </is>
      </c>
      <c r="H76" t="inlineStr">
        <is>
          <t>LT</t>
        </is>
      </c>
      <c r="I76" t="inlineStr">
        <is>
          <t>LT</t>
        </is>
      </c>
      <c r="J76" t="inlineStr">
        <is>
          <t>LT</t>
        </is>
      </c>
      <c r="K76" t="inlineStr">
        <is>
          <t>LT</t>
        </is>
      </c>
      <c r="L76" t="inlineStr">
        <is>
          <t>LT</t>
        </is>
      </c>
      <c r="M76" t="inlineStr">
        <is>
          <t>LT</t>
        </is>
      </c>
      <c r="N76" t="inlineStr">
        <is>
          <t>LT</t>
        </is>
      </c>
      <c r="O76" t="inlineStr">
        <is>
          <t>LT</t>
        </is>
      </c>
      <c r="P76" t="inlineStr">
        <is>
          <t>LT</t>
        </is>
      </c>
    </row>
    <row r="77">
      <c r="A77" t="inlineStr">
        <is>
          <t>CurrentWorkingView</t>
        </is>
      </c>
      <c r="B77" s="1" t="n">
        <v>3616302039357</v>
      </c>
      <c r="C77" t="inlineStr">
        <is>
          <t>P_US_ULTA</t>
        </is>
      </c>
      <c r="D77" t="inlineStr">
        <is>
          <t>System Bestfit Model ST</t>
        </is>
      </c>
    </row>
    <row r="78">
      <c r="A78" t="inlineStr">
        <is>
          <t>CurrentWorkingView</t>
        </is>
      </c>
      <c r="B78" s="1" t="n">
        <v>3616302039357</v>
      </c>
      <c r="C78" t="inlineStr">
        <is>
          <t>P_US_ULTA</t>
        </is>
      </c>
      <c r="D78" t="inlineStr">
        <is>
          <t>Planner BestFit Model</t>
        </is>
      </c>
      <c r="E78" t="inlineStr">
        <is>
          <t>LT</t>
        </is>
      </c>
      <c r="F78" t="inlineStr">
        <is>
          <t>LT</t>
        </is>
      </c>
      <c r="G78" t="inlineStr">
        <is>
          <t>LT</t>
        </is>
      </c>
      <c r="H78" t="inlineStr">
        <is>
          <t>LT</t>
        </is>
      </c>
      <c r="I78" t="inlineStr">
        <is>
          <t>LT</t>
        </is>
      </c>
      <c r="J78" t="inlineStr">
        <is>
          <t>LT</t>
        </is>
      </c>
      <c r="K78" t="inlineStr">
        <is>
          <t>LT</t>
        </is>
      </c>
      <c r="L78" t="inlineStr">
        <is>
          <t>LT</t>
        </is>
      </c>
      <c r="M78" t="inlineStr">
        <is>
          <t>LT</t>
        </is>
      </c>
      <c r="N78" t="inlineStr">
        <is>
          <t>LT</t>
        </is>
      </c>
      <c r="O78" t="inlineStr">
        <is>
          <t>LT</t>
        </is>
      </c>
      <c r="P78" t="inlineStr">
        <is>
          <t>LT</t>
        </is>
      </c>
    </row>
    <row r="79">
      <c r="A79" t="inlineStr">
        <is>
          <t>CurrentWorkingView</t>
        </is>
      </c>
      <c r="B79" s="1" t="n">
        <v>3616302039548</v>
      </c>
      <c r="C79" t="inlineStr">
        <is>
          <t>P_US_ALL_OTHERS</t>
        </is>
      </c>
      <c r="D79" t="inlineStr">
        <is>
          <t>System FC - Final</t>
        </is>
      </c>
      <c r="E79" t="n">
        <v>383</v>
      </c>
      <c r="F79" t="n">
        <v>626</v>
      </c>
      <c r="G79" t="n">
        <v>818</v>
      </c>
      <c r="H79" t="n">
        <v>4945</v>
      </c>
      <c r="I79" t="n">
        <v>288</v>
      </c>
      <c r="J79" t="n">
        <v>2590</v>
      </c>
      <c r="K79" t="n">
        <v>66</v>
      </c>
      <c r="L79" t="n">
        <v>68</v>
      </c>
      <c r="M79" t="n">
        <v>115</v>
      </c>
      <c r="N79" t="n">
        <v>68</v>
      </c>
      <c r="O79" t="n">
        <v>407</v>
      </c>
      <c r="P79" t="n">
        <v>68</v>
      </c>
    </row>
    <row r="80">
      <c r="A80" t="inlineStr">
        <is>
          <t>CurrentWorkingView</t>
        </is>
      </c>
      <c r="B80" s="1" t="n">
        <v>3616302039548</v>
      </c>
      <c r="C80" t="inlineStr">
        <is>
          <t>P_US_ALL_OTHERS</t>
        </is>
      </c>
      <c r="D80" t="inlineStr">
        <is>
          <t>CML Fcst</t>
        </is>
      </c>
      <c r="H80" t="n">
        <v>677</v>
      </c>
      <c r="I80" t="n">
        <v>498</v>
      </c>
      <c r="J80" t="n">
        <v>678</v>
      </c>
      <c r="K80" t="n">
        <v>598</v>
      </c>
      <c r="L80" t="n">
        <v>744</v>
      </c>
      <c r="M80" t="n">
        <v>1045</v>
      </c>
      <c r="N80" t="n">
        <v>575</v>
      </c>
      <c r="O80" t="n">
        <v>735</v>
      </c>
      <c r="P80" t="n">
        <v>609</v>
      </c>
    </row>
    <row r="81">
      <c r="A81" t="inlineStr">
        <is>
          <t>CurrentWorkingView</t>
        </is>
      </c>
      <c r="B81" s="1" t="n">
        <v>3616302039548</v>
      </c>
      <c r="C81" t="inlineStr">
        <is>
          <t>P_US_ALL_OTHERS</t>
        </is>
      </c>
      <c r="D81" t="inlineStr">
        <is>
          <t>ST Stat Fcst</t>
        </is>
      </c>
      <c r="E81" t="n">
        <v>383</v>
      </c>
      <c r="F81" t="n">
        <v>626</v>
      </c>
      <c r="G81" t="n">
        <v>818</v>
      </c>
      <c r="H81" t="n">
        <v>4946</v>
      </c>
      <c r="I81" t="n">
        <v>288</v>
      </c>
      <c r="J81" t="n">
        <v>2590</v>
      </c>
      <c r="K81" t="n">
        <v>66</v>
      </c>
      <c r="L81" t="n">
        <v>68</v>
      </c>
      <c r="M81" t="n">
        <v>115</v>
      </c>
      <c r="N81" t="n">
        <v>68</v>
      </c>
      <c r="O81" t="n">
        <v>407</v>
      </c>
      <c r="P81" t="n">
        <v>68</v>
      </c>
    </row>
    <row r="82">
      <c r="A82" t="inlineStr">
        <is>
          <t>CurrentWorkingView</t>
        </is>
      </c>
      <c r="B82" s="1" t="n">
        <v>3616302039548</v>
      </c>
      <c r="C82" t="inlineStr">
        <is>
          <t>P_US_ALL_OTHERS</t>
        </is>
      </c>
      <c r="D82" t="inlineStr">
        <is>
          <t>LT Stat Fcst</t>
        </is>
      </c>
      <c r="H82" t="n">
        <v>992</v>
      </c>
      <c r="I82" t="n">
        <v>712</v>
      </c>
      <c r="J82" t="n">
        <v>1471</v>
      </c>
      <c r="K82" t="n">
        <v>926</v>
      </c>
      <c r="L82" t="n">
        <v>1232</v>
      </c>
      <c r="M82" t="n">
        <v>1877</v>
      </c>
      <c r="N82" t="n">
        <v>519</v>
      </c>
      <c r="O82" t="n">
        <v>1028</v>
      </c>
      <c r="P82" t="n">
        <v>532</v>
      </c>
    </row>
    <row r="83">
      <c r="A83" t="inlineStr">
        <is>
          <t>CurrentWorkingView</t>
        </is>
      </c>
      <c r="B83" s="1" t="n">
        <v>3616302039548</v>
      </c>
      <c r="C83" t="inlineStr">
        <is>
          <t>P_US_ALL_OTHERS</t>
        </is>
      </c>
      <c r="D83" t="inlineStr">
        <is>
          <t>System BestFit Final</t>
        </is>
      </c>
      <c r="E83" t="inlineStr">
        <is>
          <t>ST</t>
        </is>
      </c>
      <c r="F83" t="inlineStr">
        <is>
          <t>ST</t>
        </is>
      </c>
      <c r="G83" t="inlineStr">
        <is>
          <t>ST</t>
        </is>
      </c>
      <c r="H83" t="inlineStr">
        <is>
          <t>ST</t>
        </is>
      </c>
      <c r="I83" t="inlineStr">
        <is>
          <t>ST</t>
        </is>
      </c>
      <c r="J83" t="inlineStr">
        <is>
          <t>ST</t>
        </is>
      </c>
      <c r="K83" t="inlineStr">
        <is>
          <t>ST</t>
        </is>
      </c>
      <c r="L83" t="inlineStr">
        <is>
          <t>ST</t>
        </is>
      </c>
      <c r="M83" t="inlineStr">
        <is>
          <t>ST</t>
        </is>
      </c>
      <c r="N83" t="inlineStr">
        <is>
          <t>ST</t>
        </is>
      </c>
      <c r="O83" t="inlineStr">
        <is>
          <t>ST</t>
        </is>
      </c>
      <c r="P83" t="inlineStr">
        <is>
          <t>ST</t>
        </is>
      </c>
    </row>
    <row r="84">
      <c r="A84" t="inlineStr">
        <is>
          <t>CurrentWorkingView</t>
        </is>
      </c>
      <c r="B84" s="1" t="n">
        <v>3616302039548</v>
      </c>
      <c r="C84" t="inlineStr">
        <is>
          <t>P_US_ALL_OTHERS</t>
        </is>
      </c>
      <c r="D84" t="inlineStr">
        <is>
          <t>System Bestfit Model ST</t>
        </is>
      </c>
      <c r="E84" t="inlineStr">
        <is>
          <t>ST</t>
        </is>
      </c>
      <c r="F84" t="inlineStr">
        <is>
          <t>ST</t>
        </is>
      </c>
      <c r="G84" t="inlineStr">
        <is>
          <t>ST</t>
        </is>
      </c>
      <c r="H84" t="inlineStr">
        <is>
          <t>ST</t>
        </is>
      </c>
      <c r="I84" t="inlineStr">
        <is>
          <t>ST</t>
        </is>
      </c>
      <c r="J84" t="inlineStr">
        <is>
          <t>ST</t>
        </is>
      </c>
      <c r="K84" t="inlineStr">
        <is>
          <t>ST</t>
        </is>
      </c>
      <c r="L84" t="inlineStr">
        <is>
          <t>ST</t>
        </is>
      </c>
      <c r="M84" t="inlineStr">
        <is>
          <t>ST</t>
        </is>
      </c>
      <c r="N84" t="inlineStr">
        <is>
          <t>ST</t>
        </is>
      </c>
      <c r="O84" t="inlineStr">
        <is>
          <t>ST</t>
        </is>
      </c>
      <c r="P84" t="inlineStr">
        <is>
          <t>ST</t>
        </is>
      </c>
    </row>
    <row r="85">
      <c r="A85" t="inlineStr">
        <is>
          <t>CurrentWorkingView</t>
        </is>
      </c>
      <c r="B85" s="1" t="n">
        <v>3616302039548</v>
      </c>
      <c r="C85" t="inlineStr">
        <is>
          <t>P_US_ALL_OTHERS</t>
        </is>
      </c>
      <c r="D85" t="inlineStr">
        <is>
          <t>Planner BestFit Model</t>
        </is>
      </c>
      <c r="E85" t="inlineStr">
        <is>
          <t>ST</t>
        </is>
      </c>
      <c r="F85" t="inlineStr">
        <is>
          <t>ST</t>
        </is>
      </c>
      <c r="G85" t="inlineStr">
        <is>
          <t>ST</t>
        </is>
      </c>
      <c r="H85" t="inlineStr">
        <is>
          <t>ST</t>
        </is>
      </c>
      <c r="I85" t="inlineStr">
        <is>
          <t>ST</t>
        </is>
      </c>
      <c r="J85" t="inlineStr">
        <is>
          <t>ST</t>
        </is>
      </c>
      <c r="K85" t="inlineStr">
        <is>
          <t>ST</t>
        </is>
      </c>
      <c r="L85" t="inlineStr">
        <is>
          <t>ST</t>
        </is>
      </c>
      <c r="M85" t="inlineStr">
        <is>
          <t>ST</t>
        </is>
      </c>
      <c r="N85" t="inlineStr">
        <is>
          <t>ST</t>
        </is>
      </c>
      <c r="O85" t="inlineStr">
        <is>
          <t>ST</t>
        </is>
      </c>
      <c r="P85" t="inlineStr">
        <is>
          <t>ST</t>
        </is>
      </c>
    </row>
    <row r="86">
      <c r="A86" t="inlineStr">
        <is>
          <t>CurrentWorkingView</t>
        </is>
      </c>
      <c r="B86" s="1" t="n">
        <v>3616302039548</v>
      </c>
      <c r="C86" t="inlineStr">
        <is>
          <t>P_US_ULTA</t>
        </is>
      </c>
      <c r="D86" t="inlineStr">
        <is>
          <t>System FC - Final</t>
        </is>
      </c>
      <c r="E86" t="n">
        <v>413</v>
      </c>
      <c r="F86" t="n">
        <v>2053</v>
      </c>
      <c r="G86" t="n">
        <v>1644</v>
      </c>
      <c r="H86" t="n">
        <v>554</v>
      </c>
      <c r="I86" t="n">
        <v>972</v>
      </c>
      <c r="J86" t="n">
        <v>438</v>
      </c>
      <c r="K86" t="n">
        <v>602</v>
      </c>
      <c r="L86" t="n">
        <v>1960</v>
      </c>
      <c r="M86" t="n">
        <v>1785</v>
      </c>
      <c r="N86" t="n">
        <v>875</v>
      </c>
      <c r="O86" t="n">
        <v>252</v>
      </c>
      <c r="P86" t="n">
        <v>570</v>
      </c>
    </row>
    <row r="87">
      <c r="A87" t="inlineStr">
        <is>
          <t>CurrentWorkingView</t>
        </is>
      </c>
      <c r="B87" s="1" t="n">
        <v>3616302039548</v>
      </c>
      <c r="C87" t="inlineStr">
        <is>
          <t>P_US_ULTA</t>
        </is>
      </c>
      <c r="D87" t="inlineStr">
        <is>
          <t>CML Fcst</t>
        </is>
      </c>
      <c r="H87" t="n">
        <v>1006</v>
      </c>
      <c r="I87" t="n">
        <v>1068</v>
      </c>
      <c r="J87" t="n">
        <v>1155</v>
      </c>
      <c r="K87" t="n">
        <v>505</v>
      </c>
      <c r="L87" t="n">
        <v>756</v>
      </c>
      <c r="M87" t="n">
        <v>1834</v>
      </c>
      <c r="N87" t="n">
        <v>548</v>
      </c>
      <c r="O87" t="n">
        <v>700</v>
      </c>
      <c r="P87" t="n">
        <v>600</v>
      </c>
    </row>
    <row r="88">
      <c r="A88" t="inlineStr">
        <is>
          <t>CurrentWorkingView</t>
        </is>
      </c>
      <c r="B88" s="1" t="n">
        <v>3616302039548</v>
      </c>
      <c r="C88" t="inlineStr">
        <is>
          <t>P_US_ULTA</t>
        </is>
      </c>
      <c r="D88" t="inlineStr">
        <is>
          <t>ST Stat Fcst</t>
        </is>
      </c>
      <c r="E88" t="n">
        <v>413</v>
      </c>
      <c r="F88" t="n">
        <v>2053</v>
      </c>
      <c r="G88" t="n">
        <v>1644</v>
      </c>
      <c r="H88" t="n">
        <v>554</v>
      </c>
      <c r="I88" t="n">
        <v>972</v>
      </c>
      <c r="J88" t="n">
        <v>438</v>
      </c>
      <c r="K88" t="n">
        <v>602</v>
      </c>
      <c r="L88" t="n">
        <v>1960</v>
      </c>
      <c r="M88" t="n">
        <v>1785</v>
      </c>
      <c r="N88" t="n">
        <v>875</v>
      </c>
      <c r="O88" t="n">
        <v>252</v>
      </c>
      <c r="P88" t="n">
        <v>570</v>
      </c>
    </row>
    <row r="89">
      <c r="A89" t="inlineStr">
        <is>
          <t>CurrentWorkingView</t>
        </is>
      </c>
      <c r="B89" s="1" t="n">
        <v>3616302039548</v>
      </c>
      <c r="C89" t="inlineStr">
        <is>
          <t>P_US_ULTA</t>
        </is>
      </c>
      <c r="D89" t="inlineStr">
        <is>
          <t>LT Stat Fcst</t>
        </is>
      </c>
      <c r="H89" t="n">
        <v>744</v>
      </c>
      <c r="I89" t="n">
        <v>536</v>
      </c>
      <c r="J89" t="n">
        <v>1102</v>
      </c>
      <c r="K89" t="n">
        <v>695</v>
      </c>
      <c r="L89" t="n">
        <v>924</v>
      </c>
      <c r="M89" t="n">
        <v>1404</v>
      </c>
      <c r="N89" t="n">
        <v>390</v>
      </c>
      <c r="O89" t="n">
        <v>766</v>
      </c>
      <c r="P89" t="n">
        <v>397</v>
      </c>
    </row>
    <row r="90">
      <c r="A90" t="inlineStr">
        <is>
          <t>CurrentWorkingView</t>
        </is>
      </c>
      <c r="B90" s="1" t="n">
        <v>3616302039548</v>
      </c>
      <c r="C90" t="inlineStr">
        <is>
          <t>P_US_ULTA</t>
        </is>
      </c>
      <c r="D90" t="inlineStr">
        <is>
          <t>System BestFit Final</t>
        </is>
      </c>
      <c r="E90" t="inlineStr">
        <is>
          <t>ST</t>
        </is>
      </c>
      <c r="F90" t="inlineStr">
        <is>
          <t>ST</t>
        </is>
      </c>
      <c r="G90" t="inlineStr">
        <is>
          <t>ST</t>
        </is>
      </c>
      <c r="H90" t="inlineStr">
        <is>
          <t>ST</t>
        </is>
      </c>
      <c r="I90" t="inlineStr">
        <is>
          <t>ST</t>
        </is>
      </c>
      <c r="J90" t="inlineStr">
        <is>
          <t>ST</t>
        </is>
      </c>
      <c r="K90" t="inlineStr">
        <is>
          <t>ST</t>
        </is>
      </c>
      <c r="L90" t="inlineStr">
        <is>
          <t>ST</t>
        </is>
      </c>
      <c r="M90" t="inlineStr">
        <is>
          <t>ST</t>
        </is>
      </c>
      <c r="N90" t="inlineStr">
        <is>
          <t>ST</t>
        </is>
      </c>
      <c r="O90" t="inlineStr">
        <is>
          <t>ST</t>
        </is>
      </c>
      <c r="P90" t="inlineStr">
        <is>
          <t>ST</t>
        </is>
      </c>
    </row>
    <row r="91">
      <c r="A91" t="inlineStr">
        <is>
          <t>CurrentWorkingView</t>
        </is>
      </c>
      <c r="B91" s="1" t="n">
        <v>3616302039548</v>
      </c>
      <c r="C91" t="inlineStr">
        <is>
          <t>P_US_ULTA</t>
        </is>
      </c>
      <c r="D91" t="inlineStr">
        <is>
          <t>System Bestfit Model ST</t>
        </is>
      </c>
      <c r="E91" t="inlineStr">
        <is>
          <t>ST</t>
        </is>
      </c>
      <c r="F91" t="inlineStr">
        <is>
          <t>ST</t>
        </is>
      </c>
      <c r="G91" t="inlineStr">
        <is>
          <t>ST</t>
        </is>
      </c>
      <c r="H91" t="inlineStr">
        <is>
          <t>ST</t>
        </is>
      </c>
      <c r="I91" t="inlineStr">
        <is>
          <t>ST</t>
        </is>
      </c>
      <c r="J91" t="inlineStr">
        <is>
          <t>ST</t>
        </is>
      </c>
      <c r="K91" t="inlineStr">
        <is>
          <t>ST</t>
        </is>
      </c>
      <c r="L91" t="inlineStr">
        <is>
          <t>ST</t>
        </is>
      </c>
      <c r="M91" t="inlineStr">
        <is>
          <t>ST</t>
        </is>
      </c>
      <c r="N91" t="inlineStr">
        <is>
          <t>ST</t>
        </is>
      </c>
      <c r="O91" t="inlineStr">
        <is>
          <t>ST</t>
        </is>
      </c>
      <c r="P91" t="inlineStr">
        <is>
          <t>ST</t>
        </is>
      </c>
    </row>
    <row r="92">
      <c r="A92" t="inlineStr">
        <is>
          <t>CurrentWorkingView</t>
        </is>
      </c>
      <c r="B92" s="1" t="n">
        <v>3616302039548</v>
      </c>
      <c r="C92" t="inlineStr">
        <is>
          <t>P_US_ULTA</t>
        </is>
      </c>
      <c r="D92" t="inlineStr">
        <is>
          <t>Planner BestFit Model</t>
        </is>
      </c>
      <c r="E92" t="inlineStr">
        <is>
          <t>ST</t>
        </is>
      </c>
      <c r="F92" t="inlineStr">
        <is>
          <t>ST</t>
        </is>
      </c>
      <c r="G92" t="inlineStr">
        <is>
          <t>ST</t>
        </is>
      </c>
      <c r="H92" t="inlineStr">
        <is>
          <t>ST</t>
        </is>
      </c>
      <c r="I92" t="inlineStr">
        <is>
          <t>ST</t>
        </is>
      </c>
      <c r="J92" t="inlineStr">
        <is>
          <t>ST</t>
        </is>
      </c>
      <c r="K92" t="inlineStr">
        <is>
          <t>ST</t>
        </is>
      </c>
      <c r="L92" t="inlineStr">
        <is>
          <t>ST</t>
        </is>
      </c>
      <c r="M92" t="inlineStr">
        <is>
          <t>ST</t>
        </is>
      </c>
      <c r="N92" t="inlineStr">
        <is>
          <t>ST</t>
        </is>
      </c>
      <c r="O92" t="inlineStr">
        <is>
          <t>ST</t>
        </is>
      </c>
      <c r="P92" t="inlineStr">
        <is>
          <t>ST</t>
        </is>
      </c>
    </row>
    <row r="93">
      <c r="A93" t="inlineStr">
        <is>
          <t>CurrentWorkingView</t>
        </is>
      </c>
      <c r="B93" s="1" t="n">
        <v>3616302514298</v>
      </c>
      <c r="C93" t="inlineStr">
        <is>
          <t>P_US_ALL_OTHERS</t>
        </is>
      </c>
      <c r="D93" t="inlineStr">
        <is>
          <t>System FC - Final</t>
        </is>
      </c>
      <c r="E93" t="n">
        <v>4099</v>
      </c>
      <c r="F93" t="n">
        <v>1223</v>
      </c>
      <c r="G93" t="n">
        <v>905</v>
      </c>
      <c r="H93" t="n">
        <v>1187</v>
      </c>
      <c r="I93" t="n">
        <v>799</v>
      </c>
      <c r="J93" t="n">
        <v>1032</v>
      </c>
      <c r="K93" t="n">
        <v>647</v>
      </c>
      <c r="L93" t="n">
        <v>732</v>
      </c>
      <c r="M93" t="n">
        <v>965</v>
      </c>
      <c r="N93" t="n">
        <v>895</v>
      </c>
      <c r="O93" t="n">
        <v>686</v>
      </c>
      <c r="P93" t="n">
        <v>287</v>
      </c>
    </row>
    <row r="94">
      <c r="A94" t="inlineStr">
        <is>
          <t>CurrentWorkingView</t>
        </is>
      </c>
      <c r="B94" s="1" t="n">
        <v>3616302514298</v>
      </c>
      <c r="C94" t="inlineStr">
        <is>
          <t>P_US_ALL_OTHERS</t>
        </is>
      </c>
      <c r="D94" t="inlineStr">
        <is>
          <t>CML Fcst</t>
        </is>
      </c>
      <c r="H94" t="n">
        <v>1781</v>
      </c>
      <c r="I94" t="n">
        <v>776</v>
      </c>
      <c r="J94" t="n">
        <v>1159</v>
      </c>
      <c r="K94" t="n">
        <v>877</v>
      </c>
      <c r="L94" t="n">
        <v>956</v>
      </c>
      <c r="M94" t="n">
        <v>1014</v>
      </c>
      <c r="N94" t="n">
        <v>1080</v>
      </c>
      <c r="O94" t="n">
        <v>731</v>
      </c>
      <c r="P94" t="n">
        <v>686</v>
      </c>
    </row>
    <row r="95">
      <c r="A95" t="inlineStr">
        <is>
          <t>CurrentWorkingView</t>
        </is>
      </c>
      <c r="B95" s="1" t="n">
        <v>3616302514298</v>
      </c>
      <c r="C95" t="inlineStr">
        <is>
          <t>P_US_ALL_OTHERS</t>
        </is>
      </c>
      <c r="D95" t="inlineStr">
        <is>
          <t>ST Stat Fcst</t>
        </is>
      </c>
      <c r="E95" t="n">
        <v>4099</v>
      </c>
      <c r="F95" t="n">
        <v>1223</v>
      </c>
      <c r="G95" t="n">
        <v>905</v>
      </c>
      <c r="H95" t="n">
        <v>1187</v>
      </c>
      <c r="I95" t="n">
        <v>798</v>
      </c>
      <c r="J95" t="n">
        <v>1032</v>
      </c>
      <c r="K95" t="n">
        <v>647</v>
      </c>
      <c r="L95" t="n">
        <v>732</v>
      </c>
      <c r="M95" t="n">
        <v>965</v>
      </c>
      <c r="N95" t="n">
        <v>895</v>
      </c>
      <c r="O95" t="n">
        <v>686</v>
      </c>
      <c r="P95" t="n">
        <v>287</v>
      </c>
    </row>
    <row r="96">
      <c r="A96" t="inlineStr">
        <is>
          <t>CurrentWorkingView</t>
        </is>
      </c>
      <c r="B96" s="1" t="n">
        <v>3616302514298</v>
      </c>
      <c r="C96" t="inlineStr">
        <is>
          <t>P_US_ALL_OTHERS</t>
        </is>
      </c>
      <c r="D96" t="inlineStr">
        <is>
          <t>LT Stat Fcst</t>
        </is>
      </c>
      <c r="H96" t="n">
        <v>1485</v>
      </c>
      <c r="I96" t="n">
        <v>964</v>
      </c>
      <c r="J96" t="n">
        <v>1917</v>
      </c>
      <c r="K96" t="n">
        <v>860</v>
      </c>
      <c r="L96" t="n">
        <v>2028</v>
      </c>
      <c r="M96" t="n">
        <v>1665</v>
      </c>
      <c r="N96" t="n">
        <v>1454</v>
      </c>
      <c r="O96" t="n">
        <v>1688</v>
      </c>
      <c r="P96" t="n">
        <v>609</v>
      </c>
    </row>
    <row r="97">
      <c r="A97" t="inlineStr">
        <is>
          <t>CurrentWorkingView</t>
        </is>
      </c>
      <c r="B97" s="1" t="n">
        <v>3616302514298</v>
      </c>
      <c r="C97" t="inlineStr">
        <is>
          <t>P_US_ALL_OTHERS</t>
        </is>
      </c>
      <c r="D97" t="inlineStr">
        <is>
          <t>System BestFit Final</t>
        </is>
      </c>
      <c r="E97" t="inlineStr">
        <is>
          <t>ST</t>
        </is>
      </c>
      <c r="F97" t="inlineStr">
        <is>
          <t>ST</t>
        </is>
      </c>
      <c r="G97" t="inlineStr">
        <is>
          <t>ST</t>
        </is>
      </c>
      <c r="H97" t="inlineStr">
        <is>
          <t>ST</t>
        </is>
      </c>
      <c r="I97" t="inlineStr">
        <is>
          <t>ST</t>
        </is>
      </c>
      <c r="J97" t="inlineStr">
        <is>
          <t>ST</t>
        </is>
      </c>
      <c r="K97" t="inlineStr">
        <is>
          <t>ST</t>
        </is>
      </c>
      <c r="L97" t="inlineStr">
        <is>
          <t>ST</t>
        </is>
      </c>
      <c r="M97" t="inlineStr">
        <is>
          <t>ST</t>
        </is>
      </c>
      <c r="N97" t="inlineStr">
        <is>
          <t>ST</t>
        </is>
      </c>
      <c r="O97" t="inlineStr">
        <is>
          <t>ST</t>
        </is>
      </c>
      <c r="P97" t="inlineStr">
        <is>
          <t>ST</t>
        </is>
      </c>
    </row>
    <row r="98">
      <c r="A98" t="inlineStr">
        <is>
          <t>CurrentWorkingView</t>
        </is>
      </c>
      <c r="B98" s="1" t="n">
        <v>3616302514298</v>
      </c>
      <c r="C98" t="inlineStr">
        <is>
          <t>P_US_ALL_OTHERS</t>
        </is>
      </c>
      <c r="D98" t="inlineStr">
        <is>
          <t>System Bestfit Model ST</t>
        </is>
      </c>
      <c r="E98" t="inlineStr">
        <is>
          <t>ST</t>
        </is>
      </c>
      <c r="F98" t="inlineStr">
        <is>
          <t>ST</t>
        </is>
      </c>
      <c r="G98" t="inlineStr">
        <is>
          <t>ST</t>
        </is>
      </c>
      <c r="H98" t="inlineStr">
        <is>
          <t>ST</t>
        </is>
      </c>
      <c r="I98" t="inlineStr">
        <is>
          <t>ST</t>
        </is>
      </c>
      <c r="J98" t="inlineStr">
        <is>
          <t>ST</t>
        </is>
      </c>
      <c r="K98" t="inlineStr">
        <is>
          <t>ST</t>
        </is>
      </c>
      <c r="L98" t="inlineStr">
        <is>
          <t>ST</t>
        </is>
      </c>
      <c r="M98" t="inlineStr">
        <is>
          <t>ST</t>
        </is>
      </c>
      <c r="N98" t="inlineStr">
        <is>
          <t>ST</t>
        </is>
      </c>
      <c r="O98" t="inlineStr">
        <is>
          <t>ST</t>
        </is>
      </c>
      <c r="P98" t="inlineStr">
        <is>
          <t>ST</t>
        </is>
      </c>
    </row>
    <row r="99">
      <c r="A99" t="inlineStr">
        <is>
          <t>CurrentWorkingView</t>
        </is>
      </c>
      <c r="B99" s="1" t="n">
        <v>3616302514298</v>
      </c>
      <c r="C99" t="inlineStr">
        <is>
          <t>P_US_ALL_OTHERS</t>
        </is>
      </c>
      <c r="D99" t="inlineStr">
        <is>
          <t>Planner BestFit Model</t>
        </is>
      </c>
      <c r="E99" t="inlineStr">
        <is>
          <t>ST</t>
        </is>
      </c>
      <c r="F99" t="inlineStr">
        <is>
          <t>ST</t>
        </is>
      </c>
      <c r="G99" t="inlineStr">
        <is>
          <t>ST</t>
        </is>
      </c>
      <c r="H99" t="inlineStr">
        <is>
          <t>ST</t>
        </is>
      </c>
      <c r="I99" t="inlineStr">
        <is>
          <t>ST</t>
        </is>
      </c>
      <c r="J99" t="inlineStr">
        <is>
          <t>ST</t>
        </is>
      </c>
      <c r="K99" t="inlineStr">
        <is>
          <t>ST</t>
        </is>
      </c>
      <c r="L99" t="inlineStr">
        <is>
          <t>ST</t>
        </is>
      </c>
      <c r="M99" t="inlineStr">
        <is>
          <t>ST</t>
        </is>
      </c>
      <c r="N99" t="inlineStr">
        <is>
          <t>ST</t>
        </is>
      </c>
      <c r="O99" t="inlineStr">
        <is>
          <t>ST</t>
        </is>
      </c>
      <c r="P99" t="inlineStr">
        <is>
          <t>ST</t>
        </is>
      </c>
    </row>
    <row r="100">
      <c r="A100" t="inlineStr">
        <is>
          <t>CurrentWorkingView</t>
        </is>
      </c>
      <c r="B100" s="1" t="n">
        <v>3616302514298</v>
      </c>
      <c r="C100" t="inlineStr">
        <is>
          <t>P_US_ULTA</t>
        </is>
      </c>
      <c r="D100" t="inlineStr">
        <is>
          <t>System FC - Final</t>
        </is>
      </c>
      <c r="E100" t="n">
        <v>57</v>
      </c>
      <c r="F100" t="n">
        <v>224</v>
      </c>
      <c r="G100" t="n">
        <v>723</v>
      </c>
      <c r="H100" t="n">
        <v>1633</v>
      </c>
      <c r="I100" t="n">
        <v>1059</v>
      </c>
      <c r="J100" t="n">
        <v>2104</v>
      </c>
      <c r="K100" t="n">
        <v>943</v>
      </c>
      <c r="L100" t="n">
        <v>2228</v>
      </c>
      <c r="M100" t="n">
        <v>1829</v>
      </c>
      <c r="N100" t="n">
        <v>1598</v>
      </c>
      <c r="O100" t="n">
        <v>1855</v>
      </c>
      <c r="P100" t="n">
        <v>667</v>
      </c>
    </row>
    <row r="101">
      <c r="A101" t="inlineStr">
        <is>
          <t>CurrentWorkingView</t>
        </is>
      </c>
      <c r="B101" s="1" t="n">
        <v>3616302514298</v>
      </c>
      <c r="C101" t="inlineStr">
        <is>
          <t>P_US_ULTA</t>
        </is>
      </c>
      <c r="D101" t="inlineStr">
        <is>
          <t>CML Fcst</t>
        </is>
      </c>
      <c r="H101" t="n">
        <v>620</v>
      </c>
      <c r="I101" t="n">
        <v>1122</v>
      </c>
      <c r="J101" t="n">
        <v>735</v>
      </c>
      <c r="K101" t="n">
        <v>1594</v>
      </c>
      <c r="L101" t="n">
        <v>2156</v>
      </c>
      <c r="M101" t="n">
        <v>704</v>
      </c>
      <c r="N101" t="n">
        <v>313</v>
      </c>
      <c r="O101" t="n">
        <v>474</v>
      </c>
      <c r="P101" t="n">
        <v>227</v>
      </c>
    </row>
    <row r="102">
      <c r="A102" t="inlineStr">
        <is>
          <t>CurrentWorkingView</t>
        </is>
      </c>
      <c r="B102" s="1" t="n">
        <v>3616302514298</v>
      </c>
      <c r="C102" t="inlineStr">
        <is>
          <t>P_US_ULTA</t>
        </is>
      </c>
      <c r="D102" t="inlineStr">
        <is>
          <t>ST Stat Fcst</t>
        </is>
      </c>
      <c r="E102" t="n">
        <v>57</v>
      </c>
      <c r="F102" t="n">
        <v>224</v>
      </c>
      <c r="G102" t="n">
        <v>485</v>
      </c>
      <c r="H102" t="n">
        <v>1550</v>
      </c>
      <c r="I102" t="n">
        <v>2254</v>
      </c>
      <c r="J102" t="n">
        <v>1231</v>
      </c>
      <c r="K102" t="n">
        <v>2161</v>
      </c>
      <c r="L102" t="n">
        <v>2464</v>
      </c>
      <c r="M102" t="n">
        <v>1523</v>
      </c>
      <c r="N102" t="n">
        <v>695</v>
      </c>
      <c r="O102" t="n">
        <v>1391</v>
      </c>
      <c r="P102" t="n">
        <v>625</v>
      </c>
    </row>
    <row r="103">
      <c r="A103" t="inlineStr">
        <is>
          <t>CurrentWorkingView</t>
        </is>
      </c>
      <c r="B103" s="1" t="n">
        <v>3616302514298</v>
      </c>
      <c r="C103" t="inlineStr">
        <is>
          <t>P_US_ULTA</t>
        </is>
      </c>
      <c r="D103" t="inlineStr">
        <is>
          <t>LT Stat Fcst</t>
        </is>
      </c>
      <c r="H103" t="n">
        <v>1634</v>
      </c>
      <c r="I103" t="n">
        <v>1060</v>
      </c>
      <c r="J103" t="n">
        <v>2104</v>
      </c>
      <c r="K103" t="n">
        <v>943</v>
      </c>
      <c r="L103" t="n">
        <v>2228</v>
      </c>
      <c r="M103" t="n">
        <v>1829</v>
      </c>
      <c r="N103" t="n">
        <v>1598</v>
      </c>
      <c r="O103" t="n">
        <v>1855</v>
      </c>
      <c r="P103" t="n">
        <v>667</v>
      </c>
    </row>
    <row r="104">
      <c r="A104" t="inlineStr">
        <is>
          <t>CurrentWorkingView</t>
        </is>
      </c>
      <c r="B104" s="1" t="n">
        <v>3616302514298</v>
      </c>
      <c r="C104" t="inlineStr">
        <is>
          <t>P_US_ULTA</t>
        </is>
      </c>
      <c r="D104" t="inlineStr">
        <is>
          <t>System BestFit Final</t>
        </is>
      </c>
      <c r="E104" t="inlineStr">
        <is>
          <t>LT</t>
        </is>
      </c>
      <c r="F104" t="inlineStr">
        <is>
          <t>LT</t>
        </is>
      </c>
      <c r="G104" t="inlineStr">
        <is>
          <t>LT</t>
        </is>
      </c>
      <c r="H104" t="inlineStr">
        <is>
          <t>LT</t>
        </is>
      </c>
      <c r="I104" t="inlineStr">
        <is>
          <t>LT</t>
        </is>
      </c>
      <c r="J104" t="inlineStr">
        <is>
          <t>LT</t>
        </is>
      </c>
      <c r="K104" t="inlineStr">
        <is>
          <t>LT</t>
        </is>
      </c>
      <c r="L104" t="inlineStr">
        <is>
          <t>LT</t>
        </is>
      </c>
      <c r="M104" t="inlineStr">
        <is>
          <t>LT</t>
        </is>
      </c>
      <c r="N104" t="inlineStr">
        <is>
          <t>LT</t>
        </is>
      </c>
      <c r="O104" t="inlineStr">
        <is>
          <t>LT</t>
        </is>
      </c>
      <c r="P104" t="inlineStr">
        <is>
          <t>LT</t>
        </is>
      </c>
    </row>
    <row r="105">
      <c r="A105" t="inlineStr">
        <is>
          <t>CurrentWorkingView</t>
        </is>
      </c>
      <c r="B105" s="1" t="n">
        <v>3616302514298</v>
      </c>
      <c r="C105" t="inlineStr">
        <is>
          <t>P_US_ULTA</t>
        </is>
      </c>
      <c r="D105" t="inlineStr">
        <is>
          <t>System Bestfit Model ST</t>
        </is>
      </c>
    </row>
    <row r="106">
      <c r="A106" t="inlineStr">
        <is>
          <t>CurrentWorkingView</t>
        </is>
      </c>
      <c r="B106" s="1" t="n">
        <v>3616302514298</v>
      </c>
      <c r="C106" t="inlineStr">
        <is>
          <t>P_US_ULTA</t>
        </is>
      </c>
      <c r="D106" t="inlineStr">
        <is>
          <t>Planner BestFit Model</t>
        </is>
      </c>
      <c r="E106" t="inlineStr">
        <is>
          <t>LT</t>
        </is>
      </c>
      <c r="F106" t="inlineStr">
        <is>
          <t>LT</t>
        </is>
      </c>
      <c r="G106" t="inlineStr">
        <is>
          <t>LT</t>
        </is>
      </c>
      <c r="H106" t="inlineStr">
        <is>
          <t>LT</t>
        </is>
      </c>
      <c r="I106" t="inlineStr">
        <is>
          <t>LT</t>
        </is>
      </c>
      <c r="J106" t="inlineStr">
        <is>
          <t>LT</t>
        </is>
      </c>
      <c r="K106" t="inlineStr">
        <is>
          <t>LT</t>
        </is>
      </c>
      <c r="L106" t="inlineStr">
        <is>
          <t>LT</t>
        </is>
      </c>
      <c r="M106" t="inlineStr">
        <is>
          <t>LT</t>
        </is>
      </c>
      <c r="N106" t="inlineStr">
        <is>
          <t>LT</t>
        </is>
      </c>
      <c r="O106" t="inlineStr">
        <is>
          <t>LT</t>
        </is>
      </c>
      <c r="P106" t="inlineStr">
        <is>
          <t>LT</t>
        </is>
      </c>
    </row>
    <row r="107">
      <c r="A107" t="inlineStr">
        <is>
          <t>CurrentWorkingView</t>
        </is>
      </c>
      <c r="B107" s="1" t="n">
        <v>3616302968534</v>
      </c>
      <c r="C107" t="inlineStr">
        <is>
          <t>P_US_ALL_OTHERS</t>
        </is>
      </c>
      <c r="D107" t="inlineStr">
        <is>
          <t>System FC - Final</t>
        </is>
      </c>
      <c r="E107" t="n">
        <v>1170</v>
      </c>
      <c r="F107" t="n">
        <v>424</v>
      </c>
      <c r="G107" t="n">
        <v>478</v>
      </c>
      <c r="H107" t="n">
        <v>659</v>
      </c>
      <c r="I107" t="n">
        <v>258</v>
      </c>
      <c r="J107" t="n">
        <v>327</v>
      </c>
      <c r="K107" t="n">
        <v>651</v>
      </c>
      <c r="L107" t="n">
        <v>316</v>
      </c>
      <c r="M107" t="n">
        <v>394</v>
      </c>
      <c r="N107" t="n">
        <v>365</v>
      </c>
      <c r="O107" t="n">
        <v>226</v>
      </c>
      <c r="P107" t="n">
        <v>197</v>
      </c>
    </row>
    <row r="108">
      <c r="A108" t="inlineStr">
        <is>
          <t>CurrentWorkingView</t>
        </is>
      </c>
      <c r="B108" s="1" t="n">
        <v>3616302968534</v>
      </c>
      <c r="C108" t="inlineStr">
        <is>
          <t>P_US_ALL_OTHERS</t>
        </is>
      </c>
      <c r="D108" t="inlineStr">
        <is>
          <t>CML Fcst</t>
        </is>
      </c>
      <c r="H108" t="n">
        <v>721</v>
      </c>
      <c r="I108" t="n">
        <v>446</v>
      </c>
      <c r="J108" t="n">
        <v>597</v>
      </c>
      <c r="K108" t="n">
        <v>704</v>
      </c>
      <c r="L108" t="n">
        <v>676</v>
      </c>
      <c r="M108" t="n">
        <v>624</v>
      </c>
      <c r="N108" t="n">
        <v>447</v>
      </c>
      <c r="O108" t="n">
        <v>589</v>
      </c>
      <c r="P108" t="n">
        <v>488</v>
      </c>
    </row>
    <row r="109">
      <c r="A109" t="inlineStr">
        <is>
          <t>CurrentWorkingView</t>
        </is>
      </c>
      <c r="B109" s="1" t="n">
        <v>3616302968534</v>
      </c>
      <c r="C109" t="inlineStr">
        <is>
          <t>P_US_ALL_OTHERS</t>
        </is>
      </c>
      <c r="D109" t="inlineStr">
        <is>
          <t>ST Stat Fcst</t>
        </is>
      </c>
      <c r="E109" t="n">
        <v>1170</v>
      </c>
      <c r="F109" t="n">
        <v>424</v>
      </c>
      <c r="G109" t="n">
        <v>478</v>
      </c>
      <c r="H109" t="n">
        <v>659</v>
      </c>
      <c r="I109" t="n">
        <v>258</v>
      </c>
      <c r="J109" t="n">
        <v>327</v>
      </c>
      <c r="K109" t="n">
        <v>651</v>
      </c>
      <c r="L109" t="n">
        <v>316</v>
      </c>
      <c r="M109" t="n">
        <v>394</v>
      </c>
      <c r="N109" t="n">
        <v>365</v>
      </c>
      <c r="O109" t="n">
        <v>226</v>
      </c>
      <c r="P109" t="n">
        <v>197</v>
      </c>
    </row>
    <row r="110">
      <c r="A110" t="inlineStr">
        <is>
          <t>CurrentWorkingView</t>
        </is>
      </c>
      <c r="B110" s="1" t="n">
        <v>3616302968534</v>
      </c>
      <c r="C110" t="inlineStr">
        <is>
          <t>P_US_ALL_OTHERS</t>
        </is>
      </c>
      <c r="D110" t="inlineStr">
        <is>
          <t>LT Stat Fcst</t>
        </is>
      </c>
      <c r="H110" t="n">
        <v>1603</v>
      </c>
      <c r="I110" t="n">
        <v>630</v>
      </c>
      <c r="J110" t="n">
        <v>718</v>
      </c>
      <c r="K110" t="n">
        <v>456</v>
      </c>
      <c r="L110" t="n">
        <v>524</v>
      </c>
      <c r="M110" t="n">
        <v>859</v>
      </c>
      <c r="N110" t="n">
        <v>442</v>
      </c>
      <c r="O110" t="n">
        <v>598</v>
      </c>
      <c r="P110" t="n">
        <v>690</v>
      </c>
    </row>
    <row r="111">
      <c r="A111" t="inlineStr">
        <is>
          <t>CurrentWorkingView</t>
        </is>
      </c>
      <c r="B111" s="1" t="n">
        <v>3616302968534</v>
      </c>
      <c r="C111" t="inlineStr">
        <is>
          <t>P_US_ALL_OTHERS</t>
        </is>
      </c>
      <c r="D111" t="inlineStr">
        <is>
          <t>System BestFit Final</t>
        </is>
      </c>
      <c r="E111" t="inlineStr">
        <is>
          <t>ST</t>
        </is>
      </c>
      <c r="F111" t="inlineStr">
        <is>
          <t>ST</t>
        </is>
      </c>
      <c r="G111" t="inlineStr">
        <is>
          <t>ST</t>
        </is>
      </c>
      <c r="H111" t="inlineStr">
        <is>
          <t>ST</t>
        </is>
      </c>
      <c r="I111" t="inlineStr">
        <is>
          <t>ST</t>
        </is>
      </c>
      <c r="J111" t="inlineStr">
        <is>
          <t>ST</t>
        </is>
      </c>
      <c r="K111" t="inlineStr">
        <is>
          <t>ST</t>
        </is>
      </c>
      <c r="L111" t="inlineStr">
        <is>
          <t>ST</t>
        </is>
      </c>
      <c r="M111" t="inlineStr">
        <is>
          <t>ST</t>
        </is>
      </c>
      <c r="N111" t="inlineStr">
        <is>
          <t>ST</t>
        </is>
      </c>
      <c r="O111" t="inlineStr">
        <is>
          <t>ST</t>
        </is>
      </c>
      <c r="P111" t="inlineStr">
        <is>
          <t>ST</t>
        </is>
      </c>
    </row>
    <row r="112">
      <c r="A112" t="inlineStr">
        <is>
          <t>CurrentWorkingView</t>
        </is>
      </c>
      <c r="B112" s="1" t="n">
        <v>3616302968534</v>
      </c>
      <c r="C112" t="inlineStr">
        <is>
          <t>P_US_ALL_OTHERS</t>
        </is>
      </c>
      <c r="D112" t="inlineStr">
        <is>
          <t>System Bestfit Model ST</t>
        </is>
      </c>
      <c r="E112" t="inlineStr">
        <is>
          <t>ST</t>
        </is>
      </c>
      <c r="F112" t="inlineStr">
        <is>
          <t>ST</t>
        </is>
      </c>
      <c r="G112" t="inlineStr">
        <is>
          <t>ST</t>
        </is>
      </c>
      <c r="H112" t="inlineStr">
        <is>
          <t>ST</t>
        </is>
      </c>
      <c r="I112" t="inlineStr">
        <is>
          <t>ST</t>
        </is>
      </c>
      <c r="J112" t="inlineStr">
        <is>
          <t>ST</t>
        </is>
      </c>
      <c r="K112" t="inlineStr">
        <is>
          <t>ST</t>
        </is>
      </c>
      <c r="L112" t="inlineStr">
        <is>
          <t>ST</t>
        </is>
      </c>
      <c r="M112" t="inlineStr">
        <is>
          <t>ST</t>
        </is>
      </c>
      <c r="N112" t="inlineStr">
        <is>
          <t>ST</t>
        </is>
      </c>
      <c r="O112" t="inlineStr">
        <is>
          <t>ST</t>
        </is>
      </c>
      <c r="P112" t="inlineStr">
        <is>
          <t>ST</t>
        </is>
      </c>
    </row>
    <row r="113">
      <c r="A113" t="inlineStr">
        <is>
          <t>CurrentWorkingView</t>
        </is>
      </c>
      <c r="B113" s="1" t="n">
        <v>3616302968534</v>
      </c>
      <c r="C113" t="inlineStr">
        <is>
          <t>P_US_ALL_OTHERS</t>
        </is>
      </c>
      <c r="D113" t="inlineStr">
        <is>
          <t>Planner BestFit Model</t>
        </is>
      </c>
    </row>
    <row r="114">
      <c r="A114" t="inlineStr">
        <is>
          <t>CurrentWorkingView</t>
        </is>
      </c>
      <c r="B114" s="1" t="n">
        <v>3616302968534</v>
      </c>
      <c r="C114" t="inlineStr">
        <is>
          <t>P_US_ULTA</t>
        </is>
      </c>
      <c r="D114" t="inlineStr">
        <is>
          <t>System FC - Final</t>
        </is>
      </c>
      <c r="E114" t="n">
        <v>1</v>
      </c>
      <c r="G114" t="n">
        <v>34</v>
      </c>
      <c r="H114" t="n">
        <v>269</v>
      </c>
      <c r="I114" t="n">
        <v>305</v>
      </c>
      <c r="J114" t="n">
        <v>359</v>
      </c>
      <c r="K114" t="n">
        <v>0</v>
      </c>
      <c r="L114" t="n">
        <v>148</v>
      </c>
      <c r="M114" t="n">
        <v>66</v>
      </c>
      <c r="N114" t="n">
        <v>0</v>
      </c>
      <c r="O114" t="n">
        <v>252</v>
      </c>
      <c r="P114" t="n">
        <v>133</v>
      </c>
    </row>
    <row r="115">
      <c r="A115" t="inlineStr">
        <is>
          <t>CurrentWorkingView</t>
        </is>
      </c>
      <c r="B115" s="1" t="n">
        <v>3616302968534</v>
      </c>
      <c r="C115" t="inlineStr">
        <is>
          <t>P_US_ULTA</t>
        </is>
      </c>
      <c r="D115" t="inlineStr">
        <is>
          <t>CML Fcst</t>
        </is>
      </c>
      <c r="H115" t="n">
        <v>718</v>
      </c>
      <c r="I115" t="n">
        <v>896</v>
      </c>
      <c r="J115" t="n">
        <v>354</v>
      </c>
      <c r="K115" t="n">
        <v>146</v>
      </c>
      <c r="L115" t="n">
        <v>204</v>
      </c>
      <c r="M115" t="n">
        <v>252</v>
      </c>
      <c r="N115" t="n">
        <v>159</v>
      </c>
      <c r="O115" t="n">
        <v>310</v>
      </c>
      <c r="P115" t="n">
        <v>116</v>
      </c>
    </row>
    <row r="116">
      <c r="A116" t="inlineStr">
        <is>
          <t>CurrentWorkingView</t>
        </is>
      </c>
      <c r="B116" s="1" t="n">
        <v>3616302968534</v>
      </c>
      <c r="C116" t="inlineStr">
        <is>
          <t>P_US_ULTA</t>
        </is>
      </c>
      <c r="D116" t="inlineStr">
        <is>
          <t>ST Stat Fcst</t>
        </is>
      </c>
      <c r="E116" t="n">
        <v>1</v>
      </c>
      <c r="G116" t="n">
        <v>23</v>
      </c>
      <c r="H116" t="n">
        <v>270</v>
      </c>
      <c r="I116" t="n">
        <v>304</v>
      </c>
      <c r="J116" t="n">
        <v>359</v>
      </c>
      <c r="K116" t="n">
        <v>0</v>
      </c>
      <c r="L116" t="n">
        <v>148</v>
      </c>
      <c r="M116" t="n">
        <v>66</v>
      </c>
      <c r="N116" t="n">
        <v>0</v>
      </c>
      <c r="O116" t="n">
        <v>252</v>
      </c>
      <c r="P116" t="n">
        <v>133</v>
      </c>
    </row>
    <row r="117">
      <c r="A117" t="inlineStr">
        <is>
          <t>CurrentWorkingView</t>
        </is>
      </c>
      <c r="B117" s="1" t="n">
        <v>3616302968534</v>
      </c>
      <c r="C117" t="inlineStr">
        <is>
          <t>P_US_ULTA</t>
        </is>
      </c>
      <c r="D117" t="inlineStr">
        <is>
          <t>LT Stat Fcst</t>
        </is>
      </c>
      <c r="H117" t="n">
        <v>341</v>
      </c>
      <c r="I117" t="n">
        <v>136</v>
      </c>
      <c r="J117" t="n">
        <v>154</v>
      </c>
      <c r="K117" t="n">
        <v>93</v>
      </c>
      <c r="L117" t="n">
        <v>112</v>
      </c>
      <c r="M117" t="n">
        <v>182</v>
      </c>
      <c r="N117" t="n">
        <v>94</v>
      </c>
      <c r="O117" t="n">
        <v>128</v>
      </c>
      <c r="P117" t="n">
        <v>147</v>
      </c>
    </row>
    <row r="118">
      <c r="A118" t="inlineStr">
        <is>
          <t>CurrentWorkingView</t>
        </is>
      </c>
      <c r="B118" s="1" t="n">
        <v>3616302968534</v>
      </c>
      <c r="C118" t="inlineStr">
        <is>
          <t>P_US_ULTA</t>
        </is>
      </c>
      <c r="D118" t="inlineStr">
        <is>
          <t>System BestFit Final</t>
        </is>
      </c>
      <c r="E118" t="inlineStr">
        <is>
          <t>ST</t>
        </is>
      </c>
      <c r="G118" t="inlineStr">
        <is>
          <t>ST</t>
        </is>
      </c>
      <c r="H118" t="inlineStr">
        <is>
          <t>ST</t>
        </is>
      </c>
      <c r="I118" t="inlineStr">
        <is>
          <t>ST</t>
        </is>
      </c>
      <c r="J118" t="inlineStr">
        <is>
          <t>ST</t>
        </is>
      </c>
      <c r="K118" t="inlineStr">
        <is>
          <t>ST</t>
        </is>
      </c>
      <c r="L118" t="inlineStr">
        <is>
          <t>ST</t>
        </is>
      </c>
      <c r="M118" t="inlineStr">
        <is>
          <t>ST</t>
        </is>
      </c>
      <c r="N118" t="inlineStr">
        <is>
          <t>ST</t>
        </is>
      </c>
      <c r="O118" t="inlineStr">
        <is>
          <t>ST</t>
        </is>
      </c>
      <c r="P118" t="inlineStr">
        <is>
          <t>ST</t>
        </is>
      </c>
    </row>
    <row r="119">
      <c r="A119" t="inlineStr">
        <is>
          <t>CurrentWorkingView</t>
        </is>
      </c>
      <c r="B119" s="1" t="n">
        <v>3616302968534</v>
      </c>
      <c r="C119" t="inlineStr">
        <is>
          <t>P_US_ULTA</t>
        </is>
      </c>
      <c r="D119" t="inlineStr">
        <is>
          <t>System Bestfit Model ST</t>
        </is>
      </c>
      <c r="E119" t="inlineStr">
        <is>
          <t>ST</t>
        </is>
      </c>
      <c r="G119" t="inlineStr">
        <is>
          <t>ST</t>
        </is>
      </c>
      <c r="H119" t="inlineStr">
        <is>
          <t>ST</t>
        </is>
      </c>
      <c r="I119" t="inlineStr">
        <is>
          <t>ST</t>
        </is>
      </c>
      <c r="J119" t="inlineStr">
        <is>
          <t>ST</t>
        </is>
      </c>
      <c r="K119" t="inlineStr">
        <is>
          <t>ST</t>
        </is>
      </c>
      <c r="L119" t="inlineStr">
        <is>
          <t>ST</t>
        </is>
      </c>
      <c r="M119" t="inlineStr">
        <is>
          <t>ST</t>
        </is>
      </c>
      <c r="N119" t="inlineStr">
        <is>
          <t>ST</t>
        </is>
      </c>
      <c r="O119" t="inlineStr">
        <is>
          <t>ST</t>
        </is>
      </c>
      <c r="P119" t="inlineStr">
        <is>
          <t>ST</t>
        </is>
      </c>
    </row>
    <row r="120">
      <c r="A120" t="inlineStr">
        <is>
          <t>CurrentWorkingView</t>
        </is>
      </c>
      <c r="B120" s="1" t="n">
        <v>3616302968534</v>
      </c>
      <c r="C120" t="inlineStr">
        <is>
          <t>P_US_ULTA</t>
        </is>
      </c>
      <c r="D120" t="inlineStr">
        <is>
          <t>Planner BestFit Model</t>
        </is>
      </c>
      <c r="E120" t="inlineStr">
        <is>
          <t>ST</t>
        </is>
      </c>
      <c r="G120" t="inlineStr">
        <is>
          <t>ST</t>
        </is>
      </c>
      <c r="H120" t="inlineStr">
        <is>
          <t>ST</t>
        </is>
      </c>
      <c r="I120" t="inlineStr">
        <is>
          <t>ST</t>
        </is>
      </c>
      <c r="J120" t="inlineStr">
        <is>
          <t>ST</t>
        </is>
      </c>
      <c r="K120" t="inlineStr">
        <is>
          <t>ST</t>
        </is>
      </c>
      <c r="L120" t="inlineStr">
        <is>
          <t>ST</t>
        </is>
      </c>
      <c r="M120" t="inlineStr">
        <is>
          <t>ST</t>
        </is>
      </c>
      <c r="N120" t="inlineStr">
        <is>
          <t>ST</t>
        </is>
      </c>
      <c r="O120" t="inlineStr">
        <is>
          <t>ST</t>
        </is>
      </c>
      <c r="P120" t="inlineStr">
        <is>
          <t>ST</t>
        </is>
      </c>
    </row>
    <row r="121">
      <c r="A121" t="inlineStr">
        <is>
          <t>CurrentWorkingView</t>
        </is>
      </c>
      <c r="B121" s="1" t="n">
        <v>3616303048198</v>
      </c>
      <c r="C121" t="inlineStr">
        <is>
          <t>P_US_ALL_OTHERS</t>
        </is>
      </c>
      <c r="D121" t="inlineStr">
        <is>
          <t>System FC - Final</t>
        </is>
      </c>
      <c r="E121" t="n">
        <v>2733</v>
      </c>
      <c r="F121" t="n">
        <v>2569</v>
      </c>
      <c r="G121" t="n">
        <v>1954</v>
      </c>
      <c r="H121" t="n">
        <v>3273</v>
      </c>
      <c r="I121" t="n">
        <v>563</v>
      </c>
      <c r="J121" t="n">
        <v>2454</v>
      </c>
      <c r="K121" t="n">
        <v>1138</v>
      </c>
      <c r="L121" t="n">
        <v>1120</v>
      </c>
      <c r="M121" t="n">
        <v>3034</v>
      </c>
      <c r="N121" t="n">
        <v>995</v>
      </c>
      <c r="O121" t="n">
        <v>1532</v>
      </c>
      <c r="P121" t="n">
        <v>3120</v>
      </c>
    </row>
    <row r="122">
      <c r="A122" t="inlineStr">
        <is>
          <t>CurrentWorkingView</t>
        </is>
      </c>
      <c r="B122" s="1" t="n">
        <v>3616303048198</v>
      </c>
      <c r="C122" t="inlineStr">
        <is>
          <t>P_US_ALL_OTHERS</t>
        </is>
      </c>
      <c r="D122" t="inlineStr">
        <is>
          <t>CML Fcst</t>
        </is>
      </c>
      <c r="H122" t="n">
        <v>3086</v>
      </c>
      <c r="I122" t="n">
        <v>1698</v>
      </c>
      <c r="J122" t="n">
        <v>2745</v>
      </c>
      <c r="K122" t="n">
        <v>1054</v>
      </c>
      <c r="L122" t="n">
        <v>1888</v>
      </c>
      <c r="M122" t="n">
        <v>2201</v>
      </c>
      <c r="N122" t="n">
        <v>1187</v>
      </c>
      <c r="O122" t="n">
        <v>1324</v>
      </c>
      <c r="P122" t="n">
        <v>2352</v>
      </c>
    </row>
    <row r="123">
      <c r="A123" t="inlineStr">
        <is>
          <t>CurrentWorkingView</t>
        </is>
      </c>
      <c r="B123" s="1" t="n">
        <v>3616303048198</v>
      </c>
      <c r="C123" t="inlineStr">
        <is>
          <t>P_US_ALL_OTHERS</t>
        </is>
      </c>
      <c r="D123" t="inlineStr">
        <is>
          <t>ST Stat Fcst</t>
        </is>
      </c>
      <c r="E123" t="n">
        <v>2733</v>
      </c>
      <c r="F123" t="n">
        <v>2569</v>
      </c>
      <c r="G123" t="n">
        <v>1954</v>
      </c>
      <c r="H123" t="n">
        <v>3272</v>
      </c>
      <c r="I123" t="n">
        <v>562</v>
      </c>
      <c r="J123" t="n">
        <v>2454</v>
      </c>
      <c r="K123" t="n">
        <v>1138</v>
      </c>
      <c r="L123" t="n">
        <v>1120</v>
      </c>
      <c r="M123" t="n">
        <v>3034</v>
      </c>
      <c r="N123" t="n">
        <v>995</v>
      </c>
      <c r="O123" t="n">
        <v>1532</v>
      </c>
      <c r="P123" t="n">
        <v>3120</v>
      </c>
    </row>
    <row r="124">
      <c r="A124" t="inlineStr">
        <is>
          <t>CurrentWorkingView</t>
        </is>
      </c>
      <c r="B124" s="1" t="n">
        <v>3616303048198</v>
      </c>
      <c r="C124" t="inlineStr">
        <is>
          <t>P_US_ALL_OTHERS</t>
        </is>
      </c>
      <c r="D124" t="inlineStr">
        <is>
          <t>LT Stat Fcst</t>
        </is>
      </c>
      <c r="H124" t="n">
        <v>6701</v>
      </c>
      <c r="I124" t="n">
        <v>2634</v>
      </c>
      <c r="J124" t="n">
        <v>3004</v>
      </c>
      <c r="K124" t="n">
        <v>1900</v>
      </c>
      <c r="L124" t="n">
        <v>2196</v>
      </c>
      <c r="M124" t="n">
        <v>3592</v>
      </c>
      <c r="N124" t="n">
        <v>1847</v>
      </c>
      <c r="O124" t="n">
        <v>2502</v>
      </c>
      <c r="P124" t="n">
        <v>2881</v>
      </c>
    </row>
    <row r="125">
      <c r="A125" t="inlineStr">
        <is>
          <t>CurrentWorkingView</t>
        </is>
      </c>
      <c r="B125" s="1" t="n">
        <v>3616303048198</v>
      </c>
      <c r="C125" t="inlineStr">
        <is>
          <t>P_US_ALL_OTHERS</t>
        </is>
      </c>
      <c r="D125" t="inlineStr">
        <is>
          <t>System BestFit Final</t>
        </is>
      </c>
      <c r="E125" t="inlineStr">
        <is>
          <t>ST</t>
        </is>
      </c>
      <c r="F125" t="inlineStr">
        <is>
          <t>ST</t>
        </is>
      </c>
      <c r="G125" t="inlineStr">
        <is>
          <t>ST</t>
        </is>
      </c>
      <c r="H125" t="inlineStr">
        <is>
          <t>ST</t>
        </is>
      </c>
      <c r="I125" t="inlineStr">
        <is>
          <t>ST</t>
        </is>
      </c>
      <c r="J125" t="inlineStr">
        <is>
          <t>ST</t>
        </is>
      </c>
      <c r="K125" t="inlineStr">
        <is>
          <t>ST</t>
        </is>
      </c>
      <c r="L125" t="inlineStr">
        <is>
          <t>ST</t>
        </is>
      </c>
      <c r="M125" t="inlineStr">
        <is>
          <t>ST</t>
        </is>
      </c>
      <c r="N125" t="inlineStr">
        <is>
          <t>ST</t>
        </is>
      </c>
      <c r="O125" t="inlineStr">
        <is>
          <t>ST</t>
        </is>
      </c>
      <c r="P125" t="inlineStr">
        <is>
          <t>ST</t>
        </is>
      </c>
    </row>
    <row r="126">
      <c r="A126" t="inlineStr">
        <is>
          <t>CurrentWorkingView</t>
        </is>
      </c>
      <c r="B126" s="1" t="n">
        <v>3616303048198</v>
      </c>
      <c r="C126" t="inlineStr">
        <is>
          <t>P_US_ALL_OTHERS</t>
        </is>
      </c>
      <c r="D126" t="inlineStr">
        <is>
          <t>System Bestfit Model ST</t>
        </is>
      </c>
      <c r="E126" t="inlineStr">
        <is>
          <t>ST</t>
        </is>
      </c>
      <c r="F126" t="inlineStr">
        <is>
          <t>ST</t>
        </is>
      </c>
      <c r="G126" t="inlineStr">
        <is>
          <t>ST</t>
        </is>
      </c>
      <c r="H126" t="inlineStr">
        <is>
          <t>ST</t>
        </is>
      </c>
      <c r="I126" t="inlineStr">
        <is>
          <t>ST</t>
        </is>
      </c>
      <c r="J126" t="inlineStr">
        <is>
          <t>ST</t>
        </is>
      </c>
      <c r="K126" t="inlineStr">
        <is>
          <t>ST</t>
        </is>
      </c>
      <c r="L126" t="inlineStr">
        <is>
          <t>ST</t>
        </is>
      </c>
      <c r="M126" t="inlineStr">
        <is>
          <t>ST</t>
        </is>
      </c>
      <c r="N126" t="inlineStr">
        <is>
          <t>ST</t>
        </is>
      </c>
      <c r="O126" t="inlineStr">
        <is>
          <t>ST</t>
        </is>
      </c>
      <c r="P126" t="inlineStr">
        <is>
          <t>ST</t>
        </is>
      </c>
    </row>
    <row r="127">
      <c r="A127" t="inlineStr">
        <is>
          <t>CurrentWorkingView</t>
        </is>
      </c>
      <c r="B127" s="1" t="n">
        <v>3616303048198</v>
      </c>
      <c r="C127" t="inlineStr">
        <is>
          <t>P_US_ALL_OTHERS</t>
        </is>
      </c>
      <c r="D127" t="inlineStr">
        <is>
          <t>Planner BestFit Model</t>
        </is>
      </c>
      <c r="E127" t="inlineStr">
        <is>
          <t>ST</t>
        </is>
      </c>
      <c r="F127" t="inlineStr">
        <is>
          <t>ST</t>
        </is>
      </c>
      <c r="G127" t="inlineStr">
        <is>
          <t>ST</t>
        </is>
      </c>
      <c r="H127" t="inlineStr">
        <is>
          <t>ST</t>
        </is>
      </c>
      <c r="I127" t="inlineStr">
        <is>
          <t>ST</t>
        </is>
      </c>
      <c r="J127" t="inlineStr">
        <is>
          <t>ST</t>
        </is>
      </c>
      <c r="K127" t="inlineStr">
        <is>
          <t>ST</t>
        </is>
      </c>
      <c r="L127" t="inlineStr">
        <is>
          <t>ST</t>
        </is>
      </c>
      <c r="M127" t="inlineStr">
        <is>
          <t>ST</t>
        </is>
      </c>
      <c r="N127" t="inlineStr">
        <is>
          <t>ST</t>
        </is>
      </c>
      <c r="O127" t="inlineStr">
        <is>
          <t>ST</t>
        </is>
      </c>
      <c r="P127" t="inlineStr">
        <is>
          <t>ST</t>
        </is>
      </c>
    </row>
    <row r="128">
      <c r="A128" t="inlineStr">
        <is>
          <t>CurrentWorkingView</t>
        </is>
      </c>
      <c r="B128" s="1" t="n">
        <v>3616303048198</v>
      </c>
      <c r="C128" t="inlineStr">
        <is>
          <t>P_US_ULTA</t>
        </is>
      </c>
      <c r="D128" t="inlineStr">
        <is>
          <t>System FC - Final</t>
        </is>
      </c>
      <c r="E128" t="n">
        <v>101</v>
      </c>
      <c r="F128" t="n">
        <v>48</v>
      </c>
      <c r="G128" t="n">
        <v>205</v>
      </c>
      <c r="H128" t="n">
        <v>442</v>
      </c>
      <c r="I128" t="n">
        <v>402</v>
      </c>
      <c r="J128" t="n">
        <v>372</v>
      </c>
      <c r="K128" t="n">
        <v>350</v>
      </c>
      <c r="L128" t="n">
        <v>328</v>
      </c>
      <c r="M128" t="n">
        <v>314</v>
      </c>
      <c r="N128" t="n">
        <v>300</v>
      </c>
      <c r="O128" t="n">
        <v>292</v>
      </c>
      <c r="P128" t="n">
        <v>283</v>
      </c>
    </row>
    <row r="129">
      <c r="A129" t="inlineStr">
        <is>
          <t>CurrentWorkingView</t>
        </is>
      </c>
      <c r="B129" s="1" t="n">
        <v>3616303048198</v>
      </c>
      <c r="C129" t="inlineStr">
        <is>
          <t>P_US_ULTA</t>
        </is>
      </c>
      <c r="D129" t="inlineStr">
        <is>
          <t>CML Fcst</t>
        </is>
      </c>
      <c r="H129" t="n">
        <v>1533</v>
      </c>
      <c r="I129" t="n">
        <v>1080</v>
      </c>
      <c r="J129" t="n">
        <v>163</v>
      </c>
      <c r="K129" t="n">
        <v>434</v>
      </c>
      <c r="L129" t="n">
        <v>276</v>
      </c>
      <c r="M129" t="n">
        <v>341</v>
      </c>
      <c r="N129" t="n">
        <v>309</v>
      </c>
      <c r="O129" t="n">
        <v>527</v>
      </c>
      <c r="P129" t="n">
        <v>235</v>
      </c>
    </row>
    <row r="130">
      <c r="A130" t="inlineStr">
        <is>
          <t>CurrentWorkingView</t>
        </is>
      </c>
      <c r="B130" s="1" t="n">
        <v>3616303048198</v>
      </c>
      <c r="C130" t="inlineStr">
        <is>
          <t>P_US_ULTA</t>
        </is>
      </c>
      <c r="D130" t="inlineStr">
        <is>
          <t>ST Stat Fcst</t>
        </is>
      </c>
      <c r="E130" t="n">
        <v>101</v>
      </c>
      <c r="F130" t="n">
        <v>48</v>
      </c>
      <c r="G130" t="n">
        <v>205</v>
      </c>
      <c r="H130" t="n">
        <v>442</v>
      </c>
      <c r="I130" t="n">
        <v>402</v>
      </c>
      <c r="J130" t="n">
        <v>372</v>
      </c>
      <c r="K130" t="n">
        <v>350</v>
      </c>
      <c r="L130" t="n">
        <v>328</v>
      </c>
      <c r="M130" t="n">
        <v>314</v>
      </c>
      <c r="N130" t="n">
        <v>300</v>
      </c>
      <c r="O130" t="n">
        <v>292</v>
      </c>
      <c r="P130" t="n">
        <v>283</v>
      </c>
    </row>
    <row r="131">
      <c r="A131" t="inlineStr">
        <is>
          <t>CurrentWorkingView</t>
        </is>
      </c>
      <c r="B131" s="1" t="n">
        <v>3616303048198</v>
      </c>
      <c r="C131" t="inlineStr">
        <is>
          <t>P_US_ULTA</t>
        </is>
      </c>
      <c r="D131" t="inlineStr">
        <is>
          <t>LT Stat Fcst</t>
        </is>
      </c>
      <c r="H131" t="n">
        <v>908</v>
      </c>
      <c r="I131" t="n">
        <v>354</v>
      </c>
      <c r="J131" t="n">
        <v>404</v>
      </c>
      <c r="K131" t="n">
        <v>257</v>
      </c>
      <c r="L131" t="n">
        <v>296</v>
      </c>
      <c r="M131" t="n">
        <v>487</v>
      </c>
      <c r="N131" t="n">
        <v>250</v>
      </c>
      <c r="O131" t="n">
        <v>337</v>
      </c>
      <c r="P131" t="n">
        <v>392</v>
      </c>
    </row>
    <row r="132">
      <c r="A132" t="inlineStr">
        <is>
          <t>CurrentWorkingView</t>
        </is>
      </c>
      <c r="B132" s="1" t="n">
        <v>3616303048198</v>
      </c>
      <c r="C132" t="inlineStr">
        <is>
          <t>P_US_ULTA</t>
        </is>
      </c>
      <c r="D132" t="inlineStr">
        <is>
          <t>System BestFit Final</t>
        </is>
      </c>
      <c r="E132" t="inlineStr">
        <is>
          <t>ST</t>
        </is>
      </c>
      <c r="F132" t="inlineStr">
        <is>
          <t>ST</t>
        </is>
      </c>
      <c r="G132" t="inlineStr">
        <is>
          <t>ST</t>
        </is>
      </c>
      <c r="H132" t="inlineStr">
        <is>
          <t>ST</t>
        </is>
      </c>
      <c r="I132" t="inlineStr">
        <is>
          <t>ST</t>
        </is>
      </c>
      <c r="J132" t="inlineStr">
        <is>
          <t>ST</t>
        </is>
      </c>
      <c r="K132" t="inlineStr">
        <is>
          <t>ST</t>
        </is>
      </c>
      <c r="L132" t="inlineStr">
        <is>
          <t>ST</t>
        </is>
      </c>
      <c r="M132" t="inlineStr">
        <is>
          <t>ST</t>
        </is>
      </c>
      <c r="N132" t="inlineStr">
        <is>
          <t>ST</t>
        </is>
      </c>
      <c r="O132" t="inlineStr">
        <is>
          <t>ST</t>
        </is>
      </c>
      <c r="P132" t="inlineStr">
        <is>
          <t>ST</t>
        </is>
      </c>
    </row>
    <row r="133">
      <c r="A133" t="inlineStr">
        <is>
          <t>CurrentWorkingView</t>
        </is>
      </c>
      <c r="B133" s="1" t="n">
        <v>3616303048198</v>
      </c>
      <c r="C133" t="inlineStr">
        <is>
          <t>P_US_ULTA</t>
        </is>
      </c>
      <c r="D133" t="inlineStr">
        <is>
          <t>System Bestfit Model ST</t>
        </is>
      </c>
      <c r="E133" t="inlineStr">
        <is>
          <t>ST</t>
        </is>
      </c>
      <c r="F133" t="inlineStr">
        <is>
          <t>ST</t>
        </is>
      </c>
      <c r="G133" t="inlineStr">
        <is>
          <t>ST</t>
        </is>
      </c>
      <c r="H133" t="inlineStr">
        <is>
          <t>ST</t>
        </is>
      </c>
      <c r="I133" t="inlineStr">
        <is>
          <t>ST</t>
        </is>
      </c>
      <c r="J133" t="inlineStr">
        <is>
          <t>ST</t>
        </is>
      </c>
      <c r="K133" t="inlineStr">
        <is>
          <t>ST</t>
        </is>
      </c>
      <c r="L133" t="inlineStr">
        <is>
          <t>ST</t>
        </is>
      </c>
      <c r="M133" t="inlineStr">
        <is>
          <t>ST</t>
        </is>
      </c>
      <c r="N133" t="inlineStr">
        <is>
          <t>ST</t>
        </is>
      </c>
      <c r="O133" t="inlineStr">
        <is>
          <t>ST</t>
        </is>
      </c>
      <c r="P133" t="inlineStr">
        <is>
          <t>ST</t>
        </is>
      </c>
    </row>
    <row r="134">
      <c r="A134" t="inlineStr">
        <is>
          <t>CurrentWorkingView</t>
        </is>
      </c>
      <c r="B134" s="1" t="n">
        <v>3616303048198</v>
      </c>
      <c r="C134" t="inlineStr">
        <is>
          <t>P_US_ULTA</t>
        </is>
      </c>
      <c r="D134" t="inlineStr">
        <is>
          <t>Planner BestFit Model</t>
        </is>
      </c>
      <c r="E134" t="inlineStr">
        <is>
          <t>ST</t>
        </is>
      </c>
      <c r="F134" t="inlineStr">
        <is>
          <t>ST</t>
        </is>
      </c>
      <c r="G134" t="inlineStr">
        <is>
          <t>ST</t>
        </is>
      </c>
      <c r="H134" t="inlineStr">
        <is>
          <t>ST</t>
        </is>
      </c>
      <c r="I134" t="inlineStr">
        <is>
          <t>ST</t>
        </is>
      </c>
      <c r="J134" t="inlineStr">
        <is>
          <t>ST</t>
        </is>
      </c>
      <c r="K134" t="inlineStr">
        <is>
          <t>ST</t>
        </is>
      </c>
      <c r="L134" t="inlineStr">
        <is>
          <t>ST</t>
        </is>
      </c>
      <c r="M134" t="inlineStr">
        <is>
          <t>ST</t>
        </is>
      </c>
      <c r="N134" t="inlineStr">
        <is>
          <t>ST</t>
        </is>
      </c>
      <c r="O134" t="inlineStr">
        <is>
          <t>ST</t>
        </is>
      </c>
      <c r="P134" t="inlineStr">
        <is>
          <t>ST</t>
        </is>
      </c>
    </row>
    <row r="135">
      <c r="A135" t="inlineStr">
        <is>
          <t>CurrentWorkingView</t>
        </is>
      </c>
      <c r="B135" s="1" t="n">
        <v>3616303470777</v>
      </c>
      <c r="C135" t="inlineStr">
        <is>
          <t>P_US_ALL_OTHERS</t>
        </is>
      </c>
      <c r="D135" t="inlineStr">
        <is>
          <t>System FC - Final</t>
        </is>
      </c>
      <c r="E135" t="n">
        <v>2233</v>
      </c>
      <c r="F135" t="n">
        <v>2399</v>
      </c>
      <c r="G135" t="n">
        <v>6300</v>
      </c>
      <c r="H135" t="n">
        <v>3641</v>
      </c>
      <c r="I135" t="n">
        <v>738</v>
      </c>
      <c r="J135" t="n">
        <v>4018</v>
      </c>
      <c r="K135" t="n">
        <v>3968</v>
      </c>
      <c r="L135" t="n">
        <v>2080</v>
      </c>
      <c r="M135" t="n">
        <v>4477</v>
      </c>
      <c r="N135" t="n">
        <v>2310</v>
      </c>
      <c r="O135" t="n">
        <v>3149</v>
      </c>
      <c r="P135" t="n">
        <v>2880</v>
      </c>
    </row>
    <row r="136">
      <c r="A136" t="inlineStr">
        <is>
          <t>CurrentWorkingView</t>
        </is>
      </c>
      <c r="B136" s="1" t="n">
        <v>3616303470777</v>
      </c>
      <c r="C136" t="inlineStr">
        <is>
          <t>P_US_ALL_OTHERS</t>
        </is>
      </c>
      <c r="D136" t="inlineStr">
        <is>
          <t>CML Fcst</t>
        </is>
      </c>
      <c r="H136" t="n">
        <v>2409</v>
      </c>
      <c r="I136" t="n">
        <v>1372</v>
      </c>
      <c r="J136" t="n">
        <v>3260</v>
      </c>
      <c r="K136" t="n">
        <v>1271</v>
      </c>
      <c r="L136" t="n">
        <v>2728</v>
      </c>
      <c r="M136" t="n">
        <v>3322</v>
      </c>
      <c r="N136" t="n">
        <v>1702</v>
      </c>
      <c r="O136" t="n">
        <v>2116</v>
      </c>
      <c r="P136" t="n">
        <v>2284</v>
      </c>
    </row>
    <row r="137">
      <c r="A137" t="inlineStr">
        <is>
          <t>CurrentWorkingView</t>
        </is>
      </c>
      <c r="B137" s="1" t="n">
        <v>3616303470777</v>
      </c>
      <c r="C137" t="inlineStr">
        <is>
          <t>P_US_ALL_OTHERS</t>
        </is>
      </c>
      <c r="D137" t="inlineStr">
        <is>
          <t>ST Stat Fcst</t>
        </is>
      </c>
      <c r="E137" t="n">
        <v>2233</v>
      </c>
      <c r="F137" t="n">
        <v>2399</v>
      </c>
      <c r="G137" t="n">
        <v>5278</v>
      </c>
      <c r="H137" t="n">
        <v>3641</v>
      </c>
      <c r="I137" t="n">
        <v>738</v>
      </c>
      <c r="J137" t="n">
        <v>4018</v>
      </c>
      <c r="K137" t="n">
        <v>3968</v>
      </c>
      <c r="L137" t="n">
        <v>2080</v>
      </c>
      <c r="M137" t="n">
        <v>4477</v>
      </c>
      <c r="N137" t="n">
        <v>2310</v>
      </c>
      <c r="O137" t="n">
        <v>3149</v>
      </c>
      <c r="P137" t="n">
        <v>2880</v>
      </c>
    </row>
    <row r="138">
      <c r="A138" t="inlineStr">
        <is>
          <t>CurrentWorkingView</t>
        </is>
      </c>
      <c r="B138" s="1" t="n">
        <v>3616303470777</v>
      </c>
      <c r="C138" t="inlineStr">
        <is>
          <t>P_US_ALL_OTHERS</t>
        </is>
      </c>
      <c r="D138" t="inlineStr">
        <is>
          <t>LT Stat Fcst</t>
        </is>
      </c>
      <c r="H138" t="n">
        <v>6576</v>
      </c>
      <c r="I138" t="n">
        <v>2478</v>
      </c>
      <c r="J138" t="n">
        <v>3170</v>
      </c>
      <c r="K138" t="n">
        <v>2728</v>
      </c>
      <c r="L138" t="n">
        <v>3152</v>
      </c>
      <c r="M138" t="n">
        <v>3756</v>
      </c>
      <c r="N138" t="n">
        <v>2498</v>
      </c>
      <c r="O138" t="n">
        <v>3888</v>
      </c>
      <c r="P138" t="n">
        <v>2503</v>
      </c>
    </row>
    <row r="139">
      <c r="A139" t="inlineStr">
        <is>
          <t>CurrentWorkingView</t>
        </is>
      </c>
      <c r="B139" s="1" t="n">
        <v>3616303470777</v>
      </c>
      <c r="C139" t="inlineStr">
        <is>
          <t>P_US_ALL_OTHERS</t>
        </is>
      </c>
      <c r="D139" t="inlineStr">
        <is>
          <t>System BestFit Final</t>
        </is>
      </c>
      <c r="E139" t="inlineStr">
        <is>
          <t>ST</t>
        </is>
      </c>
      <c r="F139" t="inlineStr">
        <is>
          <t>ST</t>
        </is>
      </c>
      <c r="G139" t="inlineStr">
        <is>
          <t>ST</t>
        </is>
      </c>
      <c r="H139" t="inlineStr">
        <is>
          <t>ST</t>
        </is>
      </c>
      <c r="I139" t="inlineStr">
        <is>
          <t>ST</t>
        </is>
      </c>
      <c r="J139" t="inlineStr">
        <is>
          <t>ST</t>
        </is>
      </c>
      <c r="K139" t="inlineStr">
        <is>
          <t>ST</t>
        </is>
      </c>
      <c r="L139" t="inlineStr">
        <is>
          <t>ST</t>
        </is>
      </c>
      <c r="M139" t="inlineStr">
        <is>
          <t>ST</t>
        </is>
      </c>
      <c r="N139" t="inlineStr">
        <is>
          <t>ST</t>
        </is>
      </c>
      <c r="O139" t="inlineStr">
        <is>
          <t>ST</t>
        </is>
      </c>
      <c r="P139" t="inlineStr">
        <is>
          <t>ST</t>
        </is>
      </c>
    </row>
    <row r="140">
      <c r="A140" t="inlineStr">
        <is>
          <t>CurrentWorkingView</t>
        </is>
      </c>
      <c r="B140" s="1" t="n">
        <v>3616303470777</v>
      </c>
      <c r="C140" t="inlineStr">
        <is>
          <t>P_US_ALL_OTHERS</t>
        </is>
      </c>
      <c r="D140" t="inlineStr">
        <is>
          <t>System Bestfit Model ST</t>
        </is>
      </c>
      <c r="E140" t="inlineStr">
        <is>
          <t>ST</t>
        </is>
      </c>
      <c r="F140" t="inlineStr">
        <is>
          <t>ST</t>
        </is>
      </c>
      <c r="G140" t="inlineStr">
        <is>
          <t>ST</t>
        </is>
      </c>
      <c r="H140" t="inlineStr">
        <is>
          <t>ST</t>
        </is>
      </c>
      <c r="I140" t="inlineStr">
        <is>
          <t>ST</t>
        </is>
      </c>
      <c r="J140" t="inlineStr">
        <is>
          <t>ST</t>
        </is>
      </c>
      <c r="K140" t="inlineStr">
        <is>
          <t>ST</t>
        </is>
      </c>
      <c r="L140" t="inlineStr">
        <is>
          <t>ST</t>
        </is>
      </c>
      <c r="M140" t="inlineStr">
        <is>
          <t>ST</t>
        </is>
      </c>
      <c r="N140" t="inlineStr">
        <is>
          <t>ST</t>
        </is>
      </c>
      <c r="O140" t="inlineStr">
        <is>
          <t>ST</t>
        </is>
      </c>
      <c r="P140" t="inlineStr">
        <is>
          <t>ST</t>
        </is>
      </c>
    </row>
    <row r="141">
      <c r="A141" t="inlineStr">
        <is>
          <t>CurrentWorkingView</t>
        </is>
      </c>
      <c r="B141" s="1" t="n">
        <v>3616303470777</v>
      </c>
      <c r="C141" t="inlineStr">
        <is>
          <t>P_US_ALL_OTHERS</t>
        </is>
      </c>
      <c r="D141" t="inlineStr">
        <is>
          <t>Planner BestFit Model</t>
        </is>
      </c>
      <c r="E141" t="inlineStr">
        <is>
          <t>ST</t>
        </is>
      </c>
      <c r="F141" t="inlineStr">
        <is>
          <t>ST</t>
        </is>
      </c>
      <c r="G141" t="inlineStr">
        <is>
          <t>ST</t>
        </is>
      </c>
      <c r="H141" t="inlineStr">
        <is>
          <t>ST</t>
        </is>
      </c>
      <c r="I141" t="inlineStr">
        <is>
          <t>ST</t>
        </is>
      </c>
      <c r="J141" t="inlineStr">
        <is>
          <t>ST</t>
        </is>
      </c>
      <c r="K141" t="inlineStr">
        <is>
          <t>ST</t>
        </is>
      </c>
      <c r="L141" t="inlineStr">
        <is>
          <t>ST</t>
        </is>
      </c>
      <c r="M141" t="inlineStr">
        <is>
          <t>ST</t>
        </is>
      </c>
      <c r="N141" t="inlineStr">
        <is>
          <t>ST</t>
        </is>
      </c>
      <c r="O141" t="inlineStr">
        <is>
          <t>ST</t>
        </is>
      </c>
      <c r="P141" t="inlineStr">
        <is>
          <t>ST</t>
        </is>
      </c>
    </row>
    <row r="142">
      <c r="A142" t="inlineStr">
        <is>
          <t>CurrentWorkingView</t>
        </is>
      </c>
      <c r="B142" s="1" t="n">
        <v>3616303470777</v>
      </c>
      <c r="C142" t="inlineStr">
        <is>
          <t>P_US_ULTA</t>
        </is>
      </c>
      <c r="D142" t="inlineStr">
        <is>
          <t>System FC - Final</t>
        </is>
      </c>
      <c r="E142" t="n">
        <v>447</v>
      </c>
      <c r="F142" t="n">
        <v>1424</v>
      </c>
      <c r="G142" t="n">
        <v>2458</v>
      </c>
      <c r="H142" t="n">
        <v>1944</v>
      </c>
      <c r="I142" t="n">
        <v>731</v>
      </c>
      <c r="J142" t="n">
        <v>935</v>
      </c>
      <c r="K142" t="n">
        <v>806</v>
      </c>
      <c r="L142" t="n">
        <v>932</v>
      </c>
      <c r="M142" t="n">
        <v>1111</v>
      </c>
      <c r="N142" t="n">
        <v>737</v>
      </c>
      <c r="O142" t="n">
        <v>1147</v>
      </c>
      <c r="P142" t="n">
        <v>737</v>
      </c>
    </row>
    <row r="143">
      <c r="A143" t="inlineStr">
        <is>
          <t>CurrentWorkingView</t>
        </is>
      </c>
      <c r="B143" s="1" t="n">
        <v>3616303470777</v>
      </c>
      <c r="C143" t="inlineStr">
        <is>
          <t>P_US_ULTA</t>
        </is>
      </c>
      <c r="D143" t="inlineStr">
        <is>
          <t>CML Fcst</t>
        </is>
      </c>
      <c r="H143" t="n">
        <v>2635</v>
      </c>
      <c r="I143" t="n">
        <v>694</v>
      </c>
      <c r="J143" t="n">
        <v>2049</v>
      </c>
      <c r="K143" t="n">
        <v>589</v>
      </c>
      <c r="L143" t="n">
        <v>784</v>
      </c>
      <c r="M143" t="n">
        <v>1275</v>
      </c>
      <c r="N143" t="n">
        <v>1023</v>
      </c>
      <c r="O143" t="n">
        <v>762</v>
      </c>
      <c r="P143" t="n">
        <v>1054</v>
      </c>
    </row>
    <row r="144">
      <c r="A144" t="inlineStr">
        <is>
          <t>CurrentWorkingView</t>
        </is>
      </c>
      <c r="B144" s="1" t="n">
        <v>3616303470777</v>
      </c>
      <c r="C144" t="inlineStr">
        <is>
          <t>P_US_ULTA</t>
        </is>
      </c>
      <c r="D144" t="inlineStr">
        <is>
          <t>ST Stat Fcst</t>
        </is>
      </c>
      <c r="E144" t="n">
        <v>447</v>
      </c>
      <c r="F144" t="n">
        <v>1424</v>
      </c>
      <c r="G144" t="n">
        <v>2958</v>
      </c>
      <c r="H144" t="n">
        <v>4544</v>
      </c>
      <c r="I144" t="n">
        <v>312</v>
      </c>
      <c r="J144" t="n">
        <v>35</v>
      </c>
      <c r="K144" t="n">
        <v>9</v>
      </c>
      <c r="L144" t="n">
        <v>1068</v>
      </c>
      <c r="M144" t="n">
        <v>726</v>
      </c>
      <c r="N144" t="n">
        <v>999</v>
      </c>
      <c r="O144" t="n">
        <v>1776</v>
      </c>
      <c r="P144" t="n">
        <v>1135</v>
      </c>
    </row>
    <row r="145">
      <c r="A145" t="inlineStr">
        <is>
          <t>CurrentWorkingView</t>
        </is>
      </c>
      <c r="B145" s="1" t="n">
        <v>3616303470777</v>
      </c>
      <c r="C145" t="inlineStr">
        <is>
          <t>P_US_ULTA</t>
        </is>
      </c>
      <c r="D145" t="inlineStr">
        <is>
          <t>LT Stat Fcst</t>
        </is>
      </c>
      <c r="H145" t="n">
        <v>1944</v>
      </c>
      <c r="I145" t="n">
        <v>732</v>
      </c>
      <c r="J145" t="n">
        <v>935</v>
      </c>
      <c r="K145" t="n">
        <v>806</v>
      </c>
      <c r="L145" t="n">
        <v>932</v>
      </c>
      <c r="M145" t="n">
        <v>1111</v>
      </c>
      <c r="N145" t="n">
        <v>737</v>
      </c>
      <c r="O145" t="n">
        <v>1147</v>
      </c>
      <c r="P145" t="n">
        <v>737</v>
      </c>
    </row>
    <row r="146">
      <c r="A146" t="inlineStr">
        <is>
          <t>CurrentWorkingView</t>
        </is>
      </c>
      <c r="B146" s="1" t="n">
        <v>3616303470777</v>
      </c>
      <c r="C146" t="inlineStr">
        <is>
          <t>P_US_ULTA</t>
        </is>
      </c>
      <c r="D146" t="inlineStr">
        <is>
          <t>System BestFit Final</t>
        </is>
      </c>
      <c r="E146" t="inlineStr">
        <is>
          <t>LT</t>
        </is>
      </c>
      <c r="F146" t="inlineStr">
        <is>
          <t>LT</t>
        </is>
      </c>
      <c r="G146" t="inlineStr">
        <is>
          <t>LT</t>
        </is>
      </c>
      <c r="H146" t="inlineStr">
        <is>
          <t>LT</t>
        </is>
      </c>
      <c r="I146" t="inlineStr">
        <is>
          <t>LT</t>
        </is>
      </c>
      <c r="J146" t="inlineStr">
        <is>
          <t>LT</t>
        </is>
      </c>
      <c r="K146" t="inlineStr">
        <is>
          <t>LT</t>
        </is>
      </c>
      <c r="L146" t="inlineStr">
        <is>
          <t>LT</t>
        </is>
      </c>
      <c r="M146" t="inlineStr">
        <is>
          <t>LT</t>
        </is>
      </c>
      <c r="N146" t="inlineStr">
        <is>
          <t>LT</t>
        </is>
      </c>
      <c r="O146" t="inlineStr">
        <is>
          <t>LT</t>
        </is>
      </c>
      <c r="P146" t="inlineStr">
        <is>
          <t>LT</t>
        </is>
      </c>
    </row>
    <row r="147">
      <c r="A147" t="inlineStr">
        <is>
          <t>CurrentWorkingView</t>
        </is>
      </c>
      <c r="B147" s="1" t="n">
        <v>3616303470777</v>
      </c>
      <c r="C147" t="inlineStr">
        <is>
          <t>P_US_ULTA</t>
        </is>
      </c>
      <c r="D147" t="inlineStr">
        <is>
          <t>System Bestfit Model ST</t>
        </is>
      </c>
    </row>
    <row r="148">
      <c r="A148" t="inlineStr">
        <is>
          <t>CurrentWorkingView</t>
        </is>
      </c>
      <c r="B148" s="1" t="n">
        <v>3616303470777</v>
      </c>
      <c r="C148" t="inlineStr">
        <is>
          <t>P_US_ULTA</t>
        </is>
      </c>
      <c r="D148" t="inlineStr">
        <is>
          <t>Planner BestFit Model</t>
        </is>
      </c>
      <c r="E148" t="inlineStr">
        <is>
          <t>LT</t>
        </is>
      </c>
      <c r="F148" t="inlineStr">
        <is>
          <t>LT</t>
        </is>
      </c>
      <c r="G148" t="inlineStr">
        <is>
          <t>LT</t>
        </is>
      </c>
      <c r="H148" t="inlineStr">
        <is>
          <t>LT</t>
        </is>
      </c>
      <c r="I148" t="inlineStr">
        <is>
          <t>LT</t>
        </is>
      </c>
      <c r="J148" t="inlineStr">
        <is>
          <t>LT</t>
        </is>
      </c>
      <c r="K148" t="inlineStr">
        <is>
          <t>LT</t>
        </is>
      </c>
      <c r="L148" t="inlineStr">
        <is>
          <t>LT</t>
        </is>
      </c>
      <c r="M148" t="inlineStr">
        <is>
          <t>LT</t>
        </is>
      </c>
      <c r="N148" t="inlineStr">
        <is>
          <t>LT</t>
        </is>
      </c>
      <c r="O148" t="inlineStr">
        <is>
          <t>LT</t>
        </is>
      </c>
      <c r="P148" t="inlineStr">
        <is>
          <t>LT</t>
        </is>
      </c>
    </row>
    <row r="149">
      <c r="A149" t="inlineStr">
        <is>
          <t>CurrentWorkingView</t>
        </is>
      </c>
      <c r="B149" s="1" t="n">
        <v>3616303470791</v>
      </c>
      <c r="C149" t="inlineStr">
        <is>
          <t>P_US_ALL_OTHERS</t>
        </is>
      </c>
      <c r="D149" t="inlineStr">
        <is>
          <t>System FC - Final</t>
        </is>
      </c>
      <c r="E149" t="n">
        <v>1111</v>
      </c>
      <c r="F149" t="n">
        <v>647</v>
      </c>
      <c r="G149" t="n">
        <v>1173</v>
      </c>
      <c r="H149" t="n">
        <v>4145</v>
      </c>
      <c r="I149" t="n">
        <v>1470</v>
      </c>
      <c r="J149" t="n">
        <v>646</v>
      </c>
      <c r="K149" t="n">
        <v>647</v>
      </c>
      <c r="L149" t="n">
        <v>1720</v>
      </c>
      <c r="M149" t="n">
        <v>1005</v>
      </c>
      <c r="N149" t="n">
        <v>1299</v>
      </c>
      <c r="O149" t="n">
        <v>2728</v>
      </c>
      <c r="P149" t="n">
        <v>1110</v>
      </c>
    </row>
    <row r="150">
      <c r="A150" t="inlineStr">
        <is>
          <t>CurrentWorkingView</t>
        </is>
      </c>
      <c r="B150" s="1" t="n">
        <v>3616303470791</v>
      </c>
      <c r="C150" t="inlineStr">
        <is>
          <t>P_US_ALL_OTHERS</t>
        </is>
      </c>
      <c r="D150" t="inlineStr">
        <is>
          <t>CML Fcst</t>
        </is>
      </c>
      <c r="H150" t="n">
        <v>3011</v>
      </c>
      <c r="I150" t="n">
        <v>1028</v>
      </c>
      <c r="J150" t="n">
        <v>1094</v>
      </c>
      <c r="K150" t="n">
        <v>810</v>
      </c>
      <c r="L150" t="n">
        <v>1700</v>
      </c>
      <c r="M150" t="n">
        <v>1050</v>
      </c>
      <c r="N150" t="n">
        <v>1157</v>
      </c>
      <c r="O150" t="n">
        <v>1599</v>
      </c>
      <c r="P150" t="n">
        <v>759</v>
      </c>
    </row>
    <row r="151">
      <c r="A151" t="inlineStr">
        <is>
          <t>CurrentWorkingView</t>
        </is>
      </c>
      <c r="B151" s="1" t="n">
        <v>3616303470791</v>
      </c>
      <c r="C151" t="inlineStr">
        <is>
          <t>P_US_ALL_OTHERS</t>
        </is>
      </c>
      <c r="D151" t="inlineStr">
        <is>
          <t>ST Stat Fcst</t>
        </is>
      </c>
      <c r="E151" t="n">
        <v>1111</v>
      </c>
      <c r="F151" t="n">
        <v>647</v>
      </c>
      <c r="G151" t="n">
        <v>1173</v>
      </c>
      <c r="H151" t="n">
        <v>4145</v>
      </c>
      <c r="I151" t="n">
        <v>1470</v>
      </c>
      <c r="J151" t="n">
        <v>646</v>
      </c>
      <c r="K151" t="n">
        <v>647</v>
      </c>
      <c r="L151" t="n">
        <v>1720</v>
      </c>
      <c r="M151" t="n">
        <v>1005</v>
      </c>
      <c r="N151" t="n">
        <v>1299</v>
      </c>
      <c r="O151" t="n">
        <v>2728</v>
      </c>
      <c r="P151" t="n">
        <v>1110</v>
      </c>
    </row>
    <row r="152">
      <c r="A152" t="inlineStr">
        <is>
          <t>CurrentWorkingView</t>
        </is>
      </c>
      <c r="B152" s="1" t="n">
        <v>3616303470791</v>
      </c>
      <c r="C152" t="inlineStr">
        <is>
          <t>P_US_ALL_OTHERS</t>
        </is>
      </c>
      <c r="D152" t="inlineStr">
        <is>
          <t>LT Stat Fcst</t>
        </is>
      </c>
      <c r="H152" t="n">
        <v>3830</v>
      </c>
      <c r="I152" t="n">
        <v>1440</v>
      </c>
      <c r="J152" t="n">
        <v>1845</v>
      </c>
      <c r="K152" t="n">
        <v>1590</v>
      </c>
      <c r="L152" t="n">
        <v>1836</v>
      </c>
      <c r="M152" t="n">
        <v>2187</v>
      </c>
      <c r="N152" t="n">
        <v>1454</v>
      </c>
      <c r="O152" t="n">
        <v>2264</v>
      </c>
      <c r="P152" t="n">
        <v>1458</v>
      </c>
    </row>
    <row r="153">
      <c r="A153" t="inlineStr">
        <is>
          <t>CurrentWorkingView</t>
        </is>
      </c>
      <c r="B153" s="1" t="n">
        <v>3616303470791</v>
      </c>
      <c r="C153" t="inlineStr">
        <is>
          <t>P_US_ALL_OTHERS</t>
        </is>
      </c>
      <c r="D153" t="inlineStr">
        <is>
          <t>System BestFit Final</t>
        </is>
      </c>
      <c r="E153" t="inlineStr">
        <is>
          <t>ST</t>
        </is>
      </c>
      <c r="F153" t="inlineStr">
        <is>
          <t>ST</t>
        </is>
      </c>
      <c r="G153" t="inlineStr">
        <is>
          <t>ST</t>
        </is>
      </c>
      <c r="H153" t="inlineStr">
        <is>
          <t>ST</t>
        </is>
      </c>
      <c r="I153" t="inlineStr">
        <is>
          <t>ST</t>
        </is>
      </c>
      <c r="J153" t="inlineStr">
        <is>
          <t>ST</t>
        </is>
      </c>
      <c r="K153" t="inlineStr">
        <is>
          <t>ST</t>
        </is>
      </c>
      <c r="L153" t="inlineStr">
        <is>
          <t>ST</t>
        </is>
      </c>
      <c r="M153" t="inlineStr">
        <is>
          <t>ST</t>
        </is>
      </c>
      <c r="N153" t="inlineStr">
        <is>
          <t>ST</t>
        </is>
      </c>
      <c r="O153" t="inlineStr">
        <is>
          <t>ST</t>
        </is>
      </c>
      <c r="P153" t="inlineStr">
        <is>
          <t>ST</t>
        </is>
      </c>
    </row>
    <row r="154">
      <c r="A154" t="inlineStr">
        <is>
          <t>CurrentWorkingView</t>
        </is>
      </c>
      <c r="B154" s="1" t="n">
        <v>3616303470791</v>
      </c>
      <c r="C154" t="inlineStr">
        <is>
          <t>P_US_ALL_OTHERS</t>
        </is>
      </c>
      <c r="D154" t="inlineStr">
        <is>
          <t>System Bestfit Model ST</t>
        </is>
      </c>
      <c r="E154" t="inlineStr">
        <is>
          <t>ST</t>
        </is>
      </c>
      <c r="F154" t="inlineStr">
        <is>
          <t>ST</t>
        </is>
      </c>
      <c r="G154" t="inlineStr">
        <is>
          <t>ST</t>
        </is>
      </c>
      <c r="H154" t="inlineStr">
        <is>
          <t>ST</t>
        </is>
      </c>
      <c r="I154" t="inlineStr">
        <is>
          <t>ST</t>
        </is>
      </c>
      <c r="J154" t="inlineStr">
        <is>
          <t>ST</t>
        </is>
      </c>
      <c r="K154" t="inlineStr">
        <is>
          <t>ST</t>
        </is>
      </c>
      <c r="L154" t="inlineStr">
        <is>
          <t>ST</t>
        </is>
      </c>
      <c r="M154" t="inlineStr">
        <is>
          <t>ST</t>
        </is>
      </c>
      <c r="N154" t="inlineStr">
        <is>
          <t>ST</t>
        </is>
      </c>
      <c r="O154" t="inlineStr">
        <is>
          <t>ST</t>
        </is>
      </c>
      <c r="P154" t="inlineStr">
        <is>
          <t>ST</t>
        </is>
      </c>
    </row>
    <row r="155">
      <c r="A155" t="inlineStr">
        <is>
          <t>CurrentWorkingView</t>
        </is>
      </c>
      <c r="B155" s="1" t="n">
        <v>3616303470791</v>
      </c>
      <c r="C155" t="inlineStr">
        <is>
          <t>P_US_ALL_OTHERS</t>
        </is>
      </c>
      <c r="D155" t="inlineStr">
        <is>
          <t>Planner BestFit Model</t>
        </is>
      </c>
      <c r="E155" t="inlineStr">
        <is>
          <t>ST</t>
        </is>
      </c>
      <c r="F155" t="inlineStr">
        <is>
          <t>ST</t>
        </is>
      </c>
      <c r="G155" t="inlineStr">
        <is>
          <t>ST</t>
        </is>
      </c>
      <c r="H155" t="inlineStr">
        <is>
          <t>ST</t>
        </is>
      </c>
      <c r="I155" t="inlineStr">
        <is>
          <t>ST</t>
        </is>
      </c>
      <c r="J155" t="inlineStr">
        <is>
          <t>ST</t>
        </is>
      </c>
      <c r="K155" t="inlineStr">
        <is>
          <t>ST</t>
        </is>
      </c>
      <c r="L155" t="inlineStr">
        <is>
          <t>ST</t>
        </is>
      </c>
      <c r="M155" t="inlineStr">
        <is>
          <t>ST</t>
        </is>
      </c>
      <c r="N155" t="inlineStr">
        <is>
          <t>ST</t>
        </is>
      </c>
      <c r="O155" t="inlineStr">
        <is>
          <t>ST</t>
        </is>
      </c>
      <c r="P155" t="inlineStr">
        <is>
          <t>ST</t>
        </is>
      </c>
    </row>
    <row r="156">
      <c r="A156" t="inlineStr">
        <is>
          <t>CurrentWorkingView</t>
        </is>
      </c>
      <c r="B156" s="1" t="n">
        <v>3616303470791</v>
      </c>
      <c r="C156" t="inlineStr">
        <is>
          <t>P_US_ULTA</t>
        </is>
      </c>
      <c r="D156" t="inlineStr">
        <is>
          <t>System FC - Final</t>
        </is>
      </c>
      <c r="E156" t="n">
        <v>21148</v>
      </c>
      <c r="F156" t="n">
        <v>2566</v>
      </c>
      <c r="G156" t="n">
        <v>778</v>
      </c>
      <c r="H156" t="n">
        <v>262</v>
      </c>
      <c r="I156" t="n">
        <v>335</v>
      </c>
      <c r="J156" t="n">
        <v>438</v>
      </c>
      <c r="K156" t="n">
        <v>226</v>
      </c>
      <c r="L156" t="n">
        <v>744</v>
      </c>
      <c r="M156" t="n">
        <v>0</v>
      </c>
      <c r="N156" t="n">
        <v>0</v>
      </c>
      <c r="O156" t="n">
        <v>0</v>
      </c>
      <c r="P156" t="n">
        <v>192</v>
      </c>
    </row>
    <row r="157">
      <c r="A157" t="inlineStr">
        <is>
          <t>CurrentWorkingView</t>
        </is>
      </c>
      <c r="B157" s="1" t="n">
        <v>3616303470791</v>
      </c>
      <c r="C157" t="inlineStr">
        <is>
          <t>P_US_ULTA</t>
        </is>
      </c>
      <c r="D157" t="inlineStr">
        <is>
          <t>CML Fcst</t>
        </is>
      </c>
      <c r="H157" t="n">
        <v>806</v>
      </c>
      <c r="I157" t="n">
        <v>626</v>
      </c>
      <c r="J157" t="n">
        <v>957</v>
      </c>
      <c r="K157" t="n">
        <v>288</v>
      </c>
      <c r="L157" t="n">
        <v>848</v>
      </c>
      <c r="M157" t="n">
        <v>1581</v>
      </c>
      <c r="N157" t="n">
        <v>745</v>
      </c>
      <c r="O157" t="n">
        <v>841</v>
      </c>
      <c r="P157" t="n">
        <v>587</v>
      </c>
    </row>
    <row r="158">
      <c r="A158" t="inlineStr">
        <is>
          <t>CurrentWorkingView</t>
        </is>
      </c>
      <c r="B158" s="1" t="n">
        <v>3616303470791</v>
      </c>
      <c r="C158" t="inlineStr">
        <is>
          <t>P_US_ULTA</t>
        </is>
      </c>
      <c r="D158" t="inlineStr">
        <is>
          <t>ST Stat Fcst</t>
        </is>
      </c>
      <c r="E158" t="n">
        <v>21148</v>
      </c>
      <c r="F158" t="n">
        <v>2566</v>
      </c>
      <c r="G158" t="n">
        <v>778</v>
      </c>
      <c r="H158" t="n">
        <v>262</v>
      </c>
      <c r="I158" t="n">
        <v>334</v>
      </c>
      <c r="J158" t="n">
        <v>438</v>
      </c>
      <c r="K158" t="n">
        <v>226</v>
      </c>
      <c r="L158" t="n">
        <v>744</v>
      </c>
      <c r="M158" t="n">
        <v>0</v>
      </c>
      <c r="N158" t="n">
        <v>0</v>
      </c>
      <c r="O158" t="n">
        <v>0</v>
      </c>
      <c r="P158" t="n">
        <v>192</v>
      </c>
    </row>
    <row r="159">
      <c r="A159" t="inlineStr">
        <is>
          <t>CurrentWorkingView</t>
        </is>
      </c>
      <c r="B159" s="1" t="n">
        <v>3616303470791</v>
      </c>
      <c r="C159" t="inlineStr">
        <is>
          <t>P_US_ULTA</t>
        </is>
      </c>
      <c r="D159" t="inlineStr">
        <is>
          <t>LT Stat Fcst</t>
        </is>
      </c>
      <c r="H159" t="n">
        <v>1603</v>
      </c>
      <c r="I159" t="n">
        <v>604</v>
      </c>
      <c r="J159" t="n">
        <v>770</v>
      </c>
      <c r="K159" t="n">
        <v>664</v>
      </c>
      <c r="L159" t="n">
        <v>768</v>
      </c>
      <c r="M159" t="n">
        <v>917</v>
      </c>
      <c r="N159" t="n">
        <v>608</v>
      </c>
      <c r="O159" t="n">
        <v>947</v>
      </c>
      <c r="P159" t="n">
        <v>606</v>
      </c>
    </row>
    <row r="160">
      <c r="A160" t="inlineStr">
        <is>
          <t>CurrentWorkingView</t>
        </is>
      </c>
      <c r="B160" s="1" t="n">
        <v>3616303470791</v>
      </c>
      <c r="C160" t="inlineStr">
        <is>
          <t>P_US_ULTA</t>
        </is>
      </c>
      <c r="D160" t="inlineStr">
        <is>
          <t>System BestFit Final</t>
        </is>
      </c>
      <c r="E160" t="inlineStr">
        <is>
          <t>ST</t>
        </is>
      </c>
      <c r="F160" t="inlineStr">
        <is>
          <t>ST</t>
        </is>
      </c>
      <c r="G160" t="inlineStr">
        <is>
          <t>ST</t>
        </is>
      </c>
      <c r="H160" t="inlineStr">
        <is>
          <t>ST</t>
        </is>
      </c>
      <c r="I160" t="inlineStr">
        <is>
          <t>ST</t>
        </is>
      </c>
      <c r="J160" t="inlineStr">
        <is>
          <t>ST</t>
        </is>
      </c>
      <c r="K160" t="inlineStr">
        <is>
          <t>ST</t>
        </is>
      </c>
      <c r="L160" t="inlineStr">
        <is>
          <t>ST</t>
        </is>
      </c>
      <c r="M160" t="inlineStr">
        <is>
          <t>ST</t>
        </is>
      </c>
      <c r="N160" t="inlineStr">
        <is>
          <t>ST</t>
        </is>
      </c>
      <c r="O160" t="inlineStr">
        <is>
          <t>ST</t>
        </is>
      </c>
      <c r="P160" t="inlineStr">
        <is>
          <t>ST</t>
        </is>
      </c>
    </row>
    <row r="161">
      <c r="A161" t="inlineStr">
        <is>
          <t>CurrentWorkingView</t>
        </is>
      </c>
      <c r="B161" s="1" t="n">
        <v>3616303470791</v>
      </c>
      <c r="C161" t="inlineStr">
        <is>
          <t>P_US_ULTA</t>
        </is>
      </c>
      <c r="D161" t="inlineStr">
        <is>
          <t>System Bestfit Model ST</t>
        </is>
      </c>
      <c r="E161" t="inlineStr">
        <is>
          <t>ST</t>
        </is>
      </c>
      <c r="F161" t="inlineStr">
        <is>
          <t>ST</t>
        </is>
      </c>
      <c r="G161" t="inlineStr">
        <is>
          <t>ST</t>
        </is>
      </c>
      <c r="H161" t="inlineStr">
        <is>
          <t>ST</t>
        </is>
      </c>
      <c r="I161" t="inlineStr">
        <is>
          <t>ST</t>
        </is>
      </c>
      <c r="J161" t="inlineStr">
        <is>
          <t>ST</t>
        </is>
      </c>
      <c r="K161" t="inlineStr">
        <is>
          <t>ST</t>
        </is>
      </c>
      <c r="L161" t="inlineStr">
        <is>
          <t>ST</t>
        </is>
      </c>
      <c r="M161" t="inlineStr">
        <is>
          <t>ST</t>
        </is>
      </c>
      <c r="N161" t="inlineStr">
        <is>
          <t>ST</t>
        </is>
      </c>
      <c r="O161" t="inlineStr">
        <is>
          <t>ST</t>
        </is>
      </c>
      <c r="P161" t="inlineStr">
        <is>
          <t>ST</t>
        </is>
      </c>
    </row>
    <row r="162">
      <c r="A162" t="inlineStr">
        <is>
          <t>CurrentWorkingView</t>
        </is>
      </c>
      <c r="B162" s="1" t="n">
        <v>3616303470791</v>
      </c>
      <c r="C162" t="inlineStr">
        <is>
          <t>P_US_ULTA</t>
        </is>
      </c>
      <c r="D162" t="inlineStr">
        <is>
          <t>Planner BestFit Model</t>
        </is>
      </c>
      <c r="E162" t="inlineStr">
        <is>
          <t>ST</t>
        </is>
      </c>
      <c r="F162" t="inlineStr">
        <is>
          <t>ST</t>
        </is>
      </c>
      <c r="G162" t="inlineStr">
        <is>
          <t>ST</t>
        </is>
      </c>
      <c r="H162" t="inlineStr">
        <is>
          <t>ST</t>
        </is>
      </c>
      <c r="I162" t="inlineStr">
        <is>
          <t>ST</t>
        </is>
      </c>
      <c r="J162" t="inlineStr">
        <is>
          <t>ST</t>
        </is>
      </c>
      <c r="K162" t="inlineStr">
        <is>
          <t>ST</t>
        </is>
      </c>
      <c r="L162" t="inlineStr">
        <is>
          <t>ST</t>
        </is>
      </c>
      <c r="M162" t="inlineStr">
        <is>
          <t>ST</t>
        </is>
      </c>
      <c r="N162" t="inlineStr">
        <is>
          <t>ST</t>
        </is>
      </c>
      <c r="O162" t="inlineStr">
        <is>
          <t>ST</t>
        </is>
      </c>
      <c r="P162" t="inlineStr">
        <is>
          <t>ST</t>
        </is>
      </c>
    </row>
    <row r="163">
      <c r="A163" t="inlineStr">
        <is>
          <t>CurrentWorkingView</t>
        </is>
      </c>
      <c r="B163" s="1" t="n">
        <v>3616304077005</v>
      </c>
      <c r="C163" t="inlineStr">
        <is>
          <t>P_US_ALL_OTHERS</t>
        </is>
      </c>
      <c r="D163" t="inlineStr">
        <is>
          <t>System FC - Final</t>
        </is>
      </c>
      <c r="E163" t="n">
        <v>3216</v>
      </c>
      <c r="F163" t="n">
        <v>2585</v>
      </c>
      <c r="G163" t="n">
        <v>3166</v>
      </c>
      <c r="H163" t="n">
        <v>872</v>
      </c>
      <c r="I163" t="n">
        <v>157</v>
      </c>
      <c r="J163" t="n">
        <v>1586</v>
      </c>
      <c r="K163" t="n">
        <v>2475</v>
      </c>
      <c r="L163" t="n">
        <v>872</v>
      </c>
      <c r="M163" t="n">
        <v>2414</v>
      </c>
      <c r="N163" t="n">
        <v>2310</v>
      </c>
      <c r="O163" t="n">
        <v>1709</v>
      </c>
      <c r="P163" t="n">
        <v>973</v>
      </c>
    </row>
    <row r="164">
      <c r="A164" t="inlineStr">
        <is>
          <t>CurrentWorkingView</t>
        </is>
      </c>
      <c r="B164" s="1" t="n">
        <v>3616304077005</v>
      </c>
      <c r="C164" t="inlineStr">
        <is>
          <t>P_US_ALL_OTHERS</t>
        </is>
      </c>
      <c r="D164" t="inlineStr">
        <is>
          <t>CML Fcst</t>
        </is>
      </c>
      <c r="H164" t="n">
        <v>873</v>
      </c>
      <c r="I164" t="n">
        <v>1226</v>
      </c>
      <c r="J164" t="n">
        <v>2001</v>
      </c>
      <c r="K164" t="n">
        <v>1001</v>
      </c>
      <c r="L164" t="n">
        <v>1764</v>
      </c>
      <c r="M164" t="n">
        <v>2852</v>
      </c>
      <c r="N164" t="n">
        <v>1345</v>
      </c>
      <c r="O164" t="n">
        <v>2059</v>
      </c>
      <c r="P164" t="n">
        <v>2006</v>
      </c>
    </row>
    <row r="165">
      <c r="A165" t="inlineStr">
        <is>
          <t>CurrentWorkingView</t>
        </is>
      </c>
      <c r="B165" s="1" t="n">
        <v>3616304077005</v>
      </c>
      <c r="C165" t="inlineStr">
        <is>
          <t>P_US_ALL_OTHERS</t>
        </is>
      </c>
      <c r="D165" t="inlineStr">
        <is>
          <t>ST Stat Fcst</t>
        </is>
      </c>
      <c r="E165" t="n">
        <v>3216</v>
      </c>
      <c r="F165" t="n">
        <v>2585</v>
      </c>
      <c r="G165" t="n">
        <v>3166</v>
      </c>
      <c r="H165" t="n">
        <v>872</v>
      </c>
      <c r="I165" t="n">
        <v>158</v>
      </c>
      <c r="J165" t="n">
        <v>1586</v>
      </c>
      <c r="K165" t="n">
        <v>2475</v>
      </c>
      <c r="L165" t="n">
        <v>872</v>
      </c>
      <c r="M165" t="n">
        <v>2414</v>
      </c>
      <c r="N165" t="n">
        <v>2310</v>
      </c>
      <c r="O165" t="n">
        <v>1709</v>
      </c>
      <c r="P165" t="n">
        <v>973</v>
      </c>
    </row>
    <row r="166">
      <c r="A166" t="inlineStr">
        <is>
          <t>CurrentWorkingView</t>
        </is>
      </c>
      <c r="B166" s="1" t="n">
        <v>3616304077005</v>
      </c>
      <c r="C166" t="inlineStr">
        <is>
          <t>P_US_ALL_OTHERS</t>
        </is>
      </c>
      <c r="D166" t="inlineStr">
        <is>
          <t>LT Stat Fcst</t>
        </is>
      </c>
      <c r="H166" t="n">
        <v>2896</v>
      </c>
      <c r="I166" t="n">
        <v>2130</v>
      </c>
      <c r="J166" t="n">
        <v>1838</v>
      </c>
      <c r="K166" t="n">
        <v>1324</v>
      </c>
      <c r="L166" t="n">
        <v>2068</v>
      </c>
      <c r="M166" t="n">
        <v>2843</v>
      </c>
      <c r="N166" t="n">
        <v>1697</v>
      </c>
      <c r="O166" t="n">
        <v>3255</v>
      </c>
      <c r="P166" t="n">
        <v>2318</v>
      </c>
    </row>
    <row r="167">
      <c r="A167" t="inlineStr">
        <is>
          <t>CurrentWorkingView</t>
        </is>
      </c>
      <c r="B167" s="1" t="n">
        <v>3616304077005</v>
      </c>
      <c r="C167" t="inlineStr">
        <is>
          <t>P_US_ALL_OTHERS</t>
        </is>
      </c>
      <c r="D167" t="inlineStr">
        <is>
          <t>System BestFit Final</t>
        </is>
      </c>
      <c r="E167" t="inlineStr">
        <is>
          <t>ST</t>
        </is>
      </c>
      <c r="F167" t="inlineStr">
        <is>
          <t>ST</t>
        </is>
      </c>
      <c r="G167" t="inlineStr">
        <is>
          <t>ST</t>
        </is>
      </c>
      <c r="H167" t="inlineStr">
        <is>
          <t>ST</t>
        </is>
      </c>
      <c r="I167" t="inlineStr">
        <is>
          <t>ST</t>
        </is>
      </c>
      <c r="J167" t="inlineStr">
        <is>
          <t>ST</t>
        </is>
      </c>
      <c r="K167" t="inlineStr">
        <is>
          <t>ST</t>
        </is>
      </c>
      <c r="L167" t="inlineStr">
        <is>
          <t>ST</t>
        </is>
      </c>
      <c r="M167" t="inlineStr">
        <is>
          <t>ST</t>
        </is>
      </c>
      <c r="N167" t="inlineStr">
        <is>
          <t>ST</t>
        </is>
      </c>
      <c r="O167" t="inlineStr">
        <is>
          <t>ST</t>
        </is>
      </c>
      <c r="P167" t="inlineStr">
        <is>
          <t>ST</t>
        </is>
      </c>
    </row>
    <row r="168">
      <c r="A168" t="inlineStr">
        <is>
          <t>CurrentWorkingView</t>
        </is>
      </c>
      <c r="B168" s="1" t="n">
        <v>3616304077005</v>
      </c>
      <c r="C168" t="inlineStr">
        <is>
          <t>P_US_ALL_OTHERS</t>
        </is>
      </c>
      <c r="D168" t="inlineStr">
        <is>
          <t>System Bestfit Model ST</t>
        </is>
      </c>
      <c r="E168" t="inlineStr">
        <is>
          <t>ST</t>
        </is>
      </c>
      <c r="F168" t="inlineStr">
        <is>
          <t>ST</t>
        </is>
      </c>
      <c r="G168" t="inlineStr">
        <is>
          <t>ST</t>
        </is>
      </c>
      <c r="H168" t="inlineStr">
        <is>
          <t>ST</t>
        </is>
      </c>
      <c r="I168" t="inlineStr">
        <is>
          <t>ST</t>
        </is>
      </c>
      <c r="J168" t="inlineStr">
        <is>
          <t>ST</t>
        </is>
      </c>
      <c r="K168" t="inlineStr">
        <is>
          <t>ST</t>
        </is>
      </c>
      <c r="L168" t="inlineStr">
        <is>
          <t>ST</t>
        </is>
      </c>
      <c r="M168" t="inlineStr">
        <is>
          <t>ST</t>
        </is>
      </c>
      <c r="N168" t="inlineStr">
        <is>
          <t>ST</t>
        </is>
      </c>
      <c r="O168" t="inlineStr">
        <is>
          <t>ST</t>
        </is>
      </c>
      <c r="P168" t="inlineStr">
        <is>
          <t>ST</t>
        </is>
      </c>
    </row>
    <row r="169">
      <c r="A169" t="inlineStr">
        <is>
          <t>CurrentWorkingView</t>
        </is>
      </c>
      <c r="B169" s="1" t="n">
        <v>3616304077005</v>
      </c>
      <c r="C169" t="inlineStr">
        <is>
          <t>P_US_ALL_OTHERS</t>
        </is>
      </c>
      <c r="D169" t="inlineStr">
        <is>
          <t>Planner BestFit Model</t>
        </is>
      </c>
      <c r="E169" t="inlineStr">
        <is>
          <t>ST</t>
        </is>
      </c>
      <c r="F169" t="inlineStr">
        <is>
          <t>ST</t>
        </is>
      </c>
      <c r="G169" t="inlineStr">
        <is>
          <t>ST</t>
        </is>
      </c>
      <c r="H169" t="inlineStr">
        <is>
          <t>ST</t>
        </is>
      </c>
      <c r="I169" t="inlineStr">
        <is>
          <t>ST</t>
        </is>
      </c>
      <c r="J169" t="inlineStr">
        <is>
          <t>ST</t>
        </is>
      </c>
      <c r="K169" t="inlineStr">
        <is>
          <t>ST</t>
        </is>
      </c>
      <c r="L169" t="inlineStr">
        <is>
          <t>ST</t>
        </is>
      </c>
      <c r="M169" t="inlineStr">
        <is>
          <t>ST</t>
        </is>
      </c>
      <c r="N169" t="inlineStr">
        <is>
          <t>ST</t>
        </is>
      </c>
      <c r="O169" t="inlineStr">
        <is>
          <t>ST</t>
        </is>
      </c>
      <c r="P169" t="inlineStr">
        <is>
          <t>ST</t>
        </is>
      </c>
    </row>
    <row r="170">
      <c r="A170" t="inlineStr">
        <is>
          <t>CurrentWorkingView</t>
        </is>
      </c>
      <c r="B170" s="1" t="n">
        <v>3616304077005</v>
      </c>
      <c r="C170" t="inlineStr">
        <is>
          <t>P_US_ULTA</t>
        </is>
      </c>
      <c r="D170" t="inlineStr">
        <is>
          <t>System FC - Final</t>
        </is>
      </c>
      <c r="E170" t="n">
        <v>662</v>
      </c>
      <c r="F170" t="n">
        <v>937</v>
      </c>
      <c r="G170" t="n">
        <v>2104</v>
      </c>
      <c r="H170" t="n">
        <v>1178</v>
      </c>
      <c r="I170" t="n">
        <v>1804</v>
      </c>
      <c r="J170" t="n">
        <v>1280</v>
      </c>
      <c r="K170" t="n">
        <v>531</v>
      </c>
      <c r="L170" t="n">
        <v>1360</v>
      </c>
      <c r="M170" t="n">
        <v>1949</v>
      </c>
      <c r="N170" t="n">
        <v>283</v>
      </c>
      <c r="O170" t="n">
        <v>1063</v>
      </c>
      <c r="P170" t="n">
        <v>1547</v>
      </c>
    </row>
    <row r="171">
      <c r="A171" t="inlineStr">
        <is>
          <t>CurrentWorkingView</t>
        </is>
      </c>
      <c r="B171" s="1" t="n">
        <v>3616304077005</v>
      </c>
      <c r="C171" t="inlineStr">
        <is>
          <t>P_US_ULTA</t>
        </is>
      </c>
      <c r="D171" t="inlineStr">
        <is>
          <t>CML Fcst</t>
        </is>
      </c>
      <c r="H171" t="n">
        <v>668</v>
      </c>
      <c r="I171" t="n">
        <v>806</v>
      </c>
      <c r="J171" t="n">
        <v>824</v>
      </c>
      <c r="K171" t="n">
        <v>350</v>
      </c>
      <c r="L171" t="n">
        <v>908</v>
      </c>
      <c r="M171" t="n">
        <v>1457</v>
      </c>
      <c r="N171" t="n">
        <v>660</v>
      </c>
      <c r="O171" t="n">
        <v>891</v>
      </c>
      <c r="P171" t="n">
        <v>1055</v>
      </c>
    </row>
    <row r="172">
      <c r="A172" t="inlineStr">
        <is>
          <t>CurrentWorkingView</t>
        </is>
      </c>
      <c r="B172" s="1" t="n">
        <v>3616304077005</v>
      </c>
      <c r="C172" t="inlineStr">
        <is>
          <t>P_US_ULTA</t>
        </is>
      </c>
      <c r="D172" t="inlineStr">
        <is>
          <t>ST Stat Fcst</t>
        </is>
      </c>
      <c r="E172" t="n">
        <v>662</v>
      </c>
      <c r="F172" t="n">
        <v>937</v>
      </c>
      <c r="G172" t="n">
        <v>2104</v>
      </c>
      <c r="H172" t="n">
        <v>1178</v>
      </c>
      <c r="I172" t="n">
        <v>1804</v>
      </c>
      <c r="J172" t="n">
        <v>1280</v>
      </c>
      <c r="K172" t="n">
        <v>531</v>
      </c>
      <c r="L172" t="n">
        <v>1360</v>
      </c>
      <c r="M172" t="n">
        <v>1949</v>
      </c>
      <c r="N172" t="n">
        <v>283</v>
      </c>
      <c r="O172" t="n">
        <v>1063</v>
      </c>
      <c r="P172" t="n">
        <v>1547</v>
      </c>
    </row>
    <row r="173">
      <c r="A173" t="inlineStr">
        <is>
          <t>CurrentWorkingView</t>
        </is>
      </c>
      <c r="B173" s="1" t="n">
        <v>3616304077005</v>
      </c>
      <c r="C173" t="inlineStr">
        <is>
          <t>P_US_ULTA</t>
        </is>
      </c>
      <c r="D173" t="inlineStr">
        <is>
          <t>LT Stat Fcst</t>
        </is>
      </c>
      <c r="H173" t="n">
        <v>1546</v>
      </c>
      <c r="I173" t="n">
        <v>1136</v>
      </c>
      <c r="J173" t="n">
        <v>983</v>
      </c>
      <c r="K173" t="n">
        <v>709</v>
      </c>
      <c r="L173" t="n">
        <v>1104</v>
      </c>
      <c r="M173" t="n">
        <v>1519</v>
      </c>
      <c r="N173" t="n">
        <v>905</v>
      </c>
      <c r="O173" t="n">
        <v>1740</v>
      </c>
      <c r="P173" t="n">
        <v>1242</v>
      </c>
    </row>
    <row r="174">
      <c r="A174" t="inlineStr">
        <is>
          <t>CurrentWorkingView</t>
        </is>
      </c>
      <c r="B174" s="1" t="n">
        <v>3616304077005</v>
      </c>
      <c r="C174" t="inlineStr">
        <is>
          <t>P_US_ULTA</t>
        </is>
      </c>
      <c r="D174" t="inlineStr">
        <is>
          <t>System BestFit Final</t>
        </is>
      </c>
      <c r="E174" t="inlineStr">
        <is>
          <t>ST</t>
        </is>
      </c>
      <c r="F174" t="inlineStr">
        <is>
          <t>ST</t>
        </is>
      </c>
      <c r="G174" t="inlineStr">
        <is>
          <t>ST</t>
        </is>
      </c>
      <c r="H174" t="inlineStr">
        <is>
          <t>ST</t>
        </is>
      </c>
      <c r="I174" t="inlineStr">
        <is>
          <t>ST</t>
        </is>
      </c>
      <c r="J174" t="inlineStr">
        <is>
          <t>ST</t>
        </is>
      </c>
      <c r="K174" t="inlineStr">
        <is>
          <t>ST</t>
        </is>
      </c>
      <c r="L174" t="inlineStr">
        <is>
          <t>ST</t>
        </is>
      </c>
      <c r="M174" t="inlineStr">
        <is>
          <t>ST</t>
        </is>
      </c>
      <c r="N174" t="inlineStr">
        <is>
          <t>ST</t>
        </is>
      </c>
      <c r="O174" t="inlineStr">
        <is>
          <t>ST</t>
        </is>
      </c>
      <c r="P174" t="inlineStr">
        <is>
          <t>ST</t>
        </is>
      </c>
    </row>
    <row r="175">
      <c r="A175" t="inlineStr">
        <is>
          <t>CurrentWorkingView</t>
        </is>
      </c>
      <c r="B175" s="1" t="n">
        <v>3616304077005</v>
      </c>
      <c r="C175" t="inlineStr">
        <is>
          <t>P_US_ULTA</t>
        </is>
      </c>
      <c r="D175" t="inlineStr">
        <is>
          <t>System Bestfit Model ST</t>
        </is>
      </c>
      <c r="E175" t="inlineStr">
        <is>
          <t>ST</t>
        </is>
      </c>
      <c r="F175" t="inlineStr">
        <is>
          <t>ST</t>
        </is>
      </c>
      <c r="G175" t="inlineStr">
        <is>
          <t>ST</t>
        </is>
      </c>
      <c r="H175" t="inlineStr">
        <is>
          <t>ST</t>
        </is>
      </c>
      <c r="I175" t="inlineStr">
        <is>
          <t>ST</t>
        </is>
      </c>
      <c r="J175" t="inlineStr">
        <is>
          <t>ST</t>
        </is>
      </c>
      <c r="K175" t="inlineStr">
        <is>
          <t>ST</t>
        </is>
      </c>
      <c r="L175" t="inlineStr">
        <is>
          <t>ST</t>
        </is>
      </c>
      <c r="M175" t="inlineStr">
        <is>
          <t>ST</t>
        </is>
      </c>
      <c r="N175" t="inlineStr">
        <is>
          <t>ST</t>
        </is>
      </c>
      <c r="O175" t="inlineStr">
        <is>
          <t>ST</t>
        </is>
      </c>
      <c r="P175" t="inlineStr">
        <is>
          <t>ST</t>
        </is>
      </c>
    </row>
    <row r="176">
      <c r="A176" t="inlineStr">
        <is>
          <t>CurrentWorkingView</t>
        </is>
      </c>
      <c r="B176" s="1" t="n">
        <v>3616304077005</v>
      </c>
      <c r="C176" t="inlineStr">
        <is>
          <t>P_US_ULTA</t>
        </is>
      </c>
      <c r="D176" t="inlineStr">
        <is>
          <t>Planner BestFit Model</t>
        </is>
      </c>
      <c r="E176" t="inlineStr">
        <is>
          <t>ST</t>
        </is>
      </c>
      <c r="F176" t="inlineStr">
        <is>
          <t>ST</t>
        </is>
      </c>
      <c r="G176" t="inlineStr">
        <is>
          <t>ST</t>
        </is>
      </c>
      <c r="H176" t="inlineStr">
        <is>
          <t>ST</t>
        </is>
      </c>
      <c r="I176" t="inlineStr">
        <is>
          <t>ST</t>
        </is>
      </c>
      <c r="J176" t="inlineStr">
        <is>
          <t>ST</t>
        </is>
      </c>
      <c r="K176" t="inlineStr">
        <is>
          <t>ST</t>
        </is>
      </c>
      <c r="L176" t="inlineStr">
        <is>
          <t>ST</t>
        </is>
      </c>
      <c r="M176" t="inlineStr">
        <is>
          <t>ST</t>
        </is>
      </c>
      <c r="N176" t="inlineStr">
        <is>
          <t>ST</t>
        </is>
      </c>
      <c r="O176" t="inlineStr">
        <is>
          <t>ST</t>
        </is>
      </c>
      <c r="P176" t="inlineStr">
        <is>
          <t>ST</t>
        </is>
      </c>
    </row>
    <row r="177">
      <c r="A177" t="inlineStr">
        <is>
          <t>CurrentWorkingView</t>
        </is>
      </c>
      <c r="B177" s="1" t="n">
        <v>3616304077029</v>
      </c>
      <c r="C177" t="inlineStr">
        <is>
          <t>P_US_ALL_OTHERS</t>
        </is>
      </c>
      <c r="D177" t="inlineStr">
        <is>
          <t>System FC - Final</t>
        </is>
      </c>
      <c r="E177" t="n">
        <v>2426</v>
      </c>
      <c r="F177" t="n">
        <v>1025</v>
      </c>
      <c r="G177" t="n">
        <v>1998</v>
      </c>
      <c r="H177" t="n">
        <v>1745</v>
      </c>
      <c r="I177" t="n">
        <v>360</v>
      </c>
      <c r="J177" t="n">
        <v>1851</v>
      </c>
      <c r="K177" t="n">
        <v>2081</v>
      </c>
      <c r="L177" t="n">
        <v>460</v>
      </c>
      <c r="M177" t="n">
        <v>3056</v>
      </c>
      <c r="N177" t="n">
        <v>142</v>
      </c>
      <c r="O177" t="n">
        <v>793</v>
      </c>
      <c r="P177" t="n">
        <v>1645</v>
      </c>
    </row>
    <row r="178">
      <c r="A178" t="inlineStr">
        <is>
          <t>CurrentWorkingView</t>
        </is>
      </c>
      <c r="B178" s="1" t="n">
        <v>3616304077029</v>
      </c>
      <c r="C178" t="inlineStr">
        <is>
          <t>P_US_ALL_OTHERS</t>
        </is>
      </c>
      <c r="D178" t="inlineStr">
        <is>
          <t>CML Fcst</t>
        </is>
      </c>
      <c r="H178" t="n">
        <v>1257</v>
      </c>
      <c r="I178" t="n">
        <v>630</v>
      </c>
      <c r="J178" t="n">
        <v>1874</v>
      </c>
      <c r="K178" t="n">
        <v>496</v>
      </c>
      <c r="L178" t="n">
        <v>756</v>
      </c>
      <c r="M178" t="n">
        <v>1767</v>
      </c>
      <c r="N178" t="n">
        <v>505</v>
      </c>
      <c r="O178" t="n">
        <v>523</v>
      </c>
      <c r="P178" t="n">
        <v>729</v>
      </c>
    </row>
    <row r="179">
      <c r="A179" t="inlineStr">
        <is>
          <t>CurrentWorkingView</t>
        </is>
      </c>
      <c r="B179" s="1" t="n">
        <v>3616304077029</v>
      </c>
      <c r="C179" t="inlineStr">
        <is>
          <t>P_US_ALL_OTHERS</t>
        </is>
      </c>
      <c r="D179" t="inlineStr">
        <is>
          <t>ST Stat Fcst</t>
        </is>
      </c>
      <c r="E179" t="n">
        <v>2426</v>
      </c>
      <c r="F179" t="n">
        <v>1025</v>
      </c>
      <c r="G179" t="n">
        <v>1998</v>
      </c>
      <c r="H179" t="n">
        <v>1745</v>
      </c>
      <c r="I179" t="n">
        <v>360</v>
      </c>
      <c r="J179" t="n">
        <v>1851</v>
      </c>
      <c r="K179" t="n">
        <v>2081</v>
      </c>
      <c r="L179" t="n">
        <v>460</v>
      </c>
      <c r="M179" t="n">
        <v>3056</v>
      </c>
      <c r="N179" t="n">
        <v>142</v>
      </c>
      <c r="O179" t="n">
        <v>793</v>
      </c>
      <c r="P179" t="n">
        <v>1645</v>
      </c>
    </row>
    <row r="180">
      <c r="A180" t="inlineStr">
        <is>
          <t>CurrentWorkingView</t>
        </is>
      </c>
      <c r="B180" s="1" t="n">
        <v>3616304077029</v>
      </c>
      <c r="C180" t="inlineStr">
        <is>
          <t>P_US_ALL_OTHERS</t>
        </is>
      </c>
      <c r="D180" t="inlineStr">
        <is>
          <t>LT Stat Fcst</t>
        </is>
      </c>
      <c r="H180" t="n">
        <v>1834</v>
      </c>
      <c r="I180" t="n">
        <v>1186</v>
      </c>
      <c r="J180" t="n">
        <v>2356</v>
      </c>
      <c r="K180" t="n">
        <v>1058</v>
      </c>
      <c r="L180" t="n">
        <v>2500</v>
      </c>
      <c r="M180" t="n">
        <v>2055</v>
      </c>
      <c r="N180" t="n">
        <v>1792</v>
      </c>
      <c r="O180" t="n">
        <v>2081</v>
      </c>
      <c r="P180" t="n">
        <v>748</v>
      </c>
    </row>
    <row r="181">
      <c r="A181" t="inlineStr">
        <is>
          <t>CurrentWorkingView</t>
        </is>
      </c>
      <c r="B181" s="1" t="n">
        <v>3616304077029</v>
      </c>
      <c r="C181" t="inlineStr">
        <is>
          <t>P_US_ALL_OTHERS</t>
        </is>
      </c>
      <c r="D181" t="inlineStr">
        <is>
          <t>System BestFit Final</t>
        </is>
      </c>
      <c r="E181" t="inlineStr">
        <is>
          <t>ST</t>
        </is>
      </c>
      <c r="F181" t="inlineStr">
        <is>
          <t>ST</t>
        </is>
      </c>
      <c r="G181" t="inlineStr">
        <is>
          <t>ST</t>
        </is>
      </c>
      <c r="H181" t="inlineStr">
        <is>
          <t>ST</t>
        </is>
      </c>
      <c r="I181" t="inlineStr">
        <is>
          <t>ST</t>
        </is>
      </c>
      <c r="J181" t="inlineStr">
        <is>
          <t>ST</t>
        </is>
      </c>
      <c r="K181" t="inlineStr">
        <is>
          <t>ST</t>
        </is>
      </c>
      <c r="L181" t="inlineStr">
        <is>
          <t>ST</t>
        </is>
      </c>
      <c r="M181" t="inlineStr">
        <is>
          <t>ST</t>
        </is>
      </c>
      <c r="N181" t="inlineStr">
        <is>
          <t>ST</t>
        </is>
      </c>
      <c r="O181" t="inlineStr">
        <is>
          <t>ST</t>
        </is>
      </c>
      <c r="P181" t="inlineStr">
        <is>
          <t>ST</t>
        </is>
      </c>
    </row>
    <row r="182">
      <c r="A182" t="inlineStr">
        <is>
          <t>CurrentWorkingView</t>
        </is>
      </c>
      <c r="B182" s="1" t="n">
        <v>3616304077029</v>
      </c>
      <c r="C182" t="inlineStr">
        <is>
          <t>P_US_ALL_OTHERS</t>
        </is>
      </c>
      <c r="D182" t="inlineStr">
        <is>
          <t>System Bestfit Model ST</t>
        </is>
      </c>
      <c r="E182" t="inlineStr">
        <is>
          <t>ST</t>
        </is>
      </c>
      <c r="F182" t="inlineStr">
        <is>
          <t>ST</t>
        </is>
      </c>
      <c r="G182" t="inlineStr">
        <is>
          <t>ST</t>
        </is>
      </c>
      <c r="H182" t="inlineStr">
        <is>
          <t>ST</t>
        </is>
      </c>
      <c r="I182" t="inlineStr">
        <is>
          <t>ST</t>
        </is>
      </c>
      <c r="J182" t="inlineStr">
        <is>
          <t>ST</t>
        </is>
      </c>
      <c r="K182" t="inlineStr">
        <is>
          <t>ST</t>
        </is>
      </c>
      <c r="L182" t="inlineStr">
        <is>
          <t>ST</t>
        </is>
      </c>
      <c r="M182" t="inlineStr">
        <is>
          <t>ST</t>
        </is>
      </c>
      <c r="N182" t="inlineStr">
        <is>
          <t>ST</t>
        </is>
      </c>
      <c r="O182" t="inlineStr">
        <is>
          <t>ST</t>
        </is>
      </c>
      <c r="P182" t="inlineStr">
        <is>
          <t>ST</t>
        </is>
      </c>
    </row>
    <row r="183">
      <c r="A183" t="inlineStr">
        <is>
          <t>CurrentWorkingView</t>
        </is>
      </c>
      <c r="B183" s="1" t="n">
        <v>3616304077029</v>
      </c>
      <c r="C183" t="inlineStr">
        <is>
          <t>P_US_ALL_OTHERS</t>
        </is>
      </c>
      <c r="D183" t="inlineStr">
        <is>
          <t>Planner BestFit Model</t>
        </is>
      </c>
      <c r="E183" t="inlineStr">
        <is>
          <t>ST</t>
        </is>
      </c>
      <c r="F183" t="inlineStr">
        <is>
          <t>ST</t>
        </is>
      </c>
      <c r="G183" t="inlineStr">
        <is>
          <t>ST</t>
        </is>
      </c>
      <c r="H183" t="inlineStr">
        <is>
          <t>ST</t>
        </is>
      </c>
      <c r="I183" t="inlineStr">
        <is>
          <t>ST</t>
        </is>
      </c>
      <c r="J183" t="inlineStr">
        <is>
          <t>ST</t>
        </is>
      </c>
      <c r="K183" t="inlineStr">
        <is>
          <t>ST</t>
        </is>
      </c>
      <c r="L183" t="inlineStr">
        <is>
          <t>ST</t>
        </is>
      </c>
      <c r="M183" t="inlineStr">
        <is>
          <t>ST</t>
        </is>
      </c>
      <c r="N183" t="inlineStr">
        <is>
          <t>ST</t>
        </is>
      </c>
      <c r="O183" t="inlineStr">
        <is>
          <t>ST</t>
        </is>
      </c>
      <c r="P183" t="inlineStr">
        <is>
          <t>ST</t>
        </is>
      </c>
    </row>
    <row r="184">
      <c r="A184" t="inlineStr">
        <is>
          <t>CurrentWorkingView</t>
        </is>
      </c>
      <c r="B184" s="1" t="n">
        <v>3616304077029</v>
      </c>
      <c r="C184" t="inlineStr">
        <is>
          <t>P_US_ULTA</t>
        </is>
      </c>
      <c r="D184" t="inlineStr">
        <is>
          <t>System FC - Final</t>
        </is>
      </c>
      <c r="E184" t="n">
        <v>12</v>
      </c>
      <c r="F184" t="n">
        <v>12</v>
      </c>
      <c r="G184" t="n">
        <v>159</v>
      </c>
      <c r="H184" t="n">
        <v>13</v>
      </c>
      <c r="I184" t="n">
        <v>11</v>
      </c>
      <c r="J184" t="n">
        <v>22</v>
      </c>
      <c r="K184" t="n">
        <v>9</v>
      </c>
      <c r="L184" t="n">
        <v>20</v>
      </c>
      <c r="M184" t="n">
        <v>18</v>
      </c>
      <c r="N184" t="n">
        <v>12</v>
      </c>
      <c r="O184" t="n">
        <v>13</v>
      </c>
      <c r="P184" t="n">
        <v>7</v>
      </c>
    </row>
    <row r="185">
      <c r="A185" t="inlineStr">
        <is>
          <t>CurrentWorkingView</t>
        </is>
      </c>
      <c r="B185" s="1" t="n">
        <v>3616304077029</v>
      </c>
      <c r="C185" t="inlineStr">
        <is>
          <t>P_US_ULTA</t>
        </is>
      </c>
      <c r="D185" t="inlineStr">
        <is>
          <t>CML Fcst</t>
        </is>
      </c>
      <c r="H185" t="n">
        <v>79</v>
      </c>
      <c r="I185" t="n">
        <v>102</v>
      </c>
      <c r="J185" t="n">
        <v>48</v>
      </c>
      <c r="K185" t="n">
        <v>212</v>
      </c>
      <c r="L185" t="n">
        <v>116</v>
      </c>
      <c r="M185" t="n">
        <v>71</v>
      </c>
      <c r="N185" t="n">
        <v>85</v>
      </c>
      <c r="O185" t="n">
        <v>97</v>
      </c>
      <c r="P185" t="n">
        <v>47</v>
      </c>
    </row>
    <row r="186">
      <c r="A186" t="inlineStr">
        <is>
          <t>CurrentWorkingView</t>
        </is>
      </c>
      <c r="B186" s="1" t="n">
        <v>3616304077029</v>
      </c>
      <c r="C186" t="inlineStr">
        <is>
          <t>P_US_ULTA</t>
        </is>
      </c>
      <c r="D186" t="inlineStr">
        <is>
          <t>ST Stat Fcst</t>
        </is>
      </c>
      <c r="E186" t="n">
        <v>12</v>
      </c>
      <c r="F186" t="n">
        <v>12</v>
      </c>
      <c r="G186" t="n">
        <v>285</v>
      </c>
      <c r="H186" t="n">
        <v>0</v>
      </c>
      <c r="I186" t="n">
        <v>4</v>
      </c>
      <c r="J186" t="n">
        <v>71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CurrentWorkingView</t>
        </is>
      </c>
      <c r="B187" s="1" t="n">
        <v>3616304077029</v>
      </c>
      <c r="C187" t="inlineStr">
        <is>
          <t>P_US_ULTA</t>
        </is>
      </c>
      <c r="D187" t="inlineStr">
        <is>
          <t>LT Stat Fcst</t>
        </is>
      </c>
      <c r="H187" t="n">
        <v>13</v>
      </c>
      <c r="I187" t="n">
        <v>10</v>
      </c>
      <c r="J187" t="n">
        <v>22</v>
      </c>
      <c r="K187" t="n">
        <v>9</v>
      </c>
      <c r="L187" t="n">
        <v>20</v>
      </c>
      <c r="M187" t="n">
        <v>18</v>
      </c>
      <c r="N187" t="n">
        <v>12</v>
      </c>
      <c r="O187" t="n">
        <v>13</v>
      </c>
      <c r="P187" t="n">
        <v>7</v>
      </c>
    </row>
    <row r="188">
      <c r="A188" t="inlineStr">
        <is>
          <t>CurrentWorkingView</t>
        </is>
      </c>
      <c r="B188" s="1" t="n">
        <v>3616304077029</v>
      </c>
      <c r="C188" t="inlineStr">
        <is>
          <t>P_US_ULTA</t>
        </is>
      </c>
      <c r="D188" t="inlineStr">
        <is>
          <t>System BestFit Final</t>
        </is>
      </c>
      <c r="E188" t="inlineStr">
        <is>
          <t>LT</t>
        </is>
      </c>
      <c r="F188" t="inlineStr">
        <is>
          <t>LT</t>
        </is>
      </c>
      <c r="G188" t="inlineStr">
        <is>
          <t>LT</t>
        </is>
      </c>
      <c r="H188" t="inlineStr">
        <is>
          <t>LT</t>
        </is>
      </c>
      <c r="I188" t="inlineStr">
        <is>
          <t>LT</t>
        </is>
      </c>
      <c r="J188" t="inlineStr">
        <is>
          <t>LT</t>
        </is>
      </c>
      <c r="K188" t="inlineStr">
        <is>
          <t>LT</t>
        </is>
      </c>
      <c r="L188" t="inlineStr">
        <is>
          <t>LT</t>
        </is>
      </c>
      <c r="M188" t="inlineStr">
        <is>
          <t>LT</t>
        </is>
      </c>
      <c r="N188" t="inlineStr">
        <is>
          <t>LT</t>
        </is>
      </c>
      <c r="O188" t="inlineStr">
        <is>
          <t>LT</t>
        </is>
      </c>
      <c r="P188" t="inlineStr">
        <is>
          <t>LT</t>
        </is>
      </c>
    </row>
    <row r="189">
      <c r="A189" t="inlineStr">
        <is>
          <t>CurrentWorkingView</t>
        </is>
      </c>
      <c r="B189" s="1" t="n">
        <v>3616304077029</v>
      </c>
      <c r="C189" t="inlineStr">
        <is>
          <t>P_US_ULTA</t>
        </is>
      </c>
      <c r="D189" t="inlineStr">
        <is>
          <t>System Bestfit Model ST</t>
        </is>
      </c>
    </row>
    <row r="190">
      <c r="A190" t="inlineStr">
        <is>
          <t>CurrentWorkingView</t>
        </is>
      </c>
      <c r="B190" s="1" t="n">
        <v>3616304077029</v>
      </c>
      <c r="C190" t="inlineStr">
        <is>
          <t>P_US_ULTA</t>
        </is>
      </c>
      <c r="D190" t="inlineStr">
        <is>
          <t>Planner BestFit Model</t>
        </is>
      </c>
      <c r="E190" t="inlineStr">
        <is>
          <t>LT</t>
        </is>
      </c>
      <c r="F190" t="inlineStr">
        <is>
          <t>LT</t>
        </is>
      </c>
      <c r="G190" t="inlineStr">
        <is>
          <t>LT</t>
        </is>
      </c>
      <c r="H190" t="inlineStr">
        <is>
          <t>LT</t>
        </is>
      </c>
      <c r="I190" t="inlineStr">
        <is>
          <t>LT</t>
        </is>
      </c>
      <c r="J190" t="inlineStr">
        <is>
          <t>LT</t>
        </is>
      </c>
      <c r="K190" t="inlineStr">
        <is>
          <t>LT</t>
        </is>
      </c>
      <c r="L190" t="inlineStr">
        <is>
          <t>LT</t>
        </is>
      </c>
      <c r="M190" t="inlineStr">
        <is>
          <t>LT</t>
        </is>
      </c>
      <c r="N190" t="inlineStr">
        <is>
          <t>LT</t>
        </is>
      </c>
      <c r="O190" t="inlineStr">
        <is>
          <t>LT</t>
        </is>
      </c>
      <c r="P190" t="inlineStr">
        <is>
          <t>LT</t>
        </is>
      </c>
    </row>
    <row r="191">
      <c r="A191" t="inlineStr">
        <is>
          <t>CurrentWorkingView</t>
        </is>
      </c>
      <c r="B191" s="1" t="n">
        <v>3616304175893</v>
      </c>
      <c r="C191" t="inlineStr">
        <is>
          <t>P_US_ALL_OTHERS</t>
        </is>
      </c>
      <c r="D191" t="inlineStr">
        <is>
          <t>System FC - Final</t>
        </is>
      </c>
      <c r="E191" t="n">
        <v>2257</v>
      </c>
      <c r="F191" t="n">
        <v>3585</v>
      </c>
      <c r="G191" t="n">
        <v>2465</v>
      </c>
      <c r="H191" t="n">
        <v>2648</v>
      </c>
      <c r="I191" t="n">
        <v>2979</v>
      </c>
      <c r="J191" t="n">
        <v>4538</v>
      </c>
      <c r="K191" t="n">
        <v>266</v>
      </c>
      <c r="L191" t="n">
        <v>1444</v>
      </c>
      <c r="M191" t="n">
        <v>2059</v>
      </c>
      <c r="N191" t="n">
        <v>343</v>
      </c>
      <c r="O191" t="n">
        <v>3662</v>
      </c>
      <c r="P191" t="n">
        <v>2343</v>
      </c>
    </row>
    <row r="192">
      <c r="A192" t="inlineStr">
        <is>
          <t>CurrentWorkingView</t>
        </is>
      </c>
      <c r="B192" s="1" t="n">
        <v>3616304175893</v>
      </c>
      <c r="C192" t="inlineStr">
        <is>
          <t>P_US_ALL_OTHERS</t>
        </is>
      </c>
      <c r="D192" t="inlineStr">
        <is>
          <t>CML Fcst</t>
        </is>
      </c>
      <c r="H192" t="n">
        <v>3384</v>
      </c>
      <c r="I192" t="n">
        <v>2344</v>
      </c>
      <c r="J192" t="n">
        <v>1936</v>
      </c>
      <c r="K192" t="n">
        <v>930</v>
      </c>
      <c r="L192" t="n">
        <v>2928</v>
      </c>
      <c r="M192" t="n">
        <v>2817</v>
      </c>
      <c r="N192" t="n">
        <v>2348</v>
      </c>
      <c r="O192" t="n">
        <v>3015</v>
      </c>
      <c r="P192" t="n">
        <v>2027</v>
      </c>
    </row>
    <row r="193">
      <c r="A193" t="inlineStr">
        <is>
          <t>CurrentWorkingView</t>
        </is>
      </c>
      <c r="B193" s="1" t="n">
        <v>3616304175893</v>
      </c>
      <c r="C193" t="inlineStr">
        <is>
          <t>P_US_ALL_OTHERS</t>
        </is>
      </c>
      <c r="D193" t="inlineStr">
        <is>
          <t>ST Stat Fcst</t>
        </is>
      </c>
      <c r="E193" t="n">
        <v>2257</v>
      </c>
      <c r="F193" t="n">
        <v>3585</v>
      </c>
      <c r="G193" t="n">
        <v>2465</v>
      </c>
      <c r="H193" t="n">
        <v>2648</v>
      </c>
      <c r="I193" t="n">
        <v>2978</v>
      </c>
      <c r="J193" t="n">
        <v>4538</v>
      </c>
      <c r="K193" t="n">
        <v>266</v>
      </c>
      <c r="L193" t="n">
        <v>1444</v>
      </c>
      <c r="M193" t="n">
        <v>2059</v>
      </c>
      <c r="N193" t="n">
        <v>343</v>
      </c>
      <c r="O193" t="n">
        <v>3662</v>
      </c>
      <c r="P193" t="n">
        <v>2343</v>
      </c>
    </row>
    <row r="194">
      <c r="A194" t="inlineStr">
        <is>
          <t>CurrentWorkingView</t>
        </is>
      </c>
      <c r="B194" s="1" t="n">
        <v>3616304175893</v>
      </c>
      <c r="C194" t="inlineStr">
        <is>
          <t>P_US_ALL_OTHERS</t>
        </is>
      </c>
      <c r="D194" t="inlineStr">
        <is>
          <t>LT Stat Fcst</t>
        </is>
      </c>
      <c r="H194" t="n">
        <v>5624</v>
      </c>
      <c r="I194" t="n">
        <v>5958</v>
      </c>
      <c r="J194" t="n">
        <v>4376</v>
      </c>
      <c r="K194" t="n">
        <v>1006</v>
      </c>
      <c r="L194" t="n">
        <v>2768</v>
      </c>
      <c r="M194" t="n">
        <v>3295</v>
      </c>
      <c r="N194" t="n">
        <v>1719</v>
      </c>
      <c r="O194" t="n">
        <v>5293</v>
      </c>
      <c r="P194" t="n">
        <v>2703</v>
      </c>
    </row>
    <row r="195">
      <c r="A195" t="inlineStr">
        <is>
          <t>CurrentWorkingView</t>
        </is>
      </c>
      <c r="B195" s="1" t="n">
        <v>3616304175893</v>
      </c>
      <c r="C195" t="inlineStr">
        <is>
          <t>P_US_ALL_OTHERS</t>
        </is>
      </c>
      <c r="D195" t="inlineStr">
        <is>
          <t>System BestFit Final</t>
        </is>
      </c>
      <c r="E195" t="inlineStr">
        <is>
          <t>ST</t>
        </is>
      </c>
      <c r="F195" t="inlineStr">
        <is>
          <t>ST</t>
        </is>
      </c>
      <c r="G195" t="inlineStr">
        <is>
          <t>ST</t>
        </is>
      </c>
      <c r="H195" t="inlineStr">
        <is>
          <t>ST</t>
        </is>
      </c>
      <c r="I195" t="inlineStr">
        <is>
          <t>ST</t>
        </is>
      </c>
      <c r="J195" t="inlineStr">
        <is>
          <t>ST</t>
        </is>
      </c>
      <c r="K195" t="inlineStr">
        <is>
          <t>ST</t>
        </is>
      </c>
      <c r="L195" t="inlineStr">
        <is>
          <t>ST</t>
        </is>
      </c>
      <c r="M195" t="inlineStr">
        <is>
          <t>ST</t>
        </is>
      </c>
      <c r="N195" t="inlineStr">
        <is>
          <t>ST</t>
        </is>
      </c>
      <c r="O195" t="inlineStr">
        <is>
          <t>ST</t>
        </is>
      </c>
      <c r="P195" t="inlineStr">
        <is>
          <t>ST</t>
        </is>
      </c>
    </row>
    <row r="196">
      <c r="A196" t="inlineStr">
        <is>
          <t>CurrentWorkingView</t>
        </is>
      </c>
      <c r="B196" s="1" t="n">
        <v>3616304175893</v>
      </c>
      <c r="C196" t="inlineStr">
        <is>
          <t>P_US_ALL_OTHERS</t>
        </is>
      </c>
      <c r="D196" t="inlineStr">
        <is>
          <t>System Bestfit Model ST</t>
        </is>
      </c>
      <c r="E196" t="inlineStr">
        <is>
          <t>ST</t>
        </is>
      </c>
      <c r="F196" t="inlineStr">
        <is>
          <t>ST</t>
        </is>
      </c>
      <c r="G196" t="inlineStr">
        <is>
          <t>ST</t>
        </is>
      </c>
      <c r="H196" t="inlineStr">
        <is>
          <t>ST</t>
        </is>
      </c>
      <c r="I196" t="inlineStr">
        <is>
          <t>ST</t>
        </is>
      </c>
      <c r="J196" t="inlineStr">
        <is>
          <t>ST</t>
        </is>
      </c>
      <c r="K196" t="inlineStr">
        <is>
          <t>ST</t>
        </is>
      </c>
      <c r="L196" t="inlineStr">
        <is>
          <t>ST</t>
        </is>
      </c>
      <c r="M196" t="inlineStr">
        <is>
          <t>ST</t>
        </is>
      </c>
      <c r="N196" t="inlineStr">
        <is>
          <t>ST</t>
        </is>
      </c>
      <c r="O196" t="inlineStr">
        <is>
          <t>ST</t>
        </is>
      </c>
      <c r="P196" t="inlineStr">
        <is>
          <t>ST</t>
        </is>
      </c>
    </row>
    <row r="197">
      <c r="A197" t="inlineStr">
        <is>
          <t>CurrentWorkingView</t>
        </is>
      </c>
      <c r="B197" s="1" t="n">
        <v>3616304175893</v>
      </c>
      <c r="C197" t="inlineStr">
        <is>
          <t>P_US_ALL_OTHERS</t>
        </is>
      </c>
      <c r="D197" t="inlineStr">
        <is>
          <t>Planner BestFit Model</t>
        </is>
      </c>
      <c r="E197" t="inlineStr">
        <is>
          <t>ST</t>
        </is>
      </c>
      <c r="F197" t="inlineStr">
        <is>
          <t>ST</t>
        </is>
      </c>
      <c r="G197" t="inlineStr">
        <is>
          <t>ST</t>
        </is>
      </c>
      <c r="H197" t="inlineStr">
        <is>
          <t>ST</t>
        </is>
      </c>
      <c r="I197" t="inlineStr">
        <is>
          <t>ST</t>
        </is>
      </c>
      <c r="J197" t="inlineStr">
        <is>
          <t>ST</t>
        </is>
      </c>
      <c r="K197" t="inlineStr">
        <is>
          <t>ST</t>
        </is>
      </c>
      <c r="L197" t="inlineStr">
        <is>
          <t>ST</t>
        </is>
      </c>
      <c r="M197" t="inlineStr">
        <is>
          <t>ST</t>
        </is>
      </c>
      <c r="N197" t="inlineStr">
        <is>
          <t>ST</t>
        </is>
      </c>
      <c r="O197" t="inlineStr">
        <is>
          <t>ST</t>
        </is>
      </c>
      <c r="P197" t="inlineStr">
        <is>
          <t>ST</t>
        </is>
      </c>
    </row>
    <row r="198">
      <c r="A198" t="inlineStr">
        <is>
          <t>CurrentWorkingView</t>
        </is>
      </c>
      <c r="B198" s="1" t="n">
        <v>3616304175893</v>
      </c>
      <c r="C198" t="inlineStr">
        <is>
          <t>P_US_ULTA</t>
        </is>
      </c>
      <c r="D198" t="inlineStr">
        <is>
          <t>System FC - Final</t>
        </is>
      </c>
      <c r="E198" t="n">
        <v>90</v>
      </c>
      <c r="F198" t="n">
        <v>16</v>
      </c>
      <c r="G198" t="n">
        <v>269</v>
      </c>
      <c r="H198" t="n">
        <v>0</v>
      </c>
      <c r="I198" t="n">
        <v>95</v>
      </c>
      <c r="J198" t="n">
        <v>829</v>
      </c>
      <c r="K198" t="n">
        <v>226</v>
      </c>
      <c r="L198" t="n">
        <v>140</v>
      </c>
      <c r="M198" t="n">
        <v>142</v>
      </c>
      <c r="N198" t="n">
        <v>68</v>
      </c>
      <c r="O198" t="n">
        <v>593</v>
      </c>
      <c r="P198" t="n">
        <v>258</v>
      </c>
    </row>
    <row r="199">
      <c r="A199" t="inlineStr">
        <is>
          <t>CurrentWorkingView</t>
        </is>
      </c>
      <c r="B199" s="1" t="n">
        <v>3616304175893</v>
      </c>
      <c r="C199" t="inlineStr">
        <is>
          <t>P_US_ULTA</t>
        </is>
      </c>
      <c r="D199" t="inlineStr">
        <is>
          <t>CML Fcst</t>
        </is>
      </c>
      <c r="H199" t="n">
        <v>138</v>
      </c>
      <c r="I199" t="n">
        <v>218</v>
      </c>
      <c r="J199" t="n">
        <v>408</v>
      </c>
      <c r="K199" t="n">
        <v>124</v>
      </c>
      <c r="L199" t="n">
        <v>156</v>
      </c>
      <c r="M199" t="n">
        <v>261</v>
      </c>
      <c r="N199" t="n">
        <v>142</v>
      </c>
      <c r="O199" t="n">
        <v>283</v>
      </c>
      <c r="P199" t="n">
        <v>60</v>
      </c>
    </row>
    <row r="200">
      <c r="A200" t="inlineStr">
        <is>
          <t>CurrentWorkingView</t>
        </is>
      </c>
      <c r="B200" s="1" t="n">
        <v>3616304175893</v>
      </c>
      <c r="C200" t="inlineStr">
        <is>
          <t>P_US_ULTA</t>
        </is>
      </c>
      <c r="D200" t="inlineStr">
        <is>
          <t>ST Stat Fcst</t>
        </is>
      </c>
      <c r="E200" t="n">
        <v>90</v>
      </c>
      <c r="F200" t="n">
        <v>16</v>
      </c>
      <c r="G200" t="n">
        <v>269</v>
      </c>
      <c r="H200" t="n">
        <v>0</v>
      </c>
      <c r="I200" t="n">
        <v>94</v>
      </c>
      <c r="J200" t="n">
        <v>829</v>
      </c>
      <c r="K200" t="n">
        <v>226</v>
      </c>
      <c r="L200" t="n">
        <v>140</v>
      </c>
      <c r="M200" t="n">
        <v>142</v>
      </c>
      <c r="N200" t="n">
        <v>68</v>
      </c>
      <c r="O200" t="n">
        <v>593</v>
      </c>
      <c r="P200" t="n">
        <v>258</v>
      </c>
    </row>
    <row r="201">
      <c r="A201" t="inlineStr">
        <is>
          <t>CurrentWorkingView</t>
        </is>
      </c>
      <c r="B201" s="1" t="n">
        <v>3616304175893</v>
      </c>
      <c r="C201" t="inlineStr">
        <is>
          <t>P_US_ULTA</t>
        </is>
      </c>
      <c r="D201" t="inlineStr">
        <is>
          <t>LT Stat Fcst</t>
        </is>
      </c>
      <c r="H201" t="n">
        <v>426</v>
      </c>
      <c r="I201" t="n">
        <v>454</v>
      </c>
      <c r="J201" t="n">
        <v>332</v>
      </c>
      <c r="K201" t="n">
        <v>75</v>
      </c>
      <c r="L201" t="n">
        <v>212</v>
      </c>
      <c r="M201" t="n">
        <v>252</v>
      </c>
      <c r="N201" t="n">
        <v>129</v>
      </c>
      <c r="O201" t="n">
        <v>403</v>
      </c>
      <c r="P201" t="n">
        <v>205</v>
      </c>
    </row>
    <row r="202">
      <c r="A202" t="inlineStr">
        <is>
          <t>CurrentWorkingView</t>
        </is>
      </c>
      <c r="B202" s="1" t="n">
        <v>3616304175893</v>
      </c>
      <c r="C202" t="inlineStr">
        <is>
          <t>P_US_ULTA</t>
        </is>
      </c>
      <c r="D202" t="inlineStr">
        <is>
          <t>System BestFit Final</t>
        </is>
      </c>
      <c r="E202" t="inlineStr">
        <is>
          <t>ST</t>
        </is>
      </c>
      <c r="F202" t="inlineStr">
        <is>
          <t>ST</t>
        </is>
      </c>
      <c r="G202" t="inlineStr">
        <is>
          <t>ST</t>
        </is>
      </c>
      <c r="H202" t="inlineStr">
        <is>
          <t>ST</t>
        </is>
      </c>
      <c r="I202" t="inlineStr">
        <is>
          <t>ST</t>
        </is>
      </c>
      <c r="J202" t="inlineStr">
        <is>
          <t>ST</t>
        </is>
      </c>
      <c r="K202" t="inlineStr">
        <is>
          <t>ST</t>
        </is>
      </c>
      <c r="L202" t="inlineStr">
        <is>
          <t>ST</t>
        </is>
      </c>
      <c r="M202" t="inlineStr">
        <is>
          <t>ST</t>
        </is>
      </c>
      <c r="N202" t="inlineStr">
        <is>
          <t>ST</t>
        </is>
      </c>
      <c r="O202" t="inlineStr">
        <is>
          <t>ST</t>
        </is>
      </c>
      <c r="P202" t="inlineStr">
        <is>
          <t>ST</t>
        </is>
      </c>
    </row>
    <row r="203">
      <c r="A203" t="inlineStr">
        <is>
          <t>CurrentWorkingView</t>
        </is>
      </c>
      <c r="B203" s="1" t="n">
        <v>3616304175893</v>
      </c>
      <c r="C203" t="inlineStr">
        <is>
          <t>P_US_ULTA</t>
        </is>
      </c>
      <c r="D203" t="inlineStr">
        <is>
          <t>System Bestfit Model ST</t>
        </is>
      </c>
      <c r="E203" t="inlineStr">
        <is>
          <t>ST</t>
        </is>
      </c>
      <c r="F203" t="inlineStr">
        <is>
          <t>ST</t>
        </is>
      </c>
      <c r="G203" t="inlineStr">
        <is>
          <t>ST</t>
        </is>
      </c>
      <c r="H203" t="inlineStr">
        <is>
          <t>ST</t>
        </is>
      </c>
      <c r="I203" t="inlineStr">
        <is>
          <t>ST</t>
        </is>
      </c>
      <c r="J203" t="inlineStr">
        <is>
          <t>ST</t>
        </is>
      </c>
      <c r="K203" t="inlineStr">
        <is>
          <t>ST</t>
        </is>
      </c>
      <c r="L203" t="inlineStr">
        <is>
          <t>ST</t>
        </is>
      </c>
      <c r="M203" t="inlineStr">
        <is>
          <t>ST</t>
        </is>
      </c>
      <c r="N203" t="inlineStr">
        <is>
          <t>ST</t>
        </is>
      </c>
      <c r="O203" t="inlineStr">
        <is>
          <t>ST</t>
        </is>
      </c>
      <c r="P203" t="inlineStr">
        <is>
          <t>ST</t>
        </is>
      </c>
    </row>
    <row r="204">
      <c r="A204" t="inlineStr">
        <is>
          <t>CurrentWorkingView</t>
        </is>
      </c>
      <c r="B204" s="1" t="n">
        <v>3616304175893</v>
      </c>
      <c r="C204" t="inlineStr">
        <is>
          <t>P_US_ULTA</t>
        </is>
      </c>
      <c r="D204" t="inlineStr">
        <is>
          <t>Planner BestFit Model</t>
        </is>
      </c>
    </row>
    <row r="205">
      <c r="A205" t="inlineStr">
        <is>
          <t>CurrentWorkingView</t>
        </is>
      </c>
      <c r="B205" s="1" t="n">
        <v>3616304175916</v>
      </c>
      <c r="C205" t="inlineStr">
        <is>
          <t>P_US_ALL_OTHERS</t>
        </is>
      </c>
      <c r="D205" t="inlineStr">
        <is>
          <t>System FC - Final</t>
        </is>
      </c>
      <c r="E205" t="n">
        <v>71</v>
      </c>
      <c r="F205" t="n">
        <v>215</v>
      </c>
      <c r="G205" t="n">
        <v>532</v>
      </c>
      <c r="H205" t="n">
        <v>759</v>
      </c>
      <c r="I205" t="n">
        <v>578</v>
      </c>
      <c r="J205" t="n">
        <v>479</v>
      </c>
      <c r="K205" t="n">
        <v>407</v>
      </c>
      <c r="L205" t="n">
        <v>376</v>
      </c>
      <c r="M205" t="n">
        <v>363</v>
      </c>
      <c r="N205" t="n">
        <v>382</v>
      </c>
      <c r="O205" t="n">
        <v>478</v>
      </c>
      <c r="P205" t="n">
        <v>351</v>
      </c>
    </row>
    <row r="206">
      <c r="A206" t="inlineStr">
        <is>
          <t>CurrentWorkingView</t>
        </is>
      </c>
      <c r="B206" s="1" t="n">
        <v>3616304175916</v>
      </c>
      <c r="C206" t="inlineStr">
        <is>
          <t>P_US_ALL_OTHERS</t>
        </is>
      </c>
      <c r="D206" t="inlineStr">
        <is>
          <t>CML Fcst</t>
        </is>
      </c>
      <c r="H206" t="n">
        <v>758</v>
      </c>
      <c r="I206" t="n">
        <v>578</v>
      </c>
      <c r="J206" t="n">
        <v>479</v>
      </c>
      <c r="K206" t="n">
        <v>407</v>
      </c>
      <c r="L206" t="n">
        <v>376</v>
      </c>
      <c r="M206" t="n">
        <v>363</v>
      </c>
      <c r="N206" t="n">
        <v>382</v>
      </c>
      <c r="O206" t="n">
        <v>478</v>
      </c>
      <c r="P206" t="n">
        <v>351</v>
      </c>
    </row>
    <row r="207">
      <c r="A207" t="inlineStr">
        <is>
          <t>CurrentWorkingView</t>
        </is>
      </c>
      <c r="B207" s="1" t="n">
        <v>3616304175916</v>
      </c>
      <c r="C207" t="inlineStr">
        <is>
          <t>P_US_ALL_OTHERS</t>
        </is>
      </c>
      <c r="D207" t="inlineStr">
        <is>
          <t>ST Stat Fcst</t>
        </is>
      </c>
      <c r="E207" t="n">
        <v>71</v>
      </c>
      <c r="F207" t="n">
        <v>215</v>
      </c>
      <c r="G207" t="n">
        <v>650</v>
      </c>
      <c r="H207" t="n">
        <v>1461</v>
      </c>
      <c r="I207" t="n">
        <v>1170</v>
      </c>
      <c r="J207" t="n">
        <v>1342</v>
      </c>
      <c r="K207" t="n">
        <v>452</v>
      </c>
      <c r="L207" t="n">
        <v>932</v>
      </c>
      <c r="M207" t="n">
        <v>412</v>
      </c>
      <c r="N207" t="n">
        <v>483</v>
      </c>
      <c r="O207" t="n">
        <v>735</v>
      </c>
      <c r="P207" t="n">
        <v>489</v>
      </c>
    </row>
    <row r="208">
      <c r="A208" t="inlineStr">
        <is>
          <t>CurrentWorkingView</t>
        </is>
      </c>
      <c r="B208" s="1" t="n">
        <v>3616304175916</v>
      </c>
      <c r="C208" t="inlineStr">
        <is>
          <t>P_US_ALL_OTHERS</t>
        </is>
      </c>
      <c r="D208" t="inlineStr">
        <is>
          <t>LT Stat Fcst</t>
        </is>
      </c>
      <c r="H208" t="n">
        <v>1059</v>
      </c>
      <c r="I208" t="n">
        <v>514</v>
      </c>
      <c r="J208" t="n">
        <v>22</v>
      </c>
      <c r="K208" t="n">
        <v>22</v>
      </c>
      <c r="L208" t="n">
        <v>20</v>
      </c>
      <c r="M208" t="n">
        <v>22</v>
      </c>
      <c r="N208" t="n">
        <v>22</v>
      </c>
      <c r="O208" t="n">
        <v>22</v>
      </c>
      <c r="P208" t="n">
        <v>19</v>
      </c>
    </row>
    <row r="209">
      <c r="A209" t="inlineStr">
        <is>
          <t>CurrentWorkingView</t>
        </is>
      </c>
      <c r="B209" s="1" t="n">
        <v>3616304175916</v>
      </c>
      <c r="C209" t="inlineStr">
        <is>
          <t>P_US_ALL_OTHERS</t>
        </is>
      </c>
      <c r="D209" t="inlineStr">
        <is>
          <t>System BestFit Final</t>
        </is>
      </c>
      <c r="E209" t="inlineStr">
        <is>
          <t>CML</t>
        </is>
      </c>
      <c r="F209" t="inlineStr">
        <is>
          <t>CML</t>
        </is>
      </c>
      <c r="G209" t="inlineStr">
        <is>
          <t>CML</t>
        </is>
      </c>
      <c r="H209" t="inlineStr">
        <is>
          <t>CML</t>
        </is>
      </c>
      <c r="I209" t="inlineStr">
        <is>
          <t>CML</t>
        </is>
      </c>
      <c r="J209" t="inlineStr">
        <is>
          <t>CML</t>
        </is>
      </c>
      <c r="K209" t="inlineStr">
        <is>
          <t>CML</t>
        </is>
      </c>
      <c r="L209" t="inlineStr">
        <is>
          <t>CML</t>
        </is>
      </c>
      <c r="M209" t="inlineStr">
        <is>
          <t>CML</t>
        </is>
      </c>
      <c r="N209" t="inlineStr">
        <is>
          <t>CML</t>
        </is>
      </c>
      <c r="O209" t="inlineStr">
        <is>
          <t>CML</t>
        </is>
      </c>
      <c r="P209" t="inlineStr">
        <is>
          <t>CML</t>
        </is>
      </c>
    </row>
    <row r="210">
      <c r="A210" t="inlineStr">
        <is>
          <t>CurrentWorkingView</t>
        </is>
      </c>
      <c r="B210" s="1" t="n">
        <v>3616304175916</v>
      </c>
      <c r="C210" t="inlineStr">
        <is>
          <t>P_US_ALL_OTHERS</t>
        </is>
      </c>
      <c r="D210" t="inlineStr">
        <is>
          <t>System Bestfit Model ST</t>
        </is>
      </c>
    </row>
    <row r="211">
      <c r="A211" t="inlineStr">
        <is>
          <t>CurrentWorkingView</t>
        </is>
      </c>
      <c r="B211" s="1" t="n">
        <v>3616304175916</v>
      </c>
      <c r="C211" t="inlineStr">
        <is>
          <t>P_US_ALL_OTHERS</t>
        </is>
      </c>
      <c r="D211" t="inlineStr">
        <is>
          <t>Planner BestFit Model</t>
        </is>
      </c>
      <c r="E211" t="inlineStr">
        <is>
          <t>CML</t>
        </is>
      </c>
      <c r="F211" t="inlineStr">
        <is>
          <t>CML</t>
        </is>
      </c>
      <c r="G211" t="inlineStr">
        <is>
          <t>CML</t>
        </is>
      </c>
      <c r="H211" t="inlineStr">
        <is>
          <t>CML</t>
        </is>
      </c>
      <c r="I211" t="inlineStr">
        <is>
          <t>CML</t>
        </is>
      </c>
      <c r="J211" t="inlineStr">
        <is>
          <t>CML</t>
        </is>
      </c>
      <c r="K211" t="inlineStr">
        <is>
          <t>CML</t>
        </is>
      </c>
      <c r="L211" t="inlineStr">
        <is>
          <t>CML</t>
        </is>
      </c>
      <c r="M211" t="inlineStr">
        <is>
          <t>CML</t>
        </is>
      </c>
      <c r="N211" t="inlineStr">
        <is>
          <t>CML</t>
        </is>
      </c>
      <c r="O211" t="inlineStr">
        <is>
          <t>CML</t>
        </is>
      </c>
      <c r="P211" t="inlineStr">
        <is>
          <t>CML</t>
        </is>
      </c>
    </row>
    <row r="212">
      <c r="A212" t="inlineStr">
        <is>
          <t>CurrentWorkingView</t>
        </is>
      </c>
      <c r="B212" s="1" t="n">
        <v>3616304175916</v>
      </c>
      <c r="C212" t="inlineStr">
        <is>
          <t>P_US_ULTA</t>
        </is>
      </c>
      <c r="D212" t="inlineStr">
        <is>
          <t>System FC - Final</t>
        </is>
      </c>
      <c r="E212" t="n">
        <v>12</v>
      </c>
      <c r="F212" t="n">
        <v>8</v>
      </c>
      <c r="G212" t="n">
        <v>45</v>
      </c>
      <c r="H212" t="n">
        <v>10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CurrentWorkingView</t>
        </is>
      </c>
      <c r="B213" s="1" t="n">
        <v>3616304175916</v>
      </c>
      <c r="C213" t="inlineStr">
        <is>
          <t>P_US_ULTA</t>
        </is>
      </c>
      <c r="D213" t="inlineStr">
        <is>
          <t>CML Fcst</t>
        </is>
      </c>
      <c r="H213" t="n">
        <v>160</v>
      </c>
      <c r="I213" t="n">
        <v>408</v>
      </c>
      <c r="J213" t="n">
        <v>169</v>
      </c>
      <c r="K213" t="n">
        <v>549</v>
      </c>
      <c r="L213" t="n">
        <v>720</v>
      </c>
      <c r="M213" t="n">
        <v>367</v>
      </c>
      <c r="N213" t="n">
        <v>373</v>
      </c>
      <c r="O213" t="n">
        <v>151</v>
      </c>
      <c r="P213" t="n">
        <v>141</v>
      </c>
    </row>
    <row r="214">
      <c r="A214" t="inlineStr">
        <is>
          <t>CurrentWorkingView</t>
        </is>
      </c>
      <c r="B214" s="1" t="n">
        <v>3616304175916</v>
      </c>
      <c r="C214" t="inlineStr">
        <is>
          <t>P_US_ULTA</t>
        </is>
      </c>
      <c r="D214" t="inlineStr">
        <is>
          <t>ST Stat Fcst</t>
        </is>
      </c>
      <c r="E214" t="n">
        <v>12</v>
      </c>
      <c r="F214" t="n">
        <v>8</v>
      </c>
      <c r="G214" t="n">
        <v>112</v>
      </c>
      <c r="H214" t="n">
        <v>31</v>
      </c>
      <c r="I214" t="n">
        <v>0</v>
      </c>
      <c r="J214" t="n">
        <v>0</v>
      </c>
      <c r="K214" t="n">
        <v>13</v>
      </c>
      <c r="L214" t="n">
        <v>0</v>
      </c>
      <c r="M214" t="n">
        <v>0</v>
      </c>
      <c r="N214" t="n">
        <v>0</v>
      </c>
      <c r="O214" t="n">
        <v>0</v>
      </c>
      <c r="P214" t="n">
        <v>13</v>
      </c>
    </row>
    <row r="215">
      <c r="A215" t="inlineStr">
        <is>
          <t>CurrentWorkingView</t>
        </is>
      </c>
      <c r="B215" s="1" t="n">
        <v>3616304175916</v>
      </c>
      <c r="C215" t="inlineStr">
        <is>
          <t>P_US_ULTA</t>
        </is>
      </c>
      <c r="D215" t="inlineStr">
        <is>
          <t>LT Stat Fcst</t>
        </is>
      </c>
      <c r="H215" t="n">
        <v>9</v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CurrentWorkingView</t>
        </is>
      </c>
      <c r="B216" s="1" t="n">
        <v>3616304175916</v>
      </c>
      <c r="C216" t="inlineStr">
        <is>
          <t>P_US_ULTA</t>
        </is>
      </c>
      <c r="D216" t="inlineStr">
        <is>
          <t>System BestFit Final</t>
        </is>
      </c>
      <c r="E216" t="inlineStr">
        <is>
          <t>LT</t>
        </is>
      </c>
      <c r="F216" t="inlineStr">
        <is>
          <t>LT</t>
        </is>
      </c>
      <c r="G216" t="inlineStr">
        <is>
          <t>LT</t>
        </is>
      </c>
      <c r="H216" t="inlineStr">
        <is>
          <t>LT</t>
        </is>
      </c>
      <c r="I216" t="inlineStr">
        <is>
          <t>LT</t>
        </is>
      </c>
      <c r="J216" t="inlineStr">
        <is>
          <t>LT</t>
        </is>
      </c>
      <c r="K216" t="inlineStr">
        <is>
          <t>LT</t>
        </is>
      </c>
      <c r="L216" t="inlineStr">
        <is>
          <t>LT</t>
        </is>
      </c>
      <c r="M216" t="inlineStr">
        <is>
          <t>LT</t>
        </is>
      </c>
      <c r="N216" t="inlineStr">
        <is>
          <t>LT</t>
        </is>
      </c>
      <c r="O216" t="inlineStr">
        <is>
          <t>LT</t>
        </is>
      </c>
      <c r="P216" t="inlineStr">
        <is>
          <t>LT</t>
        </is>
      </c>
    </row>
    <row r="217">
      <c r="A217" t="inlineStr">
        <is>
          <t>CurrentWorkingView</t>
        </is>
      </c>
      <c r="B217" s="1" t="n">
        <v>3616304175916</v>
      </c>
      <c r="C217" t="inlineStr">
        <is>
          <t>P_US_ULTA</t>
        </is>
      </c>
      <c r="D217" t="inlineStr">
        <is>
          <t>System Bestfit Model ST</t>
        </is>
      </c>
    </row>
    <row r="218">
      <c r="A218" t="inlineStr">
        <is>
          <t>CurrentWorkingView</t>
        </is>
      </c>
      <c r="B218" s="1" t="n">
        <v>3616304175916</v>
      </c>
      <c r="C218" t="inlineStr">
        <is>
          <t>P_US_ULTA</t>
        </is>
      </c>
      <c r="D218" t="inlineStr">
        <is>
          <t>Planner BestFit Model</t>
        </is>
      </c>
    </row>
    <row r="219">
      <c r="A219" t="inlineStr">
        <is>
          <t>CurrentWorkingView</t>
        </is>
      </c>
      <c r="B219" s="1" t="n">
        <v>3616304249716</v>
      </c>
      <c r="C219" t="inlineStr">
        <is>
          <t>P_US_ALL_OTHERS</t>
        </is>
      </c>
      <c r="D219" t="inlineStr">
        <is>
          <t>System FC - Final</t>
        </is>
      </c>
      <c r="E219" t="n">
        <v>387</v>
      </c>
      <c r="F219" t="n">
        <v>448</v>
      </c>
      <c r="G219" t="n">
        <v>1190</v>
      </c>
      <c r="H219" t="n">
        <v>1416</v>
      </c>
      <c r="I219" t="n">
        <v>863</v>
      </c>
      <c r="J219" t="n">
        <v>1656</v>
      </c>
      <c r="K219" t="n">
        <v>859</v>
      </c>
      <c r="L219" t="n">
        <v>1112</v>
      </c>
      <c r="M219" t="n">
        <v>904</v>
      </c>
      <c r="N219" t="n">
        <v>815</v>
      </c>
      <c r="O219" t="n">
        <v>1523</v>
      </c>
      <c r="P219" t="n">
        <v>806</v>
      </c>
    </row>
    <row r="220">
      <c r="A220" t="inlineStr">
        <is>
          <t>CurrentWorkingView</t>
        </is>
      </c>
      <c r="B220" s="1" t="n">
        <v>3616304249716</v>
      </c>
      <c r="C220" t="inlineStr">
        <is>
          <t>P_US_ALL_OTHERS</t>
        </is>
      </c>
      <c r="D220" t="inlineStr">
        <is>
          <t>CML Fcst</t>
        </is>
      </c>
      <c r="H220" t="n">
        <v>895</v>
      </c>
      <c r="I220" t="n">
        <v>394</v>
      </c>
      <c r="J220" t="n">
        <v>1423</v>
      </c>
      <c r="K220" t="n">
        <v>310</v>
      </c>
      <c r="L220" t="n">
        <v>624</v>
      </c>
      <c r="M220" t="n">
        <v>584</v>
      </c>
      <c r="N220" t="n">
        <v>523</v>
      </c>
      <c r="O220" t="n">
        <v>496</v>
      </c>
      <c r="P220" t="n">
        <v>303</v>
      </c>
    </row>
    <row r="221">
      <c r="A221" t="inlineStr">
        <is>
          <t>CurrentWorkingView</t>
        </is>
      </c>
      <c r="B221" s="1" t="n">
        <v>3616304249716</v>
      </c>
      <c r="C221" t="inlineStr">
        <is>
          <t>P_US_ALL_OTHERS</t>
        </is>
      </c>
      <c r="D221" t="inlineStr">
        <is>
          <t>ST Stat Fcst</t>
        </is>
      </c>
      <c r="E221" t="n">
        <v>387</v>
      </c>
      <c r="F221" t="n">
        <v>448</v>
      </c>
      <c r="G221" t="n">
        <v>1190</v>
      </c>
      <c r="H221" t="n">
        <v>1417</v>
      </c>
      <c r="I221" t="n">
        <v>862</v>
      </c>
      <c r="J221" t="n">
        <v>1656</v>
      </c>
      <c r="K221" t="n">
        <v>859</v>
      </c>
      <c r="L221" t="n">
        <v>1112</v>
      </c>
      <c r="M221" t="n">
        <v>904</v>
      </c>
      <c r="N221" t="n">
        <v>815</v>
      </c>
      <c r="O221" t="n">
        <v>1523</v>
      </c>
      <c r="P221" t="n">
        <v>806</v>
      </c>
    </row>
    <row r="222">
      <c r="A222" t="inlineStr">
        <is>
          <t>CurrentWorkingView</t>
        </is>
      </c>
      <c r="B222" s="1" t="n">
        <v>3616304249716</v>
      </c>
      <c r="C222" t="inlineStr">
        <is>
          <t>P_US_ALL_OTHERS</t>
        </is>
      </c>
      <c r="D222" t="inlineStr">
        <is>
          <t>LT Stat Fcst</t>
        </is>
      </c>
      <c r="H222" t="n">
        <v>1887</v>
      </c>
      <c r="I222" t="n">
        <v>1140</v>
      </c>
      <c r="J222" t="n">
        <v>4309</v>
      </c>
      <c r="K222" t="n">
        <v>1032</v>
      </c>
      <c r="L222" t="n">
        <v>1208</v>
      </c>
      <c r="M222" t="n">
        <v>1572</v>
      </c>
      <c r="N222" t="n">
        <v>1127</v>
      </c>
      <c r="O222" t="n">
        <v>1209</v>
      </c>
      <c r="P222" t="n">
        <v>817</v>
      </c>
    </row>
    <row r="223">
      <c r="A223" t="inlineStr">
        <is>
          <t>CurrentWorkingView</t>
        </is>
      </c>
      <c r="B223" s="1" t="n">
        <v>3616304249716</v>
      </c>
      <c r="C223" t="inlineStr">
        <is>
          <t>P_US_ALL_OTHERS</t>
        </is>
      </c>
      <c r="D223" t="inlineStr">
        <is>
          <t>System BestFit Final</t>
        </is>
      </c>
      <c r="E223" t="inlineStr">
        <is>
          <t>ST</t>
        </is>
      </c>
      <c r="F223" t="inlineStr">
        <is>
          <t>ST</t>
        </is>
      </c>
      <c r="G223" t="inlineStr">
        <is>
          <t>ST</t>
        </is>
      </c>
      <c r="H223" t="inlineStr">
        <is>
          <t>ST</t>
        </is>
      </c>
      <c r="I223" t="inlineStr">
        <is>
          <t>ST</t>
        </is>
      </c>
      <c r="J223" t="inlineStr">
        <is>
          <t>ST</t>
        </is>
      </c>
      <c r="K223" t="inlineStr">
        <is>
          <t>ST</t>
        </is>
      </c>
      <c r="L223" t="inlineStr">
        <is>
          <t>ST</t>
        </is>
      </c>
      <c r="M223" t="inlineStr">
        <is>
          <t>ST</t>
        </is>
      </c>
      <c r="N223" t="inlineStr">
        <is>
          <t>ST</t>
        </is>
      </c>
      <c r="O223" t="inlineStr">
        <is>
          <t>ST</t>
        </is>
      </c>
      <c r="P223" t="inlineStr">
        <is>
          <t>ST</t>
        </is>
      </c>
    </row>
    <row r="224">
      <c r="A224" t="inlineStr">
        <is>
          <t>CurrentWorkingView</t>
        </is>
      </c>
      <c r="B224" s="1" t="n">
        <v>3616304249716</v>
      </c>
      <c r="C224" t="inlineStr">
        <is>
          <t>P_US_ALL_OTHERS</t>
        </is>
      </c>
      <c r="D224" t="inlineStr">
        <is>
          <t>System Bestfit Model ST</t>
        </is>
      </c>
      <c r="E224" t="inlineStr">
        <is>
          <t>ST</t>
        </is>
      </c>
      <c r="F224" t="inlineStr">
        <is>
          <t>ST</t>
        </is>
      </c>
      <c r="G224" t="inlineStr">
        <is>
          <t>ST</t>
        </is>
      </c>
      <c r="H224" t="inlineStr">
        <is>
          <t>ST</t>
        </is>
      </c>
      <c r="I224" t="inlineStr">
        <is>
          <t>ST</t>
        </is>
      </c>
      <c r="J224" t="inlineStr">
        <is>
          <t>ST</t>
        </is>
      </c>
      <c r="K224" t="inlineStr">
        <is>
          <t>ST</t>
        </is>
      </c>
      <c r="L224" t="inlineStr">
        <is>
          <t>ST</t>
        </is>
      </c>
      <c r="M224" t="inlineStr">
        <is>
          <t>ST</t>
        </is>
      </c>
      <c r="N224" t="inlineStr">
        <is>
          <t>ST</t>
        </is>
      </c>
      <c r="O224" t="inlineStr">
        <is>
          <t>ST</t>
        </is>
      </c>
      <c r="P224" t="inlineStr">
        <is>
          <t>ST</t>
        </is>
      </c>
    </row>
    <row r="225">
      <c r="A225" t="inlineStr">
        <is>
          <t>CurrentWorkingView</t>
        </is>
      </c>
      <c r="B225" s="1" t="n">
        <v>3616304249716</v>
      </c>
      <c r="C225" t="inlineStr">
        <is>
          <t>P_US_ALL_OTHERS</t>
        </is>
      </c>
      <c r="D225" t="inlineStr">
        <is>
          <t>Planner BestFit Model</t>
        </is>
      </c>
      <c r="E225" t="inlineStr">
        <is>
          <t>ST</t>
        </is>
      </c>
      <c r="F225" t="inlineStr">
        <is>
          <t>ST</t>
        </is>
      </c>
      <c r="G225" t="inlineStr">
        <is>
          <t>ST</t>
        </is>
      </c>
      <c r="H225" t="inlineStr">
        <is>
          <t>ST</t>
        </is>
      </c>
      <c r="I225" t="inlineStr">
        <is>
          <t>ST</t>
        </is>
      </c>
      <c r="J225" t="inlineStr">
        <is>
          <t>ST</t>
        </is>
      </c>
      <c r="K225" t="inlineStr">
        <is>
          <t>ST</t>
        </is>
      </c>
      <c r="L225" t="inlineStr">
        <is>
          <t>ST</t>
        </is>
      </c>
      <c r="M225" t="inlineStr">
        <is>
          <t>ST</t>
        </is>
      </c>
      <c r="N225" t="inlineStr">
        <is>
          <t>ST</t>
        </is>
      </c>
      <c r="O225" t="inlineStr">
        <is>
          <t>ST</t>
        </is>
      </c>
      <c r="P225" t="inlineStr">
        <is>
          <t>ST</t>
        </is>
      </c>
    </row>
    <row r="226">
      <c r="A226" t="inlineStr">
        <is>
          <t>CurrentWorkingView</t>
        </is>
      </c>
      <c r="B226" s="1" t="n">
        <v>3616304249716</v>
      </c>
      <c r="C226" t="inlineStr">
        <is>
          <t>P_US_ULTA</t>
        </is>
      </c>
      <c r="D226" t="inlineStr">
        <is>
          <t>System FC - Final</t>
        </is>
      </c>
      <c r="E226" t="n">
        <v>52</v>
      </c>
      <c r="F226" t="n">
        <v>154</v>
      </c>
      <c r="G226" t="n">
        <v>350</v>
      </c>
      <c r="H226" t="n">
        <v>123</v>
      </c>
      <c r="I226" t="n">
        <v>163</v>
      </c>
      <c r="J226" t="n">
        <v>429</v>
      </c>
      <c r="K226" t="n">
        <v>190</v>
      </c>
      <c r="L226" t="n">
        <v>112</v>
      </c>
      <c r="M226" t="n">
        <v>155</v>
      </c>
      <c r="N226" t="n">
        <v>77</v>
      </c>
      <c r="O226" t="n">
        <v>97</v>
      </c>
      <c r="P226" t="n">
        <v>43</v>
      </c>
    </row>
    <row r="227">
      <c r="A227" t="inlineStr">
        <is>
          <t>CurrentWorkingView</t>
        </is>
      </c>
      <c r="B227" s="1" t="n">
        <v>3616304249716</v>
      </c>
      <c r="C227" t="inlineStr">
        <is>
          <t>P_US_ULTA</t>
        </is>
      </c>
      <c r="D227" t="inlineStr">
        <is>
          <t>CML Fcst</t>
        </is>
      </c>
      <c r="H227" t="n">
        <v>124</v>
      </c>
      <c r="I227" t="n">
        <v>162</v>
      </c>
      <c r="J227" t="n">
        <v>429</v>
      </c>
      <c r="K227" t="n">
        <v>190</v>
      </c>
      <c r="L227" t="n">
        <v>112</v>
      </c>
      <c r="M227" t="n">
        <v>155</v>
      </c>
      <c r="N227" t="n">
        <v>77</v>
      </c>
      <c r="O227" t="n">
        <v>97</v>
      </c>
      <c r="P227" t="n">
        <v>43</v>
      </c>
    </row>
    <row r="228">
      <c r="A228" t="inlineStr">
        <is>
          <t>CurrentWorkingView</t>
        </is>
      </c>
      <c r="B228" s="1" t="n">
        <v>3616304249716</v>
      </c>
      <c r="C228" t="inlineStr">
        <is>
          <t>P_US_ULTA</t>
        </is>
      </c>
      <c r="D228" t="inlineStr">
        <is>
          <t>ST Stat Fcst</t>
        </is>
      </c>
      <c r="E228" t="n">
        <v>52</v>
      </c>
      <c r="F228" t="n">
        <v>154</v>
      </c>
      <c r="G228" t="n">
        <v>304</v>
      </c>
      <c r="H228" t="n">
        <v>203</v>
      </c>
      <c r="I228" t="n">
        <v>150</v>
      </c>
      <c r="J228" t="n">
        <v>329</v>
      </c>
      <c r="K228" t="n">
        <v>173</v>
      </c>
      <c r="L228" t="n">
        <v>200</v>
      </c>
      <c r="M228" t="n">
        <v>385</v>
      </c>
      <c r="N228" t="n">
        <v>47</v>
      </c>
      <c r="O228" t="n">
        <v>310</v>
      </c>
      <c r="P228" t="n">
        <v>120</v>
      </c>
    </row>
    <row r="229">
      <c r="A229" t="inlineStr">
        <is>
          <t>CurrentWorkingView</t>
        </is>
      </c>
      <c r="B229" s="1" t="n">
        <v>3616304249716</v>
      </c>
      <c r="C229" t="inlineStr">
        <is>
          <t>P_US_ULTA</t>
        </is>
      </c>
      <c r="D229" t="inlineStr">
        <is>
          <t>LT Stat Fcst</t>
        </is>
      </c>
      <c r="H229" t="n">
        <v>322</v>
      </c>
      <c r="I229" t="n">
        <v>194</v>
      </c>
      <c r="J229" t="n">
        <v>735</v>
      </c>
      <c r="K229" t="n">
        <v>173</v>
      </c>
      <c r="L229" t="n">
        <v>208</v>
      </c>
      <c r="M229" t="n">
        <v>266</v>
      </c>
      <c r="N229" t="n">
        <v>193</v>
      </c>
      <c r="O229" t="n">
        <v>204</v>
      </c>
      <c r="P229" t="n">
        <v>139</v>
      </c>
    </row>
    <row r="230">
      <c r="A230" t="inlineStr">
        <is>
          <t>CurrentWorkingView</t>
        </is>
      </c>
      <c r="B230" s="1" t="n">
        <v>3616304249716</v>
      </c>
      <c r="C230" t="inlineStr">
        <is>
          <t>P_US_ULTA</t>
        </is>
      </c>
      <c r="D230" t="inlineStr">
        <is>
          <t>System BestFit Final</t>
        </is>
      </c>
      <c r="E230" t="inlineStr">
        <is>
          <t>CML</t>
        </is>
      </c>
      <c r="F230" t="inlineStr">
        <is>
          <t>CML</t>
        </is>
      </c>
      <c r="G230" t="inlineStr">
        <is>
          <t>CML</t>
        </is>
      </c>
      <c r="H230" t="inlineStr">
        <is>
          <t>CML</t>
        </is>
      </c>
      <c r="I230" t="inlineStr">
        <is>
          <t>CML</t>
        </is>
      </c>
      <c r="J230" t="inlineStr">
        <is>
          <t>CML</t>
        </is>
      </c>
      <c r="K230" t="inlineStr">
        <is>
          <t>CML</t>
        </is>
      </c>
      <c r="L230" t="inlineStr">
        <is>
          <t>CML</t>
        </is>
      </c>
      <c r="M230" t="inlineStr">
        <is>
          <t>CML</t>
        </is>
      </c>
      <c r="N230" t="inlineStr">
        <is>
          <t>CML</t>
        </is>
      </c>
      <c r="O230" t="inlineStr">
        <is>
          <t>CML</t>
        </is>
      </c>
      <c r="P230" t="inlineStr">
        <is>
          <t>CML</t>
        </is>
      </c>
    </row>
    <row r="231">
      <c r="A231" t="inlineStr">
        <is>
          <t>CurrentWorkingView</t>
        </is>
      </c>
      <c r="B231" s="1" t="n">
        <v>3616304249716</v>
      </c>
      <c r="C231" t="inlineStr">
        <is>
          <t>P_US_ULTA</t>
        </is>
      </c>
      <c r="D231" t="inlineStr">
        <is>
          <t>System Bestfit Model ST</t>
        </is>
      </c>
    </row>
    <row r="232">
      <c r="A232" t="inlineStr">
        <is>
          <t>CurrentWorkingView</t>
        </is>
      </c>
      <c r="B232" s="1" t="n">
        <v>3616304249716</v>
      </c>
      <c r="C232" t="inlineStr">
        <is>
          <t>P_US_ULTA</t>
        </is>
      </c>
      <c r="D232" t="inlineStr">
        <is>
          <t>Planner BestFit Model</t>
        </is>
      </c>
    </row>
    <row r="233">
      <c r="A233" t="inlineStr">
        <is>
          <t>CurrentWorkingView</t>
        </is>
      </c>
      <c r="B233" s="1" t="n">
        <v>3616305169259</v>
      </c>
      <c r="C233" t="inlineStr">
        <is>
          <t>P_US_ALL_OTHERS</t>
        </is>
      </c>
      <c r="D233" t="inlineStr">
        <is>
          <t>System FC - Final</t>
        </is>
      </c>
      <c r="E233" t="n">
        <v>1615</v>
      </c>
      <c r="F233" t="n">
        <v>660</v>
      </c>
      <c r="G233" t="n">
        <v>1477</v>
      </c>
      <c r="H233" t="n">
        <v>1478</v>
      </c>
      <c r="I233" t="n">
        <v>934</v>
      </c>
      <c r="J233" t="n">
        <v>1288</v>
      </c>
      <c r="K233" t="n">
        <v>665</v>
      </c>
      <c r="L233" t="n">
        <v>988</v>
      </c>
      <c r="M233" t="n">
        <v>2617</v>
      </c>
      <c r="N233" t="n">
        <v>672</v>
      </c>
      <c r="O233" t="n">
        <v>1090</v>
      </c>
      <c r="P233" t="n">
        <v>1867</v>
      </c>
    </row>
    <row r="234">
      <c r="A234" t="inlineStr">
        <is>
          <t>CurrentWorkingView</t>
        </is>
      </c>
      <c r="B234" s="1" t="n">
        <v>3616305169259</v>
      </c>
      <c r="C234" t="inlineStr">
        <is>
          <t>P_US_ALL_OTHERS</t>
        </is>
      </c>
      <c r="D234" t="inlineStr">
        <is>
          <t>CML Fcst</t>
        </is>
      </c>
      <c r="H234" t="n">
        <v>828</v>
      </c>
      <c r="I234" t="n">
        <v>762</v>
      </c>
      <c r="J234" t="n">
        <v>818</v>
      </c>
      <c r="K234" t="n">
        <v>921</v>
      </c>
      <c r="L234" t="n">
        <v>760</v>
      </c>
      <c r="M234" t="n">
        <v>1882</v>
      </c>
      <c r="N234" t="n">
        <v>600</v>
      </c>
      <c r="O234" t="n">
        <v>824</v>
      </c>
      <c r="P234" t="n">
        <v>1518</v>
      </c>
    </row>
    <row r="235">
      <c r="A235" t="inlineStr">
        <is>
          <t>CurrentWorkingView</t>
        </is>
      </c>
      <c r="B235" s="1" t="n">
        <v>3616305169259</v>
      </c>
      <c r="C235" t="inlineStr">
        <is>
          <t>P_US_ALL_OTHERS</t>
        </is>
      </c>
      <c r="D235" t="inlineStr">
        <is>
          <t>ST Stat Fcst</t>
        </is>
      </c>
      <c r="E235" t="n">
        <v>1615</v>
      </c>
      <c r="F235" t="n">
        <v>660</v>
      </c>
      <c r="G235" t="n">
        <v>1019</v>
      </c>
      <c r="H235" t="n">
        <v>76</v>
      </c>
      <c r="I235" t="n">
        <v>138</v>
      </c>
      <c r="J235" t="n">
        <v>332</v>
      </c>
      <c r="K235" t="n">
        <v>899</v>
      </c>
      <c r="L235" t="n">
        <v>408</v>
      </c>
      <c r="M235" t="n">
        <v>1674</v>
      </c>
      <c r="N235" t="n">
        <v>447</v>
      </c>
      <c r="O235" t="n">
        <v>602</v>
      </c>
      <c r="P235" t="n">
        <v>3145</v>
      </c>
    </row>
    <row r="236">
      <c r="A236" t="inlineStr">
        <is>
          <t>CurrentWorkingView</t>
        </is>
      </c>
      <c r="B236" s="1" t="n">
        <v>3616305169259</v>
      </c>
      <c r="C236" t="inlineStr">
        <is>
          <t>P_US_ALL_OTHERS</t>
        </is>
      </c>
      <c r="D236" t="inlineStr">
        <is>
          <t>LT Stat Fcst</t>
        </is>
      </c>
      <c r="H236" t="n">
        <v>1479</v>
      </c>
      <c r="I236" t="n">
        <v>934</v>
      </c>
      <c r="J236" t="n">
        <v>1288</v>
      </c>
      <c r="K236" t="n">
        <v>665</v>
      </c>
      <c r="L236" t="n">
        <v>988</v>
      </c>
      <c r="M236" t="n">
        <v>2617</v>
      </c>
      <c r="N236" t="n">
        <v>672</v>
      </c>
      <c r="O236" t="n">
        <v>1090</v>
      </c>
      <c r="P236" t="n">
        <v>1867</v>
      </c>
    </row>
    <row r="237">
      <c r="A237" t="inlineStr">
        <is>
          <t>CurrentWorkingView</t>
        </is>
      </c>
      <c r="B237" s="1" t="n">
        <v>3616305169259</v>
      </c>
      <c r="C237" t="inlineStr">
        <is>
          <t>P_US_ALL_OTHERS</t>
        </is>
      </c>
      <c r="D237" t="inlineStr">
        <is>
          <t>System BestFit Final</t>
        </is>
      </c>
      <c r="E237" t="inlineStr">
        <is>
          <t>LT</t>
        </is>
      </c>
      <c r="F237" t="inlineStr">
        <is>
          <t>LT</t>
        </is>
      </c>
      <c r="G237" t="inlineStr">
        <is>
          <t>LT</t>
        </is>
      </c>
      <c r="H237" t="inlineStr">
        <is>
          <t>LT</t>
        </is>
      </c>
      <c r="I237" t="inlineStr">
        <is>
          <t>LT</t>
        </is>
      </c>
      <c r="J237" t="inlineStr">
        <is>
          <t>LT</t>
        </is>
      </c>
      <c r="K237" t="inlineStr">
        <is>
          <t>LT</t>
        </is>
      </c>
      <c r="L237" t="inlineStr">
        <is>
          <t>LT</t>
        </is>
      </c>
      <c r="M237" t="inlineStr">
        <is>
          <t>LT</t>
        </is>
      </c>
      <c r="N237" t="inlineStr">
        <is>
          <t>LT</t>
        </is>
      </c>
      <c r="O237" t="inlineStr">
        <is>
          <t>LT</t>
        </is>
      </c>
      <c r="P237" t="inlineStr">
        <is>
          <t>LT</t>
        </is>
      </c>
    </row>
    <row r="238">
      <c r="A238" t="inlineStr">
        <is>
          <t>CurrentWorkingView</t>
        </is>
      </c>
      <c r="B238" s="1" t="n">
        <v>3616305169259</v>
      </c>
      <c r="C238" t="inlineStr">
        <is>
          <t>P_US_ALL_OTHERS</t>
        </is>
      </c>
      <c r="D238" t="inlineStr">
        <is>
          <t>System Bestfit Model ST</t>
        </is>
      </c>
    </row>
    <row r="239">
      <c r="A239" t="inlineStr">
        <is>
          <t>CurrentWorkingView</t>
        </is>
      </c>
      <c r="B239" s="1" t="n">
        <v>3616305169259</v>
      </c>
      <c r="C239" t="inlineStr">
        <is>
          <t>P_US_ALL_OTHERS</t>
        </is>
      </c>
      <c r="D239" t="inlineStr">
        <is>
          <t>Planner BestFit Model</t>
        </is>
      </c>
      <c r="E239" t="inlineStr">
        <is>
          <t>LT</t>
        </is>
      </c>
      <c r="F239" t="inlineStr">
        <is>
          <t>LT</t>
        </is>
      </c>
      <c r="G239" t="inlineStr">
        <is>
          <t>LT</t>
        </is>
      </c>
      <c r="H239" t="inlineStr">
        <is>
          <t>LT</t>
        </is>
      </c>
      <c r="I239" t="inlineStr">
        <is>
          <t>LT</t>
        </is>
      </c>
      <c r="J239" t="inlineStr">
        <is>
          <t>LT</t>
        </is>
      </c>
      <c r="K239" t="inlineStr">
        <is>
          <t>LT</t>
        </is>
      </c>
      <c r="L239" t="inlineStr">
        <is>
          <t>LT</t>
        </is>
      </c>
      <c r="M239" t="inlineStr">
        <is>
          <t>LT</t>
        </is>
      </c>
      <c r="N239" t="inlineStr">
        <is>
          <t>LT</t>
        </is>
      </c>
      <c r="O239" t="inlineStr">
        <is>
          <t>LT</t>
        </is>
      </c>
      <c r="P239" t="inlineStr">
        <is>
          <t>LT</t>
        </is>
      </c>
    </row>
    <row r="240">
      <c r="A240" t="inlineStr">
        <is>
          <t>CurrentWorkingView</t>
        </is>
      </c>
      <c r="B240" s="1" t="n">
        <v>3616305169259</v>
      </c>
      <c r="C240" t="inlineStr">
        <is>
          <t>P_US_ULTA</t>
        </is>
      </c>
      <c r="D240" t="inlineStr">
        <is>
          <t>System FC - Final</t>
        </is>
      </c>
      <c r="E240" t="n">
        <v>371</v>
      </c>
      <c r="F240" t="n">
        <v>1281</v>
      </c>
      <c r="G240" t="n">
        <v>2060</v>
      </c>
      <c r="H240" t="n">
        <v>1288</v>
      </c>
      <c r="I240" t="n">
        <v>818</v>
      </c>
      <c r="J240" t="n">
        <v>1126</v>
      </c>
      <c r="K240" t="n">
        <v>584</v>
      </c>
      <c r="L240" t="n">
        <v>864</v>
      </c>
      <c r="M240" t="n">
        <v>2289</v>
      </c>
      <c r="N240" t="n">
        <v>588</v>
      </c>
      <c r="O240" t="n">
        <v>952</v>
      </c>
      <c r="P240" t="n">
        <v>1631</v>
      </c>
    </row>
    <row r="241">
      <c r="A241" t="inlineStr">
        <is>
          <t>CurrentWorkingView</t>
        </is>
      </c>
      <c r="B241" s="1" t="n">
        <v>3616305169259</v>
      </c>
      <c r="C241" t="inlineStr">
        <is>
          <t>P_US_ULTA</t>
        </is>
      </c>
      <c r="D241" t="inlineStr">
        <is>
          <t>CML Fcst</t>
        </is>
      </c>
      <c r="H241" t="n">
        <v>1355</v>
      </c>
      <c r="I241" t="n">
        <v>938</v>
      </c>
      <c r="J241" t="n">
        <v>975</v>
      </c>
      <c r="K241" t="n">
        <v>522</v>
      </c>
      <c r="L241" t="n">
        <v>760</v>
      </c>
      <c r="M241" t="n">
        <v>1484</v>
      </c>
      <c r="N241" t="n">
        <v>758</v>
      </c>
      <c r="O241" t="n">
        <v>1280</v>
      </c>
      <c r="P241" t="n">
        <v>822</v>
      </c>
    </row>
    <row r="242">
      <c r="A242" t="inlineStr">
        <is>
          <t>CurrentWorkingView</t>
        </is>
      </c>
      <c r="B242" s="1" t="n">
        <v>3616305169259</v>
      </c>
      <c r="C242" t="inlineStr">
        <is>
          <t>P_US_ULTA</t>
        </is>
      </c>
      <c r="D242" t="inlineStr">
        <is>
          <t>ST Stat Fcst</t>
        </is>
      </c>
      <c r="E242" t="n">
        <v>371</v>
      </c>
      <c r="F242" t="n">
        <v>1281</v>
      </c>
      <c r="G242" t="n">
        <v>1549</v>
      </c>
      <c r="H242" t="n">
        <v>749</v>
      </c>
      <c r="I242" t="n">
        <v>738</v>
      </c>
      <c r="J242" t="n">
        <v>722</v>
      </c>
      <c r="K242" t="n">
        <v>713</v>
      </c>
      <c r="L242" t="n">
        <v>704</v>
      </c>
      <c r="M242" t="n">
        <v>695</v>
      </c>
      <c r="N242" t="n">
        <v>687</v>
      </c>
      <c r="O242" t="n">
        <v>682</v>
      </c>
      <c r="P242" t="n">
        <v>673</v>
      </c>
    </row>
    <row r="243">
      <c r="A243" t="inlineStr">
        <is>
          <t>CurrentWorkingView</t>
        </is>
      </c>
      <c r="B243" s="1" t="n">
        <v>3616305169259</v>
      </c>
      <c r="C243" t="inlineStr">
        <is>
          <t>P_US_ULTA</t>
        </is>
      </c>
      <c r="D243" t="inlineStr">
        <is>
          <t>LT Stat Fcst</t>
        </is>
      </c>
      <c r="H243" t="n">
        <v>1289</v>
      </c>
      <c r="I243" t="n">
        <v>818</v>
      </c>
      <c r="J243" t="n">
        <v>1126</v>
      </c>
      <c r="K243" t="n">
        <v>584</v>
      </c>
      <c r="L243" t="n">
        <v>864</v>
      </c>
      <c r="M243" t="n">
        <v>2289</v>
      </c>
      <c r="N243" t="n">
        <v>588</v>
      </c>
      <c r="O243" t="n">
        <v>952</v>
      </c>
      <c r="P243" t="n">
        <v>1631</v>
      </c>
    </row>
    <row r="244">
      <c r="A244" t="inlineStr">
        <is>
          <t>CurrentWorkingView</t>
        </is>
      </c>
      <c r="B244" s="1" t="n">
        <v>3616305169259</v>
      </c>
      <c r="C244" t="inlineStr">
        <is>
          <t>P_US_ULTA</t>
        </is>
      </c>
      <c r="D244" t="inlineStr">
        <is>
          <t>System BestFit Final</t>
        </is>
      </c>
      <c r="E244" t="inlineStr">
        <is>
          <t>LT</t>
        </is>
      </c>
      <c r="F244" t="inlineStr">
        <is>
          <t>LT</t>
        </is>
      </c>
      <c r="G244" t="inlineStr">
        <is>
          <t>LT</t>
        </is>
      </c>
      <c r="H244" t="inlineStr">
        <is>
          <t>LT</t>
        </is>
      </c>
      <c r="I244" t="inlineStr">
        <is>
          <t>LT</t>
        </is>
      </c>
      <c r="J244" t="inlineStr">
        <is>
          <t>LT</t>
        </is>
      </c>
      <c r="K244" t="inlineStr">
        <is>
          <t>LT</t>
        </is>
      </c>
      <c r="L244" t="inlineStr">
        <is>
          <t>LT</t>
        </is>
      </c>
      <c r="M244" t="inlineStr">
        <is>
          <t>LT</t>
        </is>
      </c>
      <c r="N244" t="inlineStr">
        <is>
          <t>LT</t>
        </is>
      </c>
      <c r="O244" t="inlineStr">
        <is>
          <t>LT</t>
        </is>
      </c>
      <c r="P244" t="inlineStr">
        <is>
          <t>LT</t>
        </is>
      </c>
    </row>
    <row r="245">
      <c r="A245" t="inlineStr">
        <is>
          <t>CurrentWorkingView</t>
        </is>
      </c>
      <c r="B245" s="1" t="n">
        <v>3616305169259</v>
      </c>
      <c r="C245" t="inlineStr">
        <is>
          <t>P_US_ULTA</t>
        </is>
      </c>
      <c r="D245" t="inlineStr">
        <is>
          <t>System Bestfit Model ST</t>
        </is>
      </c>
    </row>
    <row r="246">
      <c r="A246" t="inlineStr">
        <is>
          <t>CurrentWorkingView</t>
        </is>
      </c>
      <c r="B246" s="1" t="n">
        <v>3616305169259</v>
      </c>
      <c r="C246" t="inlineStr">
        <is>
          <t>P_US_ULTA</t>
        </is>
      </c>
      <c r="D246" t="inlineStr">
        <is>
          <t>Planner BestFit Model</t>
        </is>
      </c>
      <c r="E246" t="inlineStr">
        <is>
          <t>LT</t>
        </is>
      </c>
      <c r="F246" t="inlineStr">
        <is>
          <t>LT</t>
        </is>
      </c>
      <c r="G246" t="inlineStr">
        <is>
          <t>LT</t>
        </is>
      </c>
      <c r="H246" t="inlineStr">
        <is>
          <t>LT</t>
        </is>
      </c>
      <c r="I246" t="inlineStr">
        <is>
          <t>LT</t>
        </is>
      </c>
      <c r="J246" t="inlineStr">
        <is>
          <t>LT</t>
        </is>
      </c>
      <c r="K246" t="inlineStr">
        <is>
          <t>LT</t>
        </is>
      </c>
      <c r="L246" t="inlineStr">
        <is>
          <t>LT</t>
        </is>
      </c>
      <c r="M246" t="inlineStr">
        <is>
          <t>LT</t>
        </is>
      </c>
      <c r="N246" t="inlineStr">
        <is>
          <t>LT</t>
        </is>
      </c>
      <c r="O246" t="inlineStr">
        <is>
          <t>LT</t>
        </is>
      </c>
      <c r="P246" t="inlineStr">
        <is>
          <t>LT</t>
        </is>
      </c>
    </row>
    <row r="247">
      <c r="A247" t="inlineStr">
        <is>
          <t>CurrentWorkingView</t>
        </is>
      </c>
      <c r="B247" s="1" t="n">
        <v>3616305169273</v>
      </c>
      <c r="C247" t="inlineStr">
        <is>
          <t>P_US_ALL_OTHERS</t>
        </is>
      </c>
      <c r="D247" t="inlineStr">
        <is>
          <t>System FC - Final</t>
        </is>
      </c>
      <c r="E247" t="n">
        <v>2894</v>
      </c>
      <c r="F247" t="n">
        <v>1339</v>
      </c>
      <c r="G247" t="n">
        <v>1683</v>
      </c>
      <c r="H247" t="n">
        <v>496</v>
      </c>
      <c r="I247" t="n">
        <v>3558</v>
      </c>
      <c r="J247" t="n">
        <v>1364</v>
      </c>
      <c r="K247" t="n">
        <v>802</v>
      </c>
      <c r="L247" t="n">
        <v>1684</v>
      </c>
      <c r="M247" t="n">
        <v>2152</v>
      </c>
      <c r="N247" t="n">
        <v>497</v>
      </c>
      <c r="O247" t="n">
        <v>496</v>
      </c>
      <c r="P247" t="n">
        <v>497</v>
      </c>
    </row>
    <row r="248">
      <c r="A248" t="inlineStr">
        <is>
          <t>CurrentWorkingView</t>
        </is>
      </c>
      <c r="B248" s="1" t="n">
        <v>3616305169273</v>
      </c>
      <c r="C248" t="inlineStr">
        <is>
          <t>P_US_ALL_OTHERS</t>
        </is>
      </c>
      <c r="D248" t="inlineStr">
        <is>
          <t>CML Fcst</t>
        </is>
      </c>
      <c r="H248" t="n">
        <v>2755</v>
      </c>
      <c r="I248" t="n">
        <v>1766</v>
      </c>
      <c r="J248" t="n">
        <v>1784</v>
      </c>
      <c r="K248" t="n">
        <v>766</v>
      </c>
      <c r="L248" t="n">
        <v>1316</v>
      </c>
      <c r="M248" t="n">
        <v>1962</v>
      </c>
      <c r="N248" t="n">
        <v>1085</v>
      </c>
      <c r="O248" t="n">
        <v>1661</v>
      </c>
      <c r="P248" t="n">
        <v>1530</v>
      </c>
    </row>
    <row r="249">
      <c r="A249" t="inlineStr">
        <is>
          <t>CurrentWorkingView</t>
        </is>
      </c>
      <c r="B249" s="1" t="n">
        <v>3616305169273</v>
      </c>
      <c r="C249" t="inlineStr">
        <is>
          <t>P_US_ALL_OTHERS</t>
        </is>
      </c>
      <c r="D249" t="inlineStr">
        <is>
          <t>ST Stat Fcst</t>
        </is>
      </c>
      <c r="E249" t="n">
        <v>2894</v>
      </c>
      <c r="F249" t="n">
        <v>1339</v>
      </c>
      <c r="G249" t="n">
        <v>1683</v>
      </c>
      <c r="H249" t="n">
        <v>496</v>
      </c>
      <c r="I249" t="n">
        <v>3558</v>
      </c>
      <c r="J249" t="n">
        <v>1364</v>
      </c>
      <c r="K249" t="n">
        <v>802</v>
      </c>
      <c r="L249" t="n">
        <v>1684</v>
      </c>
      <c r="M249" t="n">
        <v>2152</v>
      </c>
      <c r="N249" t="n">
        <v>497</v>
      </c>
      <c r="O249" t="n">
        <v>496</v>
      </c>
      <c r="P249" t="n">
        <v>497</v>
      </c>
    </row>
    <row r="250">
      <c r="A250" t="inlineStr">
        <is>
          <t>CurrentWorkingView</t>
        </is>
      </c>
      <c r="B250" s="1" t="n">
        <v>3616305169273</v>
      </c>
      <c r="C250" t="inlineStr">
        <is>
          <t>P_US_ALL_OTHERS</t>
        </is>
      </c>
      <c r="D250" t="inlineStr">
        <is>
          <t>LT Stat Fcst</t>
        </is>
      </c>
      <c r="H250" t="n">
        <v>3096</v>
      </c>
      <c r="I250" t="n">
        <v>1968</v>
      </c>
      <c r="J250" t="n">
        <v>2705</v>
      </c>
      <c r="K250" t="n">
        <v>1399</v>
      </c>
      <c r="L250" t="n">
        <v>2068</v>
      </c>
      <c r="M250" t="n">
        <v>5487</v>
      </c>
      <c r="N250" t="n">
        <v>1410</v>
      </c>
      <c r="O250" t="n">
        <v>2289</v>
      </c>
      <c r="P250" t="n">
        <v>3912</v>
      </c>
    </row>
    <row r="251">
      <c r="A251" t="inlineStr">
        <is>
          <t>CurrentWorkingView</t>
        </is>
      </c>
      <c r="B251" s="1" t="n">
        <v>3616305169273</v>
      </c>
      <c r="C251" t="inlineStr">
        <is>
          <t>P_US_ALL_OTHERS</t>
        </is>
      </c>
      <c r="D251" t="inlineStr">
        <is>
          <t>System BestFit Final</t>
        </is>
      </c>
      <c r="E251" t="inlineStr">
        <is>
          <t>ST</t>
        </is>
      </c>
      <c r="F251" t="inlineStr">
        <is>
          <t>ST</t>
        </is>
      </c>
      <c r="G251" t="inlineStr">
        <is>
          <t>ST</t>
        </is>
      </c>
      <c r="H251" t="inlineStr">
        <is>
          <t>ST</t>
        </is>
      </c>
      <c r="I251" t="inlineStr">
        <is>
          <t>ST</t>
        </is>
      </c>
      <c r="J251" t="inlineStr">
        <is>
          <t>ST</t>
        </is>
      </c>
      <c r="K251" t="inlineStr">
        <is>
          <t>ST</t>
        </is>
      </c>
      <c r="L251" t="inlineStr">
        <is>
          <t>ST</t>
        </is>
      </c>
      <c r="M251" t="inlineStr">
        <is>
          <t>ST</t>
        </is>
      </c>
      <c r="N251" t="inlineStr">
        <is>
          <t>ST</t>
        </is>
      </c>
      <c r="O251" t="inlineStr">
        <is>
          <t>ST</t>
        </is>
      </c>
      <c r="P251" t="inlineStr">
        <is>
          <t>ST</t>
        </is>
      </c>
    </row>
    <row r="252">
      <c r="A252" t="inlineStr">
        <is>
          <t>CurrentWorkingView</t>
        </is>
      </c>
      <c r="B252" s="1" t="n">
        <v>3616305169273</v>
      </c>
      <c r="C252" t="inlineStr">
        <is>
          <t>P_US_ALL_OTHERS</t>
        </is>
      </c>
      <c r="D252" t="inlineStr">
        <is>
          <t>System Bestfit Model ST</t>
        </is>
      </c>
      <c r="E252" t="inlineStr">
        <is>
          <t>ST</t>
        </is>
      </c>
      <c r="F252" t="inlineStr">
        <is>
          <t>ST</t>
        </is>
      </c>
      <c r="G252" t="inlineStr">
        <is>
          <t>ST</t>
        </is>
      </c>
      <c r="H252" t="inlineStr">
        <is>
          <t>ST</t>
        </is>
      </c>
      <c r="I252" t="inlineStr">
        <is>
          <t>ST</t>
        </is>
      </c>
      <c r="J252" t="inlineStr">
        <is>
          <t>ST</t>
        </is>
      </c>
      <c r="K252" t="inlineStr">
        <is>
          <t>ST</t>
        </is>
      </c>
      <c r="L252" t="inlineStr">
        <is>
          <t>ST</t>
        </is>
      </c>
      <c r="M252" t="inlineStr">
        <is>
          <t>ST</t>
        </is>
      </c>
      <c r="N252" t="inlineStr">
        <is>
          <t>ST</t>
        </is>
      </c>
      <c r="O252" t="inlineStr">
        <is>
          <t>ST</t>
        </is>
      </c>
      <c r="P252" t="inlineStr">
        <is>
          <t>ST</t>
        </is>
      </c>
    </row>
    <row r="253">
      <c r="A253" t="inlineStr">
        <is>
          <t>CurrentWorkingView</t>
        </is>
      </c>
      <c r="B253" s="1" t="n">
        <v>3616305169273</v>
      </c>
      <c r="C253" t="inlineStr">
        <is>
          <t>P_US_ALL_OTHERS</t>
        </is>
      </c>
      <c r="D253" t="inlineStr">
        <is>
          <t>Planner BestFit Model</t>
        </is>
      </c>
      <c r="E253" t="inlineStr">
        <is>
          <t>ST</t>
        </is>
      </c>
      <c r="F253" t="inlineStr">
        <is>
          <t>ST</t>
        </is>
      </c>
      <c r="G253" t="inlineStr">
        <is>
          <t>ST</t>
        </is>
      </c>
      <c r="H253" t="inlineStr">
        <is>
          <t>ST</t>
        </is>
      </c>
      <c r="I253" t="inlineStr">
        <is>
          <t>ST</t>
        </is>
      </c>
      <c r="J253" t="inlineStr">
        <is>
          <t>ST</t>
        </is>
      </c>
      <c r="K253" t="inlineStr">
        <is>
          <t>ST</t>
        </is>
      </c>
      <c r="L253" t="inlineStr">
        <is>
          <t>ST</t>
        </is>
      </c>
      <c r="M253" t="inlineStr">
        <is>
          <t>ST</t>
        </is>
      </c>
      <c r="N253" t="inlineStr">
        <is>
          <t>ST</t>
        </is>
      </c>
      <c r="O253" t="inlineStr">
        <is>
          <t>ST</t>
        </is>
      </c>
      <c r="P253" t="inlineStr">
        <is>
          <t>ST</t>
        </is>
      </c>
    </row>
    <row r="254">
      <c r="A254" t="inlineStr">
        <is>
          <t>CurrentWorkingView</t>
        </is>
      </c>
      <c r="B254" s="1" t="n">
        <v>3616305169273</v>
      </c>
      <c r="C254" t="inlineStr">
        <is>
          <t>P_US_ULTA</t>
        </is>
      </c>
      <c r="D254" t="inlineStr">
        <is>
          <t>System FC - Final</t>
        </is>
      </c>
      <c r="E254" t="n">
        <v>576</v>
      </c>
      <c r="F254" t="n">
        <v>661</v>
      </c>
      <c r="G254" t="n">
        <v>1203</v>
      </c>
      <c r="H254" t="n">
        <v>462</v>
      </c>
      <c r="I254" t="n">
        <v>934</v>
      </c>
      <c r="J254" t="n">
        <v>766</v>
      </c>
      <c r="K254" t="n">
        <v>837</v>
      </c>
      <c r="L254" t="n">
        <v>764</v>
      </c>
      <c r="M254" t="n">
        <v>1032</v>
      </c>
      <c r="N254" t="n">
        <v>197</v>
      </c>
      <c r="O254" t="n">
        <v>527</v>
      </c>
      <c r="P254" t="n">
        <v>462</v>
      </c>
    </row>
    <row r="255">
      <c r="A255" t="inlineStr">
        <is>
          <t>CurrentWorkingView</t>
        </is>
      </c>
      <c r="B255" s="1" t="n">
        <v>3616305169273</v>
      </c>
      <c r="C255" t="inlineStr">
        <is>
          <t>P_US_ULTA</t>
        </is>
      </c>
      <c r="D255" t="inlineStr">
        <is>
          <t>CML Fcst</t>
        </is>
      </c>
      <c r="H255" t="n">
        <v>461</v>
      </c>
      <c r="I255" t="n">
        <v>934</v>
      </c>
      <c r="J255" t="n">
        <v>766</v>
      </c>
      <c r="K255" t="n">
        <v>837</v>
      </c>
      <c r="L255" t="n">
        <v>764</v>
      </c>
      <c r="M255" t="n">
        <v>1032</v>
      </c>
      <c r="N255" t="n">
        <v>197</v>
      </c>
      <c r="O255" t="n">
        <v>527</v>
      </c>
      <c r="P255" t="n">
        <v>462</v>
      </c>
    </row>
    <row r="256">
      <c r="A256" t="inlineStr">
        <is>
          <t>CurrentWorkingView</t>
        </is>
      </c>
      <c r="B256" s="1" t="n">
        <v>3616305169273</v>
      </c>
      <c r="C256" t="inlineStr">
        <is>
          <t>P_US_ULTA</t>
        </is>
      </c>
      <c r="D256" t="inlineStr">
        <is>
          <t>ST Stat Fcst</t>
        </is>
      </c>
      <c r="E256" t="n">
        <v>576</v>
      </c>
      <c r="F256" t="n">
        <v>661</v>
      </c>
      <c r="G256" t="n">
        <v>1203</v>
      </c>
      <c r="H256" t="n">
        <v>293</v>
      </c>
      <c r="I256" t="n">
        <v>1578</v>
      </c>
      <c r="J256" t="n">
        <v>0</v>
      </c>
      <c r="K256" t="n">
        <v>757</v>
      </c>
      <c r="L256" t="n">
        <v>632</v>
      </c>
      <c r="M256" t="n">
        <v>0</v>
      </c>
      <c r="N256" t="n">
        <v>305</v>
      </c>
      <c r="O256" t="n">
        <v>39</v>
      </c>
      <c r="P256" t="n">
        <v>566</v>
      </c>
    </row>
    <row r="257">
      <c r="A257" t="inlineStr">
        <is>
          <t>CurrentWorkingView</t>
        </is>
      </c>
      <c r="B257" s="1" t="n">
        <v>3616305169273</v>
      </c>
      <c r="C257" t="inlineStr">
        <is>
          <t>P_US_ULTA</t>
        </is>
      </c>
      <c r="D257" t="inlineStr">
        <is>
          <t>LT Stat Fcst</t>
        </is>
      </c>
      <c r="H257" t="n">
        <v>873</v>
      </c>
      <c r="I257" t="n">
        <v>552</v>
      </c>
      <c r="J257" t="n">
        <v>762</v>
      </c>
      <c r="K257" t="n">
        <v>394</v>
      </c>
      <c r="L257" t="n">
        <v>584</v>
      </c>
      <c r="M257" t="n">
        <v>1550</v>
      </c>
      <c r="N257" t="n">
        <v>398</v>
      </c>
      <c r="O257" t="n">
        <v>647</v>
      </c>
      <c r="P257" t="n">
        <v>1104</v>
      </c>
    </row>
    <row r="258">
      <c r="A258" t="inlineStr">
        <is>
          <t>CurrentWorkingView</t>
        </is>
      </c>
      <c r="B258" s="1" t="n">
        <v>3616305169273</v>
      </c>
      <c r="C258" t="inlineStr">
        <is>
          <t>P_US_ULTA</t>
        </is>
      </c>
      <c r="D258" t="inlineStr">
        <is>
          <t>System BestFit Final</t>
        </is>
      </c>
      <c r="E258" t="inlineStr">
        <is>
          <t>CML</t>
        </is>
      </c>
      <c r="F258" t="inlineStr">
        <is>
          <t>CML</t>
        </is>
      </c>
      <c r="G258" t="inlineStr">
        <is>
          <t>CML</t>
        </is>
      </c>
      <c r="H258" t="inlineStr">
        <is>
          <t>CML</t>
        </is>
      </c>
      <c r="I258" t="inlineStr">
        <is>
          <t>CML</t>
        </is>
      </c>
      <c r="J258" t="inlineStr">
        <is>
          <t>CML</t>
        </is>
      </c>
      <c r="K258" t="inlineStr">
        <is>
          <t>CML</t>
        </is>
      </c>
      <c r="L258" t="inlineStr">
        <is>
          <t>CML</t>
        </is>
      </c>
      <c r="M258" t="inlineStr">
        <is>
          <t>CML</t>
        </is>
      </c>
      <c r="N258" t="inlineStr">
        <is>
          <t>CML</t>
        </is>
      </c>
      <c r="O258" t="inlineStr">
        <is>
          <t>CML</t>
        </is>
      </c>
      <c r="P258" t="inlineStr">
        <is>
          <t>CML</t>
        </is>
      </c>
    </row>
    <row r="259">
      <c r="A259" t="inlineStr">
        <is>
          <t>CurrentWorkingView</t>
        </is>
      </c>
      <c r="B259" s="1" t="n">
        <v>3616305169273</v>
      </c>
      <c r="C259" t="inlineStr">
        <is>
          <t>P_US_ULTA</t>
        </is>
      </c>
      <c r="D259" t="inlineStr">
        <is>
          <t>System Bestfit Model ST</t>
        </is>
      </c>
    </row>
    <row r="260">
      <c r="A260" t="inlineStr">
        <is>
          <t>CurrentWorkingView</t>
        </is>
      </c>
      <c r="B260" s="1" t="n">
        <v>3616305169273</v>
      </c>
      <c r="C260" t="inlineStr">
        <is>
          <t>P_US_ULTA</t>
        </is>
      </c>
      <c r="D260" t="inlineStr">
        <is>
          <t>Planner BestFit Model</t>
        </is>
      </c>
    </row>
    <row r="261">
      <c r="A261" t="inlineStr">
        <is>
          <t>CurrentWorkingView</t>
        </is>
      </c>
      <c r="B261" s="1" t="n">
        <v>3616305169297</v>
      </c>
      <c r="C261" t="inlineStr">
        <is>
          <t>P_US_ALL_OTHERS</t>
        </is>
      </c>
      <c r="D261" t="inlineStr">
        <is>
          <t>System FC - Final</t>
        </is>
      </c>
      <c r="E261" t="n">
        <v>4320</v>
      </c>
      <c r="F261" t="n">
        <v>3285</v>
      </c>
      <c r="G261" t="n">
        <v>5120</v>
      </c>
      <c r="H261" t="n">
        <v>4569</v>
      </c>
      <c r="I261" t="n">
        <v>2896</v>
      </c>
      <c r="J261" t="n">
        <v>3986</v>
      </c>
      <c r="K261" t="n">
        <v>2059</v>
      </c>
      <c r="L261" t="n">
        <v>3052</v>
      </c>
      <c r="M261" t="n">
        <v>8095</v>
      </c>
      <c r="N261" t="n">
        <v>2079</v>
      </c>
      <c r="O261" t="n">
        <v>3375</v>
      </c>
      <c r="P261" t="n">
        <v>5771</v>
      </c>
    </row>
    <row r="262">
      <c r="A262" t="inlineStr">
        <is>
          <t>CurrentWorkingView</t>
        </is>
      </c>
      <c r="B262" s="1" t="n">
        <v>3616305169297</v>
      </c>
      <c r="C262" t="inlineStr">
        <is>
          <t>P_US_ALL_OTHERS</t>
        </is>
      </c>
      <c r="D262" t="inlineStr">
        <is>
          <t>CML Fcst</t>
        </is>
      </c>
      <c r="H262" t="n">
        <v>1266</v>
      </c>
      <c r="I262" t="n">
        <v>1152</v>
      </c>
      <c r="J262" t="n">
        <v>3684</v>
      </c>
      <c r="K262" t="n">
        <v>1510</v>
      </c>
      <c r="L262" t="n">
        <v>2436</v>
      </c>
      <c r="M262" t="n">
        <v>4858</v>
      </c>
      <c r="N262" t="n">
        <v>1972</v>
      </c>
      <c r="O262" t="n">
        <v>1869</v>
      </c>
      <c r="P262" t="n">
        <v>3934</v>
      </c>
    </row>
    <row r="263">
      <c r="A263" t="inlineStr">
        <is>
          <t>CurrentWorkingView</t>
        </is>
      </c>
      <c r="B263" s="1" t="n">
        <v>3616305169297</v>
      </c>
      <c r="C263" t="inlineStr">
        <is>
          <t>P_US_ALL_OTHERS</t>
        </is>
      </c>
      <c r="D263" t="inlineStr">
        <is>
          <t>ST Stat Fcst</t>
        </is>
      </c>
      <c r="E263" t="n">
        <v>4320</v>
      </c>
      <c r="F263" t="n">
        <v>3285</v>
      </c>
      <c r="G263" t="n">
        <v>3065</v>
      </c>
      <c r="H263" t="n">
        <v>367</v>
      </c>
      <c r="I263" t="n">
        <v>364</v>
      </c>
      <c r="J263" t="n">
        <v>367</v>
      </c>
      <c r="K263" t="n">
        <v>367</v>
      </c>
      <c r="L263" t="n">
        <v>5164</v>
      </c>
      <c r="M263" t="n">
        <v>5111</v>
      </c>
      <c r="N263" t="n">
        <v>10367</v>
      </c>
      <c r="O263" t="n">
        <v>3547</v>
      </c>
      <c r="P263" t="n">
        <v>6137</v>
      </c>
    </row>
    <row r="264">
      <c r="A264" t="inlineStr">
        <is>
          <t>CurrentWorkingView</t>
        </is>
      </c>
      <c r="B264" s="1" t="n">
        <v>3616305169297</v>
      </c>
      <c r="C264" t="inlineStr">
        <is>
          <t>P_US_ALL_OTHERS</t>
        </is>
      </c>
      <c r="D264" t="inlineStr">
        <is>
          <t>LT Stat Fcst</t>
        </is>
      </c>
      <c r="H264" t="n">
        <v>4569</v>
      </c>
      <c r="I264" t="n">
        <v>2896</v>
      </c>
      <c r="J264" t="n">
        <v>3986</v>
      </c>
      <c r="K264" t="n">
        <v>2059</v>
      </c>
      <c r="L264" t="n">
        <v>3052</v>
      </c>
      <c r="M264" t="n">
        <v>8095</v>
      </c>
      <c r="N264" t="n">
        <v>2079</v>
      </c>
      <c r="O264" t="n">
        <v>3375</v>
      </c>
      <c r="P264" t="n">
        <v>5771</v>
      </c>
    </row>
    <row r="265">
      <c r="A265" t="inlineStr">
        <is>
          <t>CurrentWorkingView</t>
        </is>
      </c>
      <c r="B265" s="1" t="n">
        <v>3616305169297</v>
      </c>
      <c r="C265" t="inlineStr">
        <is>
          <t>P_US_ALL_OTHERS</t>
        </is>
      </c>
      <c r="D265" t="inlineStr">
        <is>
          <t>System BestFit Final</t>
        </is>
      </c>
      <c r="E265" t="inlineStr">
        <is>
          <t>LT</t>
        </is>
      </c>
      <c r="F265" t="inlineStr">
        <is>
          <t>LT</t>
        </is>
      </c>
      <c r="G265" t="inlineStr">
        <is>
          <t>LT</t>
        </is>
      </c>
      <c r="H265" t="inlineStr">
        <is>
          <t>LT</t>
        </is>
      </c>
      <c r="I265" t="inlineStr">
        <is>
          <t>LT</t>
        </is>
      </c>
      <c r="J265" t="inlineStr">
        <is>
          <t>LT</t>
        </is>
      </c>
      <c r="K265" t="inlineStr">
        <is>
          <t>LT</t>
        </is>
      </c>
      <c r="L265" t="inlineStr">
        <is>
          <t>LT</t>
        </is>
      </c>
      <c r="M265" t="inlineStr">
        <is>
          <t>LT</t>
        </is>
      </c>
      <c r="N265" t="inlineStr">
        <is>
          <t>LT</t>
        </is>
      </c>
      <c r="O265" t="inlineStr">
        <is>
          <t>LT</t>
        </is>
      </c>
      <c r="P265" t="inlineStr">
        <is>
          <t>LT</t>
        </is>
      </c>
    </row>
    <row r="266">
      <c r="A266" t="inlineStr">
        <is>
          <t>CurrentWorkingView</t>
        </is>
      </c>
      <c r="B266" s="1" t="n">
        <v>3616305169297</v>
      </c>
      <c r="C266" t="inlineStr">
        <is>
          <t>P_US_ALL_OTHERS</t>
        </is>
      </c>
      <c r="D266" t="inlineStr">
        <is>
          <t>System Bestfit Model ST</t>
        </is>
      </c>
    </row>
    <row r="267">
      <c r="A267" t="inlineStr">
        <is>
          <t>CurrentWorkingView</t>
        </is>
      </c>
      <c r="B267" s="1" t="n">
        <v>3616305169297</v>
      </c>
      <c r="C267" t="inlineStr">
        <is>
          <t>P_US_ALL_OTHERS</t>
        </is>
      </c>
      <c r="D267" t="inlineStr">
        <is>
          <t>Planner BestFit Model</t>
        </is>
      </c>
      <c r="E267" t="inlineStr">
        <is>
          <t>LT</t>
        </is>
      </c>
      <c r="F267" t="inlineStr">
        <is>
          <t>LT</t>
        </is>
      </c>
      <c r="G267" t="inlineStr">
        <is>
          <t>LT</t>
        </is>
      </c>
      <c r="H267" t="inlineStr">
        <is>
          <t>LT</t>
        </is>
      </c>
      <c r="I267" t="inlineStr">
        <is>
          <t>LT</t>
        </is>
      </c>
      <c r="J267" t="inlineStr">
        <is>
          <t>LT</t>
        </is>
      </c>
      <c r="K267" t="inlineStr">
        <is>
          <t>LT</t>
        </is>
      </c>
      <c r="L267" t="inlineStr">
        <is>
          <t>LT</t>
        </is>
      </c>
      <c r="M267" t="inlineStr">
        <is>
          <t>LT</t>
        </is>
      </c>
      <c r="N267" t="inlineStr">
        <is>
          <t>LT</t>
        </is>
      </c>
      <c r="O267" t="inlineStr">
        <is>
          <t>LT</t>
        </is>
      </c>
      <c r="P267" t="inlineStr">
        <is>
          <t>LT</t>
        </is>
      </c>
    </row>
    <row r="268">
      <c r="A268" t="inlineStr">
        <is>
          <t>CurrentWorkingView</t>
        </is>
      </c>
      <c r="B268" s="1" t="n">
        <v>3616305169297</v>
      </c>
      <c r="C268" t="inlineStr">
        <is>
          <t>P_US_ULTA</t>
        </is>
      </c>
      <c r="D268" t="inlineStr">
        <is>
          <t>System FC - Final</t>
        </is>
      </c>
      <c r="E268" t="n">
        <v>1008</v>
      </c>
      <c r="F268" t="n">
        <v>3882</v>
      </c>
      <c r="G268" t="n">
        <v>5068</v>
      </c>
      <c r="H268" t="n">
        <v>2055</v>
      </c>
      <c r="I268" t="n">
        <v>1303</v>
      </c>
      <c r="J268" t="n">
        <v>1793</v>
      </c>
      <c r="K268" t="n">
        <v>929</v>
      </c>
      <c r="L268" t="n">
        <v>1372</v>
      </c>
      <c r="M268" t="n">
        <v>3641</v>
      </c>
      <c r="N268" t="n">
        <v>935</v>
      </c>
      <c r="O268" t="n">
        <v>1518</v>
      </c>
      <c r="P268" t="n">
        <v>2596</v>
      </c>
    </row>
    <row r="269">
      <c r="A269" t="inlineStr">
        <is>
          <t>CurrentWorkingView</t>
        </is>
      </c>
      <c r="B269" s="1" t="n">
        <v>3616305169297</v>
      </c>
      <c r="C269" t="inlineStr">
        <is>
          <t>P_US_ULTA</t>
        </is>
      </c>
      <c r="D269" t="inlineStr">
        <is>
          <t>CML Fcst</t>
        </is>
      </c>
      <c r="H269" t="n">
        <v>4261</v>
      </c>
      <c r="I269" t="n">
        <v>1170</v>
      </c>
      <c r="J269" t="n">
        <v>1285</v>
      </c>
      <c r="K269" t="n">
        <v>660</v>
      </c>
      <c r="L269" t="n">
        <v>1572</v>
      </c>
      <c r="M269" t="n">
        <v>6257</v>
      </c>
      <c r="N269" t="n">
        <v>805</v>
      </c>
      <c r="O269" t="n">
        <v>1001</v>
      </c>
      <c r="P269" t="n">
        <v>399</v>
      </c>
    </row>
    <row r="270">
      <c r="A270" t="inlineStr">
        <is>
          <t>CurrentWorkingView</t>
        </is>
      </c>
      <c r="B270" s="1" t="n">
        <v>3616305169297</v>
      </c>
      <c r="C270" t="inlineStr">
        <is>
          <t>P_US_ULTA</t>
        </is>
      </c>
      <c r="D270" t="inlineStr">
        <is>
          <t>ST Stat Fcst</t>
        </is>
      </c>
      <c r="E270" t="n">
        <v>1008</v>
      </c>
      <c r="F270" t="n">
        <v>3882</v>
      </c>
      <c r="G270" t="n">
        <v>4263</v>
      </c>
      <c r="H270" t="n">
        <v>439</v>
      </c>
      <c r="I270" t="n">
        <v>2392</v>
      </c>
      <c r="J270" t="n">
        <v>0</v>
      </c>
      <c r="K270" t="n">
        <v>0</v>
      </c>
      <c r="L270" t="n">
        <v>0</v>
      </c>
      <c r="M270" t="n">
        <v>4779</v>
      </c>
      <c r="N270" t="n">
        <v>0</v>
      </c>
      <c r="O270" t="n">
        <v>4043</v>
      </c>
      <c r="P270" t="n">
        <v>0</v>
      </c>
    </row>
    <row r="271">
      <c r="A271" t="inlineStr">
        <is>
          <t>CurrentWorkingView</t>
        </is>
      </c>
      <c r="B271" s="1" t="n">
        <v>3616305169297</v>
      </c>
      <c r="C271" t="inlineStr">
        <is>
          <t>P_US_ULTA</t>
        </is>
      </c>
      <c r="D271" t="inlineStr">
        <is>
          <t>LT Stat Fcst</t>
        </is>
      </c>
      <c r="H271" t="n">
        <v>2054</v>
      </c>
      <c r="I271" t="n">
        <v>1302</v>
      </c>
      <c r="J271" t="n">
        <v>1793</v>
      </c>
      <c r="K271" t="n">
        <v>929</v>
      </c>
      <c r="L271" t="n">
        <v>1372</v>
      </c>
      <c r="M271" t="n">
        <v>3641</v>
      </c>
      <c r="N271" t="n">
        <v>935</v>
      </c>
      <c r="O271" t="n">
        <v>1518</v>
      </c>
      <c r="P271" t="n">
        <v>2596</v>
      </c>
    </row>
    <row r="272">
      <c r="A272" t="inlineStr">
        <is>
          <t>CurrentWorkingView</t>
        </is>
      </c>
      <c r="B272" s="1" t="n">
        <v>3616305169297</v>
      </c>
      <c r="C272" t="inlineStr">
        <is>
          <t>P_US_ULTA</t>
        </is>
      </c>
      <c r="D272" t="inlineStr">
        <is>
          <t>System BestFit Final</t>
        </is>
      </c>
      <c r="E272" t="inlineStr">
        <is>
          <t>LT</t>
        </is>
      </c>
      <c r="F272" t="inlineStr">
        <is>
          <t>LT</t>
        </is>
      </c>
      <c r="G272" t="inlineStr">
        <is>
          <t>LT</t>
        </is>
      </c>
      <c r="H272" t="inlineStr">
        <is>
          <t>LT</t>
        </is>
      </c>
      <c r="I272" t="inlineStr">
        <is>
          <t>LT</t>
        </is>
      </c>
      <c r="J272" t="inlineStr">
        <is>
          <t>LT</t>
        </is>
      </c>
      <c r="K272" t="inlineStr">
        <is>
          <t>LT</t>
        </is>
      </c>
      <c r="L272" t="inlineStr">
        <is>
          <t>LT</t>
        </is>
      </c>
      <c r="M272" t="inlineStr">
        <is>
          <t>LT</t>
        </is>
      </c>
      <c r="N272" t="inlineStr">
        <is>
          <t>LT</t>
        </is>
      </c>
      <c r="O272" t="inlineStr">
        <is>
          <t>LT</t>
        </is>
      </c>
      <c r="P272" t="inlineStr">
        <is>
          <t>LT</t>
        </is>
      </c>
    </row>
    <row r="273">
      <c r="A273" t="inlineStr">
        <is>
          <t>CurrentWorkingView</t>
        </is>
      </c>
      <c r="B273" s="1" t="n">
        <v>3616305169297</v>
      </c>
      <c r="C273" t="inlineStr">
        <is>
          <t>P_US_ULTA</t>
        </is>
      </c>
      <c r="D273" t="inlineStr">
        <is>
          <t>System Bestfit Model ST</t>
        </is>
      </c>
    </row>
    <row r="274">
      <c r="A274" t="inlineStr">
        <is>
          <t>CurrentWorkingView</t>
        </is>
      </c>
      <c r="B274" s="1" t="n">
        <v>3616305169297</v>
      </c>
      <c r="C274" t="inlineStr">
        <is>
          <t>P_US_ULTA</t>
        </is>
      </c>
      <c r="D274" t="inlineStr">
        <is>
          <t>Planner BestFit Model</t>
        </is>
      </c>
      <c r="E274" t="inlineStr">
        <is>
          <t>LT</t>
        </is>
      </c>
      <c r="F274" t="inlineStr">
        <is>
          <t>LT</t>
        </is>
      </c>
      <c r="G274" t="inlineStr">
        <is>
          <t>LT</t>
        </is>
      </c>
      <c r="H274" t="inlineStr">
        <is>
          <t>LT</t>
        </is>
      </c>
      <c r="I274" t="inlineStr">
        <is>
          <t>LT</t>
        </is>
      </c>
      <c r="J274" t="inlineStr">
        <is>
          <t>LT</t>
        </is>
      </c>
      <c r="K274" t="inlineStr">
        <is>
          <t>LT</t>
        </is>
      </c>
      <c r="L274" t="inlineStr">
        <is>
          <t>LT</t>
        </is>
      </c>
      <c r="M274" t="inlineStr">
        <is>
          <t>LT</t>
        </is>
      </c>
      <c r="N274" t="inlineStr">
        <is>
          <t>LT</t>
        </is>
      </c>
      <c r="O274" t="inlineStr">
        <is>
          <t>LT</t>
        </is>
      </c>
      <c r="P274" t="inlineStr">
        <is>
          <t>LT</t>
        </is>
      </c>
    </row>
    <row r="275">
      <c r="A275" t="inlineStr">
        <is>
          <t>CurrentWorkingView</t>
        </is>
      </c>
      <c r="B275" s="1" t="n">
        <v>3616305275745</v>
      </c>
      <c r="C275" t="inlineStr">
        <is>
          <t>P_US_ALL_OTHERS</t>
        </is>
      </c>
      <c r="D275" t="inlineStr">
        <is>
          <t>System FC - Final</t>
        </is>
      </c>
      <c r="E275" t="n">
        <v>630</v>
      </c>
      <c r="F275" t="n">
        <v>1342</v>
      </c>
      <c r="G275" t="n">
        <v>984</v>
      </c>
      <c r="H275" t="n">
        <v>1855</v>
      </c>
      <c r="I275" t="n">
        <v>1851</v>
      </c>
      <c r="J275" t="n">
        <v>1855</v>
      </c>
      <c r="K275" t="n">
        <v>1855</v>
      </c>
      <c r="L275" t="n">
        <v>1852</v>
      </c>
      <c r="M275" t="n">
        <v>1855</v>
      </c>
      <c r="N275" t="n">
        <v>1852</v>
      </c>
      <c r="O275" t="n">
        <v>1856</v>
      </c>
      <c r="P275" t="n">
        <v>1852</v>
      </c>
    </row>
    <row r="276">
      <c r="A276" t="inlineStr">
        <is>
          <t>CurrentWorkingView</t>
        </is>
      </c>
      <c r="B276" s="1" t="n">
        <v>3616305275745</v>
      </c>
      <c r="C276" t="inlineStr">
        <is>
          <t>P_US_ALL_OTHERS</t>
        </is>
      </c>
      <c r="D276" t="inlineStr">
        <is>
          <t>CML Fcst</t>
        </is>
      </c>
      <c r="H276" t="n">
        <v>2715</v>
      </c>
      <c r="I276" t="n">
        <v>1658</v>
      </c>
      <c r="J276" t="n">
        <v>2369</v>
      </c>
      <c r="K276" t="n">
        <v>970</v>
      </c>
      <c r="L276" t="n">
        <v>1352</v>
      </c>
      <c r="M276" t="n">
        <v>1993</v>
      </c>
      <c r="N276" t="n">
        <v>990</v>
      </c>
      <c r="O276" t="n">
        <v>1492</v>
      </c>
      <c r="P276" t="n">
        <v>1230</v>
      </c>
    </row>
    <row r="277">
      <c r="A277" t="inlineStr">
        <is>
          <t>CurrentWorkingView</t>
        </is>
      </c>
      <c r="B277" s="1" t="n">
        <v>3616305275745</v>
      </c>
      <c r="C277" t="inlineStr">
        <is>
          <t>P_US_ALL_OTHERS</t>
        </is>
      </c>
      <c r="D277" t="inlineStr">
        <is>
          <t>ST Stat Fcst</t>
        </is>
      </c>
      <c r="E277" t="n">
        <v>630</v>
      </c>
      <c r="F277" t="n">
        <v>1342</v>
      </c>
      <c r="G277" t="n">
        <v>984</v>
      </c>
      <c r="H277" t="n">
        <v>1855</v>
      </c>
      <c r="I277" t="n">
        <v>1852</v>
      </c>
      <c r="J277" t="n">
        <v>1855</v>
      </c>
      <c r="K277" t="n">
        <v>1855</v>
      </c>
      <c r="L277" t="n">
        <v>1852</v>
      </c>
      <c r="M277" t="n">
        <v>1855</v>
      </c>
      <c r="N277" t="n">
        <v>1852</v>
      </c>
      <c r="O277" t="n">
        <v>1856</v>
      </c>
      <c r="P277" t="n">
        <v>1852</v>
      </c>
    </row>
    <row r="278">
      <c r="A278" t="inlineStr">
        <is>
          <t>CurrentWorkingView</t>
        </is>
      </c>
      <c r="B278" s="1" t="n">
        <v>3616305275745</v>
      </c>
      <c r="C278" t="inlineStr">
        <is>
          <t>P_US_ALL_OTHERS</t>
        </is>
      </c>
      <c r="D278" t="inlineStr">
        <is>
          <t>LT Stat Fcst</t>
        </is>
      </c>
      <c r="H278" t="n">
        <v>1865</v>
      </c>
      <c r="I278" t="n">
        <v>1916</v>
      </c>
      <c r="J278" t="n">
        <v>1904</v>
      </c>
      <c r="K278" t="n">
        <v>1895</v>
      </c>
      <c r="L278" t="n">
        <v>1904</v>
      </c>
      <c r="M278" t="n">
        <v>1896</v>
      </c>
      <c r="N278" t="n">
        <v>1899</v>
      </c>
      <c r="O278" t="n">
        <v>1900</v>
      </c>
      <c r="P278" t="n">
        <v>1709</v>
      </c>
    </row>
    <row r="279">
      <c r="A279" t="inlineStr">
        <is>
          <t>CurrentWorkingView</t>
        </is>
      </c>
      <c r="B279" s="1" t="n">
        <v>3616305275745</v>
      </c>
      <c r="C279" t="inlineStr">
        <is>
          <t>P_US_ALL_OTHERS</t>
        </is>
      </c>
      <c r="D279" t="inlineStr">
        <is>
          <t>System BestFit Final</t>
        </is>
      </c>
      <c r="E279" t="inlineStr">
        <is>
          <t>ST</t>
        </is>
      </c>
      <c r="F279" t="inlineStr">
        <is>
          <t>ST</t>
        </is>
      </c>
      <c r="G279" t="inlineStr">
        <is>
          <t>ST</t>
        </is>
      </c>
      <c r="H279" t="inlineStr">
        <is>
          <t>ST</t>
        </is>
      </c>
      <c r="I279" t="inlineStr">
        <is>
          <t>ST</t>
        </is>
      </c>
      <c r="J279" t="inlineStr">
        <is>
          <t>ST</t>
        </is>
      </c>
      <c r="K279" t="inlineStr">
        <is>
          <t>ST</t>
        </is>
      </c>
      <c r="L279" t="inlineStr">
        <is>
          <t>ST</t>
        </is>
      </c>
      <c r="M279" t="inlineStr">
        <is>
          <t>ST</t>
        </is>
      </c>
      <c r="N279" t="inlineStr">
        <is>
          <t>ST</t>
        </is>
      </c>
      <c r="O279" t="inlineStr">
        <is>
          <t>ST</t>
        </is>
      </c>
      <c r="P279" t="inlineStr">
        <is>
          <t>ST</t>
        </is>
      </c>
    </row>
    <row r="280">
      <c r="A280" t="inlineStr">
        <is>
          <t>CurrentWorkingView</t>
        </is>
      </c>
      <c r="B280" s="1" t="n">
        <v>3616305275745</v>
      </c>
      <c r="C280" t="inlineStr">
        <is>
          <t>P_US_ALL_OTHERS</t>
        </is>
      </c>
      <c r="D280" t="inlineStr">
        <is>
          <t>System Bestfit Model ST</t>
        </is>
      </c>
      <c r="E280" t="inlineStr">
        <is>
          <t>ST</t>
        </is>
      </c>
      <c r="F280" t="inlineStr">
        <is>
          <t>ST</t>
        </is>
      </c>
      <c r="G280" t="inlineStr">
        <is>
          <t>ST</t>
        </is>
      </c>
      <c r="H280" t="inlineStr">
        <is>
          <t>ST</t>
        </is>
      </c>
      <c r="I280" t="inlineStr">
        <is>
          <t>ST</t>
        </is>
      </c>
      <c r="J280" t="inlineStr">
        <is>
          <t>ST</t>
        </is>
      </c>
      <c r="K280" t="inlineStr">
        <is>
          <t>ST</t>
        </is>
      </c>
      <c r="L280" t="inlineStr">
        <is>
          <t>ST</t>
        </is>
      </c>
      <c r="M280" t="inlineStr">
        <is>
          <t>ST</t>
        </is>
      </c>
      <c r="N280" t="inlineStr">
        <is>
          <t>ST</t>
        </is>
      </c>
      <c r="O280" t="inlineStr">
        <is>
          <t>ST</t>
        </is>
      </c>
      <c r="P280" t="inlineStr">
        <is>
          <t>ST</t>
        </is>
      </c>
    </row>
    <row r="281">
      <c r="A281" t="inlineStr">
        <is>
          <t>CurrentWorkingView</t>
        </is>
      </c>
      <c r="B281" s="1" t="n">
        <v>3616305275745</v>
      </c>
      <c r="C281" t="inlineStr">
        <is>
          <t>P_US_ALL_OTHERS</t>
        </is>
      </c>
      <c r="D281" t="inlineStr">
        <is>
          <t>Planner BestFit Model</t>
        </is>
      </c>
      <c r="E281" t="inlineStr">
        <is>
          <t>ST</t>
        </is>
      </c>
      <c r="F281" t="inlineStr">
        <is>
          <t>ST</t>
        </is>
      </c>
      <c r="G281" t="inlineStr">
        <is>
          <t>ST</t>
        </is>
      </c>
      <c r="H281" t="inlineStr">
        <is>
          <t>ST</t>
        </is>
      </c>
      <c r="I281" t="inlineStr">
        <is>
          <t>ST</t>
        </is>
      </c>
      <c r="J281" t="inlineStr">
        <is>
          <t>ST</t>
        </is>
      </c>
      <c r="K281" t="inlineStr">
        <is>
          <t>ST</t>
        </is>
      </c>
      <c r="L281" t="inlineStr">
        <is>
          <t>ST</t>
        </is>
      </c>
      <c r="M281" t="inlineStr">
        <is>
          <t>ST</t>
        </is>
      </c>
      <c r="N281" t="inlineStr">
        <is>
          <t>ST</t>
        </is>
      </c>
      <c r="O281" t="inlineStr">
        <is>
          <t>ST</t>
        </is>
      </c>
      <c r="P281" t="inlineStr">
        <is>
          <t>ST</t>
        </is>
      </c>
    </row>
    <row r="282">
      <c r="A282" t="inlineStr">
        <is>
          <t>CurrentWorkingView</t>
        </is>
      </c>
      <c r="B282" s="1" t="n">
        <v>3616305275745</v>
      </c>
      <c r="C282" t="inlineStr">
        <is>
          <t>P_US_ULTA</t>
        </is>
      </c>
      <c r="D282" t="inlineStr">
        <is>
          <t>System FC - Final</t>
        </is>
      </c>
      <c r="E282" t="n">
        <v>123</v>
      </c>
      <c r="F282" t="n">
        <v>657</v>
      </c>
      <c r="G282" t="n">
        <v>712</v>
      </c>
      <c r="H282" t="n">
        <v>882</v>
      </c>
      <c r="I282" t="n">
        <v>882</v>
      </c>
      <c r="J282" t="n">
        <v>882</v>
      </c>
      <c r="K282" t="n">
        <v>881</v>
      </c>
      <c r="L282" t="n">
        <v>884</v>
      </c>
      <c r="M282" t="n">
        <v>881</v>
      </c>
      <c r="N282" t="n">
        <v>883</v>
      </c>
      <c r="O282" t="n">
        <v>881</v>
      </c>
      <c r="P282" t="n">
        <v>883</v>
      </c>
    </row>
    <row r="283">
      <c r="A283" t="inlineStr">
        <is>
          <t>CurrentWorkingView</t>
        </is>
      </c>
      <c r="B283" s="1" t="n">
        <v>3616305275745</v>
      </c>
      <c r="C283" t="inlineStr">
        <is>
          <t>P_US_ULTA</t>
        </is>
      </c>
      <c r="D283" t="inlineStr">
        <is>
          <t>CML Fcst</t>
        </is>
      </c>
      <c r="H283" t="n">
        <v>567</v>
      </c>
      <c r="I283" t="n">
        <v>882</v>
      </c>
      <c r="J283" t="n">
        <v>771</v>
      </c>
      <c r="K283" t="n">
        <v>456</v>
      </c>
      <c r="L283" t="n">
        <v>736</v>
      </c>
      <c r="M283" t="n">
        <v>957</v>
      </c>
      <c r="N283" t="n">
        <v>172</v>
      </c>
      <c r="O283" t="n">
        <v>426</v>
      </c>
      <c r="P283" t="n">
        <v>372</v>
      </c>
    </row>
    <row r="284">
      <c r="A284" t="inlineStr">
        <is>
          <t>CurrentWorkingView</t>
        </is>
      </c>
      <c r="B284" s="1" t="n">
        <v>3616305275745</v>
      </c>
      <c r="C284" t="inlineStr">
        <is>
          <t>P_US_ULTA</t>
        </is>
      </c>
      <c r="D284" t="inlineStr">
        <is>
          <t>ST Stat Fcst</t>
        </is>
      </c>
      <c r="E284" t="n">
        <v>123</v>
      </c>
      <c r="F284" t="n">
        <v>657</v>
      </c>
      <c r="G284" t="n">
        <v>712</v>
      </c>
      <c r="H284" t="n">
        <v>882</v>
      </c>
      <c r="I284" t="n">
        <v>882</v>
      </c>
      <c r="J284" t="n">
        <v>882</v>
      </c>
      <c r="K284" t="n">
        <v>881</v>
      </c>
      <c r="L284" t="n">
        <v>884</v>
      </c>
      <c r="M284" t="n">
        <v>881</v>
      </c>
      <c r="N284" t="n">
        <v>883</v>
      </c>
      <c r="O284" t="n">
        <v>881</v>
      </c>
      <c r="P284" t="n">
        <v>883</v>
      </c>
    </row>
    <row r="285">
      <c r="A285" t="inlineStr">
        <is>
          <t>CurrentWorkingView</t>
        </is>
      </c>
      <c r="B285" s="1" t="n">
        <v>3616305275745</v>
      </c>
      <c r="C285" t="inlineStr">
        <is>
          <t>P_US_ULTA</t>
        </is>
      </c>
      <c r="D285" t="inlineStr">
        <is>
          <t>LT Stat Fcst</t>
        </is>
      </c>
      <c r="H285" t="n">
        <v>594</v>
      </c>
      <c r="I285" t="n">
        <v>612</v>
      </c>
      <c r="J285" t="n">
        <v>607</v>
      </c>
      <c r="K285" t="n">
        <v>607</v>
      </c>
      <c r="L285" t="n">
        <v>608</v>
      </c>
      <c r="M285" t="n">
        <v>607</v>
      </c>
      <c r="N285" t="n">
        <v>605</v>
      </c>
      <c r="O285" t="n">
        <v>607</v>
      </c>
      <c r="P285" t="n">
        <v>547</v>
      </c>
    </row>
    <row r="286">
      <c r="A286" t="inlineStr">
        <is>
          <t>CurrentWorkingView</t>
        </is>
      </c>
      <c r="B286" s="1" t="n">
        <v>3616305275745</v>
      </c>
      <c r="C286" t="inlineStr">
        <is>
          <t>P_US_ULTA</t>
        </is>
      </c>
      <c r="D286" t="inlineStr">
        <is>
          <t>System BestFit Final</t>
        </is>
      </c>
      <c r="E286" t="inlineStr">
        <is>
          <t>ST</t>
        </is>
      </c>
      <c r="F286" t="inlineStr">
        <is>
          <t>ST</t>
        </is>
      </c>
      <c r="G286" t="inlineStr">
        <is>
          <t>ST</t>
        </is>
      </c>
      <c r="H286" t="inlineStr">
        <is>
          <t>ST</t>
        </is>
      </c>
      <c r="I286" t="inlineStr">
        <is>
          <t>ST</t>
        </is>
      </c>
      <c r="J286" t="inlineStr">
        <is>
          <t>ST</t>
        </is>
      </c>
      <c r="K286" t="inlineStr">
        <is>
          <t>ST</t>
        </is>
      </c>
      <c r="L286" t="inlineStr">
        <is>
          <t>ST</t>
        </is>
      </c>
      <c r="M286" t="inlineStr">
        <is>
          <t>ST</t>
        </is>
      </c>
      <c r="N286" t="inlineStr">
        <is>
          <t>ST</t>
        </is>
      </c>
      <c r="O286" t="inlineStr">
        <is>
          <t>ST</t>
        </is>
      </c>
      <c r="P286" t="inlineStr">
        <is>
          <t>ST</t>
        </is>
      </c>
    </row>
    <row r="287">
      <c r="A287" t="inlineStr">
        <is>
          <t>CurrentWorkingView</t>
        </is>
      </c>
      <c r="B287" s="1" t="n">
        <v>3616305275745</v>
      </c>
      <c r="C287" t="inlineStr">
        <is>
          <t>P_US_ULTA</t>
        </is>
      </c>
      <c r="D287" t="inlineStr">
        <is>
          <t>System Bestfit Model ST</t>
        </is>
      </c>
      <c r="E287" t="inlineStr">
        <is>
          <t>ST</t>
        </is>
      </c>
      <c r="F287" t="inlineStr">
        <is>
          <t>ST</t>
        </is>
      </c>
      <c r="G287" t="inlineStr">
        <is>
          <t>ST</t>
        </is>
      </c>
      <c r="H287" t="inlineStr">
        <is>
          <t>ST</t>
        </is>
      </c>
      <c r="I287" t="inlineStr">
        <is>
          <t>ST</t>
        </is>
      </c>
      <c r="J287" t="inlineStr">
        <is>
          <t>ST</t>
        </is>
      </c>
      <c r="K287" t="inlineStr">
        <is>
          <t>ST</t>
        </is>
      </c>
      <c r="L287" t="inlineStr">
        <is>
          <t>ST</t>
        </is>
      </c>
      <c r="M287" t="inlineStr">
        <is>
          <t>ST</t>
        </is>
      </c>
      <c r="N287" t="inlineStr">
        <is>
          <t>ST</t>
        </is>
      </c>
      <c r="O287" t="inlineStr">
        <is>
          <t>ST</t>
        </is>
      </c>
      <c r="P287" t="inlineStr">
        <is>
          <t>ST</t>
        </is>
      </c>
    </row>
    <row r="288">
      <c r="A288" t="inlineStr">
        <is>
          <t>CurrentWorkingView</t>
        </is>
      </c>
      <c r="B288" s="1" t="n">
        <v>3616305275745</v>
      </c>
      <c r="C288" t="inlineStr">
        <is>
          <t>P_US_ULTA</t>
        </is>
      </c>
      <c r="D288" t="inlineStr">
        <is>
          <t>Planner BestFit Model</t>
        </is>
      </c>
      <c r="E288" t="inlineStr">
        <is>
          <t>ST</t>
        </is>
      </c>
      <c r="F288" t="inlineStr">
        <is>
          <t>ST</t>
        </is>
      </c>
      <c r="G288" t="inlineStr">
        <is>
          <t>ST</t>
        </is>
      </c>
      <c r="H288" t="inlineStr">
        <is>
          <t>ST</t>
        </is>
      </c>
      <c r="I288" t="inlineStr">
        <is>
          <t>ST</t>
        </is>
      </c>
      <c r="J288" t="inlineStr">
        <is>
          <t>ST</t>
        </is>
      </c>
      <c r="K288" t="inlineStr">
        <is>
          <t>ST</t>
        </is>
      </c>
      <c r="L288" t="inlineStr">
        <is>
          <t>ST</t>
        </is>
      </c>
      <c r="M288" t="inlineStr">
        <is>
          <t>ST</t>
        </is>
      </c>
      <c r="N288" t="inlineStr">
        <is>
          <t>ST</t>
        </is>
      </c>
      <c r="O288" t="inlineStr">
        <is>
          <t>ST</t>
        </is>
      </c>
      <c r="P288" t="inlineStr">
        <is>
          <t>ST</t>
        </is>
      </c>
    </row>
    <row r="289">
      <c r="A289" t="inlineStr">
        <is>
          <t>CurrentWorkingView</t>
        </is>
      </c>
      <c r="B289" s="1" t="n">
        <v>3616305275776</v>
      </c>
      <c r="C289" t="inlineStr">
        <is>
          <t>P_US_ALL_OTHERS</t>
        </is>
      </c>
      <c r="D289" t="inlineStr">
        <is>
          <t>System FC - Final</t>
        </is>
      </c>
      <c r="E289" t="n">
        <v>1690</v>
      </c>
      <c r="F289" t="n">
        <v>1734</v>
      </c>
      <c r="G289" t="n">
        <v>2548</v>
      </c>
      <c r="H289" t="n">
        <v>1717</v>
      </c>
      <c r="I289" t="n">
        <v>1728</v>
      </c>
      <c r="J289" t="n">
        <v>1723</v>
      </c>
      <c r="K289" t="n">
        <v>1723</v>
      </c>
      <c r="L289" t="n">
        <v>1724</v>
      </c>
      <c r="M289" t="n">
        <v>1723</v>
      </c>
      <c r="N289" t="n">
        <v>1723</v>
      </c>
      <c r="O289" t="n">
        <v>1723</v>
      </c>
      <c r="P289" t="n">
        <v>1723</v>
      </c>
    </row>
    <row r="290">
      <c r="A290" t="inlineStr">
        <is>
          <t>CurrentWorkingView</t>
        </is>
      </c>
      <c r="B290" s="1" t="n">
        <v>3616305275776</v>
      </c>
      <c r="C290" t="inlineStr">
        <is>
          <t>P_US_ALL_OTHERS</t>
        </is>
      </c>
      <c r="D290" t="inlineStr">
        <is>
          <t>CML Fcst</t>
        </is>
      </c>
      <c r="H290" t="n">
        <v>1152</v>
      </c>
      <c r="I290" t="n">
        <v>1158</v>
      </c>
      <c r="J290" t="n">
        <v>2568</v>
      </c>
      <c r="K290" t="n">
        <v>1435</v>
      </c>
      <c r="L290" t="n">
        <v>1108</v>
      </c>
      <c r="M290" t="n">
        <v>2551</v>
      </c>
      <c r="N290" t="n">
        <v>1740</v>
      </c>
      <c r="O290" t="n">
        <v>1976</v>
      </c>
      <c r="P290" t="n">
        <v>1127</v>
      </c>
    </row>
    <row r="291">
      <c r="A291" t="inlineStr">
        <is>
          <t>CurrentWorkingView</t>
        </is>
      </c>
      <c r="B291" s="1" t="n">
        <v>3616305275776</v>
      </c>
      <c r="C291" t="inlineStr">
        <is>
          <t>P_US_ALL_OTHERS</t>
        </is>
      </c>
      <c r="D291" t="inlineStr">
        <is>
          <t>ST Stat Fcst</t>
        </is>
      </c>
      <c r="E291" t="n">
        <v>1690</v>
      </c>
      <c r="F291" t="n">
        <v>1734</v>
      </c>
      <c r="G291" t="n">
        <v>2250</v>
      </c>
      <c r="H291" t="n">
        <v>1718</v>
      </c>
      <c r="I291" t="n">
        <v>1728</v>
      </c>
      <c r="J291" t="n">
        <v>1723</v>
      </c>
      <c r="K291" t="n">
        <v>1723</v>
      </c>
      <c r="L291" t="n">
        <v>1724</v>
      </c>
      <c r="M291" t="n">
        <v>1723</v>
      </c>
      <c r="N291" t="n">
        <v>1723</v>
      </c>
      <c r="O291" t="n">
        <v>1723</v>
      </c>
      <c r="P291" t="n">
        <v>1723</v>
      </c>
    </row>
    <row r="292">
      <c r="A292" t="inlineStr">
        <is>
          <t>CurrentWorkingView</t>
        </is>
      </c>
      <c r="B292" s="1" t="n">
        <v>3616305275776</v>
      </c>
      <c r="C292" t="inlineStr">
        <is>
          <t>P_US_ALL_OTHERS</t>
        </is>
      </c>
      <c r="D292" t="inlineStr">
        <is>
          <t>LT Stat Fcst</t>
        </is>
      </c>
      <c r="H292" t="n">
        <v>1834</v>
      </c>
      <c r="I292" t="n">
        <v>1882</v>
      </c>
      <c r="J292" t="n">
        <v>1874</v>
      </c>
      <c r="K292" t="n">
        <v>1864</v>
      </c>
      <c r="L292" t="n">
        <v>1872</v>
      </c>
      <c r="M292" t="n">
        <v>1869</v>
      </c>
      <c r="N292" t="n">
        <v>1869</v>
      </c>
      <c r="O292" t="n">
        <v>1869</v>
      </c>
      <c r="P292" t="n">
        <v>1682</v>
      </c>
    </row>
    <row r="293">
      <c r="A293" t="inlineStr">
        <is>
          <t>CurrentWorkingView</t>
        </is>
      </c>
      <c r="B293" s="1" t="n">
        <v>3616305275776</v>
      </c>
      <c r="C293" t="inlineStr">
        <is>
          <t>P_US_ALL_OTHERS</t>
        </is>
      </c>
      <c r="D293" t="inlineStr">
        <is>
          <t>System BestFit Final</t>
        </is>
      </c>
      <c r="E293" t="inlineStr">
        <is>
          <t>ST</t>
        </is>
      </c>
      <c r="F293" t="inlineStr">
        <is>
          <t>ST</t>
        </is>
      </c>
      <c r="G293" t="inlineStr">
        <is>
          <t>ST</t>
        </is>
      </c>
      <c r="H293" t="inlineStr">
        <is>
          <t>ST</t>
        </is>
      </c>
      <c r="I293" t="inlineStr">
        <is>
          <t>ST</t>
        </is>
      </c>
      <c r="J293" t="inlineStr">
        <is>
          <t>ST</t>
        </is>
      </c>
      <c r="K293" t="inlineStr">
        <is>
          <t>ST</t>
        </is>
      </c>
      <c r="L293" t="inlineStr">
        <is>
          <t>ST</t>
        </is>
      </c>
      <c r="M293" t="inlineStr">
        <is>
          <t>ST</t>
        </is>
      </c>
      <c r="N293" t="inlineStr">
        <is>
          <t>ST</t>
        </is>
      </c>
      <c r="O293" t="inlineStr">
        <is>
          <t>ST</t>
        </is>
      </c>
      <c r="P293" t="inlineStr">
        <is>
          <t>ST</t>
        </is>
      </c>
    </row>
    <row r="294">
      <c r="A294" t="inlineStr">
        <is>
          <t>CurrentWorkingView</t>
        </is>
      </c>
      <c r="B294" s="1" t="n">
        <v>3616305275776</v>
      </c>
      <c r="C294" t="inlineStr">
        <is>
          <t>P_US_ALL_OTHERS</t>
        </is>
      </c>
      <c r="D294" t="inlineStr">
        <is>
          <t>System Bestfit Model ST</t>
        </is>
      </c>
      <c r="E294" t="inlineStr">
        <is>
          <t>ST</t>
        </is>
      </c>
      <c r="F294" t="inlineStr">
        <is>
          <t>ST</t>
        </is>
      </c>
      <c r="G294" t="inlineStr">
        <is>
          <t>ST</t>
        </is>
      </c>
      <c r="H294" t="inlineStr">
        <is>
          <t>ST</t>
        </is>
      </c>
      <c r="I294" t="inlineStr">
        <is>
          <t>ST</t>
        </is>
      </c>
      <c r="J294" t="inlineStr">
        <is>
          <t>ST</t>
        </is>
      </c>
      <c r="K294" t="inlineStr">
        <is>
          <t>ST</t>
        </is>
      </c>
      <c r="L294" t="inlineStr">
        <is>
          <t>ST</t>
        </is>
      </c>
      <c r="M294" t="inlineStr">
        <is>
          <t>ST</t>
        </is>
      </c>
      <c r="N294" t="inlineStr">
        <is>
          <t>ST</t>
        </is>
      </c>
      <c r="O294" t="inlineStr">
        <is>
          <t>ST</t>
        </is>
      </c>
      <c r="P294" t="inlineStr">
        <is>
          <t>ST</t>
        </is>
      </c>
    </row>
    <row r="295">
      <c r="A295" t="inlineStr">
        <is>
          <t>CurrentWorkingView</t>
        </is>
      </c>
      <c r="B295" s="1" t="n">
        <v>3616305275776</v>
      </c>
      <c r="C295" t="inlineStr">
        <is>
          <t>P_US_ALL_OTHERS</t>
        </is>
      </c>
      <c r="D295" t="inlineStr">
        <is>
          <t>Planner BestFit Model</t>
        </is>
      </c>
      <c r="E295" t="inlineStr">
        <is>
          <t>ST</t>
        </is>
      </c>
      <c r="F295" t="inlineStr">
        <is>
          <t>ST</t>
        </is>
      </c>
      <c r="G295" t="inlineStr">
        <is>
          <t>ST</t>
        </is>
      </c>
      <c r="H295" t="inlineStr">
        <is>
          <t>ST</t>
        </is>
      </c>
      <c r="I295" t="inlineStr">
        <is>
          <t>ST</t>
        </is>
      </c>
      <c r="J295" t="inlineStr">
        <is>
          <t>ST</t>
        </is>
      </c>
      <c r="K295" t="inlineStr">
        <is>
          <t>ST</t>
        </is>
      </c>
      <c r="L295" t="inlineStr">
        <is>
          <t>ST</t>
        </is>
      </c>
      <c r="M295" t="inlineStr">
        <is>
          <t>ST</t>
        </is>
      </c>
      <c r="N295" t="inlineStr">
        <is>
          <t>ST</t>
        </is>
      </c>
      <c r="O295" t="inlineStr">
        <is>
          <t>ST</t>
        </is>
      </c>
      <c r="P295" t="inlineStr">
        <is>
          <t>ST</t>
        </is>
      </c>
    </row>
    <row r="296">
      <c r="A296" t="inlineStr">
        <is>
          <t>CurrentWorkingView</t>
        </is>
      </c>
      <c r="B296" s="1" t="n">
        <v>3616305275776</v>
      </c>
      <c r="C296" t="inlineStr">
        <is>
          <t>P_US_ULTA</t>
        </is>
      </c>
      <c r="D296" t="inlineStr">
        <is>
          <t>System FC - Final</t>
        </is>
      </c>
      <c r="E296" t="n">
        <v>501</v>
      </c>
      <c r="F296" t="n">
        <v>1320</v>
      </c>
      <c r="G296" t="n">
        <v>1932</v>
      </c>
      <c r="H296" t="n">
        <v>885</v>
      </c>
      <c r="I296" t="n">
        <v>1012</v>
      </c>
      <c r="J296" t="n">
        <v>908</v>
      </c>
      <c r="K296" t="n">
        <v>934</v>
      </c>
      <c r="L296" t="n">
        <v>952</v>
      </c>
      <c r="M296" t="n">
        <v>930</v>
      </c>
      <c r="N296" t="n">
        <v>939</v>
      </c>
      <c r="O296" t="n">
        <v>939</v>
      </c>
      <c r="P296" t="n">
        <v>938</v>
      </c>
    </row>
    <row r="297">
      <c r="A297" t="inlineStr">
        <is>
          <t>CurrentWorkingView</t>
        </is>
      </c>
      <c r="B297" s="1" t="n">
        <v>3616305275776</v>
      </c>
      <c r="C297" t="inlineStr">
        <is>
          <t>P_US_ULTA</t>
        </is>
      </c>
      <c r="D297" t="inlineStr">
        <is>
          <t>CML Fcst</t>
        </is>
      </c>
      <c r="H297" t="n">
        <v>1178</v>
      </c>
      <c r="I297" t="n">
        <v>810</v>
      </c>
      <c r="J297" t="n">
        <v>969</v>
      </c>
      <c r="K297" t="n">
        <v>314</v>
      </c>
      <c r="L297" t="n">
        <v>964</v>
      </c>
      <c r="M297" t="n">
        <v>1187</v>
      </c>
      <c r="N297" t="n">
        <v>664</v>
      </c>
      <c r="O297" t="n">
        <v>810</v>
      </c>
      <c r="P297" t="n">
        <v>647</v>
      </c>
    </row>
    <row r="298">
      <c r="A298" t="inlineStr">
        <is>
          <t>CurrentWorkingView</t>
        </is>
      </c>
      <c r="B298" s="1" t="n">
        <v>3616305275776</v>
      </c>
      <c r="C298" t="inlineStr">
        <is>
          <t>P_US_ULTA</t>
        </is>
      </c>
      <c r="D298" t="inlineStr">
        <is>
          <t>ST Stat Fcst</t>
        </is>
      </c>
      <c r="E298" t="n">
        <v>501</v>
      </c>
      <c r="F298" t="n">
        <v>1320</v>
      </c>
      <c r="G298" t="n">
        <v>1837</v>
      </c>
      <c r="H298" t="n">
        <v>885</v>
      </c>
      <c r="I298" t="n">
        <v>1012</v>
      </c>
      <c r="J298" t="n">
        <v>908</v>
      </c>
      <c r="K298" t="n">
        <v>934</v>
      </c>
      <c r="L298" t="n">
        <v>952</v>
      </c>
      <c r="M298" t="n">
        <v>930</v>
      </c>
      <c r="N298" t="n">
        <v>939</v>
      </c>
      <c r="O298" t="n">
        <v>939</v>
      </c>
      <c r="P298" t="n">
        <v>938</v>
      </c>
    </row>
    <row r="299">
      <c r="A299" t="inlineStr">
        <is>
          <t>CurrentWorkingView</t>
        </is>
      </c>
      <c r="B299" s="1" t="n">
        <v>3616305275776</v>
      </c>
      <c r="C299" t="inlineStr">
        <is>
          <t>P_US_ULTA</t>
        </is>
      </c>
      <c r="D299" t="inlineStr">
        <is>
          <t>LT Stat Fcst</t>
        </is>
      </c>
      <c r="H299" t="n">
        <v>615</v>
      </c>
      <c r="I299" t="n">
        <v>634</v>
      </c>
      <c r="J299" t="n">
        <v>628</v>
      </c>
      <c r="K299" t="n">
        <v>625</v>
      </c>
      <c r="L299" t="n">
        <v>632</v>
      </c>
      <c r="M299" t="n">
        <v>629</v>
      </c>
      <c r="N299" t="n">
        <v>626</v>
      </c>
      <c r="O299" t="n">
        <v>629</v>
      </c>
      <c r="P299" t="n">
        <v>566</v>
      </c>
    </row>
    <row r="300">
      <c r="A300" t="inlineStr">
        <is>
          <t>CurrentWorkingView</t>
        </is>
      </c>
      <c r="B300" s="1" t="n">
        <v>3616305275776</v>
      </c>
      <c r="C300" t="inlineStr">
        <is>
          <t>P_US_ULTA</t>
        </is>
      </c>
      <c r="D300" t="inlineStr">
        <is>
          <t>System BestFit Final</t>
        </is>
      </c>
      <c r="E300" t="inlineStr">
        <is>
          <t>ST</t>
        </is>
      </c>
      <c r="F300" t="inlineStr">
        <is>
          <t>ST</t>
        </is>
      </c>
      <c r="G300" t="inlineStr">
        <is>
          <t>ST</t>
        </is>
      </c>
      <c r="H300" t="inlineStr">
        <is>
          <t>ST</t>
        </is>
      </c>
      <c r="I300" t="inlineStr">
        <is>
          <t>ST</t>
        </is>
      </c>
      <c r="J300" t="inlineStr">
        <is>
          <t>ST</t>
        </is>
      </c>
      <c r="K300" t="inlineStr">
        <is>
          <t>ST</t>
        </is>
      </c>
      <c r="L300" t="inlineStr">
        <is>
          <t>ST</t>
        </is>
      </c>
      <c r="M300" t="inlineStr">
        <is>
          <t>ST</t>
        </is>
      </c>
      <c r="N300" t="inlineStr">
        <is>
          <t>ST</t>
        </is>
      </c>
      <c r="O300" t="inlineStr">
        <is>
          <t>ST</t>
        </is>
      </c>
      <c r="P300" t="inlineStr">
        <is>
          <t>ST</t>
        </is>
      </c>
    </row>
    <row r="301">
      <c r="A301" t="inlineStr">
        <is>
          <t>CurrentWorkingView</t>
        </is>
      </c>
      <c r="B301" s="1" t="n">
        <v>3616305275776</v>
      </c>
      <c r="C301" t="inlineStr">
        <is>
          <t>P_US_ULTA</t>
        </is>
      </c>
      <c r="D301" t="inlineStr">
        <is>
          <t>System Bestfit Model ST</t>
        </is>
      </c>
      <c r="E301" t="inlineStr">
        <is>
          <t>ST</t>
        </is>
      </c>
      <c r="F301" t="inlineStr">
        <is>
          <t>ST</t>
        </is>
      </c>
      <c r="G301" t="inlineStr">
        <is>
          <t>ST</t>
        </is>
      </c>
      <c r="H301" t="inlineStr">
        <is>
          <t>ST</t>
        </is>
      </c>
      <c r="I301" t="inlineStr">
        <is>
          <t>ST</t>
        </is>
      </c>
      <c r="J301" t="inlineStr">
        <is>
          <t>ST</t>
        </is>
      </c>
      <c r="K301" t="inlineStr">
        <is>
          <t>ST</t>
        </is>
      </c>
      <c r="L301" t="inlineStr">
        <is>
          <t>ST</t>
        </is>
      </c>
      <c r="M301" t="inlineStr">
        <is>
          <t>ST</t>
        </is>
      </c>
      <c r="N301" t="inlineStr">
        <is>
          <t>ST</t>
        </is>
      </c>
      <c r="O301" t="inlineStr">
        <is>
          <t>ST</t>
        </is>
      </c>
      <c r="P301" t="inlineStr">
        <is>
          <t>ST</t>
        </is>
      </c>
    </row>
    <row r="302">
      <c r="A302" t="inlineStr">
        <is>
          <t>CurrentWorkingView</t>
        </is>
      </c>
      <c r="B302" s="1" t="n">
        <v>3616305275776</v>
      </c>
      <c r="C302" t="inlineStr">
        <is>
          <t>P_US_ULTA</t>
        </is>
      </c>
      <c r="D302" t="inlineStr">
        <is>
          <t>Planner BestFit Model</t>
        </is>
      </c>
      <c r="E302" t="inlineStr">
        <is>
          <t>ST</t>
        </is>
      </c>
      <c r="F302" t="inlineStr">
        <is>
          <t>ST</t>
        </is>
      </c>
      <c r="G302" t="inlineStr">
        <is>
          <t>ST</t>
        </is>
      </c>
      <c r="H302" t="inlineStr">
        <is>
          <t>ST</t>
        </is>
      </c>
      <c r="I302" t="inlineStr">
        <is>
          <t>ST</t>
        </is>
      </c>
      <c r="J302" t="inlineStr">
        <is>
          <t>ST</t>
        </is>
      </c>
      <c r="K302" t="inlineStr">
        <is>
          <t>ST</t>
        </is>
      </c>
      <c r="L302" t="inlineStr">
        <is>
          <t>ST</t>
        </is>
      </c>
      <c r="M302" t="inlineStr">
        <is>
          <t>ST</t>
        </is>
      </c>
      <c r="N302" t="inlineStr">
        <is>
          <t>ST</t>
        </is>
      </c>
      <c r="O302" t="inlineStr">
        <is>
          <t>ST</t>
        </is>
      </c>
      <c r="P302" t="inlineStr">
        <is>
          <t>ST</t>
        </is>
      </c>
    </row>
    <row r="303">
      <c r="A303" t="inlineStr">
        <is>
          <t>CurrentWorkingView</t>
        </is>
      </c>
      <c r="B303" s="1" t="n">
        <v>3616305820846</v>
      </c>
      <c r="C303" t="inlineStr">
        <is>
          <t>P_US_ALL_OTHERS</t>
        </is>
      </c>
      <c r="D303" t="inlineStr">
        <is>
          <t>System FC - Final</t>
        </is>
      </c>
      <c r="E303" t="n">
        <v>4757</v>
      </c>
      <c r="F303" t="n">
        <v>3001</v>
      </c>
      <c r="G303" t="n">
        <v>1728</v>
      </c>
      <c r="H303" t="n">
        <v>2170</v>
      </c>
      <c r="I303" t="n">
        <v>1856</v>
      </c>
      <c r="J303" t="n">
        <v>4225</v>
      </c>
      <c r="K303" t="n">
        <v>1085</v>
      </c>
      <c r="L303" t="n">
        <v>724</v>
      </c>
      <c r="M303" t="n">
        <v>2905</v>
      </c>
      <c r="N303" t="n">
        <v>1375</v>
      </c>
      <c r="O303" t="n">
        <v>1776</v>
      </c>
      <c r="P303" t="n">
        <v>3549</v>
      </c>
    </row>
    <row r="304">
      <c r="A304" t="inlineStr">
        <is>
          <t>CurrentWorkingView</t>
        </is>
      </c>
      <c r="B304" s="1" t="n">
        <v>3616305820846</v>
      </c>
      <c r="C304" t="inlineStr">
        <is>
          <t>P_US_ALL_OTHERS</t>
        </is>
      </c>
      <c r="D304" t="inlineStr">
        <is>
          <t>CML Fcst</t>
        </is>
      </c>
      <c r="H304" t="n">
        <v>3954</v>
      </c>
      <c r="I304" t="n">
        <v>6052</v>
      </c>
      <c r="J304" t="n">
        <v>3016</v>
      </c>
      <c r="K304" t="n">
        <v>996</v>
      </c>
      <c r="L304" t="n">
        <v>1828</v>
      </c>
      <c r="M304" t="n">
        <v>3468</v>
      </c>
      <c r="N304" t="n">
        <v>2002</v>
      </c>
      <c r="O304" t="n">
        <v>2378</v>
      </c>
      <c r="P304" t="n">
        <v>2598</v>
      </c>
    </row>
    <row r="305">
      <c r="A305" t="inlineStr">
        <is>
          <t>CurrentWorkingView</t>
        </is>
      </c>
      <c r="B305" s="1" t="n">
        <v>3616305820846</v>
      </c>
      <c r="C305" t="inlineStr">
        <is>
          <t>P_US_ALL_OTHERS</t>
        </is>
      </c>
      <c r="D305" t="inlineStr">
        <is>
          <t>ST Stat Fcst</t>
        </is>
      </c>
      <c r="E305" t="n">
        <v>4757</v>
      </c>
      <c r="F305" t="n">
        <v>3001</v>
      </c>
      <c r="G305" t="n">
        <v>1728</v>
      </c>
      <c r="H305" t="n">
        <v>2170</v>
      </c>
      <c r="I305" t="n">
        <v>1856</v>
      </c>
      <c r="J305" t="n">
        <v>4225</v>
      </c>
      <c r="K305" t="n">
        <v>1085</v>
      </c>
      <c r="L305" t="n">
        <v>724</v>
      </c>
      <c r="M305" t="n">
        <v>2905</v>
      </c>
      <c r="N305" t="n">
        <v>1375</v>
      </c>
      <c r="O305" t="n">
        <v>1776</v>
      </c>
      <c r="P305" t="n">
        <v>3549</v>
      </c>
    </row>
    <row r="306">
      <c r="A306" t="inlineStr">
        <is>
          <t>CurrentWorkingView</t>
        </is>
      </c>
      <c r="B306" s="1" t="n">
        <v>3616305820846</v>
      </c>
      <c r="C306" t="inlineStr">
        <is>
          <t>P_US_ALL_OTHERS</t>
        </is>
      </c>
      <c r="D306" t="inlineStr">
        <is>
          <t>LT Stat Fcst</t>
        </is>
      </c>
      <c r="H306" t="n">
        <v>5978</v>
      </c>
      <c r="I306" t="n">
        <v>5524</v>
      </c>
      <c r="J306" t="n">
        <v>7404</v>
      </c>
      <c r="K306" t="n">
        <v>2268</v>
      </c>
      <c r="L306" t="n">
        <v>2604</v>
      </c>
      <c r="M306" t="n">
        <v>4849</v>
      </c>
      <c r="N306" t="n">
        <v>2023</v>
      </c>
      <c r="O306" t="n">
        <v>2470</v>
      </c>
      <c r="P306" t="n">
        <v>2307</v>
      </c>
    </row>
    <row r="307">
      <c r="A307" t="inlineStr">
        <is>
          <t>CurrentWorkingView</t>
        </is>
      </c>
      <c r="B307" s="1" t="n">
        <v>3616305820846</v>
      </c>
      <c r="C307" t="inlineStr">
        <is>
          <t>P_US_ALL_OTHERS</t>
        </is>
      </c>
      <c r="D307" t="inlineStr">
        <is>
          <t>System BestFit Final</t>
        </is>
      </c>
      <c r="E307" t="inlineStr">
        <is>
          <t>ST</t>
        </is>
      </c>
      <c r="F307" t="inlineStr">
        <is>
          <t>ST</t>
        </is>
      </c>
      <c r="G307" t="inlineStr">
        <is>
          <t>ST</t>
        </is>
      </c>
      <c r="H307" t="inlineStr">
        <is>
          <t>ST</t>
        </is>
      </c>
      <c r="I307" t="inlineStr">
        <is>
          <t>ST</t>
        </is>
      </c>
      <c r="J307" t="inlineStr">
        <is>
          <t>ST</t>
        </is>
      </c>
      <c r="K307" t="inlineStr">
        <is>
          <t>ST</t>
        </is>
      </c>
      <c r="L307" t="inlineStr">
        <is>
          <t>ST</t>
        </is>
      </c>
      <c r="M307" t="inlineStr">
        <is>
          <t>ST</t>
        </is>
      </c>
      <c r="N307" t="inlineStr">
        <is>
          <t>ST</t>
        </is>
      </c>
      <c r="O307" t="inlineStr">
        <is>
          <t>ST</t>
        </is>
      </c>
      <c r="P307" t="inlineStr">
        <is>
          <t>ST</t>
        </is>
      </c>
    </row>
    <row r="308">
      <c r="A308" t="inlineStr">
        <is>
          <t>CurrentWorkingView</t>
        </is>
      </c>
      <c r="B308" s="1" t="n">
        <v>3616305820846</v>
      </c>
      <c r="C308" t="inlineStr">
        <is>
          <t>P_US_ALL_OTHERS</t>
        </is>
      </c>
      <c r="D308" t="inlineStr">
        <is>
          <t>System Bestfit Model ST</t>
        </is>
      </c>
      <c r="E308" t="inlineStr">
        <is>
          <t>ST</t>
        </is>
      </c>
      <c r="F308" t="inlineStr">
        <is>
          <t>ST</t>
        </is>
      </c>
      <c r="G308" t="inlineStr">
        <is>
          <t>ST</t>
        </is>
      </c>
      <c r="H308" t="inlineStr">
        <is>
          <t>ST</t>
        </is>
      </c>
      <c r="I308" t="inlineStr">
        <is>
          <t>ST</t>
        </is>
      </c>
      <c r="J308" t="inlineStr">
        <is>
          <t>ST</t>
        </is>
      </c>
      <c r="K308" t="inlineStr">
        <is>
          <t>ST</t>
        </is>
      </c>
      <c r="L308" t="inlineStr">
        <is>
          <t>ST</t>
        </is>
      </c>
      <c r="M308" t="inlineStr">
        <is>
          <t>ST</t>
        </is>
      </c>
      <c r="N308" t="inlineStr">
        <is>
          <t>ST</t>
        </is>
      </c>
      <c r="O308" t="inlineStr">
        <is>
          <t>ST</t>
        </is>
      </c>
      <c r="P308" t="inlineStr">
        <is>
          <t>ST</t>
        </is>
      </c>
    </row>
    <row r="309">
      <c r="A309" t="inlineStr">
        <is>
          <t>CurrentWorkingView</t>
        </is>
      </c>
      <c r="B309" s="1" t="n">
        <v>3616305820846</v>
      </c>
      <c r="C309" t="inlineStr">
        <is>
          <t>P_US_ALL_OTHERS</t>
        </is>
      </c>
      <c r="D309" t="inlineStr">
        <is>
          <t>Planner BestFit Model</t>
        </is>
      </c>
      <c r="E309" t="inlineStr">
        <is>
          <t>ST</t>
        </is>
      </c>
      <c r="F309" t="inlineStr">
        <is>
          <t>ST</t>
        </is>
      </c>
      <c r="G309" t="inlineStr">
        <is>
          <t>ST</t>
        </is>
      </c>
      <c r="H309" t="inlineStr">
        <is>
          <t>ST</t>
        </is>
      </c>
      <c r="I309" t="inlineStr">
        <is>
          <t>ST</t>
        </is>
      </c>
      <c r="J309" t="inlineStr">
        <is>
          <t>ST</t>
        </is>
      </c>
      <c r="K309" t="inlineStr">
        <is>
          <t>ST</t>
        </is>
      </c>
      <c r="L309" t="inlineStr">
        <is>
          <t>ST</t>
        </is>
      </c>
      <c r="M309" t="inlineStr">
        <is>
          <t>ST</t>
        </is>
      </c>
      <c r="N309" t="inlineStr">
        <is>
          <t>ST</t>
        </is>
      </c>
      <c r="O309" t="inlineStr">
        <is>
          <t>ST</t>
        </is>
      </c>
      <c r="P309" t="inlineStr">
        <is>
          <t>ST</t>
        </is>
      </c>
    </row>
    <row r="310">
      <c r="A310" t="inlineStr">
        <is>
          <t>CurrentWorkingView</t>
        </is>
      </c>
      <c r="B310" s="1" t="n">
        <v>3616305820846</v>
      </c>
      <c r="C310" t="inlineStr">
        <is>
          <t>P_US_ULTA</t>
        </is>
      </c>
      <c r="D310" t="inlineStr">
        <is>
          <t>System FC - Final</t>
        </is>
      </c>
      <c r="E310" t="n">
        <v>1479</v>
      </c>
      <c r="F310" t="n">
        <v>856</v>
      </c>
      <c r="G310" t="n">
        <v>1682</v>
      </c>
      <c r="H310" t="n">
        <v>2165</v>
      </c>
      <c r="I310" t="n">
        <v>1140</v>
      </c>
      <c r="J310" t="n">
        <v>1545</v>
      </c>
      <c r="K310" t="n">
        <v>784</v>
      </c>
      <c r="L310" t="n">
        <v>960</v>
      </c>
      <c r="M310" t="n">
        <v>1209</v>
      </c>
      <c r="N310" t="n">
        <v>485</v>
      </c>
      <c r="O310" t="n">
        <v>841</v>
      </c>
      <c r="P310" t="n">
        <v>626</v>
      </c>
    </row>
    <row r="311">
      <c r="A311" t="inlineStr">
        <is>
          <t>CurrentWorkingView</t>
        </is>
      </c>
      <c r="B311" s="1" t="n">
        <v>3616305820846</v>
      </c>
      <c r="C311" t="inlineStr">
        <is>
          <t>P_US_ULTA</t>
        </is>
      </c>
      <c r="D311" t="inlineStr">
        <is>
          <t>CML Fcst</t>
        </is>
      </c>
      <c r="H311" t="n">
        <v>2165</v>
      </c>
      <c r="I311" t="n">
        <v>1140</v>
      </c>
      <c r="J311" t="n">
        <v>1545</v>
      </c>
      <c r="K311" t="n">
        <v>784</v>
      </c>
      <c r="L311" t="n">
        <v>960</v>
      </c>
      <c r="M311" t="n">
        <v>1209</v>
      </c>
      <c r="N311" t="n">
        <v>485</v>
      </c>
      <c r="O311" t="n">
        <v>841</v>
      </c>
      <c r="P311" t="n">
        <v>626</v>
      </c>
    </row>
    <row r="312">
      <c r="A312" t="inlineStr">
        <is>
          <t>CurrentWorkingView</t>
        </is>
      </c>
      <c r="B312" s="1" t="n">
        <v>3616305820846</v>
      </c>
      <c r="C312" t="inlineStr">
        <is>
          <t>P_US_ULTA</t>
        </is>
      </c>
      <c r="D312" t="inlineStr">
        <is>
          <t>ST Stat Fcst</t>
        </is>
      </c>
      <c r="E312" t="n">
        <v>1479</v>
      </c>
      <c r="F312" t="n">
        <v>856</v>
      </c>
      <c r="G312" t="n">
        <v>1337</v>
      </c>
      <c r="H312" t="n">
        <v>2776</v>
      </c>
      <c r="I312" t="n">
        <v>1466</v>
      </c>
      <c r="J312" t="n">
        <v>3534</v>
      </c>
      <c r="K312" t="n">
        <v>1196</v>
      </c>
      <c r="L312" t="n">
        <v>2768</v>
      </c>
      <c r="M312" t="n">
        <v>2006</v>
      </c>
      <c r="N312" t="n">
        <v>415</v>
      </c>
      <c r="O312" t="n">
        <v>1408</v>
      </c>
      <c r="P312" t="n">
        <v>750</v>
      </c>
    </row>
    <row r="313">
      <c r="A313" t="inlineStr">
        <is>
          <t>CurrentWorkingView</t>
        </is>
      </c>
      <c r="B313" s="1" t="n">
        <v>3616305820846</v>
      </c>
      <c r="C313" t="inlineStr">
        <is>
          <t>P_US_ULTA</t>
        </is>
      </c>
      <c r="D313" t="inlineStr">
        <is>
          <t>LT Stat Fcst</t>
        </is>
      </c>
      <c r="H313" t="n">
        <v>3273</v>
      </c>
      <c r="I313" t="n">
        <v>3024</v>
      </c>
      <c r="J313" t="n">
        <v>4052</v>
      </c>
      <c r="K313" t="n">
        <v>1244</v>
      </c>
      <c r="L313" t="n">
        <v>1424</v>
      </c>
      <c r="M313" t="n">
        <v>2653</v>
      </c>
      <c r="N313" t="n">
        <v>1110</v>
      </c>
      <c r="O313" t="n">
        <v>1350</v>
      </c>
      <c r="P313" t="n">
        <v>1262</v>
      </c>
    </row>
    <row r="314">
      <c r="A314" t="inlineStr">
        <is>
          <t>CurrentWorkingView</t>
        </is>
      </c>
      <c r="B314" s="1" t="n">
        <v>3616305820846</v>
      </c>
      <c r="C314" t="inlineStr">
        <is>
          <t>P_US_ULTA</t>
        </is>
      </c>
      <c r="D314" t="inlineStr">
        <is>
          <t>System BestFit Final</t>
        </is>
      </c>
      <c r="E314" t="inlineStr">
        <is>
          <t>CML</t>
        </is>
      </c>
      <c r="F314" t="inlineStr">
        <is>
          <t>CML</t>
        </is>
      </c>
      <c r="G314" t="inlineStr">
        <is>
          <t>CML</t>
        </is>
      </c>
      <c r="H314" t="inlineStr">
        <is>
          <t>CML</t>
        </is>
      </c>
      <c r="I314" t="inlineStr">
        <is>
          <t>CML</t>
        </is>
      </c>
      <c r="J314" t="inlineStr">
        <is>
          <t>CML</t>
        </is>
      </c>
      <c r="K314" t="inlineStr">
        <is>
          <t>CML</t>
        </is>
      </c>
      <c r="L314" t="inlineStr">
        <is>
          <t>CML</t>
        </is>
      </c>
      <c r="M314" t="inlineStr">
        <is>
          <t>CML</t>
        </is>
      </c>
      <c r="N314" t="inlineStr">
        <is>
          <t>CML</t>
        </is>
      </c>
      <c r="O314" t="inlineStr">
        <is>
          <t>CML</t>
        </is>
      </c>
      <c r="P314" t="inlineStr">
        <is>
          <t>CML</t>
        </is>
      </c>
    </row>
    <row r="315">
      <c r="A315" t="inlineStr">
        <is>
          <t>CurrentWorkingView</t>
        </is>
      </c>
      <c r="B315" s="1" t="n">
        <v>3616305820846</v>
      </c>
      <c r="C315" t="inlineStr">
        <is>
          <t>P_US_ULTA</t>
        </is>
      </c>
      <c r="D315" t="inlineStr">
        <is>
          <t>System Bestfit Model ST</t>
        </is>
      </c>
    </row>
    <row r="316">
      <c r="A316" t="inlineStr">
        <is>
          <t>CurrentWorkingView</t>
        </is>
      </c>
      <c r="B316" s="1" t="n">
        <v>3616305820846</v>
      </c>
      <c r="C316" t="inlineStr">
        <is>
          <t>P_US_ULTA</t>
        </is>
      </c>
      <c r="D316" t="inlineStr">
        <is>
          <t>Planner BestFit Model</t>
        </is>
      </c>
    </row>
    <row r="317">
      <c r="A317" t="inlineStr">
        <is>
          <t>CurrentWorkingView</t>
        </is>
      </c>
      <c r="B317" s="1" t="n">
        <v>3616308110289</v>
      </c>
      <c r="C317" t="inlineStr">
        <is>
          <t>P_US_ALL_OTHERS</t>
        </is>
      </c>
      <c r="D317" t="inlineStr">
        <is>
          <t>System FC - Final</t>
        </is>
      </c>
      <c r="E317" t="n">
        <v>1088</v>
      </c>
      <c r="F317" t="n">
        <v>101</v>
      </c>
      <c r="G317" t="n">
        <v>275</v>
      </c>
      <c r="H317" t="n">
        <v>0</v>
      </c>
      <c r="I317" t="n">
        <v>0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77</v>
      </c>
    </row>
    <row r="318">
      <c r="A318" t="inlineStr">
        <is>
          <t>CurrentWorkingView</t>
        </is>
      </c>
      <c r="B318" s="1" t="n">
        <v>3616308110289</v>
      </c>
      <c r="C318" t="inlineStr">
        <is>
          <t>P_US_ALL_OTHERS</t>
        </is>
      </c>
      <c r="D318" t="inlineStr">
        <is>
          <t>CML Fcst</t>
        </is>
      </c>
      <c r="H318" t="n">
        <v>265</v>
      </c>
      <c r="I318" t="n">
        <v>184</v>
      </c>
      <c r="J318" t="n">
        <v>501</v>
      </c>
      <c r="K318" t="n">
        <v>359</v>
      </c>
      <c r="L318" t="n">
        <v>344</v>
      </c>
      <c r="M318" t="n">
        <v>398</v>
      </c>
      <c r="N318" t="n">
        <v>266</v>
      </c>
      <c r="O318" t="n">
        <v>399</v>
      </c>
      <c r="P318" t="n">
        <v>291</v>
      </c>
    </row>
    <row r="319">
      <c r="A319" t="inlineStr">
        <is>
          <t>CurrentWorkingView</t>
        </is>
      </c>
      <c r="B319" s="1" t="n">
        <v>3616308110289</v>
      </c>
      <c r="C319" t="inlineStr">
        <is>
          <t>P_US_ALL_OTHERS</t>
        </is>
      </c>
      <c r="D319" t="inlineStr">
        <is>
          <t>ST Stat Fcst</t>
        </is>
      </c>
      <c r="E319" t="n">
        <v>1088</v>
      </c>
      <c r="F319" t="n">
        <v>101</v>
      </c>
      <c r="G319" t="n">
        <v>275</v>
      </c>
      <c r="H319" t="n">
        <v>0</v>
      </c>
      <c r="I319" t="n">
        <v>0</v>
      </c>
      <c r="J319" t="n">
        <v>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77</v>
      </c>
    </row>
    <row r="320">
      <c r="A320" t="inlineStr">
        <is>
          <t>CurrentWorkingView</t>
        </is>
      </c>
      <c r="B320" s="1" t="n">
        <v>3616308110289</v>
      </c>
      <c r="C320" t="inlineStr">
        <is>
          <t>P_US_ALL_OTHERS</t>
        </is>
      </c>
      <c r="D320" t="inlineStr">
        <is>
          <t>LT Stat Fcst</t>
        </is>
      </c>
      <c r="H320" t="n">
        <v>353</v>
      </c>
      <c r="I320" t="n">
        <v>256</v>
      </c>
      <c r="J320" t="n">
        <v>225</v>
      </c>
      <c r="K320" t="n">
        <v>159</v>
      </c>
      <c r="L320" t="n">
        <v>252</v>
      </c>
      <c r="M320" t="n">
        <v>346</v>
      </c>
      <c r="N320" t="n">
        <v>205</v>
      </c>
      <c r="O320" t="n">
        <v>395</v>
      </c>
      <c r="P320" t="n">
        <v>324</v>
      </c>
    </row>
    <row r="321">
      <c r="A321" t="inlineStr">
        <is>
          <t>CurrentWorkingView</t>
        </is>
      </c>
      <c r="B321" s="1" t="n">
        <v>3616308110289</v>
      </c>
      <c r="C321" t="inlineStr">
        <is>
          <t>P_US_ALL_OTHERS</t>
        </is>
      </c>
      <c r="D321" t="inlineStr">
        <is>
          <t>System BestFit Final</t>
        </is>
      </c>
      <c r="E321" t="inlineStr">
        <is>
          <t>ST</t>
        </is>
      </c>
      <c r="F321" t="inlineStr">
        <is>
          <t>ST</t>
        </is>
      </c>
      <c r="G321" t="inlineStr">
        <is>
          <t>ST</t>
        </is>
      </c>
      <c r="H321" t="inlineStr">
        <is>
          <t>ST</t>
        </is>
      </c>
      <c r="I321" t="inlineStr">
        <is>
          <t>ST</t>
        </is>
      </c>
      <c r="J321" t="inlineStr">
        <is>
          <t>ST</t>
        </is>
      </c>
      <c r="K321" t="inlineStr">
        <is>
          <t>ST</t>
        </is>
      </c>
      <c r="L321" t="inlineStr">
        <is>
          <t>ST</t>
        </is>
      </c>
      <c r="M321" t="inlineStr">
        <is>
          <t>ST</t>
        </is>
      </c>
      <c r="N321" t="inlineStr">
        <is>
          <t>ST</t>
        </is>
      </c>
      <c r="O321" t="inlineStr">
        <is>
          <t>ST</t>
        </is>
      </c>
      <c r="P321" t="inlineStr">
        <is>
          <t>ST</t>
        </is>
      </c>
    </row>
    <row r="322">
      <c r="A322" t="inlineStr">
        <is>
          <t>CurrentWorkingView</t>
        </is>
      </c>
      <c r="B322" s="1" t="n">
        <v>3616308110289</v>
      </c>
      <c r="C322" t="inlineStr">
        <is>
          <t>P_US_ALL_OTHERS</t>
        </is>
      </c>
      <c r="D322" t="inlineStr">
        <is>
          <t>System Bestfit Model ST</t>
        </is>
      </c>
      <c r="E322" t="inlineStr">
        <is>
          <t>ST</t>
        </is>
      </c>
      <c r="F322" t="inlineStr">
        <is>
          <t>ST</t>
        </is>
      </c>
      <c r="G322" t="inlineStr">
        <is>
          <t>ST</t>
        </is>
      </c>
      <c r="H322" t="inlineStr">
        <is>
          <t>ST</t>
        </is>
      </c>
      <c r="I322" t="inlineStr">
        <is>
          <t>ST</t>
        </is>
      </c>
      <c r="J322" t="inlineStr">
        <is>
          <t>ST</t>
        </is>
      </c>
      <c r="K322" t="inlineStr">
        <is>
          <t>ST</t>
        </is>
      </c>
      <c r="L322" t="inlineStr">
        <is>
          <t>ST</t>
        </is>
      </c>
      <c r="M322" t="inlineStr">
        <is>
          <t>ST</t>
        </is>
      </c>
      <c r="N322" t="inlineStr">
        <is>
          <t>ST</t>
        </is>
      </c>
      <c r="O322" t="inlineStr">
        <is>
          <t>ST</t>
        </is>
      </c>
      <c r="P322" t="inlineStr">
        <is>
          <t>ST</t>
        </is>
      </c>
    </row>
    <row r="323">
      <c r="A323" t="inlineStr">
        <is>
          <t>CurrentWorkingView</t>
        </is>
      </c>
      <c r="B323" s="1" t="n">
        <v>3616308110289</v>
      </c>
      <c r="C323" t="inlineStr">
        <is>
          <t>P_US_ALL_OTHERS</t>
        </is>
      </c>
      <c r="D323" t="inlineStr">
        <is>
          <t>Planner BestFit Model</t>
        </is>
      </c>
      <c r="E323" t="inlineStr">
        <is>
          <t>ST</t>
        </is>
      </c>
      <c r="F323" t="inlineStr">
        <is>
          <t>ST</t>
        </is>
      </c>
      <c r="G323" t="inlineStr">
        <is>
          <t>ST</t>
        </is>
      </c>
      <c r="H323" t="inlineStr">
        <is>
          <t>ST</t>
        </is>
      </c>
      <c r="I323" t="inlineStr">
        <is>
          <t>ST</t>
        </is>
      </c>
      <c r="J323" t="inlineStr">
        <is>
          <t>ST</t>
        </is>
      </c>
      <c r="K323" t="inlineStr">
        <is>
          <t>ST</t>
        </is>
      </c>
      <c r="L323" t="inlineStr">
        <is>
          <t>ST</t>
        </is>
      </c>
      <c r="M323" t="inlineStr">
        <is>
          <t>ST</t>
        </is>
      </c>
      <c r="N323" t="inlineStr">
        <is>
          <t>ST</t>
        </is>
      </c>
      <c r="O323" t="inlineStr">
        <is>
          <t>ST</t>
        </is>
      </c>
      <c r="P323" t="inlineStr">
        <is>
          <t>ST</t>
        </is>
      </c>
    </row>
    <row r="324">
      <c r="A324" t="inlineStr">
        <is>
          <t>CurrentWorkingView</t>
        </is>
      </c>
      <c r="B324" s="1" t="n">
        <v>3616308110289</v>
      </c>
      <c r="C324" t="inlineStr">
        <is>
          <t>P_US_ULTA</t>
        </is>
      </c>
      <c r="D324" t="inlineStr">
        <is>
          <t>System FC - Final</t>
        </is>
      </c>
      <c r="E324" t="n">
        <v>99</v>
      </c>
      <c r="F324" t="n">
        <v>393</v>
      </c>
      <c r="G324" t="n">
        <v>512</v>
      </c>
      <c r="H324" t="n">
        <v>71</v>
      </c>
      <c r="I324" t="n">
        <v>146</v>
      </c>
      <c r="J324" t="n">
        <v>372</v>
      </c>
      <c r="K324" t="n">
        <v>146</v>
      </c>
      <c r="L324" t="n">
        <v>456</v>
      </c>
      <c r="M324" t="n">
        <v>602</v>
      </c>
      <c r="N324" t="n">
        <v>232</v>
      </c>
      <c r="O324" t="n">
        <v>558</v>
      </c>
      <c r="P324" t="n">
        <v>210</v>
      </c>
    </row>
    <row r="325">
      <c r="A325" t="inlineStr">
        <is>
          <t>CurrentWorkingView</t>
        </is>
      </c>
      <c r="B325" s="1" t="n">
        <v>3616308110289</v>
      </c>
      <c r="C325" t="inlineStr">
        <is>
          <t>P_US_ULTA</t>
        </is>
      </c>
      <c r="D325" t="inlineStr">
        <is>
          <t>CML Fcst</t>
        </is>
      </c>
      <c r="H325" t="n">
        <v>386</v>
      </c>
      <c r="I325" t="n">
        <v>488</v>
      </c>
      <c r="J325" t="n">
        <v>792</v>
      </c>
      <c r="K325" t="n">
        <v>407</v>
      </c>
      <c r="L325" t="n">
        <v>348</v>
      </c>
      <c r="M325" t="n">
        <v>793</v>
      </c>
      <c r="N325" t="n">
        <v>202</v>
      </c>
      <c r="O325" t="n">
        <v>474</v>
      </c>
      <c r="P325" t="n">
        <v>308</v>
      </c>
    </row>
    <row r="326">
      <c r="A326" t="inlineStr">
        <is>
          <t>CurrentWorkingView</t>
        </is>
      </c>
      <c r="B326" s="1" t="n">
        <v>3616308110289</v>
      </c>
      <c r="C326" t="inlineStr">
        <is>
          <t>P_US_ULTA</t>
        </is>
      </c>
      <c r="D326" t="inlineStr">
        <is>
          <t>ST Stat Fcst</t>
        </is>
      </c>
      <c r="E326" t="n">
        <v>99</v>
      </c>
      <c r="F326" t="n">
        <v>393</v>
      </c>
      <c r="G326" t="n">
        <v>512</v>
      </c>
      <c r="H326" t="n">
        <v>71</v>
      </c>
      <c r="I326" t="n">
        <v>146</v>
      </c>
      <c r="J326" t="n">
        <v>372</v>
      </c>
      <c r="K326" t="n">
        <v>146</v>
      </c>
      <c r="L326" t="n">
        <v>456</v>
      </c>
      <c r="M326" t="n">
        <v>602</v>
      </c>
      <c r="N326" t="n">
        <v>232</v>
      </c>
      <c r="O326" t="n">
        <v>558</v>
      </c>
      <c r="P326" t="n">
        <v>210</v>
      </c>
    </row>
    <row r="327">
      <c r="A327" t="inlineStr">
        <is>
          <t>CurrentWorkingView</t>
        </is>
      </c>
      <c r="B327" s="1" t="n">
        <v>3616308110289</v>
      </c>
      <c r="C327" t="inlineStr">
        <is>
          <t>P_US_ULTA</t>
        </is>
      </c>
      <c r="D327" t="inlineStr">
        <is>
          <t>LT Stat Fcst</t>
        </is>
      </c>
      <c r="H327" t="n">
        <v>387</v>
      </c>
      <c r="I327" t="n">
        <v>288</v>
      </c>
      <c r="J327" t="n">
        <v>245</v>
      </c>
      <c r="K327" t="n">
        <v>182</v>
      </c>
      <c r="L327" t="n">
        <v>280</v>
      </c>
      <c r="M327" t="n">
        <v>385</v>
      </c>
      <c r="N327" t="n">
        <v>228</v>
      </c>
      <c r="O327" t="n">
        <v>434</v>
      </c>
      <c r="P327" t="n">
        <v>358</v>
      </c>
    </row>
    <row r="328">
      <c r="A328" t="inlineStr">
        <is>
          <t>CurrentWorkingView</t>
        </is>
      </c>
      <c r="B328" s="1" t="n">
        <v>3616308110289</v>
      </c>
      <c r="C328" t="inlineStr">
        <is>
          <t>P_US_ULTA</t>
        </is>
      </c>
      <c r="D328" t="inlineStr">
        <is>
          <t>System BestFit Final</t>
        </is>
      </c>
      <c r="E328" t="inlineStr">
        <is>
          <t>ST</t>
        </is>
      </c>
      <c r="F328" t="inlineStr">
        <is>
          <t>ST</t>
        </is>
      </c>
      <c r="G328" t="inlineStr">
        <is>
          <t>ST</t>
        </is>
      </c>
      <c r="H328" t="inlineStr">
        <is>
          <t>ST</t>
        </is>
      </c>
      <c r="I328" t="inlineStr">
        <is>
          <t>ST</t>
        </is>
      </c>
      <c r="J328" t="inlineStr">
        <is>
          <t>ST</t>
        </is>
      </c>
      <c r="K328" t="inlineStr">
        <is>
          <t>ST</t>
        </is>
      </c>
      <c r="L328" t="inlineStr">
        <is>
          <t>ST</t>
        </is>
      </c>
      <c r="M328" t="inlineStr">
        <is>
          <t>ST</t>
        </is>
      </c>
      <c r="N328" t="inlineStr">
        <is>
          <t>ST</t>
        </is>
      </c>
      <c r="O328" t="inlineStr">
        <is>
          <t>ST</t>
        </is>
      </c>
      <c r="P328" t="inlineStr">
        <is>
          <t>ST</t>
        </is>
      </c>
    </row>
    <row r="329">
      <c r="A329" t="inlineStr">
        <is>
          <t>CurrentWorkingView</t>
        </is>
      </c>
      <c r="B329" s="1" t="n">
        <v>3616308110289</v>
      </c>
      <c r="C329" t="inlineStr">
        <is>
          <t>P_US_ULTA</t>
        </is>
      </c>
      <c r="D329" t="inlineStr">
        <is>
          <t>System Bestfit Model ST</t>
        </is>
      </c>
      <c r="E329" t="inlineStr">
        <is>
          <t>ST</t>
        </is>
      </c>
      <c r="F329" t="inlineStr">
        <is>
          <t>ST</t>
        </is>
      </c>
      <c r="G329" t="inlineStr">
        <is>
          <t>ST</t>
        </is>
      </c>
      <c r="H329" t="inlineStr">
        <is>
          <t>ST</t>
        </is>
      </c>
      <c r="I329" t="inlineStr">
        <is>
          <t>ST</t>
        </is>
      </c>
      <c r="J329" t="inlineStr">
        <is>
          <t>ST</t>
        </is>
      </c>
      <c r="K329" t="inlineStr">
        <is>
          <t>ST</t>
        </is>
      </c>
      <c r="L329" t="inlineStr">
        <is>
          <t>ST</t>
        </is>
      </c>
      <c r="M329" t="inlineStr">
        <is>
          <t>ST</t>
        </is>
      </c>
      <c r="N329" t="inlineStr">
        <is>
          <t>ST</t>
        </is>
      </c>
      <c r="O329" t="inlineStr">
        <is>
          <t>ST</t>
        </is>
      </c>
      <c r="P329" t="inlineStr">
        <is>
          <t>ST</t>
        </is>
      </c>
    </row>
    <row r="330">
      <c r="A330" t="inlineStr">
        <is>
          <t>CurrentWorkingView</t>
        </is>
      </c>
      <c r="B330" s="1" t="n">
        <v>3616308110289</v>
      </c>
      <c r="C330" t="inlineStr">
        <is>
          <t>P_US_ULTA</t>
        </is>
      </c>
      <c r="D330" t="inlineStr">
        <is>
          <t>Planner BestFit Model</t>
        </is>
      </c>
    </row>
    <row r="331">
      <c r="A331" t="inlineStr">
        <is>
          <t>CurrentWorkingView</t>
        </is>
      </c>
      <c r="B331" s="1" t="n">
        <v>3616308110302</v>
      </c>
      <c r="C331" t="inlineStr">
        <is>
          <t>P_US_ALL_OTHERS</t>
        </is>
      </c>
      <c r="D331" t="inlineStr">
        <is>
          <t>System FC - Final</t>
        </is>
      </c>
      <c r="E331" t="n">
        <v>3760</v>
      </c>
      <c r="F331" t="n">
        <v>1741</v>
      </c>
      <c r="G331" t="n">
        <v>2389</v>
      </c>
      <c r="H331" t="n">
        <v>4207</v>
      </c>
      <c r="I331" t="n">
        <v>1196</v>
      </c>
      <c r="J331" t="n">
        <v>2297</v>
      </c>
      <c r="K331" t="n">
        <v>939</v>
      </c>
      <c r="L331" t="n">
        <v>984</v>
      </c>
      <c r="M331" t="n">
        <v>2573</v>
      </c>
      <c r="N331" t="n">
        <v>887</v>
      </c>
      <c r="O331" t="n">
        <v>2214</v>
      </c>
      <c r="P331" t="n">
        <v>1235</v>
      </c>
    </row>
    <row r="332">
      <c r="A332" t="inlineStr">
        <is>
          <t>CurrentWorkingView</t>
        </is>
      </c>
      <c r="B332" s="1" t="n">
        <v>3616308110302</v>
      </c>
      <c r="C332" t="inlineStr">
        <is>
          <t>P_US_ALL_OTHERS</t>
        </is>
      </c>
      <c r="D332" t="inlineStr">
        <is>
          <t>CML Fcst</t>
        </is>
      </c>
      <c r="H332" t="n">
        <v>4207</v>
      </c>
      <c r="I332" t="n">
        <v>1196</v>
      </c>
      <c r="J332" t="n">
        <v>2297</v>
      </c>
      <c r="K332" t="n">
        <v>939</v>
      </c>
      <c r="L332" t="n">
        <v>984</v>
      </c>
      <c r="M332" t="n">
        <v>2573</v>
      </c>
      <c r="N332" t="n">
        <v>887</v>
      </c>
      <c r="O332" t="n">
        <v>2214</v>
      </c>
      <c r="P332" t="n">
        <v>1235</v>
      </c>
    </row>
    <row r="333">
      <c r="A333" t="inlineStr">
        <is>
          <t>CurrentWorkingView</t>
        </is>
      </c>
      <c r="B333" s="1" t="n">
        <v>3616308110302</v>
      </c>
      <c r="C333" t="inlineStr">
        <is>
          <t>P_US_ALL_OTHERS</t>
        </is>
      </c>
      <c r="D333" t="inlineStr">
        <is>
          <t>ST Stat Fcst</t>
        </is>
      </c>
      <c r="E333" t="n">
        <v>3760</v>
      </c>
      <c r="F333" t="n">
        <v>1741</v>
      </c>
      <c r="G333" t="n">
        <v>1975</v>
      </c>
      <c r="H333" t="n">
        <v>5456</v>
      </c>
      <c r="I333" t="n">
        <v>1178</v>
      </c>
      <c r="J333" t="n">
        <v>3596</v>
      </c>
      <c r="K333" t="n">
        <v>80</v>
      </c>
      <c r="L333" t="n">
        <v>752</v>
      </c>
      <c r="M333" t="n">
        <v>3122</v>
      </c>
      <c r="N333" t="n">
        <v>972</v>
      </c>
      <c r="O333" t="n">
        <v>2077</v>
      </c>
      <c r="P333" t="n">
        <v>1397</v>
      </c>
    </row>
    <row r="334">
      <c r="A334" t="inlineStr">
        <is>
          <t>CurrentWorkingView</t>
        </is>
      </c>
      <c r="B334" s="1" t="n">
        <v>3616308110302</v>
      </c>
      <c r="C334" t="inlineStr">
        <is>
          <t>P_US_ALL_OTHERS</t>
        </is>
      </c>
      <c r="D334" t="inlineStr">
        <is>
          <t>LT Stat Fcst</t>
        </is>
      </c>
      <c r="H334" t="n">
        <v>3308</v>
      </c>
      <c r="I334" t="n">
        <v>2430</v>
      </c>
      <c r="J334" t="n">
        <v>2099</v>
      </c>
      <c r="K334" t="n">
        <v>1514</v>
      </c>
      <c r="L334" t="n">
        <v>2364</v>
      </c>
      <c r="M334" t="n">
        <v>3246</v>
      </c>
      <c r="N334" t="n">
        <v>1937</v>
      </c>
      <c r="O334" t="n">
        <v>3716</v>
      </c>
      <c r="P334" t="n">
        <v>3055</v>
      </c>
    </row>
    <row r="335">
      <c r="A335" t="inlineStr">
        <is>
          <t>CurrentWorkingView</t>
        </is>
      </c>
      <c r="B335" s="1" t="n">
        <v>3616308110302</v>
      </c>
      <c r="C335" t="inlineStr">
        <is>
          <t>P_US_ALL_OTHERS</t>
        </is>
      </c>
      <c r="D335" t="inlineStr">
        <is>
          <t>System BestFit Final</t>
        </is>
      </c>
      <c r="E335" t="inlineStr">
        <is>
          <t>CML</t>
        </is>
      </c>
      <c r="F335" t="inlineStr">
        <is>
          <t>CML</t>
        </is>
      </c>
      <c r="G335" t="inlineStr">
        <is>
          <t>CML</t>
        </is>
      </c>
      <c r="H335" t="inlineStr">
        <is>
          <t>CML</t>
        </is>
      </c>
      <c r="I335" t="inlineStr">
        <is>
          <t>CML</t>
        </is>
      </c>
      <c r="J335" t="inlineStr">
        <is>
          <t>CML</t>
        </is>
      </c>
      <c r="K335" t="inlineStr">
        <is>
          <t>CML</t>
        </is>
      </c>
      <c r="L335" t="inlineStr">
        <is>
          <t>CML</t>
        </is>
      </c>
      <c r="M335" t="inlineStr">
        <is>
          <t>CML</t>
        </is>
      </c>
      <c r="N335" t="inlineStr">
        <is>
          <t>CML</t>
        </is>
      </c>
      <c r="O335" t="inlineStr">
        <is>
          <t>CML</t>
        </is>
      </c>
      <c r="P335" t="inlineStr">
        <is>
          <t>CML</t>
        </is>
      </c>
    </row>
    <row r="336">
      <c r="A336" t="inlineStr">
        <is>
          <t>CurrentWorkingView</t>
        </is>
      </c>
      <c r="B336" s="1" t="n">
        <v>3616308110302</v>
      </c>
      <c r="C336" t="inlineStr">
        <is>
          <t>P_US_ALL_OTHERS</t>
        </is>
      </c>
      <c r="D336" t="inlineStr">
        <is>
          <t>System Bestfit Model ST</t>
        </is>
      </c>
    </row>
    <row r="337">
      <c r="A337" t="inlineStr">
        <is>
          <t>CurrentWorkingView</t>
        </is>
      </c>
      <c r="B337" s="1" t="n">
        <v>3616308110302</v>
      </c>
      <c r="C337" t="inlineStr">
        <is>
          <t>P_US_ALL_OTHERS</t>
        </is>
      </c>
      <c r="D337" t="inlineStr">
        <is>
          <t>Planner BestFit Model</t>
        </is>
      </c>
    </row>
    <row r="338">
      <c r="A338" t="inlineStr">
        <is>
          <t>CurrentWorkingView</t>
        </is>
      </c>
      <c r="B338" s="1" t="n">
        <v>3616308110302</v>
      </c>
      <c r="C338" t="inlineStr">
        <is>
          <t>P_US_ULTA</t>
        </is>
      </c>
      <c r="D338" t="inlineStr">
        <is>
          <t>System FC - Final</t>
        </is>
      </c>
      <c r="E338" t="n">
        <v>129</v>
      </c>
      <c r="F338" t="n">
        <v>396</v>
      </c>
      <c r="G338" t="n">
        <v>504</v>
      </c>
      <c r="H338" t="n">
        <v>558</v>
      </c>
      <c r="I338" t="n">
        <v>593</v>
      </c>
      <c r="J338" t="n">
        <v>390</v>
      </c>
      <c r="K338" t="n">
        <v>288</v>
      </c>
      <c r="L338" t="n">
        <v>604</v>
      </c>
      <c r="M338" t="n">
        <v>1094</v>
      </c>
      <c r="N338" t="n">
        <v>1191</v>
      </c>
      <c r="O338" t="n">
        <v>473</v>
      </c>
      <c r="P338" t="n">
        <v>129</v>
      </c>
    </row>
    <row r="339">
      <c r="A339" t="inlineStr">
        <is>
          <t>CurrentWorkingView</t>
        </is>
      </c>
      <c r="B339" s="1" t="n">
        <v>3616308110302</v>
      </c>
      <c r="C339" t="inlineStr">
        <is>
          <t>P_US_ULTA</t>
        </is>
      </c>
      <c r="D339" t="inlineStr">
        <is>
          <t>CML Fcst</t>
        </is>
      </c>
      <c r="H339" t="n">
        <v>390</v>
      </c>
      <c r="I339" t="n">
        <v>712</v>
      </c>
      <c r="J339" t="n">
        <v>792</v>
      </c>
      <c r="K339" t="n">
        <v>509</v>
      </c>
      <c r="L339" t="n">
        <v>612</v>
      </c>
      <c r="M339" t="n">
        <v>806</v>
      </c>
      <c r="N339" t="n">
        <v>325</v>
      </c>
      <c r="O339" t="n">
        <v>447</v>
      </c>
      <c r="P339" t="n">
        <v>308</v>
      </c>
    </row>
    <row r="340">
      <c r="A340" t="inlineStr">
        <is>
          <t>CurrentWorkingView</t>
        </is>
      </c>
      <c r="B340" s="1" t="n">
        <v>3616308110302</v>
      </c>
      <c r="C340" t="inlineStr">
        <is>
          <t>P_US_ULTA</t>
        </is>
      </c>
      <c r="D340" t="inlineStr">
        <is>
          <t>ST Stat Fcst</t>
        </is>
      </c>
      <c r="E340" t="n">
        <v>129</v>
      </c>
      <c r="F340" t="n">
        <v>396</v>
      </c>
      <c r="G340" t="n">
        <v>446</v>
      </c>
      <c r="H340" t="n">
        <v>558</v>
      </c>
      <c r="I340" t="n">
        <v>592</v>
      </c>
      <c r="J340" t="n">
        <v>390</v>
      </c>
      <c r="K340" t="n">
        <v>288</v>
      </c>
      <c r="L340" t="n">
        <v>604</v>
      </c>
      <c r="M340" t="n">
        <v>1094</v>
      </c>
      <c r="N340" t="n">
        <v>1191</v>
      </c>
      <c r="O340" t="n">
        <v>473</v>
      </c>
      <c r="P340" t="n">
        <v>129</v>
      </c>
    </row>
    <row r="341">
      <c r="A341" t="inlineStr">
        <is>
          <t>CurrentWorkingView</t>
        </is>
      </c>
      <c r="B341" s="1" t="n">
        <v>3616308110302</v>
      </c>
      <c r="C341" t="inlineStr">
        <is>
          <t>P_US_ULTA</t>
        </is>
      </c>
      <c r="D341" t="inlineStr">
        <is>
          <t>LT Stat Fcst</t>
        </is>
      </c>
      <c r="H341" t="n">
        <v>584</v>
      </c>
      <c r="I341" t="n">
        <v>428</v>
      </c>
      <c r="J341" t="n">
        <v>372</v>
      </c>
      <c r="K341" t="n">
        <v>266</v>
      </c>
      <c r="L341" t="n">
        <v>416</v>
      </c>
      <c r="M341" t="n">
        <v>576</v>
      </c>
      <c r="N341" t="n">
        <v>343</v>
      </c>
      <c r="O341" t="n">
        <v>655</v>
      </c>
      <c r="P341" t="n">
        <v>539</v>
      </c>
    </row>
    <row r="342">
      <c r="A342" t="inlineStr">
        <is>
          <t>CurrentWorkingView</t>
        </is>
      </c>
      <c r="B342" s="1" t="n">
        <v>3616308110302</v>
      </c>
      <c r="C342" t="inlineStr">
        <is>
          <t>P_US_ULTA</t>
        </is>
      </c>
      <c r="D342" t="inlineStr">
        <is>
          <t>System BestFit Final</t>
        </is>
      </c>
      <c r="E342" t="inlineStr">
        <is>
          <t>ST</t>
        </is>
      </c>
      <c r="F342" t="inlineStr">
        <is>
          <t>ST</t>
        </is>
      </c>
      <c r="G342" t="inlineStr">
        <is>
          <t>ST</t>
        </is>
      </c>
      <c r="H342" t="inlineStr">
        <is>
          <t>ST</t>
        </is>
      </c>
      <c r="I342" t="inlineStr">
        <is>
          <t>ST</t>
        </is>
      </c>
      <c r="J342" t="inlineStr">
        <is>
          <t>ST</t>
        </is>
      </c>
      <c r="K342" t="inlineStr">
        <is>
          <t>ST</t>
        </is>
      </c>
      <c r="L342" t="inlineStr">
        <is>
          <t>ST</t>
        </is>
      </c>
      <c r="M342" t="inlineStr">
        <is>
          <t>ST</t>
        </is>
      </c>
      <c r="N342" t="inlineStr">
        <is>
          <t>ST</t>
        </is>
      </c>
      <c r="O342" t="inlineStr">
        <is>
          <t>ST</t>
        </is>
      </c>
      <c r="P342" t="inlineStr">
        <is>
          <t>ST</t>
        </is>
      </c>
    </row>
    <row r="343">
      <c r="A343" t="inlineStr">
        <is>
          <t>CurrentWorkingView</t>
        </is>
      </c>
      <c r="B343" s="1" t="n">
        <v>3616308110302</v>
      </c>
      <c r="C343" t="inlineStr">
        <is>
          <t>P_US_ULTA</t>
        </is>
      </c>
      <c r="D343" t="inlineStr">
        <is>
          <t>System Bestfit Model ST</t>
        </is>
      </c>
      <c r="E343" t="inlineStr">
        <is>
          <t>ST</t>
        </is>
      </c>
      <c r="F343" t="inlineStr">
        <is>
          <t>ST</t>
        </is>
      </c>
      <c r="G343" t="inlineStr">
        <is>
          <t>ST</t>
        </is>
      </c>
      <c r="H343" t="inlineStr">
        <is>
          <t>ST</t>
        </is>
      </c>
      <c r="I343" t="inlineStr">
        <is>
          <t>ST</t>
        </is>
      </c>
      <c r="J343" t="inlineStr">
        <is>
          <t>ST</t>
        </is>
      </c>
      <c r="K343" t="inlineStr">
        <is>
          <t>ST</t>
        </is>
      </c>
      <c r="L343" t="inlineStr">
        <is>
          <t>ST</t>
        </is>
      </c>
      <c r="M343" t="inlineStr">
        <is>
          <t>ST</t>
        </is>
      </c>
      <c r="N343" t="inlineStr">
        <is>
          <t>ST</t>
        </is>
      </c>
      <c r="O343" t="inlineStr">
        <is>
          <t>ST</t>
        </is>
      </c>
      <c r="P343" t="inlineStr">
        <is>
          <t>ST</t>
        </is>
      </c>
    </row>
    <row r="344">
      <c r="A344" t="inlineStr">
        <is>
          <t>CurrentWorkingView</t>
        </is>
      </c>
      <c r="B344" s="1" t="n">
        <v>3616308110302</v>
      </c>
      <c r="C344" t="inlineStr">
        <is>
          <t>P_US_ULTA</t>
        </is>
      </c>
      <c r="D344" t="inlineStr">
        <is>
          <t>Planner BestFit Model</t>
        </is>
      </c>
    </row>
    <row r="345">
      <c r="A345" t="inlineStr">
        <is>
          <t>CurrentWorkingView</t>
        </is>
      </c>
      <c r="B345" s="1" t="n">
        <v>4064941006657</v>
      </c>
      <c r="C345" t="inlineStr">
        <is>
          <t>P_US_ALL_OTHERS</t>
        </is>
      </c>
      <c r="D345" t="inlineStr">
        <is>
          <t>System FC - Final</t>
        </is>
      </c>
      <c r="E345" t="n">
        <v>291</v>
      </c>
      <c r="F345" t="n">
        <v>329</v>
      </c>
      <c r="G345" t="n">
        <v>277</v>
      </c>
      <c r="H345" t="n">
        <v>305</v>
      </c>
      <c r="I345" t="n">
        <v>367</v>
      </c>
      <c r="J345" t="n">
        <v>195</v>
      </c>
      <c r="K345" t="n">
        <v>341</v>
      </c>
      <c r="L345" t="n">
        <v>628</v>
      </c>
      <c r="M345" t="n">
        <v>686</v>
      </c>
      <c r="N345" t="n">
        <v>788</v>
      </c>
      <c r="O345" t="n">
        <v>271</v>
      </c>
      <c r="P345" t="n">
        <v>562</v>
      </c>
    </row>
    <row r="346">
      <c r="A346" t="inlineStr">
        <is>
          <t>CurrentWorkingView</t>
        </is>
      </c>
      <c r="B346" s="1" t="n">
        <v>4064941006657</v>
      </c>
      <c r="C346" t="inlineStr">
        <is>
          <t>P_US_ALL_OTHERS</t>
        </is>
      </c>
      <c r="D346" t="inlineStr">
        <is>
          <t>CML Fcst</t>
        </is>
      </c>
      <c r="H346" t="n">
        <v>306</v>
      </c>
      <c r="I346" t="n">
        <v>368</v>
      </c>
      <c r="J346" t="n">
        <v>195</v>
      </c>
      <c r="K346" t="n">
        <v>341</v>
      </c>
      <c r="L346" t="n">
        <v>628</v>
      </c>
      <c r="M346" t="n">
        <v>686</v>
      </c>
      <c r="N346" t="n">
        <v>788</v>
      </c>
      <c r="O346" t="n">
        <v>271</v>
      </c>
      <c r="P346" t="n">
        <v>562</v>
      </c>
    </row>
    <row r="347">
      <c r="A347" t="inlineStr">
        <is>
          <t>CurrentWorkingView</t>
        </is>
      </c>
      <c r="B347" s="1" t="n">
        <v>4064941006657</v>
      </c>
      <c r="C347" t="inlineStr">
        <is>
          <t>P_US_ALL_OTHERS</t>
        </is>
      </c>
      <c r="D347" t="inlineStr">
        <is>
          <t>ST Stat Fcst</t>
        </is>
      </c>
      <c r="E347" t="n">
        <v>291</v>
      </c>
      <c r="F347" t="n">
        <v>329</v>
      </c>
      <c r="G347" t="n">
        <v>339</v>
      </c>
      <c r="H347" t="n">
        <v>496</v>
      </c>
      <c r="I347" t="n">
        <v>552</v>
      </c>
      <c r="J347" t="n">
        <v>540</v>
      </c>
      <c r="K347" t="n">
        <v>616</v>
      </c>
      <c r="L347" t="n">
        <v>756</v>
      </c>
      <c r="M347" t="n">
        <v>660</v>
      </c>
      <c r="N347" t="n">
        <v>540</v>
      </c>
      <c r="O347" t="n">
        <v>748</v>
      </c>
      <c r="P347" t="n">
        <v>429</v>
      </c>
    </row>
    <row r="348">
      <c r="A348" t="inlineStr">
        <is>
          <t>CurrentWorkingView</t>
        </is>
      </c>
      <c r="B348" s="1" t="n">
        <v>4064941006657</v>
      </c>
      <c r="C348" t="inlineStr">
        <is>
          <t>P_US_ALL_OTHERS</t>
        </is>
      </c>
      <c r="D348" t="inlineStr">
        <is>
          <t>LT Stat Fcst</t>
        </is>
      </c>
      <c r="H348" t="n">
        <v>453</v>
      </c>
      <c r="I348" t="n">
        <v>621</v>
      </c>
      <c r="J348" t="n">
        <v>658</v>
      </c>
      <c r="K348" t="n">
        <v>699</v>
      </c>
      <c r="L348" t="n">
        <v>782</v>
      </c>
      <c r="M348" t="n">
        <v>765</v>
      </c>
      <c r="N348" t="n">
        <v>612</v>
      </c>
      <c r="O348" t="n">
        <v>739</v>
      </c>
      <c r="P348" t="n">
        <v>642</v>
      </c>
    </row>
    <row r="349">
      <c r="A349" t="inlineStr">
        <is>
          <t>CurrentWorkingView</t>
        </is>
      </c>
      <c r="B349" s="1" t="n">
        <v>4064941006657</v>
      </c>
      <c r="C349" t="inlineStr">
        <is>
          <t>P_US_ALL_OTHERS</t>
        </is>
      </c>
      <c r="D349" t="inlineStr">
        <is>
          <t>System BestFit Final</t>
        </is>
      </c>
      <c r="E349" t="inlineStr">
        <is>
          <t>CML</t>
        </is>
      </c>
      <c r="F349" t="inlineStr">
        <is>
          <t>CML</t>
        </is>
      </c>
      <c r="G349" t="inlineStr">
        <is>
          <t>CML</t>
        </is>
      </c>
      <c r="H349" t="inlineStr">
        <is>
          <t>CML</t>
        </is>
      </c>
      <c r="I349" t="inlineStr">
        <is>
          <t>CML</t>
        </is>
      </c>
      <c r="J349" t="inlineStr">
        <is>
          <t>CML</t>
        </is>
      </c>
      <c r="K349" t="inlineStr">
        <is>
          <t>CML</t>
        </is>
      </c>
      <c r="L349" t="inlineStr">
        <is>
          <t>CML</t>
        </is>
      </c>
      <c r="M349" t="inlineStr">
        <is>
          <t>CML</t>
        </is>
      </c>
      <c r="N349" t="inlineStr">
        <is>
          <t>CML</t>
        </is>
      </c>
      <c r="O349" t="inlineStr">
        <is>
          <t>CML</t>
        </is>
      </c>
      <c r="P349" t="inlineStr">
        <is>
          <t>CML</t>
        </is>
      </c>
    </row>
    <row r="350">
      <c r="A350" t="inlineStr">
        <is>
          <t>CurrentWorkingView</t>
        </is>
      </c>
      <c r="B350" s="1" t="n">
        <v>4064941006657</v>
      </c>
      <c r="C350" t="inlineStr">
        <is>
          <t>P_US_ALL_OTHERS</t>
        </is>
      </c>
      <c r="D350" t="inlineStr">
        <is>
          <t>System Bestfit Model ST</t>
        </is>
      </c>
    </row>
    <row r="351">
      <c r="A351" t="inlineStr">
        <is>
          <t>CurrentWorkingView</t>
        </is>
      </c>
      <c r="B351" s="1" t="n">
        <v>4064941006657</v>
      </c>
      <c r="C351" t="inlineStr">
        <is>
          <t>P_US_ALL_OTHERS</t>
        </is>
      </c>
      <c r="D351" t="inlineStr">
        <is>
          <t>Planner BestFit Model</t>
        </is>
      </c>
    </row>
    <row r="352">
      <c r="A352" t="inlineStr">
        <is>
          <t>CurrentWorkingView</t>
        </is>
      </c>
      <c r="B352" s="1" t="n">
        <v>4064941006657</v>
      </c>
      <c r="C352" t="inlineStr">
        <is>
          <t>P_US_ULTA</t>
        </is>
      </c>
      <c r="D352" t="inlineStr">
        <is>
          <t>System FC - Final</t>
        </is>
      </c>
      <c r="E352" t="n">
        <v>5050</v>
      </c>
      <c r="F352" t="n">
        <v>3219</v>
      </c>
      <c r="G352" t="n">
        <v>3818</v>
      </c>
      <c r="H352" t="n">
        <v>2512</v>
      </c>
      <c r="I352" t="n">
        <v>2550</v>
      </c>
      <c r="J352" t="n">
        <v>3134</v>
      </c>
      <c r="K352" t="n">
        <v>4978</v>
      </c>
      <c r="L352" t="n">
        <v>5280</v>
      </c>
      <c r="M352" t="n">
        <v>6094</v>
      </c>
      <c r="N352" t="n">
        <v>4827</v>
      </c>
      <c r="O352" t="n">
        <v>3902</v>
      </c>
      <c r="P352" t="n">
        <v>3347</v>
      </c>
    </row>
    <row r="353">
      <c r="A353" t="inlineStr">
        <is>
          <t>CurrentWorkingView</t>
        </is>
      </c>
      <c r="B353" s="1" t="n">
        <v>4064941006657</v>
      </c>
      <c r="C353" t="inlineStr">
        <is>
          <t>P_US_ULTA</t>
        </is>
      </c>
      <c r="D353" t="inlineStr">
        <is>
          <t>CML Fcst</t>
        </is>
      </c>
      <c r="H353" t="n">
        <v>4725</v>
      </c>
      <c r="I353" t="n">
        <v>3232</v>
      </c>
      <c r="J353" t="n">
        <v>4774</v>
      </c>
      <c r="K353" t="n">
        <v>4575</v>
      </c>
      <c r="L353" t="n">
        <v>3600</v>
      </c>
      <c r="M353" t="n">
        <v>4336</v>
      </c>
      <c r="N353" t="n">
        <v>5464</v>
      </c>
      <c r="O353" t="n">
        <v>4601</v>
      </c>
      <c r="P353" t="n">
        <v>4449</v>
      </c>
    </row>
    <row r="354">
      <c r="A354" t="inlineStr">
        <is>
          <t>CurrentWorkingView</t>
        </is>
      </c>
      <c r="B354" s="1" t="n">
        <v>4064941006657</v>
      </c>
      <c r="C354" t="inlineStr">
        <is>
          <t>P_US_ULTA</t>
        </is>
      </c>
      <c r="D354" t="inlineStr">
        <is>
          <t>ST Stat Fcst</t>
        </is>
      </c>
      <c r="E354" t="n">
        <v>5050</v>
      </c>
      <c r="F354" t="n">
        <v>3219</v>
      </c>
      <c r="G354" t="n">
        <v>3181</v>
      </c>
      <c r="H354" t="n">
        <v>2511</v>
      </c>
      <c r="I354" t="n">
        <v>2550</v>
      </c>
      <c r="J354" t="n">
        <v>3134</v>
      </c>
      <c r="K354" t="n">
        <v>4978</v>
      </c>
      <c r="L354" t="n">
        <v>5280</v>
      </c>
      <c r="M354" t="n">
        <v>6094</v>
      </c>
      <c r="N354" t="n">
        <v>4827</v>
      </c>
      <c r="O354" t="n">
        <v>3902</v>
      </c>
      <c r="P354" t="n">
        <v>3347</v>
      </c>
    </row>
    <row r="355">
      <c r="A355" t="inlineStr">
        <is>
          <t>CurrentWorkingView</t>
        </is>
      </c>
      <c r="B355" s="1" t="n">
        <v>4064941006657</v>
      </c>
      <c r="C355" t="inlineStr">
        <is>
          <t>P_US_ULTA</t>
        </is>
      </c>
      <c r="D355" t="inlineStr">
        <is>
          <t>LT Stat Fcst</t>
        </is>
      </c>
      <c r="H355" t="n">
        <v>2898</v>
      </c>
      <c r="I355" t="n">
        <v>3940</v>
      </c>
      <c r="J355" t="n">
        <v>4188</v>
      </c>
      <c r="K355" t="n">
        <v>4456</v>
      </c>
      <c r="L355" t="n">
        <v>4984</v>
      </c>
      <c r="M355" t="n">
        <v>4868</v>
      </c>
      <c r="N355" t="n">
        <v>3899</v>
      </c>
      <c r="O355" t="n">
        <v>4726</v>
      </c>
      <c r="P355" t="n">
        <v>4089</v>
      </c>
    </row>
    <row r="356">
      <c r="A356" t="inlineStr">
        <is>
          <t>CurrentWorkingView</t>
        </is>
      </c>
      <c r="B356" s="1" t="n">
        <v>4064941006657</v>
      </c>
      <c r="C356" t="inlineStr">
        <is>
          <t>P_US_ULTA</t>
        </is>
      </c>
      <c r="D356" t="inlineStr">
        <is>
          <t>System BestFit Final</t>
        </is>
      </c>
      <c r="E356" t="inlineStr">
        <is>
          <t>ST</t>
        </is>
      </c>
      <c r="F356" t="inlineStr">
        <is>
          <t>ST</t>
        </is>
      </c>
      <c r="G356" t="inlineStr">
        <is>
          <t>ST</t>
        </is>
      </c>
      <c r="H356" t="inlineStr">
        <is>
          <t>ST</t>
        </is>
      </c>
      <c r="I356" t="inlineStr">
        <is>
          <t>ST</t>
        </is>
      </c>
      <c r="J356" t="inlineStr">
        <is>
          <t>ST</t>
        </is>
      </c>
      <c r="K356" t="inlineStr">
        <is>
          <t>ST</t>
        </is>
      </c>
      <c r="L356" t="inlineStr">
        <is>
          <t>ST</t>
        </is>
      </c>
      <c r="M356" t="inlineStr">
        <is>
          <t>ST</t>
        </is>
      </c>
      <c r="N356" t="inlineStr">
        <is>
          <t>ST</t>
        </is>
      </c>
      <c r="O356" t="inlineStr">
        <is>
          <t>ST</t>
        </is>
      </c>
      <c r="P356" t="inlineStr">
        <is>
          <t>ST</t>
        </is>
      </c>
    </row>
    <row r="357">
      <c r="A357" t="inlineStr">
        <is>
          <t>CurrentWorkingView</t>
        </is>
      </c>
      <c r="B357" s="1" t="n">
        <v>4064941006657</v>
      </c>
      <c r="C357" t="inlineStr">
        <is>
          <t>P_US_ULTA</t>
        </is>
      </c>
      <c r="D357" t="inlineStr">
        <is>
          <t>System Bestfit Model ST</t>
        </is>
      </c>
      <c r="E357" t="inlineStr">
        <is>
          <t>ST</t>
        </is>
      </c>
      <c r="F357" t="inlineStr">
        <is>
          <t>ST</t>
        </is>
      </c>
      <c r="G357" t="inlineStr">
        <is>
          <t>ST</t>
        </is>
      </c>
      <c r="H357" t="inlineStr">
        <is>
          <t>ST</t>
        </is>
      </c>
      <c r="I357" t="inlineStr">
        <is>
          <t>ST</t>
        </is>
      </c>
      <c r="J357" t="inlineStr">
        <is>
          <t>ST</t>
        </is>
      </c>
      <c r="K357" t="inlineStr">
        <is>
          <t>ST</t>
        </is>
      </c>
      <c r="L357" t="inlineStr">
        <is>
          <t>ST</t>
        </is>
      </c>
      <c r="M357" t="inlineStr">
        <is>
          <t>ST</t>
        </is>
      </c>
      <c r="N357" t="inlineStr">
        <is>
          <t>ST</t>
        </is>
      </c>
      <c r="O357" t="inlineStr">
        <is>
          <t>ST</t>
        </is>
      </c>
      <c r="P357" t="inlineStr">
        <is>
          <t>ST</t>
        </is>
      </c>
    </row>
    <row r="358">
      <c r="A358" t="inlineStr">
        <is>
          <t>CurrentWorkingView</t>
        </is>
      </c>
      <c r="B358" s="1" t="n">
        <v>4064941006657</v>
      </c>
      <c r="C358" t="inlineStr">
        <is>
          <t>P_US_ULTA</t>
        </is>
      </c>
      <c r="D358" t="inlineStr">
        <is>
          <t>Planner BestFit Model</t>
        </is>
      </c>
    </row>
    <row r="359">
      <c r="A359" t="inlineStr">
        <is>
          <t>CurrentWorkingView</t>
        </is>
      </c>
      <c r="B359" s="1" t="n">
        <v>4064941006671</v>
      </c>
      <c r="C359" t="inlineStr">
        <is>
          <t>P_US_ALL_OTHERS</t>
        </is>
      </c>
      <c r="D359" t="inlineStr">
        <is>
          <t>System FC - Final</t>
        </is>
      </c>
      <c r="E359" t="n">
        <v>150</v>
      </c>
      <c r="F359" t="n">
        <v>169</v>
      </c>
      <c r="G359" t="n">
        <v>171</v>
      </c>
      <c r="H359" t="n">
        <v>169</v>
      </c>
      <c r="I359" t="n">
        <v>233</v>
      </c>
      <c r="J359" t="n">
        <v>242</v>
      </c>
      <c r="K359" t="n">
        <v>261</v>
      </c>
      <c r="L359" t="n">
        <v>291</v>
      </c>
      <c r="M359" t="n">
        <v>284</v>
      </c>
      <c r="N359" t="n">
        <v>230</v>
      </c>
      <c r="O359" t="n">
        <v>279</v>
      </c>
      <c r="P359" t="n">
        <v>237</v>
      </c>
    </row>
    <row r="360">
      <c r="A360" t="inlineStr">
        <is>
          <t>CurrentWorkingView</t>
        </is>
      </c>
      <c r="B360" s="1" t="n">
        <v>4064941006671</v>
      </c>
      <c r="C360" t="inlineStr">
        <is>
          <t>P_US_ALL_OTHERS</t>
        </is>
      </c>
      <c r="D360" t="inlineStr">
        <is>
          <t>CML Fcst</t>
        </is>
      </c>
      <c r="H360" t="n">
        <v>204</v>
      </c>
      <c r="I360" t="n">
        <v>162</v>
      </c>
      <c r="J360" t="n">
        <v>195</v>
      </c>
      <c r="K360" t="n">
        <v>190</v>
      </c>
      <c r="L360" t="n">
        <v>276</v>
      </c>
      <c r="M360" t="n">
        <v>217</v>
      </c>
      <c r="N360" t="n">
        <v>185</v>
      </c>
      <c r="O360" t="n">
        <v>240</v>
      </c>
      <c r="P360" t="n">
        <v>146</v>
      </c>
    </row>
    <row r="361">
      <c r="A361" t="inlineStr">
        <is>
          <t>CurrentWorkingView</t>
        </is>
      </c>
      <c r="B361" s="1" t="n">
        <v>4064941006671</v>
      </c>
      <c r="C361" t="inlineStr">
        <is>
          <t>P_US_ALL_OTHERS</t>
        </is>
      </c>
      <c r="D361" t="inlineStr">
        <is>
          <t>ST Stat Fcst</t>
        </is>
      </c>
      <c r="E361" t="n">
        <v>150</v>
      </c>
      <c r="F361" t="n">
        <v>169</v>
      </c>
      <c r="G361" t="n">
        <v>124</v>
      </c>
      <c r="H361" t="n">
        <v>119</v>
      </c>
      <c r="I361" t="n">
        <v>176</v>
      </c>
      <c r="J361" t="n">
        <v>222</v>
      </c>
      <c r="K361" t="n">
        <v>199</v>
      </c>
      <c r="L361" t="n">
        <v>272</v>
      </c>
      <c r="M361" t="n">
        <v>279</v>
      </c>
      <c r="N361" t="n">
        <v>150</v>
      </c>
      <c r="O361" t="n">
        <v>323</v>
      </c>
      <c r="P361" t="n">
        <v>133</v>
      </c>
    </row>
    <row r="362">
      <c r="A362" t="inlineStr">
        <is>
          <t>CurrentWorkingView</t>
        </is>
      </c>
      <c r="B362" s="1" t="n">
        <v>4064941006671</v>
      </c>
      <c r="C362" t="inlineStr">
        <is>
          <t>P_US_ALL_OTHERS</t>
        </is>
      </c>
      <c r="D362" t="inlineStr">
        <is>
          <t>LT Stat Fcst</t>
        </is>
      </c>
      <c r="H362" t="n">
        <v>169</v>
      </c>
      <c r="I362" t="n">
        <v>232</v>
      </c>
      <c r="J362" t="n">
        <v>242</v>
      </c>
      <c r="K362" t="n">
        <v>261</v>
      </c>
      <c r="L362" t="n">
        <v>291</v>
      </c>
      <c r="M362" t="n">
        <v>284</v>
      </c>
      <c r="N362" t="n">
        <v>230</v>
      </c>
      <c r="O362" t="n">
        <v>279</v>
      </c>
      <c r="P362" t="n">
        <v>237</v>
      </c>
    </row>
    <row r="363">
      <c r="A363" t="inlineStr">
        <is>
          <t>CurrentWorkingView</t>
        </is>
      </c>
      <c r="B363" s="1" t="n">
        <v>4064941006671</v>
      </c>
      <c r="C363" t="inlineStr">
        <is>
          <t>P_US_ALL_OTHERS</t>
        </is>
      </c>
      <c r="D363" t="inlineStr">
        <is>
          <t>System BestFit Final</t>
        </is>
      </c>
      <c r="E363" t="inlineStr">
        <is>
          <t>LT</t>
        </is>
      </c>
      <c r="F363" t="inlineStr">
        <is>
          <t>LT</t>
        </is>
      </c>
      <c r="G363" t="inlineStr">
        <is>
          <t>LT</t>
        </is>
      </c>
      <c r="H363" t="inlineStr">
        <is>
          <t>LT</t>
        </is>
      </c>
      <c r="I363" t="inlineStr">
        <is>
          <t>LT</t>
        </is>
      </c>
      <c r="J363" t="inlineStr">
        <is>
          <t>LT</t>
        </is>
      </c>
      <c r="K363" t="inlineStr">
        <is>
          <t>LT</t>
        </is>
      </c>
      <c r="L363" t="inlineStr">
        <is>
          <t>LT</t>
        </is>
      </c>
      <c r="M363" t="inlineStr">
        <is>
          <t>LT</t>
        </is>
      </c>
      <c r="N363" t="inlineStr">
        <is>
          <t>LT</t>
        </is>
      </c>
      <c r="O363" t="inlineStr">
        <is>
          <t>LT</t>
        </is>
      </c>
      <c r="P363" t="inlineStr">
        <is>
          <t>LT</t>
        </is>
      </c>
    </row>
    <row r="364">
      <c r="A364" t="inlineStr">
        <is>
          <t>CurrentWorkingView</t>
        </is>
      </c>
      <c r="B364" s="1" t="n">
        <v>4064941006671</v>
      </c>
      <c r="C364" t="inlineStr">
        <is>
          <t>P_US_ALL_OTHERS</t>
        </is>
      </c>
      <c r="D364" t="inlineStr">
        <is>
          <t>System Bestfit Model ST</t>
        </is>
      </c>
    </row>
    <row r="365">
      <c r="A365" t="inlineStr">
        <is>
          <t>CurrentWorkingView</t>
        </is>
      </c>
      <c r="B365" s="1" t="n">
        <v>4064941006671</v>
      </c>
      <c r="C365" t="inlineStr">
        <is>
          <t>P_US_ALL_OTHERS</t>
        </is>
      </c>
      <c r="D365" t="inlineStr">
        <is>
          <t>Planner BestFit Model</t>
        </is>
      </c>
    </row>
    <row r="366">
      <c r="A366" t="inlineStr">
        <is>
          <t>CurrentWorkingView</t>
        </is>
      </c>
      <c r="B366" s="1" t="n">
        <v>4064941006671</v>
      </c>
      <c r="C366" t="inlineStr">
        <is>
          <t>P_US_ULTA</t>
        </is>
      </c>
      <c r="D366" t="inlineStr">
        <is>
          <t>System FC - Final</t>
        </is>
      </c>
      <c r="E366" t="n">
        <v>3672</v>
      </c>
      <c r="F366" t="n">
        <v>3109</v>
      </c>
      <c r="G366" t="n">
        <v>1570</v>
      </c>
      <c r="H366" t="n">
        <v>1175</v>
      </c>
      <c r="I366" t="n">
        <v>1595</v>
      </c>
      <c r="J366" t="n">
        <v>1697</v>
      </c>
      <c r="K366" t="n">
        <v>1804</v>
      </c>
      <c r="L366" t="n">
        <v>2021</v>
      </c>
      <c r="M366" t="n">
        <v>1973</v>
      </c>
      <c r="N366" t="n">
        <v>1579</v>
      </c>
      <c r="O366" t="n">
        <v>1915</v>
      </c>
      <c r="P366" t="n">
        <v>1656</v>
      </c>
    </row>
    <row r="367">
      <c r="A367" t="inlineStr">
        <is>
          <t>CurrentWorkingView</t>
        </is>
      </c>
      <c r="B367" s="1" t="n">
        <v>4064941006671</v>
      </c>
      <c r="C367" t="inlineStr">
        <is>
          <t>P_US_ULTA</t>
        </is>
      </c>
      <c r="D367" t="inlineStr">
        <is>
          <t>CML Fcst</t>
        </is>
      </c>
      <c r="H367" t="n">
        <v>1657</v>
      </c>
      <c r="I367" t="n">
        <v>2134</v>
      </c>
      <c r="J367" t="n">
        <v>1820</v>
      </c>
      <c r="K367" t="n">
        <v>2427</v>
      </c>
      <c r="L367" t="n">
        <v>3344</v>
      </c>
      <c r="M367" t="n">
        <v>2440</v>
      </c>
      <c r="N367" t="n">
        <v>2948</v>
      </c>
      <c r="O367" t="n">
        <v>1913</v>
      </c>
      <c r="P367" t="n">
        <v>2035</v>
      </c>
    </row>
    <row r="368">
      <c r="A368" t="inlineStr">
        <is>
          <t>CurrentWorkingView</t>
        </is>
      </c>
      <c r="B368" s="1" t="n">
        <v>4064941006671</v>
      </c>
      <c r="C368" t="inlineStr">
        <is>
          <t>P_US_ULTA</t>
        </is>
      </c>
      <c r="D368" t="inlineStr">
        <is>
          <t>ST Stat Fcst</t>
        </is>
      </c>
      <c r="E368" t="n">
        <v>3672</v>
      </c>
      <c r="F368" t="n">
        <v>3109</v>
      </c>
      <c r="G368" t="n">
        <v>1330</v>
      </c>
      <c r="H368" t="n">
        <v>200</v>
      </c>
      <c r="I368" t="n">
        <v>138</v>
      </c>
      <c r="J368" t="n">
        <v>771</v>
      </c>
      <c r="K368" t="n">
        <v>3038</v>
      </c>
      <c r="L368" t="n">
        <v>2824</v>
      </c>
      <c r="M368" t="n">
        <v>1696</v>
      </c>
      <c r="N368" t="n">
        <v>1282</v>
      </c>
      <c r="O368" t="n">
        <v>2379</v>
      </c>
      <c r="P368" t="n">
        <v>2739</v>
      </c>
    </row>
    <row r="369">
      <c r="A369" t="inlineStr">
        <is>
          <t>CurrentWorkingView</t>
        </is>
      </c>
      <c r="B369" s="1" t="n">
        <v>4064941006671</v>
      </c>
      <c r="C369" t="inlineStr">
        <is>
          <t>P_US_ULTA</t>
        </is>
      </c>
      <c r="D369" t="inlineStr">
        <is>
          <t>LT Stat Fcst</t>
        </is>
      </c>
      <c r="H369" t="n">
        <v>1175</v>
      </c>
      <c r="I369" t="n">
        <v>1595</v>
      </c>
      <c r="J369" t="n">
        <v>1697</v>
      </c>
      <c r="K369" t="n">
        <v>1804</v>
      </c>
      <c r="L369" t="n">
        <v>2021</v>
      </c>
      <c r="M369" t="n">
        <v>1973</v>
      </c>
      <c r="N369" t="n">
        <v>1579</v>
      </c>
      <c r="O369" t="n">
        <v>1915</v>
      </c>
      <c r="P369" t="n">
        <v>1656</v>
      </c>
    </row>
    <row r="370">
      <c r="A370" t="inlineStr">
        <is>
          <t>CurrentWorkingView</t>
        </is>
      </c>
      <c r="B370" s="1" t="n">
        <v>4064941006671</v>
      </c>
      <c r="C370" t="inlineStr">
        <is>
          <t>P_US_ULTA</t>
        </is>
      </c>
      <c r="D370" t="inlineStr">
        <is>
          <t>System BestFit Final</t>
        </is>
      </c>
      <c r="E370" t="inlineStr">
        <is>
          <t>LT</t>
        </is>
      </c>
      <c r="F370" t="inlineStr">
        <is>
          <t>LT</t>
        </is>
      </c>
      <c r="G370" t="inlineStr">
        <is>
          <t>LT</t>
        </is>
      </c>
      <c r="H370" t="inlineStr">
        <is>
          <t>LT</t>
        </is>
      </c>
      <c r="I370" t="inlineStr">
        <is>
          <t>LT</t>
        </is>
      </c>
      <c r="J370" t="inlineStr">
        <is>
          <t>LT</t>
        </is>
      </c>
      <c r="K370" t="inlineStr">
        <is>
          <t>LT</t>
        </is>
      </c>
      <c r="L370" t="inlineStr">
        <is>
          <t>LT</t>
        </is>
      </c>
      <c r="M370" t="inlineStr">
        <is>
          <t>LT</t>
        </is>
      </c>
      <c r="N370" t="inlineStr">
        <is>
          <t>LT</t>
        </is>
      </c>
      <c r="O370" t="inlineStr">
        <is>
          <t>LT</t>
        </is>
      </c>
      <c r="P370" t="inlineStr">
        <is>
          <t>LT</t>
        </is>
      </c>
    </row>
    <row r="371">
      <c r="A371" t="inlineStr">
        <is>
          <t>CurrentWorkingView</t>
        </is>
      </c>
      <c r="B371" s="1" t="n">
        <v>4064941006671</v>
      </c>
      <c r="C371" t="inlineStr">
        <is>
          <t>P_US_ULTA</t>
        </is>
      </c>
      <c r="D371" t="inlineStr">
        <is>
          <t>System Bestfit Model ST</t>
        </is>
      </c>
    </row>
    <row r="372">
      <c r="A372" t="inlineStr">
        <is>
          <t>CurrentWorkingView</t>
        </is>
      </c>
      <c r="B372" s="1" t="n">
        <v>4064941006671</v>
      </c>
      <c r="C372" t="inlineStr">
        <is>
          <t>P_US_ULTA</t>
        </is>
      </c>
      <c r="D372" t="inlineStr">
        <is>
          <t>Planner BestFit Model</t>
        </is>
      </c>
    </row>
    <row r="373">
      <c r="A373" t="inlineStr">
        <is>
          <t>CurrentWorkingView</t>
        </is>
      </c>
      <c r="B373" s="1" t="n">
        <v>4064941006701</v>
      </c>
      <c r="C373" t="inlineStr">
        <is>
          <t>P_US_ALL_OTHERS</t>
        </is>
      </c>
      <c r="D373" t="inlineStr">
        <is>
          <t>System FC - Final</t>
        </is>
      </c>
      <c r="E373" t="n">
        <v>273</v>
      </c>
      <c r="F373" t="n">
        <v>288</v>
      </c>
      <c r="G373" t="n">
        <v>205</v>
      </c>
      <c r="H373" t="n">
        <v>389</v>
      </c>
      <c r="I373" t="n">
        <v>390</v>
      </c>
      <c r="J373" t="n">
        <v>399</v>
      </c>
      <c r="K373" t="n">
        <v>279</v>
      </c>
      <c r="L373" t="n">
        <v>420</v>
      </c>
      <c r="M373" t="n">
        <v>257</v>
      </c>
      <c r="N373" t="n">
        <v>273</v>
      </c>
      <c r="O373" t="n">
        <v>550</v>
      </c>
      <c r="P373" t="n">
        <v>257</v>
      </c>
    </row>
    <row r="374">
      <c r="A374" t="inlineStr">
        <is>
          <t>CurrentWorkingView</t>
        </is>
      </c>
      <c r="B374" s="1" t="n">
        <v>4064941006701</v>
      </c>
      <c r="C374" t="inlineStr">
        <is>
          <t>P_US_ALL_OTHERS</t>
        </is>
      </c>
      <c r="D374" t="inlineStr">
        <is>
          <t>CML Fcst</t>
        </is>
      </c>
      <c r="H374" t="n">
        <v>256</v>
      </c>
      <c r="I374" t="n">
        <v>154</v>
      </c>
      <c r="J374" t="n">
        <v>248</v>
      </c>
      <c r="K374" t="n">
        <v>261</v>
      </c>
      <c r="L374" t="n">
        <v>304</v>
      </c>
      <c r="M374" t="n">
        <v>315</v>
      </c>
      <c r="N374" t="n">
        <v>214</v>
      </c>
      <c r="O374" t="n">
        <v>323</v>
      </c>
      <c r="P374" t="n">
        <v>215</v>
      </c>
    </row>
    <row r="375">
      <c r="A375" t="inlineStr">
        <is>
          <t>CurrentWorkingView</t>
        </is>
      </c>
      <c r="B375" s="1" t="n">
        <v>4064941006701</v>
      </c>
      <c r="C375" t="inlineStr">
        <is>
          <t>P_US_ALL_OTHERS</t>
        </is>
      </c>
      <c r="D375" t="inlineStr">
        <is>
          <t>ST Stat Fcst</t>
        </is>
      </c>
      <c r="E375" t="n">
        <v>273</v>
      </c>
      <c r="F375" t="n">
        <v>288</v>
      </c>
      <c r="G375" t="n">
        <v>205</v>
      </c>
      <c r="H375" t="n">
        <v>389</v>
      </c>
      <c r="I375" t="n">
        <v>390</v>
      </c>
      <c r="J375" t="n">
        <v>399</v>
      </c>
      <c r="K375" t="n">
        <v>279</v>
      </c>
      <c r="L375" t="n">
        <v>420</v>
      </c>
      <c r="M375" t="n">
        <v>257</v>
      </c>
      <c r="N375" t="n">
        <v>273</v>
      </c>
      <c r="O375" t="n">
        <v>550</v>
      </c>
      <c r="P375" t="n">
        <v>257</v>
      </c>
    </row>
    <row r="376">
      <c r="A376" t="inlineStr">
        <is>
          <t>CurrentWorkingView</t>
        </is>
      </c>
      <c r="B376" s="1" t="n">
        <v>4064941006701</v>
      </c>
      <c r="C376" t="inlineStr">
        <is>
          <t>P_US_ALL_OTHERS</t>
        </is>
      </c>
      <c r="D376" t="inlineStr">
        <is>
          <t>LT Stat Fcst</t>
        </is>
      </c>
      <c r="H376" t="n">
        <v>302</v>
      </c>
      <c r="I376" t="n">
        <v>405</v>
      </c>
      <c r="J376" t="n">
        <v>435</v>
      </c>
      <c r="K376" t="n">
        <v>464</v>
      </c>
      <c r="L376" t="n">
        <v>519</v>
      </c>
      <c r="M376" t="n">
        <v>504</v>
      </c>
      <c r="N376" t="n">
        <v>405</v>
      </c>
      <c r="O376" t="n">
        <v>492</v>
      </c>
      <c r="P376" t="n">
        <v>423</v>
      </c>
    </row>
    <row r="377">
      <c r="A377" t="inlineStr">
        <is>
          <t>CurrentWorkingView</t>
        </is>
      </c>
      <c r="B377" s="1" t="n">
        <v>4064941006701</v>
      </c>
      <c r="C377" t="inlineStr">
        <is>
          <t>P_US_ALL_OTHERS</t>
        </is>
      </c>
      <c r="D377" t="inlineStr">
        <is>
          <t>System BestFit Final</t>
        </is>
      </c>
      <c r="E377" t="inlineStr">
        <is>
          <t>ST</t>
        </is>
      </c>
      <c r="F377" t="inlineStr">
        <is>
          <t>ST</t>
        </is>
      </c>
      <c r="G377" t="inlineStr">
        <is>
          <t>ST</t>
        </is>
      </c>
      <c r="H377" t="inlineStr">
        <is>
          <t>ST</t>
        </is>
      </c>
      <c r="I377" t="inlineStr">
        <is>
          <t>ST</t>
        </is>
      </c>
      <c r="J377" t="inlineStr">
        <is>
          <t>ST</t>
        </is>
      </c>
      <c r="K377" t="inlineStr">
        <is>
          <t>ST</t>
        </is>
      </c>
      <c r="L377" t="inlineStr">
        <is>
          <t>ST</t>
        </is>
      </c>
      <c r="M377" t="inlineStr">
        <is>
          <t>ST</t>
        </is>
      </c>
      <c r="N377" t="inlineStr">
        <is>
          <t>ST</t>
        </is>
      </c>
      <c r="O377" t="inlineStr">
        <is>
          <t>ST</t>
        </is>
      </c>
      <c r="P377" t="inlineStr">
        <is>
          <t>ST</t>
        </is>
      </c>
    </row>
    <row r="378">
      <c r="A378" t="inlineStr">
        <is>
          <t>CurrentWorkingView</t>
        </is>
      </c>
      <c r="B378" s="1" t="n">
        <v>4064941006701</v>
      </c>
      <c r="C378" t="inlineStr">
        <is>
          <t>P_US_ALL_OTHERS</t>
        </is>
      </c>
      <c r="D378" t="inlineStr">
        <is>
          <t>System Bestfit Model ST</t>
        </is>
      </c>
      <c r="E378" t="inlineStr">
        <is>
          <t>ST</t>
        </is>
      </c>
      <c r="F378" t="inlineStr">
        <is>
          <t>ST</t>
        </is>
      </c>
      <c r="G378" t="inlineStr">
        <is>
          <t>ST</t>
        </is>
      </c>
      <c r="H378" t="inlineStr">
        <is>
          <t>ST</t>
        </is>
      </c>
      <c r="I378" t="inlineStr">
        <is>
          <t>ST</t>
        </is>
      </c>
      <c r="J378" t="inlineStr">
        <is>
          <t>ST</t>
        </is>
      </c>
      <c r="K378" t="inlineStr">
        <is>
          <t>ST</t>
        </is>
      </c>
      <c r="L378" t="inlineStr">
        <is>
          <t>ST</t>
        </is>
      </c>
      <c r="M378" t="inlineStr">
        <is>
          <t>ST</t>
        </is>
      </c>
      <c r="N378" t="inlineStr">
        <is>
          <t>ST</t>
        </is>
      </c>
      <c r="O378" t="inlineStr">
        <is>
          <t>ST</t>
        </is>
      </c>
      <c r="P378" t="inlineStr">
        <is>
          <t>ST</t>
        </is>
      </c>
    </row>
    <row r="379">
      <c r="A379" t="inlineStr">
        <is>
          <t>CurrentWorkingView</t>
        </is>
      </c>
      <c r="B379" s="1" t="n">
        <v>4064941006701</v>
      </c>
      <c r="C379" t="inlineStr">
        <is>
          <t>P_US_ALL_OTHERS</t>
        </is>
      </c>
      <c r="D379" t="inlineStr">
        <is>
          <t>Planner BestFit Model</t>
        </is>
      </c>
      <c r="E379" t="inlineStr">
        <is>
          <t>ST</t>
        </is>
      </c>
      <c r="F379" t="inlineStr">
        <is>
          <t>ST</t>
        </is>
      </c>
      <c r="G379" t="inlineStr">
        <is>
          <t>ST</t>
        </is>
      </c>
      <c r="H379" t="inlineStr">
        <is>
          <t>ST</t>
        </is>
      </c>
      <c r="I379" t="inlineStr">
        <is>
          <t>ST</t>
        </is>
      </c>
      <c r="J379" t="inlineStr">
        <is>
          <t>ST</t>
        </is>
      </c>
      <c r="K379" t="inlineStr">
        <is>
          <t>ST</t>
        </is>
      </c>
      <c r="L379" t="inlineStr">
        <is>
          <t>ST</t>
        </is>
      </c>
      <c r="M379" t="inlineStr">
        <is>
          <t>ST</t>
        </is>
      </c>
      <c r="N379" t="inlineStr">
        <is>
          <t>ST</t>
        </is>
      </c>
      <c r="O379" t="inlineStr">
        <is>
          <t>ST</t>
        </is>
      </c>
      <c r="P379" t="inlineStr">
        <is>
          <t>ST</t>
        </is>
      </c>
    </row>
    <row r="380">
      <c r="A380" t="inlineStr">
        <is>
          <t>CurrentWorkingView</t>
        </is>
      </c>
      <c r="B380" s="1" t="n">
        <v>4064941006701</v>
      </c>
      <c r="C380" t="inlineStr">
        <is>
          <t>P_US_ULTA</t>
        </is>
      </c>
      <c r="D380" t="inlineStr">
        <is>
          <t>System FC - Final</t>
        </is>
      </c>
      <c r="E380" t="n">
        <v>4320</v>
      </c>
      <c r="F380" t="n">
        <v>4287</v>
      </c>
      <c r="G380" t="n">
        <v>2004</v>
      </c>
      <c r="H380" t="n">
        <v>1849</v>
      </c>
      <c r="I380" t="n">
        <v>2520</v>
      </c>
      <c r="J380" t="n">
        <v>2680</v>
      </c>
      <c r="K380" t="n">
        <v>2848</v>
      </c>
      <c r="L380" t="n">
        <v>3187</v>
      </c>
      <c r="M380" t="n">
        <v>3109</v>
      </c>
      <c r="N380" t="n">
        <v>2493</v>
      </c>
      <c r="O380" t="n">
        <v>3020</v>
      </c>
      <c r="P380" t="n">
        <v>2614</v>
      </c>
    </row>
    <row r="381">
      <c r="A381" t="inlineStr">
        <is>
          <t>CurrentWorkingView</t>
        </is>
      </c>
      <c r="B381" s="1" t="n">
        <v>4064941006701</v>
      </c>
      <c r="C381" t="inlineStr">
        <is>
          <t>P_US_ULTA</t>
        </is>
      </c>
      <c r="D381" t="inlineStr">
        <is>
          <t>CML Fcst</t>
        </is>
      </c>
      <c r="H381" t="n">
        <v>2471</v>
      </c>
      <c r="I381" t="n">
        <v>2070</v>
      </c>
      <c r="J381" t="n">
        <v>2285</v>
      </c>
      <c r="K381" t="n">
        <v>2095</v>
      </c>
      <c r="L381" t="n">
        <v>3112</v>
      </c>
      <c r="M381" t="n">
        <v>1227</v>
      </c>
      <c r="N381" t="n">
        <v>2768</v>
      </c>
      <c r="O381" t="n">
        <v>3578</v>
      </c>
      <c r="P381" t="n">
        <v>1350</v>
      </c>
    </row>
    <row r="382">
      <c r="A382" t="inlineStr">
        <is>
          <t>CurrentWorkingView</t>
        </is>
      </c>
      <c r="B382" s="1" t="n">
        <v>4064941006701</v>
      </c>
      <c r="C382" t="inlineStr">
        <is>
          <t>P_US_ULTA</t>
        </is>
      </c>
      <c r="D382" t="inlineStr">
        <is>
          <t>ST Stat Fcst</t>
        </is>
      </c>
      <c r="E382" t="n">
        <v>4320</v>
      </c>
      <c r="F382" t="n">
        <v>4287</v>
      </c>
      <c r="G382" t="n">
        <v>2031</v>
      </c>
      <c r="H382" t="n">
        <v>1856</v>
      </c>
      <c r="I382" t="n">
        <v>2868</v>
      </c>
      <c r="J382" t="n">
        <v>2901</v>
      </c>
      <c r="K382" t="n">
        <v>2883</v>
      </c>
      <c r="L382" t="n">
        <v>2032</v>
      </c>
      <c r="M382" t="n">
        <v>1909</v>
      </c>
      <c r="N382" t="n">
        <v>1093</v>
      </c>
      <c r="O382" t="n">
        <v>2108</v>
      </c>
      <c r="P382" t="n">
        <v>1265</v>
      </c>
    </row>
    <row r="383">
      <c r="A383" t="inlineStr">
        <is>
          <t>CurrentWorkingView</t>
        </is>
      </c>
      <c r="B383" s="1" t="n">
        <v>4064941006701</v>
      </c>
      <c r="C383" t="inlineStr">
        <is>
          <t>P_US_ULTA</t>
        </is>
      </c>
      <c r="D383" t="inlineStr">
        <is>
          <t>LT Stat Fcst</t>
        </is>
      </c>
      <c r="H383" t="n">
        <v>1849</v>
      </c>
      <c r="I383" t="n">
        <v>2520</v>
      </c>
      <c r="J383" t="n">
        <v>2680</v>
      </c>
      <c r="K383" t="n">
        <v>2848</v>
      </c>
      <c r="L383" t="n">
        <v>3187</v>
      </c>
      <c r="M383" t="n">
        <v>3109</v>
      </c>
      <c r="N383" t="n">
        <v>2493</v>
      </c>
      <c r="O383" t="n">
        <v>3020</v>
      </c>
      <c r="P383" t="n">
        <v>2614</v>
      </c>
    </row>
    <row r="384">
      <c r="A384" t="inlineStr">
        <is>
          <t>CurrentWorkingView</t>
        </is>
      </c>
      <c r="B384" s="1" t="n">
        <v>4064941006701</v>
      </c>
      <c r="C384" t="inlineStr">
        <is>
          <t>P_US_ULTA</t>
        </is>
      </c>
      <c r="D384" t="inlineStr">
        <is>
          <t>System BestFit Final</t>
        </is>
      </c>
      <c r="E384" t="inlineStr">
        <is>
          <t>LT</t>
        </is>
      </c>
      <c r="F384" t="inlineStr">
        <is>
          <t>LT</t>
        </is>
      </c>
      <c r="G384" t="inlineStr">
        <is>
          <t>LT</t>
        </is>
      </c>
      <c r="H384" t="inlineStr">
        <is>
          <t>LT</t>
        </is>
      </c>
      <c r="I384" t="inlineStr">
        <is>
          <t>LT</t>
        </is>
      </c>
      <c r="J384" t="inlineStr">
        <is>
          <t>LT</t>
        </is>
      </c>
      <c r="K384" t="inlineStr">
        <is>
          <t>LT</t>
        </is>
      </c>
      <c r="L384" t="inlineStr">
        <is>
          <t>LT</t>
        </is>
      </c>
      <c r="M384" t="inlineStr">
        <is>
          <t>LT</t>
        </is>
      </c>
      <c r="N384" t="inlineStr">
        <is>
          <t>LT</t>
        </is>
      </c>
      <c r="O384" t="inlineStr">
        <is>
          <t>LT</t>
        </is>
      </c>
      <c r="P384" t="inlineStr">
        <is>
          <t>LT</t>
        </is>
      </c>
    </row>
    <row r="385">
      <c r="A385" t="inlineStr">
        <is>
          <t>CurrentWorkingView</t>
        </is>
      </c>
      <c r="B385" s="1" t="n">
        <v>4064941006701</v>
      </c>
      <c r="C385" t="inlineStr">
        <is>
          <t>P_US_ULTA</t>
        </is>
      </c>
      <c r="D385" t="inlineStr">
        <is>
          <t>System Bestfit Model ST</t>
        </is>
      </c>
    </row>
    <row r="386">
      <c r="A386" t="inlineStr">
        <is>
          <t>CurrentWorkingView</t>
        </is>
      </c>
      <c r="B386" s="1" t="n">
        <v>4064941006701</v>
      </c>
      <c r="C386" t="inlineStr">
        <is>
          <t>P_US_ULTA</t>
        </is>
      </c>
      <c r="D386" t="inlineStr">
        <is>
          <t>Planner BestFit Model</t>
        </is>
      </c>
      <c r="E386" t="inlineStr">
        <is>
          <t>LT</t>
        </is>
      </c>
      <c r="F386" t="inlineStr">
        <is>
          <t>LT</t>
        </is>
      </c>
      <c r="G386" t="inlineStr">
        <is>
          <t>LT</t>
        </is>
      </c>
      <c r="H386" t="inlineStr">
        <is>
          <t>LT</t>
        </is>
      </c>
      <c r="I386" t="inlineStr">
        <is>
          <t>LT</t>
        </is>
      </c>
      <c r="J386" t="inlineStr">
        <is>
          <t>LT</t>
        </is>
      </c>
      <c r="K386" t="inlineStr">
        <is>
          <t>LT</t>
        </is>
      </c>
      <c r="L386" t="inlineStr">
        <is>
          <t>LT</t>
        </is>
      </c>
      <c r="M386" t="inlineStr">
        <is>
          <t>LT</t>
        </is>
      </c>
      <c r="N386" t="inlineStr">
        <is>
          <t>LT</t>
        </is>
      </c>
      <c r="O386" t="inlineStr">
        <is>
          <t>LT</t>
        </is>
      </c>
      <c r="P386" t="inlineStr">
        <is>
          <t>LT</t>
        </is>
      </c>
    </row>
    <row r="387">
      <c r="A387" t="inlineStr">
        <is>
          <t>CurrentWorkingView</t>
        </is>
      </c>
      <c r="B387" s="1" t="n">
        <v>4064941006800</v>
      </c>
      <c r="C387" t="inlineStr">
        <is>
          <t>P_US_ALL_OTHERS</t>
        </is>
      </c>
      <c r="D387" t="inlineStr">
        <is>
          <t>System FC - Final</t>
        </is>
      </c>
      <c r="E387" t="n">
        <v>156</v>
      </c>
      <c r="F387" t="n">
        <v>195</v>
      </c>
      <c r="G387" t="n">
        <v>119</v>
      </c>
      <c r="H387" t="n">
        <v>186</v>
      </c>
      <c r="I387" t="n">
        <v>176</v>
      </c>
      <c r="J387" t="n">
        <v>231</v>
      </c>
      <c r="K387" t="n">
        <v>177</v>
      </c>
      <c r="L387" t="n">
        <v>264</v>
      </c>
      <c r="M387" t="n">
        <v>252</v>
      </c>
      <c r="N387" t="n">
        <v>141</v>
      </c>
      <c r="O387" t="n">
        <v>337</v>
      </c>
      <c r="P387" t="n">
        <v>150</v>
      </c>
    </row>
    <row r="388">
      <c r="A388" t="inlineStr">
        <is>
          <t>CurrentWorkingView</t>
        </is>
      </c>
      <c r="B388" s="1" t="n">
        <v>4064941006800</v>
      </c>
      <c r="C388" t="inlineStr">
        <is>
          <t>P_US_ALL_OTHERS</t>
        </is>
      </c>
      <c r="D388" t="inlineStr">
        <is>
          <t>CML Fcst</t>
        </is>
      </c>
      <c r="H388" t="n">
        <v>195</v>
      </c>
      <c r="I388" t="n">
        <v>158</v>
      </c>
      <c r="J388" t="n">
        <v>195</v>
      </c>
      <c r="K388" t="n">
        <v>204</v>
      </c>
      <c r="L388" t="n">
        <v>264</v>
      </c>
      <c r="M388" t="n">
        <v>226</v>
      </c>
      <c r="N388" t="n">
        <v>176</v>
      </c>
      <c r="O388" t="n">
        <v>257</v>
      </c>
      <c r="P388" t="n">
        <v>146</v>
      </c>
    </row>
    <row r="389">
      <c r="A389" t="inlineStr">
        <is>
          <t>CurrentWorkingView</t>
        </is>
      </c>
      <c r="B389" s="1" t="n">
        <v>4064941006800</v>
      </c>
      <c r="C389" t="inlineStr">
        <is>
          <t>P_US_ALL_OTHERS</t>
        </is>
      </c>
      <c r="D389" t="inlineStr">
        <is>
          <t>ST Stat Fcst</t>
        </is>
      </c>
      <c r="E389" t="n">
        <v>156</v>
      </c>
      <c r="F389" t="n">
        <v>195</v>
      </c>
      <c r="G389" t="n">
        <v>93</v>
      </c>
      <c r="H389" t="n">
        <v>186</v>
      </c>
      <c r="I389" t="n">
        <v>176</v>
      </c>
      <c r="J389" t="n">
        <v>231</v>
      </c>
      <c r="K389" t="n">
        <v>177</v>
      </c>
      <c r="L389" t="n">
        <v>264</v>
      </c>
      <c r="M389" t="n">
        <v>252</v>
      </c>
      <c r="N389" t="n">
        <v>141</v>
      </c>
      <c r="O389" t="n">
        <v>337</v>
      </c>
      <c r="P389" t="n">
        <v>150</v>
      </c>
    </row>
    <row r="390">
      <c r="A390" t="inlineStr">
        <is>
          <t>CurrentWorkingView</t>
        </is>
      </c>
      <c r="B390" s="1" t="n">
        <v>4064941006800</v>
      </c>
      <c r="C390" t="inlineStr">
        <is>
          <t>P_US_ALL_OTHERS</t>
        </is>
      </c>
      <c r="D390" t="inlineStr">
        <is>
          <t>LT Stat Fcst</t>
        </is>
      </c>
      <c r="H390" t="n">
        <v>168</v>
      </c>
      <c r="I390" t="n">
        <v>228</v>
      </c>
      <c r="J390" t="n">
        <v>239</v>
      </c>
      <c r="K390" t="n">
        <v>257</v>
      </c>
      <c r="L390" t="n">
        <v>287</v>
      </c>
      <c r="M390" t="n">
        <v>284</v>
      </c>
      <c r="N390" t="n">
        <v>223</v>
      </c>
      <c r="O390" t="n">
        <v>275</v>
      </c>
      <c r="P390" t="n">
        <v>235</v>
      </c>
    </row>
    <row r="391">
      <c r="A391" t="inlineStr">
        <is>
          <t>CurrentWorkingView</t>
        </is>
      </c>
      <c r="B391" s="1" t="n">
        <v>4064941006800</v>
      </c>
      <c r="C391" t="inlineStr">
        <is>
          <t>P_US_ALL_OTHERS</t>
        </is>
      </c>
      <c r="D391" t="inlineStr">
        <is>
          <t>System BestFit Final</t>
        </is>
      </c>
      <c r="E391" t="inlineStr">
        <is>
          <t>ST</t>
        </is>
      </c>
      <c r="F391" t="inlineStr">
        <is>
          <t>ST</t>
        </is>
      </c>
      <c r="G391" t="inlineStr">
        <is>
          <t>ST</t>
        </is>
      </c>
      <c r="H391" t="inlineStr">
        <is>
          <t>ST</t>
        </is>
      </c>
      <c r="I391" t="inlineStr">
        <is>
          <t>ST</t>
        </is>
      </c>
      <c r="J391" t="inlineStr">
        <is>
          <t>ST</t>
        </is>
      </c>
      <c r="K391" t="inlineStr">
        <is>
          <t>ST</t>
        </is>
      </c>
      <c r="L391" t="inlineStr">
        <is>
          <t>ST</t>
        </is>
      </c>
      <c r="M391" t="inlineStr">
        <is>
          <t>ST</t>
        </is>
      </c>
      <c r="N391" t="inlineStr">
        <is>
          <t>ST</t>
        </is>
      </c>
      <c r="O391" t="inlineStr">
        <is>
          <t>ST</t>
        </is>
      </c>
      <c r="P391" t="inlineStr">
        <is>
          <t>ST</t>
        </is>
      </c>
    </row>
    <row r="392">
      <c r="A392" t="inlineStr">
        <is>
          <t>CurrentWorkingView</t>
        </is>
      </c>
      <c r="B392" s="1" t="n">
        <v>4064941006800</v>
      </c>
      <c r="C392" t="inlineStr">
        <is>
          <t>P_US_ALL_OTHERS</t>
        </is>
      </c>
      <c r="D392" t="inlineStr">
        <is>
          <t>System Bestfit Model ST</t>
        </is>
      </c>
      <c r="E392" t="inlineStr">
        <is>
          <t>ST</t>
        </is>
      </c>
      <c r="F392" t="inlineStr">
        <is>
          <t>ST</t>
        </is>
      </c>
      <c r="G392" t="inlineStr">
        <is>
          <t>ST</t>
        </is>
      </c>
      <c r="H392" t="inlineStr">
        <is>
          <t>ST</t>
        </is>
      </c>
      <c r="I392" t="inlineStr">
        <is>
          <t>ST</t>
        </is>
      </c>
      <c r="J392" t="inlineStr">
        <is>
          <t>ST</t>
        </is>
      </c>
      <c r="K392" t="inlineStr">
        <is>
          <t>ST</t>
        </is>
      </c>
      <c r="L392" t="inlineStr">
        <is>
          <t>ST</t>
        </is>
      </c>
      <c r="M392" t="inlineStr">
        <is>
          <t>ST</t>
        </is>
      </c>
      <c r="N392" t="inlineStr">
        <is>
          <t>ST</t>
        </is>
      </c>
      <c r="O392" t="inlineStr">
        <is>
          <t>ST</t>
        </is>
      </c>
      <c r="P392" t="inlineStr">
        <is>
          <t>ST</t>
        </is>
      </c>
    </row>
    <row r="393">
      <c r="A393" t="inlineStr">
        <is>
          <t>CurrentWorkingView</t>
        </is>
      </c>
      <c r="B393" s="1" t="n">
        <v>4064941006800</v>
      </c>
      <c r="C393" t="inlineStr">
        <is>
          <t>P_US_ALL_OTHERS</t>
        </is>
      </c>
      <c r="D393" t="inlineStr">
        <is>
          <t>Planner BestFit Model</t>
        </is>
      </c>
    </row>
    <row r="394">
      <c r="A394" t="inlineStr">
        <is>
          <t>CurrentWorkingView</t>
        </is>
      </c>
      <c r="B394" s="1" t="n">
        <v>4064941006800</v>
      </c>
      <c r="C394" t="inlineStr">
        <is>
          <t>P_US_ULTA</t>
        </is>
      </c>
      <c r="D394" t="inlineStr">
        <is>
          <t>System FC - Final</t>
        </is>
      </c>
      <c r="E394" t="n">
        <v>923</v>
      </c>
      <c r="F394" t="n">
        <v>970</v>
      </c>
      <c r="G394" t="n">
        <v>1047</v>
      </c>
      <c r="H394" t="n">
        <v>879</v>
      </c>
      <c r="I394" t="n">
        <v>1191</v>
      </c>
      <c r="J394" t="n">
        <v>1264</v>
      </c>
      <c r="K394" t="n">
        <v>1347</v>
      </c>
      <c r="L394" t="n">
        <v>1506</v>
      </c>
      <c r="M394" t="n">
        <v>1472</v>
      </c>
      <c r="N394" t="n">
        <v>1176</v>
      </c>
      <c r="O394" t="n">
        <v>1428</v>
      </c>
      <c r="P394" t="n">
        <v>1232</v>
      </c>
    </row>
    <row r="395">
      <c r="A395" t="inlineStr">
        <is>
          <t>CurrentWorkingView</t>
        </is>
      </c>
      <c r="B395" s="1" t="n">
        <v>4064941006800</v>
      </c>
      <c r="C395" t="inlineStr">
        <is>
          <t>P_US_ULTA</t>
        </is>
      </c>
      <c r="D395" t="inlineStr">
        <is>
          <t>CML Fcst</t>
        </is>
      </c>
      <c r="H395" t="n">
        <v>1421</v>
      </c>
      <c r="I395" t="n">
        <v>1538</v>
      </c>
      <c r="J395" t="n">
        <v>1333</v>
      </c>
      <c r="K395" t="n">
        <v>1554</v>
      </c>
      <c r="L395" t="n">
        <v>1876</v>
      </c>
      <c r="M395" t="n">
        <v>1918</v>
      </c>
      <c r="N395" t="n">
        <v>501</v>
      </c>
      <c r="O395" t="n">
        <v>1342</v>
      </c>
      <c r="P395" t="n">
        <v>849</v>
      </c>
    </row>
    <row r="396">
      <c r="A396" t="inlineStr">
        <is>
          <t>CurrentWorkingView</t>
        </is>
      </c>
      <c r="B396" s="1" t="n">
        <v>4064941006800</v>
      </c>
      <c r="C396" t="inlineStr">
        <is>
          <t>P_US_ULTA</t>
        </is>
      </c>
      <c r="D396" t="inlineStr">
        <is>
          <t>ST Stat Fcst</t>
        </is>
      </c>
      <c r="E396" t="n">
        <v>923</v>
      </c>
      <c r="F396" t="n">
        <v>970</v>
      </c>
      <c r="G396" t="n">
        <v>886</v>
      </c>
      <c r="H396" t="n">
        <v>1183</v>
      </c>
      <c r="I396" t="n">
        <v>1302</v>
      </c>
      <c r="J396" t="n">
        <v>1438</v>
      </c>
      <c r="K396" t="n">
        <v>802</v>
      </c>
      <c r="L396" t="n">
        <v>1140</v>
      </c>
      <c r="M396" t="n">
        <v>1306</v>
      </c>
      <c r="N396" t="n">
        <v>775</v>
      </c>
      <c r="O396" t="n">
        <v>1523</v>
      </c>
      <c r="P396" t="n">
        <v>1256</v>
      </c>
    </row>
    <row r="397">
      <c r="A397" t="inlineStr">
        <is>
          <t>CurrentWorkingView</t>
        </is>
      </c>
      <c r="B397" s="1" t="n">
        <v>4064941006800</v>
      </c>
      <c r="C397" t="inlineStr">
        <is>
          <t>P_US_ULTA</t>
        </is>
      </c>
      <c r="D397" t="inlineStr">
        <is>
          <t>LT Stat Fcst</t>
        </is>
      </c>
      <c r="H397" t="n">
        <v>878</v>
      </c>
      <c r="I397" t="n">
        <v>1190</v>
      </c>
      <c r="J397" t="n">
        <v>1264</v>
      </c>
      <c r="K397" t="n">
        <v>1347</v>
      </c>
      <c r="L397" t="n">
        <v>1506</v>
      </c>
      <c r="M397" t="n">
        <v>1472</v>
      </c>
      <c r="N397" t="n">
        <v>1176</v>
      </c>
      <c r="O397" t="n">
        <v>1428</v>
      </c>
      <c r="P397" t="n">
        <v>1232</v>
      </c>
    </row>
    <row r="398">
      <c r="A398" t="inlineStr">
        <is>
          <t>CurrentWorkingView</t>
        </is>
      </c>
      <c r="B398" s="1" t="n">
        <v>4064941006800</v>
      </c>
      <c r="C398" t="inlineStr">
        <is>
          <t>P_US_ULTA</t>
        </is>
      </c>
      <c r="D398" t="inlineStr">
        <is>
          <t>System BestFit Final</t>
        </is>
      </c>
      <c r="E398" t="inlineStr">
        <is>
          <t>LT</t>
        </is>
      </c>
      <c r="F398" t="inlineStr">
        <is>
          <t>LT</t>
        </is>
      </c>
      <c r="G398" t="inlineStr">
        <is>
          <t>LT</t>
        </is>
      </c>
      <c r="H398" t="inlineStr">
        <is>
          <t>LT</t>
        </is>
      </c>
      <c r="I398" t="inlineStr">
        <is>
          <t>LT</t>
        </is>
      </c>
      <c r="J398" t="inlineStr">
        <is>
          <t>LT</t>
        </is>
      </c>
      <c r="K398" t="inlineStr">
        <is>
          <t>LT</t>
        </is>
      </c>
      <c r="L398" t="inlineStr">
        <is>
          <t>LT</t>
        </is>
      </c>
      <c r="M398" t="inlineStr">
        <is>
          <t>LT</t>
        </is>
      </c>
      <c r="N398" t="inlineStr">
        <is>
          <t>LT</t>
        </is>
      </c>
      <c r="O398" t="inlineStr">
        <is>
          <t>LT</t>
        </is>
      </c>
      <c r="P398" t="inlineStr">
        <is>
          <t>LT</t>
        </is>
      </c>
    </row>
    <row r="399">
      <c r="A399" t="inlineStr">
        <is>
          <t>CurrentWorkingView</t>
        </is>
      </c>
      <c r="B399" s="1" t="n">
        <v>4064941006800</v>
      </c>
      <c r="C399" t="inlineStr">
        <is>
          <t>P_US_ULTA</t>
        </is>
      </c>
      <c r="D399" t="inlineStr">
        <is>
          <t>System Bestfit Model ST</t>
        </is>
      </c>
    </row>
    <row r="400">
      <c r="A400" t="inlineStr">
        <is>
          <t>CurrentWorkingView</t>
        </is>
      </c>
      <c r="B400" s="1" t="n">
        <v>4064941006800</v>
      </c>
      <c r="C400" t="inlineStr">
        <is>
          <t>P_US_ULTA</t>
        </is>
      </c>
      <c r="D400" t="inlineStr">
        <is>
          <t>Planner BestFit Model</t>
        </is>
      </c>
    </row>
    <row r="401">
      <c r="A401" t="inlineStr">
        <is>
          <t>CurrentWorkingView</t>
        </is>
      </c>
      <c r="B401" s="1" t="n">
        <v>4064941006824</v>
      </c>
      <c r="C401" t="inlineStr">
        <is>
          <t>P_US_ALL_OTHERS</t>
        </is>
      </c>
      <c r="D401" t="inlineStr">
        <is>
          <t>System FC - Final</t>
        </is>
      </c>
      <c r="E401" t="n">
        <v>144</v>
      </c>
      <c r="F401" t="n">
        <v>154</v>
      </c>
      <c r="G401" t="n">
        <v>137</v>
      </c>
      <c r="H401" t="n">
        <v>139</v>
      </c>
      <c r="I401" t="n">
        <v>121</v>
      </c>
      <c r="J401" t="n">
        <v>186</v>
      </c>
      <c r="K401" t="n">
        <v>160</v>
      </c>
      <c r="L401" t="n">
        <v>216</v>
      </c>
      <c r="M401" t="n">
        <v>186</v>
      </c>
      <c r="N401" t="n">
        <v>153</v>
      </c>
      <c r="O401" t="n">
        <v>199</v>
      </c>
      <c r="P401" t="n">
        <v>133</v>
      </c>
    </row>
    <row r="402">
      <c r="A402" t="inlineStr">
        <is>
          <t>CurrentWorkingView</t>
        </is>
      </c>
      <c r="B402" s="1" t="n">
        <v>4064941006824</v>
      </c>
      <c r="C402" t="inlineStr">
        <is>
          <t>P_US_ALL_OTHERS</t>
        </is>
      </c>
      <c r="D402" t="inlineStr">
        <is>
          <t>CML Fcst</t>
        </is>
      </c>
      <c r="H402" t="n">
        <v>138</v>
      </c>
      <c r="I402" t="n">
        <v>120</v>
      </c>
      <c r="J402" t="n">
        <v>186</v>
      </c>
      <c r="K402" t="n">
        <v>160</v>
      </c>
      <c r="L402" t="n">
        <v>216</v>
      </c>
      <c r="M402" t="n">
        <v>186</v>
      </c>
      <c r="N402" t="n">
        <v>153</v>
      </c>
      <c r="O402" t="n">
        <v>199</v>
      </c>
      <c r="P402" t="n">
        <v>133</v>
      </c>
    </row>
    <row r="403">
      <c r="A403" t="inlineStr">
        <is>
          <t>CurrentWorkingView</t>
        </is>
      </c>
      <c r="B403" s="1" t="n">
        <v>4064941006824</v>
      </c>
      <c r="C403" t="inlineStr">
        <is>
          <t>P_US_ALL_OTHERS</t>
        </is>
      </c>
      <c r="D403" t="inlineStr">
        <is>
          <t>ST Stat Fcst</t>
        </is>
      </c>
      <c r="E403" t="n">
        <v>144</v>
      </c>
      <c r="F403" t="n">
        <v>154</v>
      </c>
      <c r="G403" t="n">
        <v>115</v>
      </c>
      <c r="H403" t="n">
        <v>150</v>
      </c>
      <c r="I403" t="n">
        <v>168</v>
      </c>
      <c r="J403" t="n">
        <v>222</v>
      </c>
      <c r="K403" t="n">
        <v>208</v>
      </c>
      <c r="L403" t="n">
        <v>296</v>
      </c>
      <c r="M403" t="n">
        <v>292</v>
      </c>
      <c r="N403" t="n">
        <v>206</v>
      </c>
      <c r="O403" t="n">
        <v>261</v>
      </c>
      <c r="P403" t="n">
        <v>180</v>
      </c>
    </row>
    <row r="404">
      <c r="A404" t="inlineStr">
        <is>
          <t>CurrentWorkingView</t>
        </is>
      </c>
      <c r="B404" s="1" t="n">
        <v>4064941006824</v>
      </c>
      <c r="C404" t="inlineStr">
        <is>
          <t>P_US_ALL_OTHERS</t>
        </is>
      </c>
      <c r="D404" t="inlineStr">
        <is>
          <t>LT Stat Fcst</t>
        </is>
      </c>
      <c r="H404" t="n">
        <v>165</v>
      </c>
      <c r="I404" t="n">
        <v>226</v>
      </c>
      <c r="J404" t="n">
        <v>239</v>
      </c>
      <c r="K404" t="n">
        <v>256</v>
      </c>
      <c r="L404" t="n">
        <v>287</v>
      </c>
      <c r="M404" t="n">
        <v>279</v>
      </c>
      <c r="N404" t="n">
        <v>222</v>
      </c>
      <c r="O404" t="n">
        <v>270</v>
      </c>
      <c r="P404" t="n">
        <v>235</v>
      </c>
    </row>
    <row r="405">
      <c r="A405" t="inlineStr">
        <is>
          <t>CurrentWorkingView</t>
        </is>
      </c>
      <c r="B405" s="1" t="n">
        <v>4064941006824</v>
      </c>
      <c r="C405" t="inlineStr">
        <is>
          <t>P_US_ALL_OTHERS</t>
        </is>
      </c>
      <c r="D405" t="inlineStr">
        <is>
          <t>System BestFit Final</t>
        </is>
      </c>
      <c r="E405" t="inlineStr">
        <is>
          <t>CML</t>
        </is>
      </c>
      <c r="F405" t="inlineStr">
        <is>
          <t>CML</t>
        </is>
      </c>
      <c r="G405" t="inlineStr">
        <is>
          <t>CML</t>
        </is>
      </c>
      <c r="H405" t="inlineStr">
        <is>
          <t>CML</t>
        </is>
      </c>
      <c r="I405" t="inlineStr">
        <is>
          <t>CML</t>
        </is>
      </c>
      <c r="J405" t="inlineStr">
        <is>
          <t>CML</t>
        </is>
      </c>
      <c r="K405" t="inlineStr">
        <is>
          <t>CML</t>
        </is>
      </c>
      <c r="L405" t="inlineStr">
        <is>
          <t>CML</t>
        </is>
      </c>
      <c r="M405" t="inlineStr">
        <is>
          <t>CML</t>
        </is>
      </c>
      <c r="N405" t="inlineStr">
        <is>
          <t>CML</t>
        </is>
      </c>
      <c r="O405" t="inlineStr">
        <is>
          <t>CML</t>
        </is>
      </c>
      <c r="P405" t="inlineStr">
        <is>
          <t>CML</t>
        </is>
      </c>
    </row>
    <row r="406">
      <c r="A406" t="inlineStr">
        <is>
          <t>CurrentWorkingView</t>
        </is>
      </c>
      <c r="B406" s="1" t="n">
        <v>4064941006824</v>
      </c>
      <c r="C406" t="inlineStr">
        <is>
          <t>P_US_ALL_OTHERS</t>
        </is>
      </c>
      <c r="D406" t="inlineStr">
        <is>
          <t>System Bestfit Model ST</t>
        </is>
      </c>
    </row>
    <row r="407">
      <c r="A407" t="inlineStr">
        <is>
          <t>CurrentWorkingView</t>
        </is>
      </c>
      <c r="B407" s="1" t="n">
        <v>4064941006824</v>
      </c>
      <c r="C407" t="inlineStr">
        <is>
          <t>P_US_ALL_OTHERS</t>
        </is>
      </c>
      <c r="D407" t="inlineStr">
        <is>
          <t>Planner BestFit Model</t>
        </is>
      </c>
    </row>
    <row r="408">
      <c r="A408" t="inlineStr">
        <is>
          <t>CurrentWorkingView</t>
        </is>
      </c>
      <c r="B408" s="1" t="n">
        <v>4064941006824</v>
      </c>
      <c r="C408" t="inlineStr">
        <is>
          <t>P_US_ULTA</t>
        </is>
      </c>
      <c r="D408" t="inlineStr">
        <is>
          <t>System FC - Final</t>
        </is>
      </c>
      <c r="E408" t="n">
        <v>695</v>
      </c>
      <c r="F408" t="n">
        <v>683</v>
      </c>
      <c r="G408" t="n">
        <v>674</v>
      </c>
      <c r="H408" t="n">
        <v>802</v>
      </c>
      <c r="I408" t="n">
        <v>891</v>
      </c>
      <c r="J408" t="n">
        <v>809</v>
      </c>
      <c r="K408" t="n">
        <v>2874</v>
      </c>
      <c r="L408" t="n">
        <v>1708</v>
      </c>
      <c r="M408" t="n">
        <v>1293</v>
      </c>
      <c r="N408" t="n">
        <v>1149</v>
      </c>
      <c r="O408" t="n">
        <v>1005</v>
      </c>
      <c r="P408" t="n">
        <v>917</v>
      </c>
    </row>
    <row r="409">
      <c r="A409" t="inlineStr">
        <is>
          <t>CurrentWorkingView</t>
        </is>
      </c>
      <c r="B409" s="1" t="n">
        <v>4064941006824</v>
      </c>
      <c r="C409" t="inlineStr">
        <is>
          <t>P_US_ULTA</t>
        </is>
      </c>
      <c r="D409" t="inlineStr">
        <is>
          <t>CML Fcst</t>
        </is>
      </c>
      <c r="H409" t="n">
        <v>1116</v>
      </c>
      <c r="I409" t="n">
        <v>878</v>
      </c>
      <c r="J409" t="n">
        <v>899</v>
      </c>
      <c r="K409" t="n">
        <v>1333</v>
      </c>
      <c r="L409" t="n">
        <v>1544</v>
      </c>
      <c r="M409" t="n">
        <v>1922</v>
      </c>
      <c r="N409" t="n">
        <v>695</v>
      </c>
      <c r="O409" t="n">
        <v>864</v>
      </c>
      <c r="P409" t="n">
        <v>938</v>
      </c>
    </row>
    <row r="410">
      <c r="A410" t="inlineStr">
        <is>
          <t>CurrentWorkingView</t>
        </is>
      </c>
      <c r="B410" s="1" t="n">
        <v>4064941006824</v>
      </c>
      <c r="C410" t="inlineStr">
        <is>
          <t>P_US_ULTA</t>
        </is>
      </c>
      <c r="D410" t="inlineStr">
        <is>
          <t>ST Stat Fcst</t>
        </is>
      </c>
      <c r="E410" t="n">
        <v>695</v>
      </c>
      <c r="F410" t="n">
        <v>683</v>
      </c>
      <c r="G410" t="n">
        <v>583</v>
      </c>
      <c r="H410" t="n">
        <v>801</v>
      </c>
      <c r="I410" t="n">
        <v>892</v>
      </c>
      <c r="J410" t="n">
        <v>809</v>
      </c>
      <c r="K410" t="n">
        <v>2874</v>
      </c>
      <c r="L410" t="n">
        <v>1708</v>
      </c>
      <c r="M410" t="n">
        <v>1293</v>
      </c>
      <c r="N410" t="n">
        <v>1149</v>
      </c>
      <c r="O410" t="n">
        <v>1005</v>
      </c>
      <c r="P410" t="n">
        <v>917</v>
      </c>
    </row>
    <row r="411">
      <c r="A411" t="inlineStr">
        <is>
          <t>CurrentWorkingView</t>
        </is>
      </c>
      <c r="B411" s="1" t="n">
        <v>4064941006824</v>
      </c>
      <c r="C411" t="inlineStr">
        <is>
          <t>P_US_ULTA</t>
        </is>
      </c>
      <c r="D411" t="inlineStr">
        <is>
          <t>LT Stat Fcst</t>
        </is>
      </c>
      <c r="H411" t="n">
        <v>905</v>
      </c>
      <c r="I411" t="n">
        <v>1228</v>
      </c>
      <c r="J411" t="n">
        <v>1308</v>
      </c>
      <c r="K411" t="n">
        <v>1387</v>
      </c>
      <c r="L411" t="n">
        <v>1558</v>
      </c>
      <c r="M411" t="n">
        <v>1516</v>
      </c>
      <c r="N411" t="n">
        <v>1215</v>
      </c>
      <c r="O411" t="n">
        <v>1472</v>
      </c>
      <c r="P411" t="n">
        <v>1275</v>
      </c>
    </row>
    <row r="412">
      <c r="A412" t="inlineStr">
        <is>
          <t>CurrentWorkingView</t>
        </is>
      </c>
      <c r="B412" s="1" t="n">
        <v>4064941006824</v>
      </c>
      <c r="C412" t="inlineStr">
        <is>
          <t>P_US_ULTA</t>
        </is>
      </c>
      <c r="D412" t="inlineStr">
        <is>
          <t>System BestFit Final</t>
        </is>
      </c>
      <c r="E412" t="inlineStr">
        <is>
          <t>ST</t>
        </is>
      </c>
      <c r="F412" t="inlineStr">
        <is>
          <t>ST</t>
        </is>
      </c>
      <c r="G412" t="inlineStr">
        <is>
          <t>ST</t>
        </is>
      </c>
      <c r="H412" t="inlineStr">
        <is>
          <t>ST</t>
        </is>
      </c>
      <c r="I412" t="inlineStr">
        <is>
          <t>ST</t>
        </is>
      </c>
      <c r="J412" t="inlineStr">
        <is>
          <t>ST</t>
        </is>
      </c>
      <c r="K412" t="inlineStr">
        <is>
          <t>ST</t>
        </is>
      </c>
      <c r="L412" t="inlineStr">
        <is>
          <t>ST</t>
        </is>
      </c>
      <c r="M412" t="inlineStr">
        <is>
          <t>ST</t>
        </is>
      </c>
      <c r="N412" t="inlineStr">
        <is>
          <t>ST</t>
        </is>
      </c>
      <c r="O412" t="inlineStr">
        <is>
          <t>ST</t>
        </is>
      </c>
      <c r="P412" t="inlineStr">
        <is>
          <t>ST</t>
        </is>
      </c>
    </row>
    <row r="413">
      <c r="A413" t="inlineStr">
        <is>
          <t>CurrentWorkingView</t>
        </is>
      </c>
      <c r="B413" s="1" t="n">
        <v>4064941006824</v>
      </c>
      <c r="C413" t="inlineStr">
        <is>
          <t>P_US_ULTA</t>
        </is>
      </c>
      <c r="D413" t="inlineStr">
        <is>
          <t>System Bestfit Model ST</t>
        </is>
      </c>
      <c r="E413" t="inlineStr">
        <is>
          <t>ST</t>
        </is>
      </c>
      <c r="F413" t="inlineStr">
        <is>
          <t>ST</t>
        </is>
      </c>
      <c r="G413" t="inlineStr">
        <is>
          <t>ST</t>
        </is>
      </c>
      <c r="H413" t="inlineStr">
        <is>
          <t>ST</t>
        </is>
      </c>
      <c r="I413" t="inlineStr">
        <is>
          <t>ST</t>
        </is>
      </c>
      <c r="J413" t="inlineStr">
        <is>
          <t>ST</t>
        </is>
      </c>
      <c r="K413" t="inlineStr">
        <is>
          <t>ST</t>
        </is>
      </c>
      <c r="L413" t="inlineStr">
        <is>
          <t>ST</t>
        </is>
      </c>
      <c r="M413" t="inlineStr">
        <is>
          <t>ST</t>
        </is>
      </c>
      <c r="N413" t="inlineStr">
        <is>
          <t>ST</t>
        </is>
      </c>
      <c r="O413" t="inlineStr">
        <is>
          <t>ST</t>
        </is>
      </c>
      <c r="P413" t="inlineStr">
        <is>
          <t>ST</t>
        </is>
      </c>
    </row>
    <row r="414">
      <c r="A414" t="inlineStr">
        <is>
          <t>CurrentWorkingView</t>
        </is>
      </c>
      <c r="B414" s="1" t="n">
        <v>4064941006824</v>
      </c>
      <c r="C414" t="inlineStr">
        <is>
          <t>P_US_ULTA</t>
        </is>
      </c>
      <c r="D414" t="inlineStr">
        <is>
          <t>Planner BestFit Model</t>
        </is>
      </c>
      <c r="E414" t="inlineStr">
        <is>
          <t>ST</t>
        </is>
      </c>
      <c r="F414" t="inlineStr">
        <is>
          <t>ST</t>
        </is>
      </c>
      <c r="G414" t="inlineStr">
        <is>
          <t>ST</t>
        </is>
      </c>
      <c r="H414" t="inlineStr">
        <is>
          <t>ST</t>
        </is>
      </c>
      <c r="I414" t="inlineStr">
        <is>
          <t>ST</t>
        </is>
      </c>
      <c r="J414" t="inlineStr">
        <is>
          <t>ST</t>
        </is>
      </c>
      <c r="K414" t="inlineStr">
        <is>
          <t>ST</t>
        </is>
      </c>
      <c r="L414" t="inlineStr">
        <is>
          <t>ST</t>
        </is>
      </c>
      <c r="M414" t="inlineStr">
        <is>
          <t>ST</t>
        </is>
      </c>
      <c r="N414" t="inlineStr">
        <is>
          <t>ST</t>
        </is>
      </c>
      <c r="O414" t="inlineStr">
        <is>
          <t>ST</t>
        </is>
      </c>
      <c r="P414" t="inlineStr">
        <is>
          <t>ST</t>
        </is>
      </c>
    </row>
    <row r="415">
      <c r="A415" t="inlineStr">
        <is>
          <t>CurrentWorkingView</t>
        </is>
      </c>
      <c r="B415" s="1" t="n">
        <v>4064941006923</v>
      </c>
      <c r="C415" t="inlineStr">
        <is>
          <t>P_US_ALL_OTHERS</t>
        </is>
      </c>
      <c r="D415" t="inlineStr">
        <is>
          <t>System FC - Final</t>
        </is>
      </c>
      <c r="E415" t="n">
        <v>216</v>
      </c>
      <c r="F415" t="n">
        <v>221</v>
      </c>
      <c r="G415" t="n">
        <v>172</v>
      </c>
      <c r="H415" t="n">
        <v>285</v>
      </c>
      <c r="I415" t="n">
        <v>367</v>
      </c>
      <c r="J415" t="n">
        <v>376</v>
      </c>
      <c r="K415" t="n">
        <v>226</v>
      </c>
      <c r="L415" t="n">
        <v>424</v>
      </c>
      <c r="M415" t="n">
        <v>243</v>
      </c>
      <c r="N415" t="n">
        <v>270</v>
      </c>
      <c r="O415" t="n">
        <v>550</v>
      </c>
      <c r="P415" t="n">
        <v>228</v>
      </c>
    </row>
    <row r="416">
      <c r="A416" t="inlineStr">
        <is>
          <t>CurrentWorkingView</t>
        </is>
      </c>
      <c r="B416" s="1" t="n">
        <v>4064941006923</v>
      </c>
      <c r="C416" t="inlineStr">
        <is>
          <t>P_US_ALL_OTHERS</t>
        </is>
      </c>
      <c r="D416" t="inlineStr">
        <is>
          <t>CML Fcst</t>
        </is>
      </c>
      <c r="H416" t="n">
        <v>231</v>
      </c>
      <c r="I416" t="n">
        <v>198</v>
      </c>
      <c r="J416" t="n">
        <v>222</v>
      </c>
      <c r="K416" t="n">
        <v>217</v>
      </c>
      <c r="L416" t="n">
        <v>280</v>
      </c>
      <c r="M416" t="n">
        <v>235</v>
      </c>
      <c r="N416" t="n">
        <v>261</v>
      </c>
      <c r="O416" t="n">
        <v>275</v>
      </c>
      <c r="P416" t="n">
        <v>219</v>
      </c>
    </row>
    <row r="417">
      <c r="A417" t="inlineStr">
        <is>
          <t>CurrentWorkingView</t>
        </is>
      </c>
      <c r="B417" s="1" t="n">
        <v>4064941006923</v>
      </c>
      <c r="C417" t="inlineStr">
        <is>
          <t>P_US_ALL_OTHERS</t>
        </is>
      </c>
      <c r="D417" t="inlineStr">
        <is>
          <t>ST Stat Fcst</t>
        </is>
      </c>
      <c r="E417" t="n">
        <v>216</v>
      </c>
      <c r="F417" t="n">
        <v>221</v>
      </c>
      <c r="G417" t="n">
        <v>172</v>
      </c>
      <c r="H417" t="n">
        <v>284</v>
      </c>
      <c r="I417" t="n">
        <v>368</v>
      </c>
      <c r="J417" t="n">
        <v>376</v>
      </c>
      <c r="K417" t="n">
        <v>226</v>
      </c>
      <c r="L417" t="n">
        <v>424</v>
      </c>
      <c r="M417" t="n">
        <v>243</v>
      </c>
      <c r="N417" t="n">
        <v>270</v>
      </c>
      <c r="O417" t="n">
        <v>550</v>
      </c>
      <c r="P417" t="n">
        <v>228</v>
      </c>
    </row>
    <row r="418">
      <c r="A418" t="inlineStr">
        <is>
          <t>CurrentWorkingView</t>
        </is>
      </c>
      <c r="B418" s="1" t="n">
        <v>4064941006923</v>
      </c>
      <c r="C418" t="inlineStr">
        <is>
          <t>P_US_ALL_OTHERS</t>
        </is>
      </c>
      <c r="D418" t="inlineStr">
        <is>
          <t>LT Stat Fcst</t>
        </is>
      </c>
      <c r="H418" t="n">
        <v>281</v>
      </c>
      <c r="I418" t="n">
        <v>381</v>
      </c>
      <c r="J418" t="n">
        <v>408</v>
      </c>
      <c r="K418" t="n">
        <v>433</v>
      </c>
      <c r="L418" t="n">
        <v>483</v>
      </c>
      <c r="M418" t="n">
        <v>473</v>
      </c>
      <c r="N418" t="n">
        <v>381</v>
      </c>
      <c r="O418" t="n">
        <v>459</v>
      </c>
      <c r="P418" t="n">
        <v>397</v>
      </c>
    </row>
    <row r="419">
      <c r="A419" t="inlineStr">
        <is>
          <t>CurrentWorkingView</t>
        </is>
      </c>
      <c r="B419" s="1" t="n">
        <v>4064941006923</v>
      </c>
      <c r="C419" t="inlineStr">
        <is>
          <t>P_US_ALL_OTHERS</t>
        </is>
      </c>
      <c r="D419" t="inlineStr">
        <is>
          <t>System BestFit Final</t>
        </is>
      </c>
      <c r="E419" t="inlineStr">
        <is>
          <t>ST</t>
        </is>
      </c>
      <c r="F419" t="inlineStr">
        <is>
          <t>ST</t>
        </is>
      </c>
      <c r="G419" t="inlineStr">
        <is>
          <t>ST</t>
        </is>
      </c>
      <c r="H419" t="inlineStr">
        <is>
          <t>ST</t>
        </is>
      </c>
      <c r="I419" t="inlineStr">
        <is>
          <t>ST</t>
        </is>
      </c>
      <c r="J419" t="inlineStr">
        <is>
          <t>ST</t>
        </is>
      </c>
      <c r="K419" t="inlineStr">
        <is>
          <t>ST</t>
        </is>
      </c>
      <c r="L419" t="inlineStr">
        <is>
          <t>ST</t>
        </is>
      </c>
      <c r="M419" t="inlineStr">
        <is>
          <t>ST</t>
        </is>
      </c>
      <c r="N419" t="inlineStr">
        <is>
          <t>ST</t>
        </is>
      </c>
      <c r="O419" t="inlineStr">
        <is>
          <t>ST</t>
        </is>
      </c>
      <c r="P419" t="inlineStr">
        <is>
          <t>ST</t>
        </is>
      </c>
    </row>
    <row r="420">
      <c r="A420" t="inlineStr">
        <is>
          <t>CurrentWorkingView</t>
        </is>
      </c>
      <c r="B420" s="1" t="n">
        <v>4064941006923</v>
      </c>
      <c r="C420" t="inlineStr">
        <is>
          <t>P_US_ALL_OTHERS</t>
        </is>
      </c>
      <c r="D420" t="inlineStr">
        <is>
          <t>System Bestfit Model ST</t>
        </is>
      </c>
      <c r="E420" t="inlineStr">
        <is>
          <t>ST</t>
        </is>
      </c>
      <c r="F420" t="inlineStr">
        <is>
          <t>ST</t>
        </is>
      </c>
      <c r="G420" t="inlineStr">
        <is>
          <t>ST</t>
        </is>
      </c>
      <c r="H420" t="inlineStr">
        <is>
          <t>ST</t>
        </is>
      </c>
      <c r="I420" t="inlineStr">
        <is>
          <t>ST</t>
        </is>
      </c>
      <c r="J420" t="inlineStr">
        <is>
          <t>ST</t>
        </is>
      </c>
      <c r="K420" t="inlineStr">
        <is>
          <t>ST</t>
        </is>
      </c>
      <c r="L420" t="inlineStr">
        <is>
          <t>ST</t>
        </is>
      </c>
      <c r="M420" t="inlineStr">
        <is>
          <t>ST</t>
        </is>
      </c>
      <c r="N420" t="inlineStr">
        <is>
          <t>ST</t>
        </is>
      </c>
      <c r="O420" t="inlineStr">
        <is>
          <t>ST</t>
        </is>
      </c>
      <c r="P420" t="inlineStr">
        <is>
          <t>ST</t>
        </is>
      </c>
    </row>
    <row r="421">
      <c r="A421" t="inlineStr">
        <is>
          <t>CurrentWorkingView</t>
        </is>
      </c>
      <c r="B421" s="1" t="n">
        <v>4064941006923</v>
      </c>
      <c r="C421" t="inlineStr">
        <is>
          <t>P_US_ALL_OTHERS</t>
        </is>
      </c>
      <c r="D421" t="inlineStr">
        <is>
          <t>Planner BestFit Model</t>
        </is>
      </c>
    </row>
    <row r="422">
      <c r="A422" t="inlineStr">
        <is>
          <t>CurrentWorkingView</t>
        </is>
      </c>
      <c r="B422" s="1" t="n">
        <v>4064941006923</v>
      </c>
      <c r="C422" t="inlineStr">
        <is>
          <t>P_US_ULTA</t>
        </is>
      </c>
      <c r="D422" t="inlineStr">
        <is>
          <t>System FC - Final</t>
        </is>
      </c>
      <c r="E422" t="n">
        <v>5639</v>
      </c>
      <c r="F422" t="n">
        <v>4055</v>
      </c>
      <c r="G422" t="n">
        <v>2430</v>
      </c>
      <c r="H422" t="n">
        <v>2125</v>
      </c>
      <c r="I422" t="n">
        <v>2782</v>
      </c>
      <c r="J422" t="n">
        <v>3720</v>
      </c>
      <c r="K422" t="n">
        <v>2852</v>
      </c>
      <c r="L422" t="n">
        <v>3996</v>
      </c>
      <c r="M422" t="n">
        <v>3888</v>
      </c>
      <c r="N422" t="n">
        <v>2455</v>
      </c>
      <c r="O422" t="n">
        <v>4495</v>
      </c>
      <c r="P422" t="n">
        <v>3086</v>
      </c>
    </row>
    <row r="423">
      <c r="A423" t="inlineStr">
        <is>
          <t>CurrentWorkingView</t>
        </is>
      </c>
      <c r="B423" s="1" t="n">
        <v>4064941006923</v>
      </c>
      <c r="C423" t="inlineStr">
        <is>
          <t>P_US_ULTA</t>
        </is>
      </c>
      <c r="D423" t="inlineStr">
        <is>
          <t>CML Fcst</t>
        </is>
      </c>
      <c r="H423" t="n">
        <v>4632</v>
      </c>
      <c r="I423" t="n">
        <v>2928</v>
      </c>
      <c r="J423" t="n">
        <v>2069</v>
      </c>
      <c r="K423" t="n">
        <v>3645</v>
      </c>
      <c r="L423" t="n">
        <v>4668</v>
      </c>
      <c r="M423" t="n">
        <v>2493</v>
      </c>
      <c r="N423" t="n">
        <v>4563</v>
      </c>
      <c r="O423" t="n">
        <v>2617</v>
      </c>
      <c r="P423" t="n">
        <v>2425</v>
      </c>
    </row>
    <row r="424">
      <c r="A424" t="inlineStr">
        <is>
          <t>CurrentWorkingView</t>
        </is>
      </c>
      <c r="B424" s="1" t="n">
        <v>4064941006923</v>
      </c>
      <c r="C424" t="inlineStr">
        <is>
          <t>P_US_ULTA</t>
        </is>
      </c>
      <c r="D424" t="inlineStr">
        <is>
          <t>ST Stat Fcst</t>
        </is>
      </c>
      <c r="E424" t="n">
        <v>5639</v>
      </c>
      <c r="F424" t="n">
        <v>4055</v>
      </c>
      <c r="G424" t="n">
        <v>2430</v>
      </c>
      <c r="H424" t="n">
        <v>2125</v>
      </c>
      <c r="I424" t="n">
        <v>2782</v>
      </c>
      <c r="J424" t="n">
        <v>3720</v>
      </c>
      <c r="K424" t="n">
        <v>2852</v>
      </c>
      <c r="L424" t="n">
        <v>3996</v>
      </c>
      <c r="M424" t="n">
        <v>3888</v>
      </c>
      <c r="N424" t="n">
        <v>2455</v>
      </c>
      <c r="O424" t="n">
        <v>4495</v>
      </c>
      <c r="P424" t="n">
        <v>3086</v>
      </c>
    </row>
    <row r="425">
      <c r="A425" t="inlineStr">
        <is>
          <t>CurrentWorkingView</t>
        </is>
      </c>
      <c r="B425" s="1" t="n">
        <v>4064941006923</v>
      </c>
      <c r="C425" t="inlineStr">
        <is>
          <t>P_US_ULTA</t>
        </is>
      </c>
      <c r="D425" t="inlineStr">
        <is>
          <t>LT Stat Fcst</t>
        </is>
      </c>
      <c r="H425" t="n">
        <v>2451</v>
      </c>
      <c r="I425" t="n">
        <v>3339</v>
      </c>
      <c r="J425" t="n">
        <v>3550</v>
      </c>
      <c r="K425" t="n">
        <v>3776</v>
      </c>
      <c r="L425" t="n">
        <v>4225</v>
      </c>
      <c r="M425" t="n">
        <v>4125</v>
      </c>
      <c r="N425" t="n">
        <v>3305</v>
      </c>
      <c r="O425" t="n">
        <v>4005</v>
      </c>
      <c r="P425" t="n">
        <v>3465</v>
      </c>
    </row>
    <row r="426">
      <c r="A426" t="inlineStr">
        <is>
          <t>CurrentWorkingView</t>
        </is>
      </c>
      <c r="B426" s="1" t="n">
        <v>4064941006923</v>
      </c>
      <c r="C426" t="inlineStr">
        <is>
          <t>P_US_ULTA</t>
        </is>
      </c>
      <c r="D426" t="inlineStr">
        <is>
          <t>System BestFit Final</t>
        </is>
      </c>
      <c r="E426" t="inlineStr">
        <is>
          <t>ST</t>
        </is>
      </c>
      <c r="F426" t="inlineStr">
        <is>
          <t>ST</t>
        </is>
      </c>
      <c r="G426" t="inlineStr">
        <is>
          <t>ST</t>
        </is>
      </c>
      <c r="H426" t="inlineStr">
        <is>
          <t>ST</t>
        </is>
      </c>
      <c r="I426" t="inlineStr">
        <is>
          <t>ST</t>
        </is>
      </c>
      <c r="J426" t="inlineStr">
        <is>
          <t>ST</t>
        </is>
      </c>
      <c r="K426" t="inlineStr">
        <is>
          <t>ST</t>
        </is>
      </c>
      <c r="L426" t="inlineStr">
        <is>
          <t>ST</t>
        </is>
      </c>
      <c r="M426" t="inlineStr">
        <is>
          <t>ST</t>
        </is>
      </c>
      <c r="N426" t="inlineStr">
        <is>
          <t>ST</t>
        </is>
      </c>
      <c r="O426" t="inlineStr">
        <is>
          <t>ST</t>
        </is>
      </c>
      <c r="P426" t="inlineStr">
        <is>
          <t>ST</t>
        </is>
      </c>
    </row>
    <row r="427">
      <c r="A427" t="inlineStr">
        <is>
          <t>CurrentWorkingView</t>
        </is>
      </c>
      <c r="B427" s="1" t="n">
        <v>4064941006923</v>
      </c>
      <c r="C427" t="inlineStr">
        <is>
          <t>P_US_ULTA</t>
        </is>
      </c>
      <c r="D427" t="inlineStr">
        <is>
          <t>System Bestfit Model ST</t>
        </is>
      </c>
      <c r="E427" t="inlineStr">
        <is>
          <t>ST</t>
        </is>
      </c>
      <c r="F427" t="inlineStr">
        <is>
          <t>ST</t>
        </is>
      </c>
      <c r="G427" t="inlineStr">
        <is>
          <t>ST</t>
        </is>
      </c>
      <c r="H427" t="inlineStr">
        <is>
          <t>ST</t>
        </is>
      </c>
      <c r="I427" t="inlineStr">
        <is>
          <t>ST</t>
        </is>
      </c>
      <c r="J427" t="inlineStr">
        <is>
          <t>ST</t>
        </is>
      </c>
      <c r="K427" t="inlineStr">
        <is>
          <t>ST</t>
        </is>
      </c>
      <c r="L427" t="inlineStr">
        <is>
          <t>ST</t>
        </is>
      </c>
      <c r="M427" t="inlineStr">
        <is>
          <t>ST</t>
        </is>
      </c>
      <c r="N427" t="inlineStr">
        <is>
          <t>ST</t>
        </is>
      </c>
      <c r="O427" t="inlineStr">
        <is>
          <t>ST</t>
        </is>
      </c>
      <c r="P427" t="inlineStr">
        <is>
          <t>ST</t>
        </is>
      </c>
    </row>
    <row r="428">
      <c r="A428" t="inlineStr">
        <is>
          <t>CurrentWorkingView</t>
        </is>
      </c>
      <c r="B428" s="1" t="n">
        <v>4064941006923</v>
      </c>
      <c r="C428" t="inlineStr">
        <is>
          <t>P_US_ULTA</t>
        </is>
      </c>
      <c r="D428" t="inlineStr">
        <is>
          <t>Planner BestFit Model</t>
        </is>
      </c>
      <c r="E428" t="inlineStr">
        <is>
          <t>ST</t>
        </is>
      </c>
      <c r="F428" t="inlineStr">
        <is>
          <t>ST</t>
        </is>
      </c>
      <c r="G428" t="inlineStr">
        <is>
          <t>ST</t>
        </is>
      </c>
      <c r="H428" t="inlineStr">
        <is>
          <t>ST</t>
        </is>
      </c>
      <c r="I428" t="inlineStr">
        <is>
          <t>ST</t>
        </is>
      </c>
      <c r="J428" t="inlineStr">
        <is>
          <t>ST</t>
        </is>
      </c>
      <c r="K428" t="inlineStr">
        <is>
          <t>ST</t>
        </is>
      </c>
      <c r="L428" t="inlineStr">
        <is>
          <t>ST</t>
        </is>
      </c>
      <c r="M428" t="inlineStr">
        <is>
          <t>ST</t>
        </is>
      </c>
      <c r="N428" t="inlineStr">
        <is>
          <t>ST</t>
        </is>
      </c>
      <c r="O428" t="inlineStr">
        <is>
          <t>ST</t>
        </is>
      </c>
      <c r="P428" t="inlineStr">
        <is>
          <t>ST</t>
        </is>
      </c>
    </row>
    <row r="429">
      <c r="A429" t="inlineStr">
        <is>
          <t>CurrentWorkingView</t>
        </is>
      </c>
      <c r="B429" s="1" t="n">
        <v>4064941006985</v>
      </c>
      <c r="C429" t="inlineStr">
        <is>
          <t>P_US_ALL_OTHERS</t>
        </is>
      </c>
      <c r="D429" t="inlineStr">
        <is>
          <t>System FC - Final</t>
        </is>
      </c>
      <c r="E429" t="n">
        <v>102</v>
      </c>
      <c r="F429" t="n">
        <v>173</v>
      </c>
      <c r="G429" t="n">
        <v>274</v>
      </c>
      <c r="H429" t="n">
        <v>181</v>
      </c>
      <c r="I429" t="n">
        <v>133</v>
      </c>
      <c r="J429" t="n">
        <v>133</v>
      </c>
      <c r="K429" t="n">
        <v>142</v>
      </c>
      <c r="L429" t="n">
        <v>224</v>
      </c>
      <c r="M429" t="n">
        <v>190</v>
      </c>
      <c r="N429" t="n">
        <v>133</v>
      </c>
      <c r="O429" t="n">
        <v>159</v>
      </c>
      <c r="P429" t="n">
        <v>129</v>
      </c>
    </row>
    <row r="430">
      <c r="A430" t="inlineStr">
        <is>
          <t>CurrentWorkingView</t>
        </is>
      </c>
      <c r="B430" s="1" t="n">
        <v>4064941006985</v>
      </c>
      <c r="C430" t="inlineStr">
        <is>
          <t>P_US_ALL_OTHERS</t>
        </is>
      </c>
      <c r="D430" t="inlineStr">
        <is>
          <t>CML Fcst</t>
        </is>
      </c>
      <c r="H430" t="n">
        <v>181</v>
      </c>
      <c r="I430" t="n">
        <v>132</v>
      </c>
      <c r="J430" t="n">
        <v>133</v>
      </c>
      <c r="K430" t="n">
        <v>142</v>
      </c>
      <c r="L430" t="n">
        <v>224</v>
      </c>
      <c r="M430" t="n">
        <v>190</v>
      </c>
      <c r="N430" t="n">
        <v>133</v>
      </c>
      <c r="O430" t="n">
        <v>159</v>
      </c>
      <c r="P430" t="n">
        <v>129</v>
      </c>
    </row>
    <row r="431">
      <c r="A431" t="inlineStr">
        <is>
          <t>CurrentWorkingView</t>
        </is>
      </c>
      <c r="B431" s="1" t="n">
        <v>4064941006985</v>
      </c>
      <c r="C431" t="inlineStr">
        <is>
          <t>P_US_ALL_OTHERS</t>
        </is>
      </c>
      <c r="D431" t="inlineStr">
        <is>
          <t>ST Stat Fcst</t>
        </is>
      </c>
      <c r="E431" t="n">
        <v>102</v>
      </c>
      <c r="F431" t="n">
        <v>173</v>
      </c>
      <c r="G431" t="n">
        <v>254</v>
      </c>
      <c r="H431" t="n">
        <v>75</v>
      </c>
      <c r="I431" t="n">
        <v>120</v>
      </c>
      <c r="J431" t="n">
        <v>133</v>
      </c>
      <c r="K431" t="n">
        <v>49</v>
      </c>
      <c r="L431" t="n">
        <v>116</v>
      </c>
      <c r="M431" t="n">
        <v>146</v>
      </c>
      <c r="N431" t="n">
        <v>81</v>
      </c>
      <c r="O431" t="n">
        <v>155</v>
      </c>
      <c r="P431" t="n">
        <v>51</v>
      </c>
    </row>
    <row r="432">
      <c r="A432" t="inlineStr">
        <is>
          <t>CurrentWorkingView</t>
        </is>
      </c>
      <c r="B432" s="1" t="n">
        <v>4064941006985</v>
      </c>
      <c r="C432" t="inlineStr">
        <is>
          <t>P_US_ALL_OTHERS</t>
        </is>
      </c>
      <c r="D432" t="inlineStr">
        <is>
          <t>LT Stat Fcst</t>
        </is>
      </c>
      <c r="H432" t="n">
        <v>74</v>
      </c>
      <c r="I432" t="n">
        <v>82</v>
      </c>
      <c r="J432" t="n">
        <v>102</v>
      </c>
      <c r="K432" t="n">
        <v>49</v>
      </c>
      <c r="L432" t="n">
        <v>60</v>
      </c>
      <c r="M432" t="n">
        <v>75</v>
      </c>
      <c r="N432" t="n">
        <v>47</v>
      </c>
      <c r="O432" t="n">
        <v>221</v>
      </c>
      <c r="P432" t="n">
        <v>81</v>
      </c>
    </row>
    <row r="433">
      <c r="A433" t="inlineStr">
        <is>
          <t>CurrentWorkingView</t>
        </is>
      </c>
      <c r="B433" s="1" t="n">
        <v>4064941006985</v>
      </c>
      <c r="C433" t="inlineStr">
        <is>
          <t>P_US_ALL_OTHERS</t>
        </is>
      </c>
      <c r="D433" t="inlineStr">
        <is>
          <t>System BestFit Final</t>
        </is>
      </c>
      <c r="E433" t="inlineStr">
        <is>
          <t>CML</t>
        </is>
      </c>
      <c r="F433" t="inlineStr">
        <is>
          <t>CML</t>
        </is>
      </c>
      <c r="G433" t="inlineStr">
        <is>
          <t>CML</t>
        </is>
      </c>
      <c r="H433" t="inlineStr">
        <is>
          <t>CML</t>
        </is>
      </c>
      <c r="I433" t="inlineStr">
        <is>
          <t>CML</t>
        </is>
      </c>
      <c r="J433" t="inlineStr">
        <is>
          <t>CML</t>
        </is>
      </c>
      <c r="K433" t="inlineStr">
        <is>
          <t>CML</t>
        </is>
      </c>
      <c r="L433" t="inlineStr">
        <is>
          <t>CML</t>
        </is>
      </c>
      <c r="M433" t="inlineStr">
        <is>
          <t>CML</t>
        </is>
      </c>
      <c r="N433" t="inlineStr">
        <is>
          <t>CML</t>
        </is>
      </c>
      <c r="O433" t="inlineStr">
        <is>
          <t>CML</t>
        </is>
      </c>
      <c r="P433" t="inlineStr">
        <is>
          <t>CML</t>
        </is>
      </c>
    </row>
    <row r="434">
      <c r="A434" t="inlineStr">
        <is>
          <t>CurrentWorkingView</t>
        </is>
      </c>
      <c r="B434" s="1" t="n">
        <v>4064941006985</v>
      </c>
      <c r="C434" t="inlineStr">
        <is>
          <t>P_US_ALL_OTHERS</t>
        </is>
      </c>
      <c r="D434" t="inlineStr">
        <is>
          <t>System Bestfit Model ST</t>
        </is>
      </c>
    </row>
    <row r="435">
      <c r="A435" t="inlineStr">
        <is>
          <t>CurrentWorkingView</t>
        </is>
      </c>
      <c r="B435" s="1" t="n">
        <v>4064941006985</v>
      </c>
      <c r="C435" t="inlineStr">
        <is>
          <t>P_US_ALL_OTHERS</t>
        </is>
      </c>
      <c r="D435" t="inlineStr">
        <is>
          <t>Planner BestFit Model</t>
        </is>
      </c>
    </row>
    <row r="436">
      <c r="A436" t="inlineStr">
        <is>
          <t>CurrentWorkingView</t>
        </is>
      </c>
      <c r="B436" s="1" t="n">
        <v>4064941006985</v>
      </c>
      <c r="C436" t="inlineStr">
        <is>
          <t>P_US_ULTA</t>
        </is>
      </c>
      <c r="D436" t="inlineStr">
        <is>
          <t>System FC - Final</t>
        </is>
      </c>
      <c r="E436" t="n">
        <v>524</v>
      </c>
      <c r="F436" t="n">
        <v>685</v>
      </c>
      <c r="G436" t="n">
        <v>820</v>
      </c>
      <c r="H436" t="n">
        <v>1095</v>
      </c>
      <c r="I436" t="n">
        <v>784</v>
      </c>
      <c r="J436" t="n">
        <v>957</v>
      </c>
      <c r="K436" t="n">
        <v>859</v>
      </c>
      <c r="L436" t="n">
        <v>704</v>
      </c>
      <c r="M436" t="n">
        <v>1435</v>
      </c>
      <c r="N436" t="n">
        <v>548</v>
      </c>
      <c r="O436" t="n">
        <v>731</v>
      </c>
      <c r="P436" t="n">
        <v>699</v>
      </c>
    </row>
    <row r="437">
      <c r="A437" t="inlineStr">
        <is>
          <t>CurrentWorkingView</t>
        </is>
      </c>
      <c r="B437" s="1" t="n">
        <v>4064941006985</v>
      </c>
      <c r="C437" t="inlineStr">
        <is>
          <t>P_US_ULTA</t>
        </is>
      </c>
      <c r="D437" t="inlineStr">
        <is>
          <t>CML Fcst</t>
        </is>
      </c>
      <c r="H437" t="n">
        <v>1094</v>
      </c>
      <c r="I437" t="n">
        <v>784</v>
      </c>
      <c r="J437" t="n">
        <v>957</v>
      </c>
      <c r="K437" t="n">
        <v>859</v>
      </c>
      <c r="L437" t="n">
        <v>704</v>
      </c>
      <c r="M437" t="n">
        <v>1435</v>
      </c>
      <c r="N437" t="n">
        <v>548</v>
      </c>
      <c r="O437" t="n">
        <v>731</v>
      </c>
      <c r="P437" t="n">
        <v>699</v>
      </c>
    </row>
    <row r="438">
      <c r="A438" t="inlineStr">
        <is>
          <t>CurrentWorkingView</t>
        </is>
      </c>
      <c r="B438" s="1" t="n">
        <v>4064941006985</v>
      </c>
      <c r="C438" t="inlineStr">
        <is>
          <t>P_US_ULTA</t>
        </is>
      </c>
      <c r="D438" t="inlineStr">
        <is>
          <t>ST Stat Fcst</t>
        </is>
      </c>
      <c r="E438" t="n">
        <v>524</v>
      </c>
      <c r="F438" t="n">
        <v>685</v>
      </c>
      <c r="G438" t="n">
        <v>781</v>
      </c>
      <c r="H438" t="n">
        <v>1285</v>
      </c>
      <c r="I438" t="n">
        <v>960</v>
      </c>
      <c r="J438" t="n">
        <v>1346</v>
      </c>
      <c r="K438" t="n">
        <v>1041</v>
      </c>
      <c r="L438" t="n">
        <v>2120</v>
      </c>
      <c r="M438" t="n">
        <v>1169</v>
      </c>
      <c r="N438" t="n">
        <v>693</v>
      </c>
      <c r="O438" t="n">
        <v>2054</v>
      </c>
      <c r="P438" t="n">
        <v>883</v>
      </c>
    </row>
    <row r="439">
      <c r="A439" t="inlineStr">
        <is>
          <t>CurrentWorkingView</t>
        </is>
      </c>
      <c r="B439" s="1" t="n">
        <v>4064941006985</v>
      </c>
      <c r="C439" t="inlineStr">
        <is>
          <t>P_US_ULTA</t>
        </is>
      </c>
      <c r="D439" t="inlineStr">
        <is>
          <t>LT Stat Fcst</t>
        </is>
      </c>
      <c r="H439" t="n">
        <v>712</v>
      </c>
      <c r="I439" t="n">
        <v>792</v>
      </c>
      <c r="J439" t="n">
        <v>1000</v>
      </c>
      <c r="K439" t="n">
        <v>483</v>
      </c>
      <c r="L439" t="n">
        <v>588</v>
      </c>
      <c r="M439" t="n">
        <v>736</v>
      </c>
      <c r="N439" t="n">
        <v>463</v>
      </c>
      <c r="O439" t="n">
        <v>2139</v>
      </c>
      <c r="P439" t="n">
        <v>781</v>
      </c>
    </row>
    <row r="440">
      <c r="A440" t="inlineStr">
        <is>
          <t>CurrentWorkingView</t>
        </is>
      </c>
      <c r="B440" s="1" t="n">
        <v>4064941006985</v>
      </c>
      <c r="C440" t="inlineStr">
        <is>
          <t>P_US_ULTA</t>
        </is>
      </c>
      <c r="D440" t="inlineStr">
        <is>
          <t>System BestFit Final</t>
        </is>
      </c>
      <c r="E440" t="inlineStr">
        <is>
          <t>CML</t>
        </is>
      </c>
      <c r="F440" t="inlineStr">
        <is>
          <t>CML</t>
        </is>
      </c>
      <c r="G440" t="inlineStr">
        <is>
          <t>CML</t>
        </is>
      </c>
      <c r="H440" t="inlineStr">
        <is>
          <t>CML</t>
        </is>
      </c>
      <c r="I440" t="inlineStr">
        <is>
          <t>CML</t>
        </is>
      </c>
      <c r="J440" t="inlineStr">
        <is>
          <t>CML</t>
        </is>
      </c>
      <c r="K440" t="inlineStr">
        <is>
          <t>CML</t>
        </is>
      </c>
      <c r="L440" t="inlineStr">
        <is>
          <t>CML</t>
        </is>
      </c>
      <c r="M440" t="inlineStr">
        <is>
          <t>CML</t>
        </is>
      </c>
      <c r="N440" t="inlineStr">
        <is>
          <t>CML</t>
        </is>
      </c>
      <c r="O440" t="inlineStr">
        <is>
          <t>CML</t>
        </is>
      </c>
      <c r="P440" t="inlineStr">
        <is>
          <t>CML</t>
        </is>
      </c>
    </row>
    <row r="441">
      <c r="A441" t="inlineStr">
        <is>
          <t>CurrentWorkingView</t>
        </is>
      </c>
      <c r="B441" s="1" t="n">
        <v>4064941006985</v>
      </c>
      <c r="C441" t="inlineStr">
        <is>
          <t>P_US_ULTA</t>
        </is>
      </c>
      <c r="D441" t="inlineStr">
        <is>
          <t>System Bestfit Model ST</t>
        </is>
      </c>
    </row>
    <row r="442">
      <c r="A442" t="inlineStr">
        <is>
          <t>CurrentWorkingView</t>
        </is>
      </c>
      <c r="B442" s="1" t="n">
        <v>4064941006985</v>
      </c>
      <c r="C442" t="inlineStr">
        <is>
          <t>P_US_ULTA</t>
        </is>
      </c>
      <c r="D442" t="inlineStr">
        <is>
          <t>Planner BestFit Model</t>
        </is>
      </c>
    </row>
    <row r="443">
      <c r="A443" t="inlineStr">
        <is>
          <t>CurrentWorkingView</t>
        </is>
      </c>
      <c r="B443" s="1" t="n">
        <v>4064941006992</v>
      </c>
      <c r="C443" t="inlineStr">
        <is>
          <t>P_US_ALL_OTHERS</t>
        </is>
      </c>
      <c r="D443" t="inlineStr">
        <is>
          <t>System FC - Final</t>
        </is>
      </c>
      <c r="E443" t="n">
        <v>83</v>
      </c>
      <c r="F443" t="n">
        <v>115</v>
      </c>
      <c r="G443" t="n">
        <v>285</v>
      </c>
      <c r="H443" t="n">
        <v>115</v>
      </c>
      <c r="I443" t="n">
        <v>112</v>
      </c>
      <c r="J443" t="n">
        <v>115</v>
      </c>
      <c r="K443" t="n">
        <v>124</v>
      </c>
      <c r="L443" t="n">
        <v>172</v>
      </c>
      <c r="M443" t="n">
        <v>120</v>
      </c>
      <c r="N443" t="n">
        <v>111</v>
      </c>
      <c r="O443" t="n">
        <v>116</v>
      </c>
      <c r="P443" t="n">
        <v>86</v>
      </c>
    </row>
    <row r="444">
      <c r="A444" t="inlineStr">
        <is>
          <t>CurrentWorkingView</t>
        </is>
      </c>
      <c r="B444" s="1" t="n">
        <v>4064941006992</v>
      </c>
      <c r="C444" t="inlineStr">
        <is>
          <t>P_US_ALL_OTHERS</t>
        </is>
      </c>
      <c r="D444" t="inlineStr">
        <is>
          <t>CML Fcst</t>
        </is>
      </c>
      <c r="H444" t="n">
        <v>115</v>
      </c>
      <c r="I444" t="n">
        <v>112</v>
      </c>
      <c r="J444" t="n">
        <v>115</v>
      </c>
      <c r="K444" t="n">
        <v>124</v>
      </c>
      <c r="L444" t="n">
        <v>172</v>
      </c>
      <c r="M444" t="n">
        <v>120</v>
      </c>
      <c r="N444" t="n">
        <v>111</v>
      </c>
      <c r="O444" t="n">
        <v>116</v>
      </c>
      <c r="P444" t="n">
        <v>86</v>
      </c>
    </row>
    <row r="445">
      <c r="A445" t="inlineStr">
        <is>
          <t>CurrentWorkingView</t>
        </is>
      </c>
      <c r="B445" s="1" t="n">
        <v>4064941006992</v>
      </c>
      <c r="C445" t="inlineStr">
        <is>
          <t>P_US_ALL_OTHERS</t>
        </is>
      </c>
      <c r="D445" t="inlineStr">
        <is>
          <t>ST Stat Fcst</t>
        </is>
      </c>
      <c r="E445" t="n">
        <v>83</v>
      </c>
      <c r="F445" t="n">
        <v>115</v>
      </c>
      <c r="G445" t="n">
        <v>257</v>
      </c>
      <c r="H445" t="n">
        <v>127</v>
      </c>
      <c r="I445" t="n">
        <v>108</v>
      </c>
      <c r="J445" t="n">
        <v>111</v>
      </c>
      <c r="K445" t="n">
        <v>53</v>
      </c>
      <c r="L445" t="n">
        <v>136</v>
      </c>
      <c r="M445" t="n">
        <v>84</v>
      </c>
      <c r="N445" t="n">
        <v>60</v>
      </c>
      <c r="O445" t="n">
        <v>142</v>
      </c>
      <c r="P445" t="n">
        <v>48</v>
      </c>
    </row>
    <row r="446">
      <c r="A446" t="inlineStr">
        <is>
          <t>CurrentWorkingView</t>
        </is>
      </c>
      <c r="B446" s="1" t="n">
        <v>4064941006992</v>
      </c>
      <c r="C446" t="inlineStr">
        <is>
          <t>P_US_ALL_OTHERS</t>
        </is>
      </c>
      <c r="D446" t="inlineStr">
        <is>
          <t>LT Stat Fcst</t>
        </is>
      </c>
      <c r="H446" t="n">
        <v>64</v>
      </c>
      <c r="I446" t="n">
        <v>74</v>
      </c>
      <c r="J446" t="n">
        <v>93</v>
      </c>
      <c r="K446" t="n">
        <v>44</v>
      </c>
      <c r="L446" t="n">
        <v>56</v>
      </c>
      <c r="M446" t="n">
        <v>70</v>
      </c>
      <c r="N446" t="n">
        <v>43</v>
      </c>
      <c r="O446" t="n">
        <v>199</v>
      </c>
      <c r="P446" t="n">
        <v>73</v>
      </c>
    </row>
    <row r="447">
      <c r="A447" t="inlineStr">
        <is>
          <t>CurrentWorkingView</t>
        </is>
      </c>
      <c r="B447" s="1" t="n">
        <v>4064941006992</v>
      </c>
      <c r="C447" t="inlineStr">
        <is>
          <t>P_US_ALL_OTHERS</t>
        </is>
      </c>
      <c r="D447" t="inlineStr">
        <is>
          <t>System BestFit Final</t>
        </is>
      </c>
      <c r="E447" t="inlineStr">
        <is>
          <t>CML</t>
        </is>
      </c>
      <c r="F447" t="inlineStr">
        <is>
          <t>CML</t>
        </is>
      </c>
      <c r="G447" t="inlineStr">
        <is>
          <t>CML</t>
        </is>
      </c>
      <c r="H447" t="inlineStr">
        <is>
          <t>CML</t>
        </is>
      </c>
      <c r="I447" t="inlineStr">
        <is>
          <t>CML</t>
        </is>
      </c>
      <c r="J447" t="inlineStr">
        <is>
          <t>CML</t>
        </is>
      </c>
      <c r="K447" t="inlineStr">
        <is>
          <t>CML</t>
        </is>
      </c>
      <c r="L447" t="inlineStr">
        <is>
          <t>CML</t>
        </is>
      </c>
      <c r="M447" t="inlineStr">
        <is>
          <t>CML</t>
        </is>
      </c>
      <c r="N447" t="inlineStr">
        <is>
          <t>CML</t>
        </is>
      </c>
      <c r="O447" t="inlineStr">
        <is>
          <t>CML</t>
        </is>
      </c>
      <c r="P447" t="inlineStr">
        <is>
          <t>CML</t>
        </is>
      </c>
    </row>
    <row r="448">
      <c r="A448" t="inlineStr">
        <is>
          <t>CurrentWorkingView</t>
        </is>
      </c>
      <c r="B448" s="1" t="n">
        <v>4064941006992</v>
      </c>
      <c r="C448" t="inlineStr">
        <is>
          <t>P_US_ALL_OTHERS</t>
        </is>
      </c>
      <c r="D448" t="inlineStr">
        <is>
          <t>System Bestfit Model ST</t>
        </is>
      </c>
    </row>
    <row r="449">
      <c r="A449" t="inlineStr">
        <is>
          <t>CurrentWorkingView</t>
        </is>
      </c>
      <c r="B449" s="1" t="n">
        <v>4064941006992</v>
      </c>
      <c r="C449" t="inlineStr">
        <is>
          <t>P_US_ALL_OTHERS</t>
        </is>
      </c>
      <c r="D449" t="inlineStr">
        <is>
          <t>Planner BestFit Model</t>
        </is>
      </c>
    </row>
    <row r="450">
      <c r="A450" t="inlineStr">
        <is>
          <t>CurrentWorkingView</t>
        </is>
      </c>
      <c r="B450" s="1" t="n">
        <v>4064941006992</v>
      </c>
      <c r="C450" t="inlineStr">
        <is>
          <t>P_US_ULTA</t>
        </is>
      </c>
      <c r="D450" t="inlineStr">
        <is>
          <t>System FC - Final</t>
        </is>
      </c>
      <c r="E450" t="n">
        <v>539</v>
      </c>
      <c r="F450" t="n">
        <v>566</v>
      </c>
      <c r="G450" t="n">
        <v>854</v>
      </c>
      <c r="H450" t="n">
        <v>832</v>
      </c>
      <c r="I450" t="n">
        <v>788</v>
      </c>
      <c r="J450" t="n">
        <v>1373</v>
      </c>
      <c r="K450" t="n">
        <v>868</v>
      </c>
      <c r="L450" t="n">
        <v>884</v>
      </c>
      <c r="M450" t="n">
        <v>1891</v>
      </c>
      <c r="N450" t="n">
        <v>673</v>
      </c>
      <c r="O450" t="n">
        <v>938</v>
      </c>
      <c r="P450" t="n">
        <v>591</v>
      </c>
    </row>
    <row r="451">
      <c r="A451" t="inlineStr">
        <is>
          <t>CurrentWorkingView</t>
        </is>
      </c>
      <c r="B451" s="1" t="n">
        <v>4064941006992</v>
      </c>
      <c r="C451" t="inlineStr">
        <is>
          <t>P_US_ULTA</t>
        </is>
      </c>
      <c r="D451" t="inlineStr">
        <is>
          <t>CML Fcst</t>
        </is>
      </c>
      <c r="H451" t="n">
        <v>832</v>
      </c>
      <c r="I451" t="n">
        <v>788</v>
      </c>
      <c r="J451" t="n">
        <v>1373</v>
      </c>
      <c r="K451" t="n">
        <v>868</v>
      </c>
      <c r="L451" t="n">
        <v>884</v>
      </c>
      <c r="M451" t="n">
        <v>1891</v>
      </c>
      <c r="N451" t="n">
        <v>673</v>
      </c>
      <c r="O451" t="n">
        <v>938</v>
      </c>
      <c r="P451" t="n">
        <v>591</v>
      </c>
    </row>
    <row r="452">
      <c r="A452" t="inlineStr">
        <is>
          <t>CurrentWorkingView</t>
        </is>
      </c>
      <c r="B452" s="1" t="n">
        <v>4064941006992</v>
      </c>
      <c r="C452" t="inlineStr">
        <is>
          <t>P_US_ULTA</t>
        </is>
      </c>
      <c r="D452" t="inlineStr">
        <is>
          <t>ST Stat Fcst</t>
        </is>
      </c>
      <c r="E452" t="n">
        <v>539</v>
      </c>
      <c r="F452" t="n">
        <v>566</v>
      </c>
      <c r="G452" t="n">
        <v>1048</v>
      </c>
      <c r="H452" t="n">
        <v>682</v>
      </c>
      <c r="I452" t="n">
        <v>956</v>
      </c>
      <c r="J452" t="n">
        <v>1671</v>
      </c>
      <c r="K452" t="n">
        <v>655</v>
      </c>
      <c r="L452" t="n">
        <v>412</v>
      </c>
      <c r="M452" t="n">
        <v>633</v>
      </c>
      <c r="N452" t="n">
        <v>802</v>
      </c>
      <c r="O452" t="n">
        <v>1842</v>
      </c>
      <c r="P452" t="n">
        <v>900</v>
      </c>
    </row>
    <row r="453">
      <c r="A453" t="inlineStr">
        <is>
          <t>CurrentWorkingView</t>
        </is>
      </c>
      <c r="B453" s="1" t="n">
        <v>4064941006992</v>
      </c>
      <c r="C453" t="inlineStr">
        <is>
          <t>P_US_ULTA</t>
        </is>
      </c>
      <c r="D453" t="inlineStr">
        <is>
          <t>LT Stat Fcst</t>
        </is>
      </c>
      <c r="H453" t="n">
        <v>550</v>
      </c>
      <c r="I453" t="n">
        <v>612</v>
      </c>
      <c r="J453" t="n">
        <v>771</v>
      </c>
      <c r="K453" t="n">
        <v>372</v>
      </c>
      <c r="L453" t="n">
        <v>452</v>
      </c>
      <c r="M453" t="n">
        <v>567</v>
      </c>
      <c r="N453" t="n">
        <v>355</v>
      </c>
      <c r="O453" t="n">
        <v>1652</v>
      </c>
      <c r="P453" t="n">
        <v>604</v>
      </c>
    </row>
    <row r="454">
      <c r="A454" t="inlineStr">
        <is>
          <t>CurrentWorkingView</t>
        </is>
      </c>
      <c r="B454" s="1" t="n">
        <v>4064941006992</v>
      </c>
      <c r="C454" t="inlineStr">
        <is>
          <t>P_US_ULTA</t>
        </is>
      </c>
      <c r="D454" t="inlineStr">
        <is>
          <t>System BestFit Final</t>
        </is>
      </c>
      <c r="E454" t="inlineStr">
        <is>
          <t>CML</t>
        </is>
      </c>
      <c r="F454" t="inlineStr">
        <is>
          <t>CML</t>
        </is>
      </c>
      <c r="G454" t="inlineStr">
        <is>
          <t>CML</t>
        </is>
      </c>
      <c r="H454" t="inlineStr">
        <is>
          <t>CML</t>
        </is>
      </c>
      <c r="I454" t="inlineStr">
        <is>
          <t>CML</t>
        </is>
      </c>
      <c r="J454" t="inlineStr">
        <is>
          <t>CML</t>
        </is>
      </c>
      <c r="K454" t="inlineStr">
        <is>
          <t>CML</t>
        </is>
      </c>
      <c r="L454" t="inlineStr">
        <is>
          <t>CML</t>
        </is>
      </c>
      <c r="M454" t="inlineStr">
        <is>
          <t>CML</t>
        </is>
      </c>
      <c r="N454" t="inlineStr">
        <is>
          <t>CML</t>
        </is>
      </c>
      <c r="O454" t="inlineStr">
        <is>
          <t>CML</t>
        </is>
      </c>
      <c r="P454" t="inlineStr">
        <is>
          <t>CML</t>
        </is>
      </c>
    </row>
    <row r="455">
      <c r="A455" t="inlineStr">
        <is>
          <t>CurrentWorkingView</t>
        </is>
      </c>
      <c r="B455" s="1" t="n">
        <v>4064941006992</v>
      </c>
      <c r="C455" t="inlineStr">
        <is>
          <t>P_US_ULTA</t>
        </is>
      </c>
      <c r="D455" t="inlineStr">
        <is>
          <t>System Bestfit Model ST</t>
        </is>
      </c>
    </row>
    <row r="456">
      <c r="A456" t="inlineStr">
        <is>
          <t>CurrentWorkingView</t>
        </is>
      </c>
      <c r="B456" s="1" t="n">
        <v>4064941006992</v>
      </c>
      <c r="C456" t="inlineStr">
        <is>
          <t>P_US_ULTA</t>
        </is>
      </c>
      <c r="D456" t="inlineStr">
        <is>
          <t>Planner BestFit Model</t>
        </is>
      </c>
    </row>
    <row r="457">
      <c r="A457" t="inlineStr">
        <is>
          <t>CurrentWorkingView</t>
        </is>
      </c>
      <c r="B457" s="1" t="n">
        <v>4064941008552</v>
      </c>
      <c r="C457" t="inlineStr">
        <is>
          <t>P_US_ALL_OTHERS</t>
        </is>
      </c>
      <c r="D457" t="inlineStr">
        <is>
          <t>System FC - Final</t>
        </is>
      </c>
      <c r="E457" t="n">
        <v>168</v>
      </c>
      <c r="F457" t="n">
        <v>191</v>
      </c>
      <c r="G457" t="n">
        <v>138</v>
      </c>
      <c r="H457" t="n">
        <v>214</v>
      </c>
      <c r="I457" t="n">
        <v>290</v>
      </c>
      <c r="J457" t="n">
        <v>310</v>
      </c>
      <c r="K457" t="n">
        <v>331</v>
      </c>
      <c r="L457" t="n">
        <v>368</v>
      </c>
      <c r="M457" t="n">
        <v>358</v>
      </c>
      <c r="N457" t="n">
        <v>288</v>
      </c>
      <c r="O457" t="n">
        <v>349</v>
      </c>
      <c r="P457" t="n">
        <v>304</v>
      </c>
    </row>
    <row r="458">
      <c r="A458" t="inlineStr">
        <is>
          <t>CurrentWorkingView</t>
        </is>
      </c>
      <c r="B458" s="1" t="n">
        <v>4064941008552</v>
      </c>
      <c r="C458" t="inlineStr">
        <is>
          <t>P_US_ALL_OTHERS</t>
        </is>
      </c>
      <c r="D458" t="inlineStr">
        <is>
          <t>CML Fcst</t>
        </is>
      </c>
      <c r="H458" t="n">
        <v>181</v>
      </c>
      <c r="I458" t="n">
        <v>188</v>
      </c>
      <c r="J458" t="n">
        <v>181</v>
      </c>
      <c r="K458" t="n">
        <v>226</v>
      </c>
      <c r="L458" t="n">
        <v>244</v>
      </c>
      <c r="M458" t="n">
        <v>177</v>
      </c>
      <c r="N458" t="n">
        <v>267</v>
      </c>
      <c r="O458" t="n">
        <v>248</v>
      </c>
      <c r="P458" t="n">
        <v>129</v>
      </c>
    </row>
    <row r="459">
      <c r="A459" t="inlineStr">
        <is>
          <t>CurrentWorkingView</t>
        </is>
      </c>
      <c r="B459" s="1" t="n">
        <v>4064941008552</v>
      </c>
      <c r="C459" t="inlineStr">
        <is>
          <t>P_US_ALL_OTHERS</t>
        </is>
      </c>
      <c r="D459" t="inlineStr">
        <is>
          <t>ST Stat Fcst</t>
        </is>
      </c>
      <c r="E459" t="n">
        <v>168</v>
      </c>
      <c r="F459" t="n">
        <v>191</v>
      </c>
      <c r="G459" t="n">
        <v>115</v>
      </c>
      <c r="H459" t="n">
        <v>213</v>
      </c>
      <c r="I459" t="n">
        <v>232</v>
      </c>
      <c r="J459" t="n">
        <v>275</v>
      </c>
      <c r="K459" t="n">
        <v>394</v>
      </c>
      <c r="L459" t="n">
        <v>340</v>
      </c>
      <c r="M459" t="n">
        <v>151</v>
      </c>
      <c r="N459" t="n">
        <v>210</v>
      </c>
      <c r="O459" t="n">
        <v>385</v>
      </c>
      <c r="P459" t="n">
        <v>129</v>
      </c>
    </row>
    <row r="460">
      <c r="A460" t="inlineStr">
        <is>
          <t>CurrentWorkingView</t>
        </is>
      </c>
      <c r="B460" s="1" t="n">
        <v>4064941008552</v>
      </c>
      <c r="C460" t="inlineStr">
        <is>
          <t>P_US_ALL_OTHERS</t>
        </is>
      </c>
      <c r="D460" t="inlineStr">
        <is>
          <t>LT Stat Fcst</t>
        </is>
      </c>
      <c r="H460" t="n">
        <v>214</v>
      </c>
      <c r="I460" t="n">
        <v>291</v>
      </c>
      <c r="J460" t="n">
        <v>310</v>
      </c>
      <c r="K460" t="n">
        <v>331</v>
      </c>
      <c r="L460" t="n">
        <v>368</v>
      </c>
      <c r="M460" t="n">
        <v>358</v>
      </c>
      <c r="N460" t="n">
        <v>288</v>
      </c>
      <c r="O460" t="n">
        <v>349</v>
      </c>
      <c r="P460" t="n">
        <v>304</v>
      </c>
    </row>
    <row r="461">
      <c r="A461" t="inlineStr">
        <is>
          <t>CurrentWorkingView</t>
        </is>
      </c>
      <c r="B461" s="1" t="n">
        <v>4064941008552</v>
      </c>
      <c r="C461" t="inlineStr">
        <is>
          <t>P_US_ALL_OTHERS</t>
        </is>
      </c>
      <c r="D461" t="inlineStr">
        <is>
          <t>System BestFit Final</t>
        </is>
      </c>
      <c r="E461" t="inlineStr">
        <is>
          <t>LT</t>
        </is>
      </c>
      <c r="F461" t="inlineStr">
        <is>
          <t>LT</t>
        </is>
      </c>
      <c r="G461" t="inlineStr">
        <is>
          <t>LT</t>
        </is>
      </c>
      <c r="H461" t="inlineStr">
        <is>
          <t>LT</t>
        </is>
      </c>
      <c r="I461" t="inlineStr">
        <is>
          <t>LT</t>
        </is>
      </c>
      <c r="J461" t="inlineStr">
        <is>
          <t>LT</t>
        </is>
      </c>
      <c r="K461" t="inlineStr">
        <is>
          <t>LT</t>
        </is>
      </c>
      <c r="L461" t="inlineStr">
        <is>
          <t>LT</t>
        </is>
      </c>
      <c r="M461" t="inlineStr">
        <is>
          <t>LT</t>
        </is>
      </c>
      <c r="N461" t="inlineStr">
        <is>
          <t>LT</t>
        </is>
      </c>
      <c r="O461" t="inlineStr">
        <is>
          <t>LT</t>
        </is>
      </c>
      <c r="P461" t="inlineStr">
        <is>
          <t>LT</t>
        </is>
      </c>
    </row>
    <row r="462">
      <c r="A462" t="inlineStr">
        <is>
          <t>CurrentWorkingView</t>
        </is>
      </c>
      <c r="B462" s="1" t="n">
        <v>4064941008552</v>
      </c>
      <c r="C462" t="inlineStr">
        <is>
          <t>P_US_ALL_OTHERS</t>
        </is>
      </c>
      <c r="D462" t="inlineStr">
        <is>
          <t>System Bestfit Model ST</t>
        </is>
      </c>
    </row>
    <row r="463">
      <c r="A463" t="inlineStr">
        <is>
          <t>CurrentWorkingView</t>
        </is>
      </c>
      <c r="B463" s="1" t="n">
        <v>4064941008552</v>
      </c>
      <c r="C463" t="inlineStr">
        <is>
          <t>P_US_ALL_OTHERS</t>
        </is>
      </c>
      <c r="D463" t="inlineStr">
        <is>
          <t>Planner BestFit Model</t>
        </is>
      </c>
      <c r="E463" t="inlineStr">
        <is>
          <t>LT</t>
        </is>
      </c>
      <c r="F463" t="inlineStr">
        <is>
          <t>LT</t>
        </is>
      </c>
      <c r="G463" t="inlineStr">
        <is>
          <t>LT</t>
        </is>
      </c>
      <c r="H463" t="inlineStr">
        <is>
          <t>LT</t>
        </is>
      </c>
      <c r="I463" t="inlineStr">
        <is>
          <t>LT</t>
        </is>
      </c>
      <c r="J463" t="inlineStr">
        <is>
          <t>LT</t>
        </is>
      </c>
      <c r="K463" t="inlineStr">
        <is>
          <t>LT</t>
        </is>
      </c>
      <c r="L463" t="inlineStr">
        <is>
          <t>LT</t>
        </is>
      </c>
      <c r="M463" t="inlineStr">
        <is>
          <t>LT</t>
        </is>
      </c>
      <c r="N463" t="inlineStr">
        <is>
          <t>LT</t>
        </is>
      </c>
      <c r="O463" t="inlineStr">
        <is>
          <t>LT</t>
        </is>
      </c>
      <c r="P463" t="inlineStr">
        <is>
          <t>LT</t>
        </is>
      </c>
    </row>
    <row r="464">
      <c r="A464" t="inlineStr">
        <is>
          <t>CurrentWorkingView</t>
        </is>
      </c>
      <c r="B464" s="1" t="n">
        <v>4064941008552</v>
      </c>
      <c r="C464" t="inlineStr">
        <is>
          <t>P_US_ULTA</t>
        </is>
      </c>
      <c r="D464" t="inlineStr">
        <is>
          <t>System FC - Final</t>
        </is>
      </c>
      <c r="E464" t="n">
        <v>731</v>
      </c>
      <c r="F464" t="n">
        <v>1494</v>
      </c>
      <c r="G464" t="n">
        <v>1046</v>
      </c>
      <c r="H464" t="n">
        <v>854</v>
      </c>
      <c r="I464" t="n">
        <v>1164</v>
      </c>
      <c r="J464" t="n">
        <v>1238</v>
      </c>
      <c r="K464" t="n">
        <v>1314</v>
      </c>
      <c r="L464" t="n">
        <v>1469</v>
      </c>
      <c r="M464" t="n">
        <v>1437</v>
      </c>
      <c r="N464" t="n">
        <v>1150</v>
      </c>
      <c r="O464" t="n">
        <v>1397</v>
      </c>
      <c r="P464" t="n">
        <v>1207</v>
      </c>
    </row>
    <row r="465">
      <c r="A465" t="inlineStr">
        <is>
          <t>CurrentWorkingView</t>
        </is>
      </c>
      <c r="B465" s="1" t="n">
        <v>4064941008552</v>
      </c>
      <c r="C465" t="inlineStr">
        <is>
          <t>P_US_ULTA</t>
        </is>
      </c>
      <c r="D465" t="inlineStr">
        <is>
          <t>CML Fcst</t>
        </is>
      </c>
      <c r="H465" t="n">
        <v>744</v>
      </c>
      <c r="I465" t="n">
        <v>878</v>
      </c>
      <c r="J465" t="n">
        <v>699</v>
      </c>
      <c r="K465" t="n">
        <v>1355</v>
      </c>
      <c r="L465" t="n">
        <v>532</v>
      </c>
      <c r="M465" t="n">
        <v>181</v>
      </c>
      <c r="N465" t="n">
        <v>253</v>
      </c>
      <c r="O465" t="n">
        <v>270</v>
      </c>
      <c r="P465" t="n">
        <v>1157</v>
      </c>
    </row>
    <row r="466">
      <c r="A466" t="inlineStr">
        <is>
          <t>CurrentWorkingView</t>
        </is>
      </c>
      <c r="B466" s="1" t="n">
        <v>4064941008552</v>
      </c>
      <c r="C466" t="inlineStr">
        <is>
          <t>P_US_ULTA</t>
        </is>
      </c>
      <c r="D466" t="inlineStr">
        <is>
          <t>ST Stat Fcst</t>
        </is>
      </c>
      <c r="E466" t="n">
        <v>731</v>
      </c>
      <c r="F466" t="n">
        <v>1494</v>
      </c>
      <c r="G466" t="n">
        <v>1029</v>
      </c>
      <c r="H466" t="n">
        <v>895</v>
      </c>
      <c r="I466" t="n">
        <v>1668</v>
      </c>
      <c r="J466" t="n">
        <v>1390</v>
      </c>
      <c r="K466" t="n">
        <v>1904</v>
      </c>
      <c r="L466" t="n">
        <v>1828</v>
      </c>
      <c r="M466" t="n">
        <v>390</v>
      </c>
      <c r="N466" t="n">
        <v>570</v>
      </c>
      <c r="O466" t="n">
        <v>731</v>
      </c>
      <c r="P466" t="n">
        <v>591</v>
      </c>
    </row>
    <row r="467">
      <c r="A467" t="inlineStr">
        <is>
          <t>CurrentWorkingView</t>
        </is>
      </c>
      <c r="B467" s="1" t="n">
        <v>4064941008552</v>
      </c>
      <c r="C467" t="inlineStr">
        <is>
          <t>P_US_ULTA</t>
        </is>
      </c>
      <c r="D467" t="inlineStr">
        <is>
          <t>LT Stat Fcst</t>
        </is>
      </c>
      <c r="H467" t="n">
        <v>855</v>
      </c>
      <c r="I467" t="n">
        <v>1164</v>
      </c>
      <c r="J467" t="n">
        <v>1238</v>
      </c>
      <c r="K467" t="n">
        <v>1314</v>
      </c>
      <c r="L467" t="n">
        <v>1469</v>
      </c>
      <c r="M467" t="n">
        <v>1437</v>
      </c>
      <c r="N467" t="n">
        <v>1150</v>
      </c>
      <c r="O467" t="n">
        <v>1397</v>
      </c>
      <c r="P467" t="n">
        <v>1207</v>
      </c>
    </row>
    <row r="468">
      <c r="A468" t="inlineStr">
        <is>
          <t>CurrentWorkingView</t>
        </is>
      </c>
      <c r="B468" s="1" t="n">
        <v>4064941008552</v>
      </c>
      <c r="C468" t="inlineStr">
        <is>
          <t>P_US_ULTA</t>
        </is>
      </c>
      <c r="D468" t="inlineStr">
        <is>
          <t>System BestFit Final</t>
        </is>
      </c>
      <c r="E468" t="inlineStr">
        <is>
          <t>LT</t>
        </is>
      </c>
      <c r="F468" t="inlineStr">
        <is>
          <t>LT</t>
        </is>
      </c>
      <c r="G468" t="inlineStr">
        <is>
          <t>LT</t>
        </is>
      </c>
      <c r="H468" t="inlineStr">
        <is>
          <t>LT</t>
        </is>
      </c>
      <c r="I468" t="inlineStr">
        <is>
          <t>LT</t>
        </is>
      </c>
      <c r="J468" t="inlineStr">
        <is>
          <t>LT</t>
        </is>
      </c>
      <c r="K468" t="inlineStr">
        <is>
          <t>LT</t>
        </is>
      </c>
      <c r="L468" t="inlineStr">
        <is>
          <t>LT</t>
        </is>
      </c>
      <c r="M468" t="inlineStr">
        <is>
          <t>LT</t>
        </is>
      </c>
      <c r="N468" t="inlineStr">
        <is>
          <t>LT</t>
        </is>
      </c>
      <c r="O468" t="inlineStr">
        <is>
          <t>LT</t>
        </is>
      </c>
      <c r="P468" t="inlineStr">
        <is>
          <t>LT</t>
        </is>
      </c>
    </row>
    <row r="469">
      <c r="A469" t="inlineStr">
        <is>
          <t>CurrentWorkingView</t>
        </is>
      </c>
      <c r="B469" s="1" t="n">
        <v>4064941008552</v>
      </c>
      <c r="C469" t="inlineStr">
        <is>
          <t>P_US_ULTA</t>
        </is>
      </c>
      <c r="D469" t="inlineStr">
        <is>
          <t>System Bestfit Model ST</t>
        </is>
      </c>
    </row>
    <row r="470">
      <c r="A470" t="inlineStr">
        <is>
          <t>CurrentWorkingView</t>
        </is>
      </c>
      <c r="B470" s="1" t="n">
        <v>4064941008552</v>
      </c>
      <c r="C470" t="inlineStr">
        <is>
          <t>P_US_ULTA</t>
        </is>
      </c>
      <c r="D470" t="inlineStr">
        <is>
          <t>Planner BestFit Model</t>
        </is>
      </c>
      <c r="E470" t="inlineStr">
        <is>
          <t>LT</t>
        </is>
      </c>
      <c r="F470" t="inlineStr">
        <is>
          <t>LT</t>
        </is>
      </c>
      <c r="G470" t="inlineStr">
        <is>
          <t>LT</t>
        </is>
      </c>
      <c r="H470" t="inlineStr">
        <is>
          <t>LT</t>
        </is>
      </c>
      <c r="I470" t="inlineStr">
        <is>
          <t>LT</t>
        </is>
      </c>
      <c r="J470" t="inlineStr">
        <is>
          <t>LT</t>
        </is>
      </c>
      <c r="K470" t="inlineStr">
        <is>
          <t>LT</t>
        </is>
      </c>
      <c r="L470" t="inlineStr">
        <is>
          <t>LT</t>
        </is>
      </c>
      <c r="M470" t="inlineStr">
        <is>
          <t>LT</t>
        </is>
      </c>
      <c r="N470" t="inlineStr">
        <is>
          <t>LT</t>
        </is>
      </c>
      <c r="O470" t="inlineStr">
        <is>
          <t>LT</t>
        </is>
      </c>
      <c r="P470" t="inlineStr">
        <is>
          <t>LT</t>
        </is>
      </c>
    </row>
    <row r="471">
      <c r="A471" t="inlineStr">
        <is>
          <t>CurrentWorkingView</t>
        </is>
      </c>
      <c r="B471" s="1" t="n">
        <v>4064941008613</v>
      </c>
      <c r="C471" t="inlineStr">
        <is>
          <t>P_US_ALL_OTHERS</t>
        </is>
      </c>
      <c r="D471" t="inlineStr">
        <is>
          <t>System FC - Final</t>
        </is>
      </c>
      <c r="E471" t="n">
        <v>368</v>
      </c>
      <c r="F471" t="n">
        <v>189</v>
      </c>
      <c r="G471" t="n">
        <v>427</v>
      </c>
      <c r="H471" t="n">
        <v>141</v>
      </c>
      <c r="I471" t="n">
        <v>161</v>
      </c>
      <c r="J471" t="n">
        <v>201</v>
      </c>
      <c r="K471" t="n">
        <v>97</v>
      </c>
      <c r="L471" t="n">
        <v>120</v>
      </c>
      <c r="M471" t="n">
        <v>146</v>
      </c>
      <c r="N471" t="n">
        <v>93</v>
      </c>
      <c r="O471" t="n">
        <v>430</v>
      </c>
      <c r="P471" t="n">
        <v>158</v>
      </c>
    </row>
    <row r="472">
      <c r="A472" t="inlineStr">
        <is>
          <t>CurrentWorkingView</t>
        </is>
      </c>
      <c r="B472" s="1" t="n">
        <v>4064941008613</v>
      </c>
      <c r="C472" t="inlineStr">
        <is>
          <t>P_US_ALL_OTHERS</t>
        </is>
      </c>
      <c r="D472" t="inlineStr">
        <is>
          <t>CML Fcst</t>
        </is>
      </c>
      <c r="H472" t="n">
        <v>181</v>
      </c>
      <c r="I472" t="n">
        <v>138</v>
      </c>
      <c r="J472" t="n">
        <v>164</v>
      </c>
      <c r="K472" t="n">
        <v>159</v>
      </c>
      <c r="L472" t="n">
        <v>172</v>
      </c>
      <c r="M472" t="n">
        <v>195</v>
      </c>
      <c r="N472" t="n">
        <v>158</v>
      </c>
      <c r="O472" t="n">
        <v>248</v>
      </c>
      <c r="P472" t="n">
        <v>137</v>
      </c>
    </row>
    <row r="473">
      <c r="A473" t="inlineStr">
        <is>
          <t>CurrentWorkingView</t>
        </is>
      </c>
      <c r="B473" s="1" t="n">
        <v>4064941008613</v>
      </c>
      <c r="C473" t="inlineStr">
        <is>
          <t>P_US_ALL_OTHERS</t>
        </is>
      </c>
      <c r="D473" t="inlineStr">
        <is>
          <t>ST Stat Fcst</t>
        </is>
      </c>
      <c r="E473" t="n">
        <v>368</v>
      </c>
      <c r="F473" t="n">
        <v>189</v>
      </c>
      <c r="G473" t="n">
        <v>375</v>
      </c>
      <c r="H473" t="n">
        <v>243</v>
      </c>
      <c r="I473" t="n">
        <v>222</v>
      </c>
      <c r="J473" t="n">
        <v>244</v>
      </c>
      <c r="K473" t="n">
        <v>221</v>
      </c>
      <c r="L473" t="n">
        <v>228</v>
      </c>
      <c r="M473" t="n">
        <v>230</v>
      </c>
      <c r="N473" t="n">
        <v>228</v>
      </c>
      <c r="O473" t="n">
        <v>230</v>
      </c>
      <c r="P473" t="n">
        <v>228</v>
      </c>
    </row>
    <row r="474">
      <c r="A474" t="inlineStr">
        <is>
          <t>CurrentWorkingView</t>
        </is>
      </c>
      <c r="B474" s="1" t="n">
        <v>4064941008613</v>
      </c>
      <c r="C474" t="inlineStr">
        <is>
          <t>P_US_ALL_OTHERS</t>
        </is>
      </c>
      <c r="D474" t="inlineStr">
        <is>
          <t>LT Stat Fcst</t>
        </is>
      </c>
      <c r="H474" t="n">
        <v>142</v>
      </c>
      <c r="I474" t="n">
        <v>160</v>
      </c>
      <c r="J474" t="n">
        <v>201</v>
      </c>
      <c r="K474" t="n">
        <v>97</v>
      </c>
      <c r="L474" t="n">
        <v>120</v>
      </c>
      <c r="M474" t="n">
        <v>146</v>
      </c>
      <c r="N474" t="n">
        <v>93</v>
      </c>
      <c r="O474" t="n">
        <v>430</v>
      </c>
      <c r="P474" t="n">
        <v>158</v>
      </c>
    </row>
    <row r="475">
      <c r="A475" t="inlineStr">
        <is>
          <t>CurrentWorkingView</t>
        </is>
      </c>
      <c r="B475" s="1" t="n">
        <v>4064941008613</v>
      </c>
      <c r="C475" t="inlineStr">
        <is>
          <t>P_US_ALL_OTHERS</t>
        </is>
      </c>
      <c r="D475" t="inlineStr">
        <is>
          <t>System BestFit Final</t>
        </is>
      </c>
      <c r="E475" t="inlineStr">
        <is>
          <t>LT</t>
        </is>
      </c>
      <c r="F475" t="inlineStr">
        <is>
          <t>LT</t>
        </is>
      </c>
      <c r="G475" t="inlineStr">
        <is>
          <t>LT</t>
        </is>
      </c>
      <c r="H475" t="inlineStr">
        <is>
          <t>LT</t>
        </is>
      </c>
      <c r="I475" t="inlineStr">
        <is>
          <t>LT</t>
        </is>
      </c>
      <c r="J475" t="inlineStr">
        <is>
          <t>LT</t>
        </is>
      </c>
      <c r="K475" t="inlineStr">
        <is>
          <t>LT</t>
        </is>
      </c>
      <c r="L475" t="inlineStr">
        <is>
          <t>LT</t>
        </is>
      </c>
      <c r="M475" t="inlineStr">
        <is>
          <t>LT</t>
        </is>
      </c>
      <c r="N475" t="inlineStr">
        <is>
          <t>LT</t>
        </is>
      </c>
      <c r="O475" t="inlineStr">
        <is>
          <t>LT</t>
        </is>
      </c>
      <c r="P475" t="inlineStr">
        <is>
          <t>LT</t>
        </is>
      </c>
    </row>
    <row r="476">
      <c r="A476" t="inlineStr">
        <is>
          <t>CurrentWorkingView</t>
        </is>
      </c>
      <c r="B476" s="1" t="n">
        <v>4064941008613</v>
      </c>
      <c r="C476" t="inlineStr">
        <is>
          <t>P_US_ALL_OTHERS</t>
        </is>
      </c>
      <c r="D476" t="inlineStr">
        <is>
          <t>System Bestfit Model ST</t>
        </is>
      </c>
    </row>
    <row r="477">
      <c r="A477" t="inlineStr">
        <is>
          <t>CurrentWorkingView</t>
        </is>
      </c>
      <c r="B477" s="1" t="n">
        <v>4064941008613</v>
      </c>
      <c r="C477" t="inlineStr">
        <is>
          <t>P_US_ALL_OTHERS</t>
        </is>
      </c>
      <c r="D477" t="inlineStr">
        <is>
          <t>Planner BestFit Model</t>
        </is>
      </c>
    </row>
    <row r="478">
      <c r="A478" t="inlineStr">
        <is>
          <t>CurrentWorkingView</t>
        </is>
      </c>
      <c r="B478" s="1" t="n">
        <v>4064941008613</v>
      </c>
      <c r="C478" t="inlineStr">
        <is>
          <t>P_US_ULTA</t>
        </is>
      </c>
      <c r="D478" t="inlineStr">
        <is>
          <t>System FC - Final</t>
        </is>
      </c>
      <c r="E478" t="n">
        <v>659</v>
      </c>
      <c r="F478" t="n">
        <v>667</v>
      </c>
      <c r="G478" t="n">
        <v>1087</v>
      </c>
      <c r="H478" t="n">
        <v>1727</v>
      </c>
      <c r="I478" t="n">
        <v>1166</v>
      </c>
      <c r="J478" t="n">
        <v>1608</v>
      </c>
      <c r="K478" t="n">
        <v>1032</v>
      </c>
      <c r="L478" t="n">
        <v>1076</v>
      </c>
      <c r="M478" t="n">
        <v>1063</v>
      </c>
      <c r="N478" t="n">
        <v>1050</v>
      </c>
      <c r="O478" t="n">
        <v>1475</v>
      </c>
      <c r="P478" t="n">
        <v>1136</v>
      </c>
    </row>
    <row r="479">
      <c r="A479" t="inlineStr">
        <is>
          <t>CurrentWorkingView</t>
        </is>
      </c>
      <c r="B479" s="1" t="n">
        <v>4064941008613</v>
      </c>
      <c r="C479" t="inlineStr">
        <is>
          <t>P_US_ULTA</t>
        </is>
      </c>
      <c r="D479" t="inlineStr">
        <is>
          <t>CML Fcst</t>
        </is>
      </c>
      <c r="H479" t="n">
        <v>935</v>
      </c>
      <c r="I479" t="n">
        <v>1316</v>
      </c>
      <c r="J479" t="n">
        <v>948</v>
      </c>
      <c r="K479" t="n">
        <v>1430</v>
      </c>
      <c r="L479" t="n">
        <v>708</v>
      </c>
      <c r="M479" t="n">
        <v>1236</v>
      </c>
      <c r="N479" t="n">
        <v>1410</v>
      </c>
      <c r="O479" t="n">
        <v>2002</v>
      </c>
      <c r="P479" t="n">
        <v>698</v>
      </c>
    </row>
    <row r="480">
      <c r="A480" t="inlineStr">
        <is>
          <t>CurrentWorkingView</t>
        </is>
      </c>
      <c r="B480" s="1" t="n">
        <v>4064941008613</v>
      </c>
      <c r="C480" t="inlineStr">
        <is>
          <t>P_US_ULTA</t>
        </is>
      </c>
      <c r="D480" t="inlineStr">
        <is>
          <t>ST Stat Fcst</t>
        </is>
      </c>
      <c r="E480" t="n">
        <v>659</v>
      </c>
      <c r="F480" t="n">
        <v>667</v>
      </c>
      <c r="G480" t="n">
        <v>848</v>
      </c>
      <c r="H480" t="n">
        <v>1727</v>
      </c>
      <c r="I480" t="n">
        <v>1166</v>
      </c>
      <c r="J480" t="n">
        <v>1608</v>
      </c>
      <c r="K480" t="n">
        <v>1032</v>
      </c>
      <c r="L480" t="n">
        <v>1076</v>
      </c>
      <c r="M480" t="n">
        <v>1063</v>
      </c>
      <c r="N480" t="n">
        <v>1050</v>
      </c>
      <c r="O480" t="n">
        <v>1475</v>
      </c>
      <c r="P480" t="n">
        <v>1136</v>
      </c>
    </row>
    <row r="481">
      <c r="A481" t="inlineStr">
        <is>
          <t>CurrentWorkingView</t>
        </is>
      </c>
      <c r="B481" s="1" t="n">
        <v>4064941008613</v>
      </c>
      <c r="C481" t="inlineStr">
        <is>
          <t>P_US_ULTA</t>
        </is>
      </c>
      <c r="D481" t="inlineStr">
        <is>
          <t>LT Stat Fcst</t>
        </is>
      </c>
      <c r="H481" t="n">
        <v>656</v>
      </c>
      <c r="I481" t="n">
        <v>728</v>
      </c>
      <c r="J481" t="n">
        <v>918</v>
      </c>
      <c r="K481" t="n">
        <v>443</v>
      </c>
      <c r="L481" t="n">
        <v>540</v>
      </c>
      <c r="M481" t="n">
        <v>678</v>
      </c>
      <c r="N481" t="n">
        <v>425</v>
      </c>
      <c r="O481" t="n">
        <v>1970</v>
      </c>
      <c r="P481" t="n">
        <v>720</v>
      </c>
    </row>
    <row r="482">
      <c r="A482" t="inlineStr">
        <is>
          <t>CurrentWorkingView</t>
        </is>
      </c>
      <c r="B482" s="1" t="n">
        <v>4064941008613</v>
      </c>
      <c r="C482" t="inlineStr">
        <is>
          <t>P_US_ULTA</t>
        </is>
      </c>
      <c r="D482" t="inlineStr">
        <is>
          <t>System BestFit Final</t>
        </is>
      </c>
      <c r="E482" t="inlineStr">
        <is>
          <t>ST</t>
        </is>
      </c>
      <c r="F482" t="inlineStr">
        <is>
          <t>ST</t>
        </is>
      </c>
      <c r="G482" t="inlineStr">
        <is>
          <t>ST</t>
        </is>
      </c>
      <c r="H482" t="inlineStr">
        <is>
          <t>ST</t>
        </is>
      </c>
      <c r="I482" t="inlineStr">
        <is>
          <t>ST</t>
        </is>
      </c>
      <c r="J482" t="inlineStr">
        <is>
          <t>ST</t>
        </is>
      </c>
      <c r="K482" t="inlineStr">
        <is>
          <t>ST</t>
        </is>
      </c>
      <c r="L482" t="inlineStr">
        <is>
          <t>ST</t>
        </is>
      </c>
      <c r="M482" t="inlineStr">
        <is>
          <t>ST</t>
        </is>
      </c>
      <c r="N482" t="inlineStr">
        <is>
          <t>ST</t>
        </is>
      </c>
      <c r="O482" t="inlineStr">
        <is>
          <t>ST</t>
        </is>
      </c>
      <c r="P482" t="inlineStr">
        <is>
          <t>ST</t>
        </is>
      </c>
    </row>
    <row r="483">
      <c r="A483" t="inlineStr">
        <is>
          <t>CurrentWorkingView</t>
        </is>
      </c>
      <c r="B483" s="1" t="n">
        <v>4064941008613</v>
      </c>
      <c r="C483" t="inlineStr">
        <is>
          <t>P_US_ULTA</t>
        </is>
      </c>
      <c r="D483" t="inlineStr">
        <is>
          <t>System Bestfit Model ST</t>
        </is>
      </c>
      <c r="E483" t="inlineStr">
        <is>
          <t>ST</t>
        </is>
      </c>
      <c r="F483" t="inlineStr">
        <is>
          <t>ST</t>
        </is>
      </c>
      <c r="G483" t="inlineStr">
        <is>
          <t>ST</t>
        </is>
      </c>
      <c r="H483" t="inlineStr">
        <is>
          <t>ST</t>
        </is>
      </c>
      <c r="I483" t="inlineStr">
        <is>
          <t>ST</t>
        </is>
      </c>
      <c r="J483" t="inlineStr">
        <is>
          <t>ST</t>
        </is>
      </c>
      <c r="K483" t="inlineStr">
        <is>
          <t>ST</t>
        </is>
      </c>
      <c r="L483" t="inlineStr">
        <is>
          <t>ST</t>
        </is>
      </c>
      <c r="M483" t="inlineStr">
        <is>
          <t>ST</t>
        </is>
      </c>
      <c r="N483" t="inlineStr">
        <is>
          <t>ST</t>
        </is>
      </c>
      <c r="O483" t="inlineStr">
        <is>
          <t>ST</t>
        </is>
      </c>
      <c r="P483" t="inlineStr">
        <is>
          <t>ST</t>
        </is>
      </c>
    </row>
    <row r="484">
      <c r="A484" t="inlineStr">
        <is>
          <t>CurrentWorkingView</t>
        </is>
      </c>
      <c r="B484" s="1" t="n">
        <v>4064941008613</v>
      </c>
      <c r="C484" t="inlineStr">
        <is>
          <t>P_US_ULTA</t>
        </is>
      </c>
      <c r="D484" t="inlineStr">
        <is>
          <t>Planner BestFit Model</t>
        </is>
      </c>
      <c r="E484" t="inlineStr">
        <is>
          <t>ST</t>
        </is>
      </c>
      <c r="F484" t="inlineStr">
        <is>
          <t>ST</t>
        </is>
      </c>
      <c r="G484" t="inlineStr">
        <is>
          <t>ST</t>
        </is>
      </c>
      <c r="H484" t="inlineStr">
        <is>
          <t>ST</t>
        </is>
      </c>
      <c r="I484" t="inlineStr">
        <is>
          <t>ST</t>
        </is>
      </c>
      <c r="J484" t="inlineStr">
        <is>
          <t>ST</t>
        </is>
      </c>
      <c r="K484" t="inlineStr">
        <is>
          <t>ST</t>
        </is>
      </c>
      <c r="L484" t="inlineStr">
        <is>
          <t>ST</t>
        </is>
      </c>
      <c r="M484" t="inlineStr">
        <is>
          <t>ST</t>
        </is>
      </c>
      <c r="N484" t="inlineStr">
        <is>
          <t>ST</t>
        </is>
      </c>
      <c r="O484" t="inlineStr">
        <is>
          <t>ST</t>
        </is>
      </c>
      <c r="P484" t="inlineStr">
        <is>
          <t>ST</t>
        </is>
      </c>
    </row>
    <row r="485">
      <c r="A485" t="inlineStr">
        <is>
          <t>CurrentWorkingView</t>
        </is>
      </c>
      <c r="B485" s="1" t="n">
        <v>4064941008644</v>
      </c>
      <c r="C485" t="inlineStr">
        <is>
          <t>P_US_ALL_OTHERS</t>
        </is>
      </c>
      <c r="D485" t="inlineStr">
        <is>
          <t>System FC - Final</t>
        </is>
      </c>
      <c r="E485" t="n">
        <v>214</v>
      </c>
      <c r="F485" t="n">
        <v>305</v>
      </c>
      <c r="G485" t="n">
        <v>599</v>
      </c>
      <c r="H485" t="n">
        <v>163</v>
      </c>
      <c r="I485" t="n">
        <v>180</v>
      </c>
      <c r="J485" t="n">
        <v>230</v>
      </c>
      <c r="K485" t="n">
        <v>111</v>
      </c>
      <c r="L485" t="n">
        <v>136</v>
      </c>
      <c r="M485" t="n">
        <v>168</v>
      </c>
      <c r="N485" t="n">
        <v>107</v>
      </c>
      <c r="O485" t="n">
        <v>488</v>
      </c>
      <c r="P485" t="n">
        <v>180</v>
      </c>
    </row>
    <row r="486">
      <c r="A486" t="inlineStr">
        <is>
          <t>CurrentWorkingView</t>
        </is>
      </c>
      <c r="B486" s="1" t="n">
        <v>4064941008644</v>
      </c>
      <c r="C486" t="inlineStr">
        <is>
          <t>P_US_ALL_OTHERS</t>
        </is>
      </c>
      <c r="D486" t="inlineStr">
        <is>
          <t>CML Fcst</t>
        </is>
      </c>
      <c r="H486" t="n">
        <v>195</v>
      </c>
      <c r="I486" t="n">
        <v>176</v>
      </c>
      <c r="J486" t="n">
        <v>155</v>
      </c>
      <c r="K486" t="n">
        <v>199</v>
      </c>
      <c r="L486" t="n">
        <v>324</v>
      </c>
      <c r="M486" t="n">
        <v>310</v>
      </c>
      <c r="N486" t="n">
        <v>188</v>
      </c>
      <c r="O486" t="n">
        <v>310</v>
      </c>
      <c r="P486" t="n">
        <v>138</v>
      </c>
    </row>
    <row r="487">
      <c r="A487" t="inlineStr">
        <is>
          <t>CurrentWorkingView</t>
        </is>
      </c>
      <c r="B487" s="1" t="n">
        <v>4064941008644</v>
      </c>
      <c r="C487" t="inlineStr">
        <is>
          <t>P_US_ALL_OTHERS</t>
        </is>
      </c>
      <c r="D487" t="inlineStr">
        <is>
          <t>ST Stat Fcst</t>
        </is>
      </c>
      <c r="E487" t="n">
        <v>214</v>
      </c>
      <c r="F487" t="n">
        <v>305</v>
      </c>
      <c r="G487" t="n">
        <v>511</v>
      </c>
      <c r="H487" t="n">
        <v>257</v>
      </c>
      <c r="I487" t="n">
        <v>330</v>
      </c>
      <c r="J487" t="n">
        <v>209</v>
      </c>
      <c r="K487" t="n">
        <v>84</v>
      </c>
      <c r="L487" t="n">
        <v>216</v>
      </c>
      <c r="M487" t="n">
        <v>129</v>
      </c>
      <c r="N487" t="n">
        <v>146</v>
      </c>
      <c r="O487" t="n">
        <v>412</v>
      </c>
      <c r="P487" t="n">
        <v>120</v>
      </c>
    </row>
    <row r="488">
      <c r="A488" t="inlineStr">
        <is>
          <t>CurrentWorkingView</t>
        </is>
      </c>
      <c r="B488" s="1" t="n">
        <v>4064941008644</v>
      </c>
      <c r="C488" t="inlineStr">
        <is>
          <t>P_US_ALL_OTHERS</t>
        </is>
      </c>
      <c r="D488" t="inlineStr">
        <is>
          <t>LT Stat Fcst</t>
        </is>
      </c>
      <c r="H488" t="n">
        <v>163</v>
      </c>
      <c r="I488" t="n">
        <v>180</v>
      </c>
      <c r="J488" t="n">
        <v>230</v>
      </c>
      <c r="K488" t="n">
        <v>111</v>
      </c>
      <c r="L488" t="n">
        <v>136</v>
      </c>
      <c r="M488" t="n">
        <v>168</v>
      </c>
      <c r="N488" t="n">
        <v>107</v>
      </c>
      <c r="O488" t="n">
        <v>488</v>
      </c>
      <c r="P488" t="n">
        <v>180</v>
      </c>
    </row>
    <row r="489">
      <c r="A489" t="inlineStr">
        <is>
          <t>CurrentWorkingView</t>
        </is>
      </c>
      <c r="B489" s="1" t="n">
        <v>4064941008644</v>
      </c>
      <c r="C489" t="inlineStr">
        <is>
          <t>P_US_ALL_OTHERS</t>
        </is>
      </c>
      <c r="D489" t="inlineStr">
        <is>
          <t>System BestFit Final</t>
        </is>
      </c>
      <c r="E489" t="inlineStr">
        <is>
          <t>LT</t>
        </is>
      </c>
      <c r="F489" t="inlineStr">
        <is>
          <t>LT</t>
        </is>
      </c>
      <c r="G489" t="inlineStr">
        <is>
          <t>LT</t>
        </is>
      </c>
      <c r="H489" t="inlineStr">
        <is>
          <t>LT</t>
        </is>
      </c>
      <c r="I489" t="inlineStr">
        <is>
          <t>LT</t>
        </is>
      </c>
      <c r="J489" t="inlineStr">
        <is>
          <t>LT</t>
        </is>
      </c>
      <c r="K489" t="inlineStr">
        <is>
          <t>LT</t>
        </is>
      </c>
      <c r="L489" t="inlineStr">
        <is>
          <t>LT</t>
        </is>
      </c>
      <c r="M489" t="inlineStr">
        <is>
          <t>LT</t>
        </is>
      </c>
      <c r="N489" t="inlineStr">
        <is>
          <t>LT</t>
        </is>
      </c>
      <c r="O489" t="inlineStr">
        <is>
          <t>LT</t>
        </is>
      </c>
      <c r="P489" t="inlineStr">
        <is>
          <t>LT</t>
        </is>
      </c>
    </row>
    <row r="490">
      <c r="A490" t="inlineStr">
        <is>
          <t>CurrentWorkingView</t>
        </is>
      </c>
      <c r="B490" s="1" t="n">
        <v>4064941008644</v>
      </c>
      <c r="C490" t="inlineStr">
        <is>
          <t>P_US_ALL_OTHERS</t>
        </is>
      </c>
      <c r="D490" t="inlineStr">
        <is>
          <t>System Bestfit Model ST</t>
        </is>
      </c>
    </row>
    <row r="491">
      <c r="A491" t="inlineStr">
        <is>
          <t>CurrentWorkingView</t>
        </is>
      </c>
      <c r="B491" s="1" t="n">
        <v>4064941008644</v>
      </c>
      <c r="C491" t="inlineStr">
        <is>
          <t>P_US_ALL_OTHERS</t>
        </is>
      </c>
      <c r="D491" t="inlineStr">
        <is>
          <t>Planner BestFit Model</t>
        </is>
      </c>
    </row>
    <row r="492">
      <c r="A492" t="inlineStr">
        <is>
          <t>CurrentWorkingView</t>
        </is>
      </c>
      <c r="B492" s="1" t="n">
        <v>4064941008644</v>
      </c>
      <c r="C492" t="inlineStr">
        <is>
          <t>P_US_ULTA</t>
        </is>
      </c>
      <c r="D492" t="inlineStr">
        <is>
          <t>System FC - Final</t>
        </is>
      </c>
      <c r="E492" t="n">
        <v>464</v>
      </c>
      <c r="F492" t="n">
        <v>694</v>
      </c>
      <c r="G492" t="n">
        <v>971</v>
      </c>
      <c r="H492" t="n">
        <v>590</v>
      </c>
      <c r="I492" t="n">
        <v>660</v>
      </c>
      <c r="J492" t="n">
        <v>828</v>
      </c>
      <c r="K492" t="n">
        <v>399</v>
      </c>
      <c r="L492" t="n">
        <v>484</v>
      </c>
      <c r="M492" t="n">
        <v>612</v>
      </c>
      <c r="N492" t="n">
        <v>382</v>
      </c>
      <c r="O492" t="n">
        <v>1779</v>
      </c>
      <c r="P492" t="n">
        <v>651</v>
      </c>
    </row>
    <row r="493">
      <c r="A493" t="inlineStr">
        <is>
          <t>CurrentWorkingView</t>
        </is>
      </c>
      <c r="B493" s="1" t="n">
        <v>4064941008644</v>
      </c>
      <c r="C493" t="inlineStr">
        <is>
          <t>P_US_ULTA</t>
        </is>
      </c>
      <c r="D493" t="inlineStr">
        <is>
          <t>CML Fcst</t>
        </is>
      </c>
      <c r="H493" t="n">
        <v>1018</v>
      </c>
      <c r="I493" t="n">
        <v>1092</v>
      </c>
      <c r="J493" t="n">
        <v>1010</v>
      </c>
      <c r="K493" t="n">
        <v>788</v>
      </c>
      <c r="L493" t="n">
        <v>1656</v>
      </c>
      <c r="M493" t="n">
        <v>1484</v>
      </c>
      <c r="N493" t="n">
        <v>552</v>
      </c>
      <c r="O493" t="n">
        <v>748</v>
      </c>
      <c r="P493" t="n">
        <v>737</v>
      </c>
    </row>
    <row r="494">
      <c r="A494" t="inlineStr">
        <is>
          <t>CurrentWorkingView</t>
        </is>
      </c>
      <c r="B494" s="1" t="n">
        <v>4064941008644</v>
      </c>
      <c r="C494" t="inlineStr">
        <is>
          <t>P_US_ULTA</t>
        </is>
      </c>
      <c r="D494" t="inlineStr">
        <is>
          <t>ST Stat Fcst</t>
        </is>
      </c>
      <c r="E494" t="n">
        <v>464</v>
      </c>
      <c r="F494" t="n">
        <v>694</v>
      </c>
      <c r="G494" t="n">
        <v>938</v>
      </c>
      <c r="H494" t="n">
        <v>1023</v>
      </c>
      <c r="I494" t="n">
        <v>994</v>
      </c>
      <c r="J494" t="n">
        <v>1714</v>
      </c>
      <c r="K494" t="n">
        <v>182</v>
      </c>
      <c r="L494" t="n">
        <v>600</v>
      </c>
      <c r="M494" t="n">
        <v>580</v>
      </c>
      <c r="N494" t="n">
        <v>335</v>
      </c>
      <c r="O494" t="n">
        <v>1980</v>
      </c>
      <c r="P494" t="n">
        <v>1007</v>
      </c>
    </row>
    <row r="495">
      <c r="A495" t="inlineStr">
        <is>
          <t>CurrentWorkingView</t>
        </is>
      </c>
      <c r="B495" s="1" t="n">
        <v>4064941008644</v>
      </c>
      <c r="C495" t="inlineStr">
        <is>
          <t>P_US_ULTA</t>
        </is>
      </c>
      <c r="D495" t="inlineStr">
        <is>
          <t>LT Stat Fcst</t>
        </is>
      </c>
      <c r="H495" t="n">
        <v>590</v>
      </c>
      <c r="I495" t="n">
        <v>660</v>
      </c>
      <c r="J495" t="n">
        <v>828</v>
      </c>
      <c r="K495" t="n">
        <v>399</v>
      </c>
      <c r="L495" t="n">
        <v>484</v>
      </c>
      <c r="M495" t="n">
        <v>612</v>
      </c>
      <c r="N495" t="n">
        <v>382</v>
      </c>
      <c r="O495" t="n">
        <v>1779</v>
      </c>
      <c r="P495" t="n">
        <v>651</v>
      </c>
    </row>
    <row r="496">
      <c r="A496" t="inlineStr">
        <is>
          <t>CurrentWorkingView</t>
        </is>
      </c>
      <c r="B496" s="1" t="n">
        <v>4064941008644</v>
      </c>
      <c r="C496" t="inlineStr">
        <is>
          <t>P_US_ULTA</t>
        </is>
      </c>
      <c r="D496" t="inlineStr">
        <is>
          <t>System BestFit Final</t>
        </is>
      </c>
      <c r="E496" t="inlineStr">
        <is>
          <t>LT</t>
        </is>
      </c>
      <c r="F496" t="inlineStr">
        <is>
          <t>LT</t>
        </is>
      </c>
      <c r="G496" t="inlineStr">
        <is>
          <t>LT</t>
        </is>
      </c>
      <c r="H496" t="inlineStr">
        <is>
          <t>LT</t>
        </is>
      </c>
      <c r="I496" t="inlineStr">
        <is>
          <t>LT</t>
        </is>
      </c>
      <c r="J496" t="inlineStr">
        <is>
          <t>LT</t>
        </is>
      </c>
      <c r="K496" t="inlineStr">
        <is>
          <t>LT</t>
        </is>
      </c>
      <c r="L496" t="inlineStr">
        <is>
          <t>LT</t>
        </is>
      </c>
      <c r="M496" t="inlineStr">
        <is>
          <t>LT</t>
        </is>
      </c>
      <c r="N496" t="inlineStr">
        <is>
          <t>LT</t>
        </is>
      </c>
      <c r="O496" t="inlineStr">
        <is>
          <t>LT</t>
        </is>
      </c>
      <c r="P496" t="inlineStr">
        <is>
          <t>LT</t>
        </is>
      </c>
    </row>
    <row r="497">
      <c r="A497" t="inlineStr">
        <is>
          <t>CurrentWorkingView</t>
        </is>
      </c>
      <c r="B497" s="1" t="n">
        <v>4064941008644</v>
      </c>
      <c r="C497" t="inlineStr">
        <is>
          <t>P_US_ULTA</t>
        </is>
      </c>
      <c r="D497" t="inlineStr">
        <is>
          <t>System Bestfit Model ST</t>
        </is>
      </c>
    </row>
    <row r="498">
      <c r="A498" t="inlineStr">
        <is>
          <t>CurrentWorkingView</t>
        </is>
      </c>
      <c r="B498" s="1" t="n">
        <v>4064941008644</v>
      </c>
      <c r="C498" t="inlineStr">
        <is>
          <t>P_US_ULTA</t>
        </is>
      </c>
      <c r="D498" t="inlineStr">
        <is>
          <t>Planner BestFit Model</t>
        </is>
      </c>
      <c r="E498" t="inlineStr">
        <is>
          <t>LT</t>
        </is>
      </c>
      <c r="F498" t="inlineStr">
        <is>
          <t>LT</t>
        </is>
      </c>
      <c r="G498" t="inlineStr">
        <is>
          <t>LT</t>
        </is>
      </c>
      <c r="H498" t="inlineStr">
        <is>
          <t>LT</t>
        </is>
      </c>
      <c r="I498" t="inlineStr">
        <is>
          <t>LT</t>
        </is>
      </c>
      <c r="J498" t="inlineStr">
        <is>
          <t>LT</t>
        </is>
      </c>
      <c r="K498" t="inlineStr">
        <is>
          <t>LT</t>
        </is>
      </c>
      <c r="L498" t="inlineStr">
        <is>
          <t>LT</t>
        </is>
      </c>
      <c r="M498" t="inlineStr">
        <is>
          <t>LT</t>
        </is>
      </c>
      <c r="N498" t="inlineStr">
        <is>
          <t>LT</t>
        </is>
      </c>
      <c r="O498" t="inlineStr">
        <is>
          <t>LT</t>
        </is>
      </c>
      <c r="P498" t="inlineStr">
        <is>
          <t>LT</t>
        </is>
      </c>
    </row>
    <row r="499">
      <c r="A499" t="inlineStr">
        <is>
          <t>CurrentWorkingView</t>
        </is>
      </c>
      <c r="B499" s="1" t="n">
        <v>4064941008675</v>
      </c>
      <c r="C499" t="inlineStr">
        <is>
          <t>P_US_ALL_OTHERS</t>
        </is>
      </c>
      <c r="D499" t="inlineStr">
        <is>
          <t>System FC - Final</t>
        </is>
      </c>
      <c r="E499" t="n">
        <v>121</v>
      </c>
      <c r="F499" t="n">
        <v>138</v>
      </c>
      <c r="G499" t="n">
        <v>116</v>
      </c>
      <c r="H499" t="n">
        <v>138</v>
      </c>
      <c r="I499" t="n">
        <v>187</v>
      </c>
      <c r="J499" t="n">
        <v>198</v>
      </c>
      <c r="K499" t="n">
        <v>212</v>
      </c>
      <c r="L499" t="n">
        <v>240</v>
      </c>
      <c r="M499" t="n">
        <v>233</v>
      </c>
      <c r="N499" t="n">
        <v>185</v>
      </c>
      <c r="O499" t="n">
        <v>222</v>
      </c>
      <c r="P499" t="n">
        <v>193</v>
      </c>
    </row>
    <row r="500">
      <c r="A500" t="inlineStr">
        <is>
          <t>CurrentWorkingView</t>
        </is>
      </c>
      <c r="B500" s="1" t="n">
        <v>4064941008675</v>
      </c>
      <c r="C500" t="inlineStr">
        <is>
          <t>P_US_ALL_OTHERS</t>
        </is>
      </c>
      <c r="D500" t="inlineStr">
        <is>
          <t>CML Fcst</t>
        </is>
      </c>
      <c r="H500" t="n">
        <v>159</v>
      </c>
      <c r="I500" t="n">
        <v>124</v>
      </c>
      <c r="J500" t="n">
        <v>155</v>
      </c>
      <c r="K500" t="n">
        <v>146</v>
      </c>
      <c r="L500" t="n">
        <v>168</v>
      </c>
      <c r="M500" t="n">
        <v>173</v>
      </c>
      <c r="N500" t="n">
        <v>141</v>
      </c>
      <c r="O500" t="n">
        <v>208</v>
      </c>
      <c r="P500" t="n">
        <v>108</v>
      </c>
    </row>
    <row r="501">
      <c r="A501" t="inlineStr">
        <is>
          <t>CurrentWorkingView</t>
        </is>
      </c>
      <c r="B501" s="1" t="n">
        <v>4064941008675</v>
      </c>
      <c r="C501" t="inlineStr">
        <is>
          <t>P_US_ALL_OTHERS</t>
        </is>
      </c>
      <c r="D501" t="inlineStr">
        <is>
          <t>ST Stat Fcst</t>
        </is>
      </c>
      <c r="E501" t="n">
        <v>121</v>
      </c>
      <c r="F501" t="n">
        <v>138</v>
      </c>
      <c r="G501" t="n">
        <v>81</v>
      </c>
      <c r="H501" t="n">
        <v>155</v>
      </c>
      <c r="I501" t="n">
        <v>142</v>
      </c>
      <c r="J501" t="n">
        <v>133</v>
      </c>
      <c r="K501" t="n">
        <v>168</v>
      </c>
      <c r="L501" t="n">
        <v>188</v>
      </c>
      <c r="M501" t="n">
        <v>221</v>
      </c>
      <c r="N501" t="n">
        <v>103</v>
      </c>
      <c r="O501" t="n">
        <v>266</v>
      </c>
      <c r="P501" t="n">
        <v>150</v>
      </c>
    </row>
    <row r="502">
      <c r="A502" t="inlineStr">
        <is>
          <t>CurrentWorkingView</t>
        </is>
      </c>
      <c r="B502" s="1" t="n">
        <v>4064941008675</v>
      </c>
      <c r="C502" t="inlineStr">
        <is>
          <t>P_US_ALL_OTHERS</t>
        </is>
      </c>
      <c r="D502" t="inlineStr">
        <is>
          <t>LT Stat Fcst</t>
        </is>
      </c>
      <c r="H502" t="n">
        <v>137</v>
      </c>
      <c r="I502" t="n">
        <v>188</v>
      </c>
      <c r="J502" t="n">
        <v>198</v>
      </c>
      <c r="K502" t="n">
        <v>212</v>
      </c>
      <c r="L502" t="n">
        <v>240</v>
      </c>
      <c r="M502" t="n">
        <v>233</v>
      </c>
      <c r="N502" t="n">
        <v>185</v>
      </c>
      <c r="O502" t="n">
        <v>222</v>
      </c>
      <c r="P502" t="n">
        <v>193</v>
      </c>
    </row>
    <row r="503">
      <c r="A503" t="inlineStr">
        <is>
          <t>CurrentWorkingView</t>
        </is>
      </c>
      <c r="B503" s="1" t="n">
        <v>4064941008675</v>
      </c>
      <c r="C503" t="inlineStr">
        <is>
          <t>P_US_ALL_OTHERS</t>
        </is>
      </c>
      <c r="D503" t="inlineStr">
        <is>
          <t>System BestFit Final</t>
        </is>
      </c>
      <c r="E503" t="inlineStr">
        <is>
          <t>LT</t>
        </is>
      </c>
      <c r="F503" t="inlineStr">
        <is>
          <t>LT</t>
        </is>
      </c>
      <c r="G503" t="inlineStr">
        <is>
          <t>LT</t>
        </is>
      </c>
      <c r="H503" t="inlineStr">
        <is>
          <t>LT</t>
        </is>
      </c>
      <c r="I503" t="inlineStr">
        <is>
          <t>LT</t>
        </is>
      </c>
      <c r="J503" t="inlineStr">
        <is>
          <t>LT</t>
        </is>
      </c>
      <c r="K503" t="inlineStr">
        <is>
          <t>LT</t>
        </is>
      </c>
      <c r="L503" t="inlineStr">
        <is>
          <t>LT</t>
        </is>
      </c>
      <c r="M503" t="inlineStr">
        <is>
          <t>LT</t>
        </is>
      </c>
      <c r="N503" t="inlineStr">
        <is>
          <t>LT</t>
        </is>
      </c>
      <c r="O503" t="inlineStr">
        <is>
          <t>LT</t>
        </is>
      </c>
      <c r="P503" t="inlineStr">
        <is>
          <t>LT</t>
        </is>
      </c>
    </row>
    <row r="504">
      <c r="A504" t="inlineStr">
        <is>
          <t>CurrentWorkingView</t>
        </is>
      </c>
      <c r="B504" s="1" t="n">
        <v>4064941008675</v>
      </c>
      <c r="C504" t="inlineStr">
        <is>
          <t>P_US_ALL_OTHERS</t>
        </is>
      </c>
      <c r="D504" t="inlineStr">
        <is>
          <t>System Bestfit Model ST</t>
        </is>
      </c>
    </row>
    <row r="505">
      <c r="A505" t="inlineStr">
        <is>
          <t>CurrentWorkingView</t>
        </is>
      </c>
      <c r="B505" s="1" t="n">
        <v>4064941008675</v>
      </c>
      <c r="C505" t="inlineStr">
        <is>
          <t>P_US_ALL_OTHERS</t>
        </is>
      </c>
      <c r="D505" t="inlineStr">
        <is>
          <t>Planner BestFit Model</t>
        </is>
      </c>
    </row>
    <row r="506">
      <c r="A506" t="inlineStr">
        <is>
          <t>CurrentWorkingView</t>
        </is>
      </c>
      <c r="B506" s="1" t="n">
        <v>4064941008675</v>
      </c>
      <c r="C506" t="inlineStr">
        <is>
          <t>P_US_ULTA</t>
        </is>
      </c>
      <c r="D506" t="inlineStr">
        <is>
          <t>System FC - Final</t>
        </is>
      </c>
      <c r="E506" t="n">
        <v>590</v>
      </c>
      <c r="F506" t="n">
        <v>881</v>
      </c>
      <c r="G506" t="n">
        <v>908</v>
      </c>
      <c r="H506" t="n">
        <v>1143</v>
      </c>
      <c r="I506" t="n">
        <v>1393</v>
      </c>
      <c r="J506" t="n">
        <v>1290</v>
      </c>
      <c r="K506" t="n">
        <v>1320</v>
      </c>
      <c r="L506" t="n">
        <v>1004</v>
      </c>
      <c r="M506" t="n">
        <v>1200</v>
      </c>
      <c r="N506" t="n">
        <v>600</v>
      </c>
      <c r="O506" t="n">
        <v>1515</v>
      </c>
      <c r="P506" t="n">
        <v>801</v>
      </c>
    </row>
    <row r="507">
      <c r="A507" t="inlineStr">
        <is>
          <t>CurrentWorkingView</t>
        </is>
      </c>
      <c r="B507" s="1" t="n">
        <v>4064941008675</v>
      </c>
      <c r="C507" t="inlineStr">
        <is>
          <t>P_US_ULTA</t>
        </is>
      </c>
      <c r="D507" t="inlineStr">
        <is>
          <t>CML Fcst</t>
        </is>
      </c>
      <c r="H507" t="n">
        <v>1143</v>
      </c>
      <c r="I507" t="n">
        <v>1392</v>
      </c>
      <c r="J507" t="n">
        <v>1290</v>
      </c>
      <c r="K507" t="n">
        <v>1320</v>
      </c>
      <c r="L507" t="n">
        <v>1004</v>
      </c>
      <c r="M507" t="n">
        <v>1200</v>
      </c>
      <c r="N507" t="n">
        <v>600</v>
      </c>
      <c r="O507" t="n">
        <v>1515</v>
      </c>
      <c r="P507" t="n">
        <v>801</v>
      </c>
    </row>
    <row r="508">
      <c r="A508" t="inlineStr">
        <is>
          <t>CurrentWorkingView</t>
        </is>
      </c>
      <c r="B508" s="1" t="n">
        <v>4064941008675</v>
      </c>
      <c r="C508" t="inlineStr">
        <is>
          <t>P_US_ULTA</t>
        </is>
      </c>
      <c r="D508" t="inlineStr">
        <is>
          <t>ST Stat Fcst</t>
        </is>
      </c>
      <c r="E508" t="n">
        <v>590</v>
      </c>
      <c r="F508" t="n">
        <v>881</v>
      </c>
      <c r="G508" t="n">
        <v>573</v>
      </c>
      <c r="H508" t="n">
        <v>186</v>
      </c>
      <c r="I508" t="n">
        <v>552</v>
      </c>
      <c r="J508" t="n">
        <v>1062</v>
      </c>
      <c r="K508" t="n">
        <v>1001</v>
      </c>
      <c r="L508" t="n">
        <v>1020</v>
      </c>
      <c r="M508" t="n">
        <v>1050</v>
      </c>
      <c r="N508" t="n">
        <v>788</v>
      </c>
      <c r="O508" t="n">
        <v>1041</v>
      </c>
      <c r="P508" t="n">
        <v>531</v>
      </c>
    </row>
    <row r="509">
      <c r="A509" t="inlineStr">
        <is>
          <t>CurrentWorkingView</t>
        </is>
      </c>
      <c r="B509" s="1" t="n">
        <v>4064941008675</v>
      </c>
      <c r="C509" t="inlineStr">
        <is>
          <t>P_US_ULTA</t>
        </is>
      </c>
      <c r="D509" t="inlineStr">
        <is>
          <t>LT Stat Fcst</t>
        </is>
      </c>
      <c r="H509" t="n">
        <v>625</v>
      </c>
      <c r="I509" t="n">
        <v>848</v>
      </c>
      <c r="J509" t="n">
        <v>903</v>
      </c>
      <c r="K509" t="n">
        <v>959</v>
      </c>
      <c r="L509" t="n">
        <v>1075</v>
      </c>
      <c r="M509" t="n">
        <v>1047</v>
      </c>
      <c r="N509" t="n">
        <v>839</v>
      </c>
      <c r="O509" t="n">
        <v>1017</v>
      </c>
      <c r="P509" t="n">
        <v>880</v>
      </c>
    </row>
    <row r="510">
      <c r="A510" t="inlineStr">
        <is>
          <t>CurrentWorkingView</t>
        </is>
      </c>
      <c r="B510" s="1" t="n">
        <v>4064941008675</v>
      </c>
      <c r="C510" t="inlineStr">
        <is>
          <t>P_US_ULTA</t>
        </is>
      </c>
      <c r="D510" t="inlineStr">
        <is>
          <t>System BestFit Final</t>
        </is>
      </c>
      <c r="E510" t="inlineStr">
        <is>
          <t>CML</t>
        </is>
      </c>
      <c r="F510" t="inlineStr">
        <is>
          <t>CML</t>
        </is>
      </c>
      <c r="G510" t="inlineStr">
        <is>
          <t>CML</t>
        </is>
      </c>
      <c r="H510" t="inlineStr">
        <is>
          <t>CML</t>
        </is>
      </c>
      <c r="I510" t="inlineStr">
        <is>
          <t>CML</t>
        </is>
      </c>
      <c r="J510" t="inlineStr">
        <is>
          <t>CML</t>
        </is>
      </c>
      <c r="K510" t="inlineStr">
        <is>
          <t>CML</t>
        </is>
      </c>
      <c r="L510" t="inlineStr">
        <is>
          <t>CML</t>
        </is>
      </c>
      <c r="M510" t="inlineStr">
        <is>
          <t>CML</t>
        </is>
      </c>
      <c r="N510" t="inlineStr">
        <is>
          <t>CML</t>
        </is>
      </c>
      <c r="O510" t="inlineStr">
        <is>
          <t>CML</t>
        </is>
      </c>
      <c r="P510" t="inlineStr">
        <is>
          <t>CML</t>
        </is>
      </c>
    </row>
    <row r="511">
      <c r="A511" t="inlineStr">
        <is>
          <t>CurrentWorkingView</t>
        </is>
      </c>
      <c r="B511" s="1" t="n">
        <v>4064941008675</v>
      </c>
      <c r="C511" t="inlineStr">
        <is>
          <t>P_US_ULTA</t>
        </is>
      </c>
      <c r="D511" t="inlineStr">
        <is>
          <t>System Bestfit Model ST</t>
        </is>
      </c>
    </row>
    <row r="512">
      <c r="A512" t="inlineStr">
        <is>
          <t>CurrentWorkingView</t>
        </is>
      </c>
      <c r="B512" s="1" t="n">
        <v>4064941008675</v>
      </c>
      <c r="C512" t="inlineStr">
        <is>
          <t>P_US_ULTA</t>
        </is>
      </c>
      <c r="D512" t="inlineStr">
        <is>
          <t>Planner BestFit Model</t>
        </is>
      </c>
    </row>
    <row r="513">
      <c r="A513" t="inlineStr">
        <is>
          <t>CurrentWorkingView</t>
        </is>
      </c>
      <c r="B513" s="1" t="n">
        <v>4064941008682</v>
      </c>
      <c r="C513" t="inlineStr">
        <is>
          <t>P_US_ALL_OTHERS</t>
        </is>
      </c>
      <c r="D513" t="inlineStr">
        <is>
          <t>System FC - Final</t>
        </is>
      </c>
      <c r="E513" t="n">
        <v>21</v>
      </c>
      <c r="F513" t="n">
        <v>9</v>
      </c>
      <c r="G513" t="n">
        <v>23</v>
      </c>
      <c r="H513" t="n">
        <v>16</v>
      </c>
      <c r="I513" t="n">
        <v>18</v>
      </c>
      <c r="J513" t="n">
        <v>17</v>
      </c>
      <c r="K513" t="n">
        <v>18</v>
      </c>
      <c r="L513" t="n">
        <v>16</v>
      </c>
      <c r="M513" t="n">
        <v>18</v>
      </c>
      <c r="N513" t="n">
        <v>17</v>
      </c>
      <c r="O513" t="n">
        <v>18</v>
      </c>
      <c r="P513" t="n">
        <v>17</v>
      </c>
    </row>
    <row r="514">
      <c r="A514" t="inlineStr">
        <is>
          <t>CurrentWorkingView</t>
        </is>
      </c>
      <c r="B514" s="1" t="n">
        <v>4064941008682</v>
      </c>
      <c r="C514" t="inlineStr">
        <is>
          <t>P_US_ALL_OTHERS</t>
        </is>
      </c>
      <c r="D514" t="inlineStr">
        <is>
          <t>CML Fcst</t>
        </is>
      </c>
      <c r="H514" t="n">
        <v>26</v>
      </c>
      <c r="I514" t="n">
        <v>42</v>
      </c>
      <c r="J514" t="n">
        <v>84</v>
      </c>
      <c r="K514" t="n">
        <v>44</v>
      </c>
      <c r="L514" t="n">
        <v>108</v>
      </c>
      <c r="M514" t="n">
        <v>84</v>
      </c>
      <c r="N514" t="n">
        <v>77</v>
      </c>
      <c r="O514" t="n">
        <v>84</v>
      </c>
      <c r="P514" t="n">
        <v>73</v>
      </c>
    </row>
    <row r="515">
      <c r="A515" t="inlineStr">
        <is>
          <t>CurrentWorkingView</t>
        </is>
      </c>
      <c r="B515" s="1" t="n">
        <v>4064941008682</v>
      </c>
      <c r="C515" t="inlineStr">
        <is>
          <t>P_US_ALL_OTHERS</t>
        </is>
      </c>
      <c r="D515" t="inlineStr">
        <is>
          <t>ST Stat Fcst</t>
        </is>
      </c>
      <c r="E515" t="n">
        <v>21</v>
      </c>
      <c r="F515" t="n">
        <v>9</v>
      </c>
      <c r="G515" t="n">
        <v>19</v>
      </c>
      <c r="H515" t="n">
        <v>17</v>
      </c>
      <c r="I515" t="n">
        <v>18</v>
      </c>
      <c r="J515" t="n">
        <v>17</v>
      </c>
      <c r="K515" t="n">
        <v>18</v>
      </c>
      <c r="L515" t="n">
        <v>16</v>
      </c>
      <c r="M515" t="n">
        <v>18</v>
      </c>
      <c r="N515" t="n">
        <v>17</v>
      </c>
      <c r="O515" t="n">
        <v>18</v>
      </c>
      <c r="P515" t="n">
        <v>17</v>
      </c>
    </row>
    <row r="516">
      <c r="A516" t="inlineStr">
        <is>
          <t>CurrentWorkingView</t>
        </is>
      </c>
      <c r="B516" s="1" t="n">
        <v>4064941008682</v>
      </c>
      <c r="C516" t="inlineStr">
        <is>
          <t>P_US_ALL_OTHERS</t>
        </is>
      </c>
      <c r="D516" t="inlineStr">
        <is>
          <t>LT Stat Fcst</t>
        </is>
      </c>
      <c r="H516" t="n">
        <v>14</v>
      </c>
      <c r="I516" t="n">
        <v>20</v>
      </c>
      <c r="J516" t="n">
        <v>22</v>
      </c>
      <c r="K516" t="n">
        <v>26</v>
      </c>
      <c r="L516" t="n">
        <v>28</v>
      </c>
      <c r="M516" t="n">
        <v>23</v>
      </c>
      <c r="N516" t="n">
        <v>19</v>
      </c>
      <c r="O516" t="n">
        <v>22</v>
      </c>
      <c r="P516" t="n">
        <v>21</v>
      </c>
    </row>
    <row r="517">
      <c r="A517" t="inlineStr">
        <is>
          <t>CurrentWorkingView</t>
        </is>
      </c>
      <c r="B517" s="1" t="n">
        <v>4064941008682</v>
      </c>
      <c r="C517" t="inlineStr">
        <is>
          <t>P_US_ALL_OTHERS</t>
        </is>
      </c>
      <c r="D517" t="inlineStr">
        <is>
          <t>System BestFit Final</t>
        </is>
      </c>
      <c r="E517" t="inlineStr">
        <is>
          <t>ST</t>
        </is>
      </c>
      <c r="F517" t="inlineStr">
        <is>
          <t>ST</t>
        </is>
      </c>
      <c r="G517" t="inlineStr">
        <is>
          <t>ST</t>
        </is>
      </c>
      <c r="H517" t="inlineStr">
        <is>
          <t>ST</t>
        </is>
      </c>
      <c r="I517" t="inlineStr">
        <is>
          <t>ST</t>
        </is>
      </c>
      <c r="J517" t="inlineStr">
        <is>
          <t>ST</t>
        </is>
      </c>
      <c r="K517" t="inlineStr">
        <is>
          <t>ST</t>
        </is>
      </c>
      <c r="L517" t="inlineStr">
        <is>
          <t>ST</t>
        </is>
      </c>
      <c r="M517" t="inlineStr">
        <is>
          <t>ST</t>
        </is>
      </c>
      <c r="N517" t="inlineStr">
        <is>
          <t>ST</t>
        </is>
      </c>
      <c r="O517" t="inlineStr">
        <is>
          <t>ST</t>
        </is>
      </c>
      <c r="P517" t="inlineStr">
        <is>
          <t>ST</t>
        </is>
      </c>
    </row>
    <row r="518">
      <c r="A518" t="inlineStr">
        <is>
          <t>CurrentWorkingView</t>
        </is>
      </c>
      <c r="B518" s="1" t="n">
        <v>4064941008682</v>
      </c>
      <c r="C518" t="inlineStr">
        <is>
          <t>P_US_ALL_OTHERS</t>
        </is>
      </c>
      <c r="D518" t="inlineStr">
        <is>
          <t>System Bestfit Model ST</t>
        </is>
      </c>
      <c r="E518" t="inlineStr">
        <is>
          <t>ST</t>
        </is>
      </c>
      <c r="F518" t="inlineStr">
        <is>
          <t>ST</t>
        </is>
      </c>
      <c r="G518" t="inlineStr">
        <is>
          <t>ST</t>
        </is>
      </c>
      <c r="H518" t="inlineStr">
        <is>
          <t>ST</t>
        </is>
      </c>
      <c r="I518" t="inlineStr">
        <is>
          <t>ST</t>
        </is>
      </c>
      <c r="J518" t="inlineStr">
        <is>
          <t>ST</t>
        </is>
      </c>
      <c r="K518" t="inlineStr">
        <is>
          <t>ST</t>
        </is>
      </c>
      <c r="L518" t="inlineStr">
        <is>
          <t>ST</t>
        </is>
      </c>
      <c r="M518" t="inlineStr">
        <is>
          <t>ST</t>
        </is>
      </c>
      <c r="N518" t="inlineStr">
        <is>
          <t>ST</t>
        </is>
      </c>
      <c r="O518" t="inlineStr">
        <is>
          <t>ST</t>
        </is>
      </c>
      <c r="P518" t="inlineStr">
        <is>
          <t>ST</t>
        </is>
      </c>
    </row>
    <row r="519">
      <c r="A519" t="inlineStr">
        <is>
          <t>CurrentWorkingView</t>
        </is>
      </c>
      <c r="B519" s="1" t="n">
        <v>4064941008682</v>
      </c>
      <c r="C519" t="inlineStr">
        <is>
          <t>P_US_ALL_OTHERS</t>
        </is>
      </c>
      <c r="D519" t="inlineStr">
        <is>
          <t>Planner BestFit Model</t>
        </is>
      </c>
    </row>
    <row r="520">
      <c r="A520" t="inlineStr">
        <is>
          <t>CurrentWorkingView</t>
        </is>
      </c>
      <c r="B520" s="1" t="n">
        <v>4064941008682</v>
      </c>
      <c r="C520" t="inlineStr">
        <is>
          <t>P_US_ULTA</t>
        </is>
      </c>
      <c r="D520" t="inlineStr">
        <is>
          <t>System FC - Final</t>
        </is>
      </c>
      <c r="E520" t="n">
        <v>555</v>
      </c>
      <c r="F520" t="n">
        <v>868</v>
      </c>
      <c r="G520" t="n">
        <v>859</v>
      </c>
      <c r="H520" t="n">
        <v>1134</v>
      </c>
      <c r="I520" t="n">
        <v>1321</v>
      </c>
      <c r="J520" t="n">
        <v>1329</v>
      </c>
      <c r="K520" t="n">
        <v>1187</v>
      </c>
      <c r="L520" t="n">
        <v>1288</v>
      </c>
      <c r="M520" t="n">
        <v>1262</v>
      </c>
      <c r="N520" t="n">
        <v>1050</v>
      </c>
      <c r="O520" t="n">
        <v>1585</v>
      </c>
      <c r="P520" t="n">
        <v>797</v>
      </c>
    </row>
    <row r="521">
      <c r="A521" t="inlineStr">
        <is>
          <t>CurrentWorkingView</t>
        </is>
      </c>
      <c r="B521" s="1" t="n">
        <v>4064941008682</v>
      </c>
      <c r="C521" t="inlineStr">
        <is>
          <t>P_US_ULTA</t>
        </is>
      </c>
      <c r="D521" t="inlineStr">
        <is>
          <t>CML Fcst</t>
        </is>
      </c>
      <c r="H521" t="n">
        <v>1134</v>
      </c>
      <c r="I521" t="n">
        <v>1320</v>
      </c>
      <c r="J521" t="n">
        <v>1329</v>
      </c>
      <c r="K521" t="n">
        <v>1187</v>
      </c>
      <c r="L521" t="n">
        <v>1288</v>
      </c>
      <c r="M521" t="n">
        <v>1262</v>
      </c>
      <c r="N521" t="n">
        <v>1050</v>
      </c>
      <c r="O521" t="n">
        <v>1585</v>
      </c>
      <c r="P521" t="n">
        <v>797</v>
      </c>
    </row>
    <row r="522">
      <c r="A522" t="inlineStr">
        <is>
          <t>CurrentWorkingView</t>
        </is>
      </c>
      <c r="B522" s="1" t="n">
        <v>4064941008682</v>
      </c>
      <c r="C522" t="inlineStr">
        <is>
          <t>P_US_ULTA</t>
        </is>
      </c>
      <c r="D522" t="inlineStr">
        <is>
          <t>ST Stat Fcst</t>
        </is>
      </c>
      <c r="E522" t="n">
        <v>555</v>
      </c>
      <c r="F522" t="n">
        <v>868</v>
      </c>
      <c r="G522" t="n">
        <v>622</v>
      </c>
      <c r="H522" t="n">
        <v>749</v>
      </c>
      <c r="I522" t="n">
        <v>750</v>
      </c>
      <c r="J522" t="n">
        <v>749</v>
      </c>
      <c r="K522" t="n">
        <v>748</v>
      </c>
      <c r="L522" t="n">
        <v>748</v>
      </c>
      <c r="M522" t="n">
        <v>748</v>
      </c>
      <c r="N522" t="n">
        <v>746</v>
      </c>
      <c r="O522" t="n">
        <v>748</v>
      </c>
      <c r="P522" t="n">
        <v>746</v>
      </c>
    </row>
    <row r="523">
      <c r="A523" t="inlineStr">
        <is>
          <t>CurrentWorkingView</t>
        </is>
      </c>
      <c r="B523" s="1" t="n">
        <v>4064941008682</v>
      </c>
      <c r="C523" t="inlineStr">
        <is>
          <t>P_US_ULTA</t>
        </is>
      </c>
      <c r="D523" t="inlineStr">
        <is>
          <t>LT Stat Fcst</t>
        </is>
      </c>
      <c r="H523" t="n">
        <v>545</v>
      </c>
      <c r="I523" t="n">
        <v>741</v>
      </c>
      <c r="J523" t="n">
        <v>787</v>
      </c>
      <c r="K523" t="n">
        <v>836</v>
      </c>
      <c r="L523" t="n">
        <v>938</v>
      </c>
      <c r="M523" t="n">
        <v>916</v>
      </c>
      <c r="N523" t="n">
        <v>732</v>
      </c>
      <c r="O523" t="n">
        <v>888</v>
      </c>
      <c r="P523" t="n">
        <v>770</v>
      </c>
    </row>
    <row r="524">
      <c r="A524" t="inlineStr">
        <is>
          <t>CurrentWorkingView</t>
        </is>
      </c>
      <c r="B524" s="1" t="n">
        <v>4064941008682</v>
      </c>
      <c r="C524" t="inlineStr">
        <is>
          <t>P_US_ULTA</t>
        </is>
      </c>
      <c r="D524" t="inlineStr">
        <is>
          <t>System BestFit Final</t>
        </is>
      </c>
      <c r="E524" t="inlineStr">
        <is>
          <t>CML</t>
        </is>
      </c>
      <c r="F524" t="inlineStr">
        <is>
          <t>CML</t>
        </is>
      </c>
      <c r="G524" t="inlineStr">
        <is>
          <t>CML</t>
        </is>
      </c>
      <c r="H524" t="inlineStr">
        <is>
          <t>CML</t>
        </is>
      </c>
      <c r="I524" t="inlineStr">
        <is>
          <t>CML</t>
        </is>
      </c>
      <c r="J524" t="inlineStr">
        <is>
          <t>CML</t>
        </is>
      </c>
      <c r="K524" t="inlineStr">
        <is>
          <t>CML</t>
        </is>
      </c>
      <c r="L524" t="inlineStr">
        <is>
          <t>CML</t>
        </is>
      </c>
      <c r="M524" t="inlineStr">
        <is>
          <t>CML</t>
        </is>
      </c>
      <c r="N524" t="inlineStr">
        <is>
          <t>CML</t>
        </is>
      </c>
      <c r="O524" t="inlineStr">
        <is>
          <t>CML</t>
        </is>
      </c>
      <c r="P524" t="inlineStr">
        <is>
          <t>CML</t>
        </is>
      </c>
    </row>
    <row r="525">
      <c r="A525" t="inlineStr">
        <is>
          <t>CurrentWorkingView</t>
        </is>
      </c>
      <c r="B525" s="1" t="n">
        <v>4064941008682</v>
      </c>
      <c r="C525" t="inlineStr">
        <is>
          <t>P_US_ULTA</t>
        </is>
      </c>
      <c r="D525" t="inlineStr">
        <is>
          <t>System Bestfit Model ST</t>
        </is>
      </c>
    </row>
    <row r="526">
      <c r="A526" t="inlineStr">
        <is>
          <t>CurrentWorkingView</t>
        </is>
      </c>
      <c r="B526" s="1" t="n">
        <v>4064941008682</v>
      </c>
      <c r="C526" t="inlineStr">
        <is>
          <t>P_US_ULTA</t>
        </is>
      </c>
      <c r="D526" t="inlineStr">
        <is>
          <t>Planner BestFit Model</t>
        </is>
      </c>
    </row>
    <row r="527">
      <c r="A527" t="inlineStr">
        <is>
          <t>CurrentWorkingView</t>
        </is>
      </c>
      <c r="B527" s="1" t="n">
        <v>4064941008699</v>
      </c>
      <c r="C527" t="inlineStr">
        <is>
          <t>P_US_ALL_OTHERS</t>
        </is>
      </c>
      <c r="D527" t="inlineStr">
        <is>
          <t>System FC - Final</t>
        </is>
      </c>
      <c r="E527" t="n">
        <v>22</v>
      </c>
      <c r="F527" t="n">
        <v>33</v>
      </c>
      <c r="G527" t="n">
        <v>38</v>
      </c>
      <c r="H527" t="n">
        <v>15</v>
      </c>
      <c r="I527" t="n">
        <v>22</v>
      </c>
      <c r="J527" t="n">
        <v>22</v>
      </c>
      <c r="K527" t="n">
        <v>27</v>
      </c>
      <c r="L527" t="n">
        <v>28</v>
      </c>
      <c r="M527" t="n">
        <v>27</v>
      </c>
      <c r="N527" t="n">
        <v>24</v>
      </c>
      <c r="O527" t="n">
        <v>27</v>
      </c>
      <c r="P527" t="n">
        <v>21</v>
      </c>
    </row>
    <row r="528">
      <c r="A528" t="inlineStr">
        <is>
          <t>CurrentWorkingView</t>
        </is>
      </c>
      <c r="B528" s="1" t="n">
        <v>4064941008699</v>
      </c>
      <c r="C528" t="inlineStr">
        <is>
          <t>P_US_ALL_OTHERS</t>
        </is>
      </c>
      <c r="D528" t="inlineStr">
        <is>
          <t>CML Fcst</t>
        </is>
      </c>
      <c r="H528" t="n">
        <v>35</v>
      </c>
      <c r="I528" t="n">
        <v>42</v>
      </c>
      <c r="J528" t="n">
        <v>57</v>
      </c>
      <c r="K528" t="n">
        <v>49</v>
      </c>
      <c r="L528" t="n">
        <v>52</v>
      </c>
      <c r="M528" t="n">
        <v>53</v>
      </c>
      <c r="N528" t="n">
        <v>43</v>
      </c>
      <c r="O528" t="n">
        <v>58</v>
      </c>
      <c r="P528" t="n">
        <v>48</v>
      </c>
    </row>
    <row r="529">
      <c r="A529" t="inlineStr">
        <is>
          <t>CurrentWorkingView</t>
        </is>
      </c>
      <c r="B529" s="1" t="n">
        <v>4064941008699</v>
      </c>
      <c r="C529" t="inlineStr">
        <is>
          <t>P_US_ALL_OTHERS</t>
        </is>
      </c>
      <c r="D529" t="inlineStr">
        <is>
          <t>ST Stat Fcst</t>
        </is>
      </c>
      <c r="E529" t="n">
        <v>22</v>
      </c>
      <c r="F529" t="n">
        <v>33</v>
      </c>
      <c r="G529" t="n">
        <v>38</v>
      </c>
      <c r="H529" t="n">
        <v>19</v>
      </c>
      <c r="I529" t="n">
        <v>22</v>
      </c>
      <c r="J529" t="n">
        <v>18</v>
      </c>
      <c r="K529" t="n">
        <v>18</v>
      </c>
      <c r="L529" t="n">
        <v>20</v>
      </c>
      <c r="M529" t="n">
        <v>18</v>
      </c>
      <c r="N529" t="n">
        <v>18</v>
      </c>
      <c r="O529" t="n">
        <v>18</v>
      </c>
      <c r="P529" t="n">
        <v>18</v>
      </c>
    </row>
    <row r="530">
      <c r="A530" t="inlineStr">
        <is>
          <t>CurrentWorkingView</t>
        </is>
      </c>
      <c r="B530" s="1" t="n">
        <v>4064941008699</v>
      </c>
      <c r="C530" t="inlineStr">
        <is>
          <t>P_US_ALL_OTHERS</t>
        </is>
      </c>
      <c r="D530" t="inlineStr">
        <is>
          <t>LT Stat Fcst</t>
        </is>
      </c>
      <c r="H530" t="n">
        <v>15</v>
      </c>
      <c r="I530" t="n">
        <v>22</v>
      </c>
      <c r="J530" t="n">
        <v>22</v>
      </c>
      <c r="K530" t="n">
        <v>27</v>
      </c>
      <c r="L530" t="n">
        <v>28</v>
      </c>
      <c r="M530" t="n">
        <v>27</v>
      </c>
      <c r="N530" t="n">
        <v>24</v>
      </c>
      <c r="O530" t="n">
        <v>27</v>
      </c>
      <c r="P530" t="n">
        <v>21</v>
      </c>
    </row>
    <row r="531">
      <c r="A531" t="inlineStr">
        <is>
          <t>CurrentWorkingView</t>
        </is>
      </c>
      <c r="B531" s="1" t="n">
        <v>4064941008699</v>
      </c>
      <c r="C531" t="inlineStr">
        <is>
          <t>P_US_ALL_OTHERS</t>
        </is>
      </c>
      <c r="D531" t="inlineStr">
        <is>
          <t>System BestFit Final</t>
        </is>
      </c>
      <c r="E531" t="inlineStr">
        <is>
          <t>LT</t>
        </is>
      </c>
      <c r="F531" t="inlineStr">
        <is>
          <t>LT</t>
        </is>
      </c>
      <c r="G531" t="inlineStr">
        <is>
          <t>LT</t>
        </is>
      </c>
      <c r="H531" t="inlineStr">
        <is>
          <t>LT</t>
        </is>
      </c>
      <c r="I531" t="inlineStr">
        <is>
          <t>LT</t>
        </is>
      </c>
      <c r="J531" t="inlineStr">
        <is>
          <t>LT</t>
        </is>
      </c>
      <c r="K531" t="inlineStr">
        <is>
          <t>LT</t>
        </is>
      </c>
      <c r="L531" t="inlineStr">
        <is>
          <t>LT</t>
        </is>
      </c>
      <c r="M531" t="inlineStr">
        <is>
          <t>LT</t>
        </is>
      </c>
      <c r="N531" t="inlineStr">
        <is>
          <t>LT</t>
        </is>
      </c>
      <c r="O531" t="inlineStr">
        <is>
          <t>LT</t>
        </is>
      </c>
      <c r="P531" t="inlineStr">
        <is>
          <t>LT</t>
        </is>
      </c>
    </row>
    <row r="532">
      <c r="A532" t="inlineStr">
        <is>
          <t>CurrentWorkingView</t>
        </is>
      </c>
      <c r="B532" s="1" t="n">
        <v>4064941008699</v>
      </c>
      <c r="C532" t="inlineStr">
        <is>
          <t>P_US_ALL_OTHERS</t>
        </is>
      </c>
      <c r="D532" t="inlineStr">
        <is>
          <t>System Bestfit Model ST</t>
        </is>
      </c>
    </row>
    <row r="533">
      <c r="A533" t="inlineStr">
        <is>
          <t>CurrentWorkingView</t>
        </is>
      </c>
      <c r="B533" s="1" t="n">
        <v>4064941008699</v>
      </c>
      <c r="C533" t="inlineStr">
        <is>
          <t>P_US_ALL_OTHERS</t>
        </is>
      </c>
      <c r="D533" t="inlineStr">
        <is>
          <t>Planner BestFit Model</t>
        </is>
      </c>
      <c r="E533" t="inlineStr">
        <is>
          <t>LT</t>
        </is>
      </c>
      <c r="F533" t="inlineStr">
        <is>
          <t>LT</t>
        </is>
      </c>
      <c r="G533" t="inlineStr">
        <is>
          <t>LT</t>
        </is>
      </c>
      <c r="H533" t="inlineStr">
        <is>
          <t>LT</t>
        </is>
      </c>
      <c r="I533" t="inlineStr">
        <is>
          <t>LT</t>
        </is>
      </c>
      <c r="J533" t="inlineStr">
        <is>
          <t>LT</t>
        </is>
      </c>
      <c r="K533" t="inlineStr">
        <is>
          <t>LT</t>
        </is>
      </c>
      <c r="L533" t="inlineStr">
        <is>
          <t>LT</t>
        </is>
      </c>
      <c r="M533" t="inlineStr">
        <is>
          <t>LT</t>
        </is>
      </c>
      <c r="N533" t="inlineStr">
        <is>
          <t>LT</t>
        </is>
      </c>
      <c r="O533" t="inlineStr">
        <is>
          <t>LT</t>
        </is>
      </c>
      <c r="P533" t="inlineStr">
        <is>
          <t>LT</t>
        </is>
      </c>
    </row>
    <row r="534">
      <c r="A534" t="inlineStr">
        <is>
          <t>CurrentWorkingView</t>
        </is>
      </c>
      <c r="B534" s="1" t="n">
        <v>4064941008699</v>
      </c>
      <c r="C534" t="inlineStr">
        <is>
          <t>P_US_ULTA</t>
        </is>
      </c>
      <c r="D534" t="inlineStr">
        <is>
          <t>System FC - Final</t>
        </is>
      </c>
      <c r="E534" t="n">
        <v>3191</v>
      </c>
      <c r="F534" t="n">
        <v>1687</v>
      </c>
      <c r="G534" t="n">
        <v>1856</v>
      </c>
      <c r="H534" t="n">
        <v>1415</v>
      </c>
      <c r="I534" t="n">
        <v>1920</v>
      </c>
      <c r="J534" t="n">
        <v>2043</v>
      </c>
      <c r="K534" t="n">
        <v>2174</v>
      </c>
      <c r="L534" t="n">
        <v>2432</v>
      </c>
      <c r="M534" t="n">
        <v>2376</v>
      </c>
      <c r="N534" t="n">
        <v>1903</v>
      </c>
      <c r="O534" t="n">
        <v>2309</v>
      </c>
      <c r="P534" t="n">
        <v>1996</v>
      </c>
    </row>
    <row r="535">
      <c r="A535" t="inlineStr">
        <is>
          <t>CurrentWorkingView</t>
        </is>
      </c>
      <c r="B535" s="1" t="n">
        <v>4064941008699</v>
      </c>
      <c r="C535" t="inlineStr">
        <is>
          <t>P_US_ULTA</t>
        </is>
      </c>
      <c r="D535" t="inlineStr">
        <is>
          <t>CML Fcst</t>
        </is>
      </c>
      <c r="H535" t="n">
        <v>1514</v>
      </c>
      <c r="I535" t="n">
        <v>1954</v>
      </c>
      <c r="J535" t="n">
        <v>1409</v>
      </c>
      <c r="K535" t="n">
        <v>3073</v>
      </c>
      <c r="L535" t="n">
        <v>1308</v>
      </c>
      <c r="M535" t="n">
        <v>1514</v>
      </c>
      <c r="N535" t="n">
        <v>3085</v>
      </c>
      <c r="O535" t="n">
        <v>1683</v>
      </c>
      <c r="P535" t="n">
        <v>2413</v>
      </c>
    </row>
    <row r="536">
      <c r="A536" t="inlineStr">
        <is>
          <t>CurrentWorkingView</t>
        </is>
      </c>
      <c r="B536" s="1" t="n">
        <v>4064941008699</v>
      </c>
      <c r="C536" t="inlineStr">
        <is>
          <t>P_US_ULTA</t>
        </is>
      </c>
      <c r="D536" t="inlineStr">
        <is>
          <t>ST Stat Fcst</t>
        </is>
      </c>
      <c r="E536" t="n">
        <v>3191</v>
      </c>
      <c r="F536" t="n">
        <v>1687</v>
      </c>
      <c r="G536" t="n">
        <v>1753</v>
      </c>
      <c r="H536" t="n">
        <v>2382</v>
      </c>
      <c r="I536" t="n">
        <v>1050</v>
      </c>
      <c r="J536" t="n">
        <v>2616</v>
      </c>
      <c r="K536" t="n">
        <v>1705</v>
      </c>
      <c r="L536" t="n">
        <v>3800</v>
      </c>
      <c r="M536" t="n">
        <v>3618</v>
      </c>
      <c r="N536" t="n">
        <v>1123</v>
      </c>
      <c r="O536" t="n">
        <v>345</v>
      </c>
      <c r="P536" t="n">
        <v>1218</v>
      </c>
    </row>
    <row r="537">
      <c r="A537" t="inlineStr">
        <is>
          <t>CurrentWorkingView</t>
        </is>
      </c>
      <c r="B537" s="1" t="n">
        <v>4064941008699</v>
      </c>
      <c r="C537" t="inlineStr">
        <is>
          <t>P_US_ULTA</t>
        </is>
      </c>
      <c r="D537" t="inlineStr">
        <is>
          <t>LT Stat Fcst</t>
        </is>
      </c>
      <c r="H537" t="n">
        <v>1414</v>
      </c>
      <c r="I537" t="n">
        <v>1920</v>
      </c>
      <c r="J537" t="n">
        <v>2043</v>
      </c>
      <c r="K537" t="n">
        <v>2174</v>
      </c>
      <c r="L537" t="n">
        <v>2432</v>
      </c>
      <c r="M537" t="n">
        <v>2376</v>
      </c>
      <c r="N537" t="n">
        <v>1903</v>
      </c>
      <c r="O537" t="n">
        <v>2309</v>
      </c>
      <c r="P537" t="n">
        <v>1996</v>
      </c>
    </row>
    <row r="538">
      <c r="A538" t="inlineStr">
        <is>
          <t>CurrentWorkingView</t>
        </is>
      </c>
      <c r="B538" s="1" t="n">
        <v>4064941008699</v>
      </c>
      <c r="C538" t="inlineStr">
        <is>
          <t>P_US_ULTA</t>
        </is>
      </c>
      <c r="D538" t="inlineStr">
        <is>
          <t>System BestFit Final</t>
        </is>
      </c>
      <c r="E538" t="inlineStr">
        <is>
          <t>LT</t>
        </is>
      </c>
      <c r="F538" t="inlineStr">
        <is>
          <t>LT</t>
        </is>
      </c>
      <c r="G538" t="inlineStr">
        <is>
          <t>LT</t>
        </is>
      </c>
      <c r="H538" t="inlineStr">
        <is>
          <t>LT</t>
        </is>
      </c>
      <c r="I538" t="inlineStr">
        <is>
          <t>LT</t>
        </is>
      </c>
      <c r="J538" t="inlineStr">
        <is>
          <t>LT</t>
        </is>
      </c>
      <c r="K538" t="inlineStr">
        <is>
          <t>LT</t>
        </is>
      </c>
      <c r="L538" t="inlineStr">
        <is>
          <t>LT</t>
        </is>
      </c>
      <c r="M538" t="inlineStr">
        <is>
          <t>LT</t>
        </is>
      </c>
      <c r="N538" t="inlineStr">
        <is>
          <t>LT</t>
        </is>
      </c>
      <c r="O538" t="inlineStr">
        <is>
          <t>LT</t>
        </is>
      </c>
      <c r="P538" t="inlineStr">
        <is>
          <t>LT</t>
        </is>
      </c>
    </row>
    <row r="539">
      <c r="A539" t="inlineStr">
        <is>
          <t>CurrentWorkingView</t>
        </is>
      </c>
      <c r="B539" s="1" t="n">
        <v>4064941008699</v>
      </c>
      <c r="C539" t="inlineStr">
        <is>
          <t>P_US_ULTA</t>
        </is>
      </c>
      <c r="D539" t="inlineStr">
        <is>
          <t>System Bestfit Model ST</t>
        </is>
      </c>
    </row>
    <row r="540">
      <c r="A540" t="inlineStr">
        <is>
          <t>CurrentWorkingView</t>
        </is>
      </c>
      <c r="B540" s="1" t="n">
        <v>4064941008699</v>
      </c>
      <c r="C540" t="inlineStr">
        <is>
          <t>P_US_ULTA</t>
        </is>
      </c>
      <c r="D540" t="inlineStr">
        <is>
          <t>Planner BestFit Model</t>
        </is>
      </c>
      <c r="E540" t="inlineStr">
        <is>
          <t>LT</t>
        </is>
      </c>
      <c r="F540" t="inlineStr">
        <is>
          <t>LT</t>
        </is>
      </c>
      <c r="G540" t="inlineStr">
        <is>
          <t>LT</t>
        </is>
      </c>
      <c r="H540" t="inlineStr">
        <is>
          <t>LT</t>
        </is>
      </c>
      <c r="I540" t="inlineStr">
        <is>
          <t>LT</t>
        </is>
      </c>
      <c r="J540" t="inlineStr">
        <is>
          <t>LT</t>
        </is>
      </c>
      <c r="K540" t="inlineStr">
        <is>
          <t>LT</t>
        </is>
      </c>
      <c r="L540" t="inlineStr">
        <is>
          <t>LT</t>
        </is>
      </c>
      <c r="M540" t="inlineStr">
        <is>
          <t>LT</t>
        </is>
      </c>
      <c r="N540" t="inlineStr">
        <is>
          <t>LT</t>
        </is>
      </c>
      <c r="O540" t="inlineStr">
        <is>
          <t>LT</t>
        </is>
      </c>
      <c r="P540" t="inlineStr">
        <is>
          <t>LT</t>
        </is>
      </c>
    </row>
    <row r="541">
      <c r="A541" t="inlineStr">
        <is>
          <t>CurrentWorkingView</t>
        </is>
      </c>
      <c r="B541" s="1" t="n">
        <v>4064941033608</v>
      </c>
      <c r="C541" t="inlineStr">
        <is>
          <t>P_US_ALL_OTHERS</t>
        </is>
      </c>
      <c r="D541" t="inlineStr">
        <is>
          <t>System FC - Final</t>
        </is>
      </c>
      <c r="E541" t="n">
        <v>110</v>
      </c>
      <c r="F541" t="n">
        <v>209</v>
      </c>
      <c r="G541" t="n">
        <v>97</v>
      </c>
      <c r="H541" t="n">
        <v>177</v>
      </c>
      <c r="I541" t="n">
        <v>133</v>
      </c>
      <c r="J541" t="n">
        <v>101</v>
      </c>
      <c r="K541" t="n">
        <v>40</v>
      </c>
      <c r="L541" t="n">
        <v>40</v>
      </c>
      <c r="M541" t="n">
        <v>49</v>
      </c>
      <c r="N541" t="n">
        <v>40</v>
      </c>
      <c r="O541" t="n">
        <v>80</v>
      </c>
      <c r="P541" t="n">
        <v>78</v>
      </c>
    </row>
    <row r="542">
      <c r="A542" t="inlineStr">
        <is>
          <t>CurrentWorkingView</t>
        </is>
      </c>
      <c r="B542" s="1" t="n">
        <v>4064941033608</v>
      </c>
      <c r="C542" t="inlineStr">
        <is>
          <t>P_US_ALL_OTHERS</t>
        </is>
      </c>
      <c r="D542" t="inlineStr">
        <is>
          <t>CML Fcst</t>
        </is>
      </c>
      <c r="H542" t="n">
        <v>186</v>
      </c>
      <c r="I542" t="n">
        <v>142</v>
      </c>
      <c r="J542" t="n">
        <v>160</v>
      </c>
      <c r="K542" t="n">
        <v>164</v>
      </c>
      <c r="L542" t="n">
        <v>264</v>
      </c>
      <c r="M542" t="n">
        <v>204</v>
      </c>
      <c r="N542" t="n">
        <v>172</v>
      </c>
      <c r="O542" t="n">
        <v>209</v>
      </c>
      <c r="P542" t="n">
        <v>141</v>
      </c>
    </row>
    <row r="543">
      <c r="A543" t="inlineStr">
        <is>
          <t>CurrentWorkingView</t>
        </is>
      </c>
      <c r="B543" s="1" t="n">
        <v>4064941033608</v>
      </c>
      <c r="C543" t="inlineStr">
        <is>
          <t>P_US_ALL_OTHERS</t>
        </is>
      </c>
      <c r="D543" t="inlineStr">
        <is>
          <t>ST Stat Fcst</t>
        </is>
      </c>
      <c r="E543" t="n">
        <v>110</v>
      </c>
      <c r="F543" t="n">
        <v>209</v>
      </c>
      <c r="G543" t="n">
        <v>93</v>
      </c>
      <c r="H543" t="n">
        <v>85</v>
      </c>
      <c r="I543" t="n">
        <v>120</v>
      </c>
      <c r="J543" t="n">
        <v>93</v>
      </c>
      <c r="K543" t="n">
        <v>137</v>
      </c>
      <c r="L543" t="n">
        <v>204</v>
      </c>
      <c r="M543" t="n">
        <v>84</v>
      </c>
      <c r="N543" t="n">
        <v>111</v>
      </c>
      <c r="O543" t="n">
        <v>53</v>
      </c>
      <c r="P543" t="n">
        <v>51</v>
      </c>
    </row>
    <row r="544">
      <c r="A544" t="inlineStr">
        <is>
          <t>CurrentWorkingView</t>
        </is>
      </c>
      <c r="B544" s="1" t="n">
        <v>4064941033608</v>
      </c>
      <c r="C544" t="inlineStr">
        <is>
          <t>P_US_ALL_OTHERS</t>
        </is>
      </c>
      <c r="D544" t="inlineStr">
        <is>
          <t>LT Stat Fcst</t>
        </is>
      </c>
      <c r="H544" t="n">
        <v>177</v>
      </c>
      <c r="I544" t="n">
        <v>132</v>
      </c>
      <c r="J544" t="n">
        <v>101</v>
      </c>
      <c r="K544" t="n">
        <v>40</v>
      </c>
      <c r="L544" t="n">
        <v>40</v>
      </c>
      <c r="M544" t="n">
        <v>49</v>
      </c>
      <c r="N544" t="n">
        <v>40</v>
      </c>
      <c r="O544" t="n">
        <v>80</v>
      </c>
      <c r="P544" t="n">
        <v>78</v>
      </c>
    </row>
    <row r="545">
      <c r="A545" t="inlineStr">
        <is>
          <t>CurrentWorkingView</t>
        </is>
      </c>
      <c r="B545" s="1" t="n">
        <v>4064941033608</v>
      </c>
      <c r="C545" t="inlineStr">
        <is>
          <t>P_US_ALL_OTHERS</t>
        </is>
      </c>
      <c r="D545" t="inlineStr">
        <is>
          <t>System BestFit Final</t>
        </is>
      </c>
      <c r="E545" t="inlineStr">
        <is>
          <t>LT</t>
        </is>
      </c>
      <c r="F545" t="inlineStr">
        <is>
          <t>LT</t>
        </is>
      </c>
      <c r="G545" t="inlineStr">
        <is>
          <t>LT</t>
        </is>
      </c>
      <c r="H545" t="inlineStr">
        <is>
          <t>LT</t>
        </is>
      </c>
      <c r="I545" t="inlineStr">
        <is>
          <t>LT</t>
        </is>
      </c>
      <c r="J545" t="inlineStr">
        <is>
          <t>LT</t>
        </is>
      </c>
      <c r="K545" t="inlineStr">
        <is>
          <t>LT</t>
        </is>
      </c>
      <c r="L545" t="inlineStr">
        <is>
          <t>LT</t>
        </is>
      </c>
      <c r="M545" t="inlineStr">
        <is>
          <t>LT</t>
        </is>
      </c>
      <c r="N545" t="inlineStr">
        <is>
          <t>LT</t>
        </is>
      </c>
      <c r="O545" t="inlineStr">
        <is>
          <t>LT</t>
        </is>
      </c>
      <c r="P545" t="inlineStr">
        <is>
          <t>LT</t>
        </is>
      </c>
    </row>
    <row r="546">
      <c r="A546" t="inlineStr">
        <is>
          <t>CurrentWorkingView</t>
        </is>
      </c>
      <c r="B546" s="1" t="n">
        <v>4064941033608</v>
      </c>
      <c r="C546" t="inlineStr">
        <is>
          <t>P_US_ALL_OTHERS</t>
        </is>
      </c>
      <c r="D546" t="inlineStr">
        <is>
          <t>System Bestfit Model ST</t>
        </is>
      </c>
    </row>
    <row r="547">
      <c r="A547" t="inlineStr">
        <is>
          <t>CurrentWorkingView</t>
        </is>
      </c>
      <c r="B547" s="1" t="n">
        <v>4064941033608</v>
      </c>
      <c r="C547" t="inlineStr">
        <is>
          <t>P_US_ALL_OTHERS</t>
        </is>
      </c>
      <c r="D547" t="inlineStr">
        <is>
          <t>Planner BestFit Model</t>
        </is>
      </c>
    </row>
    <row r="548">
      <c r="A548" t="inlineStr">
        <is>
          <t>CurrentWorkingView</t>
        </is>
      </c>
      <c r="B548" s="1" t="n">
        <v>4064941033608</v>
      </c>
      <c r="C548" t="inlineStr">
        <is>
          <t>P_US_ULTA</t>
        </is>
      </c>
      <c r="D548" t="inlineStr">
        <is>
          <t>System FC - Final</t>
        </is>
      </c>
      <c r="E548" t="n">
        <v>1246</v>
      </c>
      <c r="F548" t="n">
        <v>1516</v>
      </c>
      <c r="G548" t="n">
        <v>1801</v>
      </c>
      <c r="H548" t="n">
        <v>1410</v>
      </c>
      <c r="I548" t="n">
        <v>952</v>
      </c>
      <c r="J548" t="n">
        <v>908</v>
      </c>
      <c r="K548" t="n">
        <v>1049</v>
      </c>
      <c r="L548" t="n">
        <v>1832</v>
      </c>
      <c r="M548" t="n">
        <v>2259</v>
      </c>
      <c r="N548" t="n">
        <v>1162</v>
      </c>
      <c r="O548" t="n">
        <v>2223</v>
      </c>
      <c r="P548" t="n">
        <v>1427</v>
      </c>
    </row>
    <row r="549">
      <c r="A549" t="inlineStr">
        <is>
          <t>CurrentWorkingView</t>
        </is>
      </c>
      <c r="B549" s="1" t="n">
        <v>4064941033608</v>
      </c>
      <c r="C549" t="inlineStr">
        <is>
          <t>P_US_ULTA</t>
        </is>
      </c>
      <c r="D549" t="inlineStr">
        <is>
          <t>CML Fcst</t>
        </is>
      </c>
      <c r="H549" t="n">
        <v>1409</v>
      </c>
      <c r="I549" t="n">
        <v>952</v>
      </c>
      <c r="J549" t="n">
        <v>908</v>
      </c>
      <c r="K549" t="n">
        <v>1049</v>
      </c>
      <c r="L549" t="n">
        <v>1832</v>
      </c>
      <c r="M549" t="n">
        <v>2259</v>
      </c>
      <c r="N549" t="n">
        <v>1162</v>
      </c>
      <c r="O549" t="n">
        <v>2223</v>
      </c>
      <c r="P549" t="n">
        <v>1427</v>
      </c>
    </row>
    <row r="550">
      <c r="A550" t="inlineStr">
        <is>
          <t>CurrentWorkingView</t>
        </is>
      </c>
      <c r="B550" s="1" t="n">
        <v>4064941033608</v>
      </c>
      <c r="C550" t="inlineStr">
        <is>
          <t>P_US_ULTA</t>
        </is>
      </c>
      <c r="D550" t="inlineStr">
        <is>
          <t>ST Stat Fcst</t>
        </is>
      </c>
      <c r="E550" t="n">
        <v>1246</v>
      </c>
      <c r="F550" t="n">
        <v>1516</v>
      </c>
      <c r="G550" t="n">
        <v>1638</v>
      </c>
      <c r="H550" t="n">
        <v>1948</v>
      </c>
      <c r="I550" t="n">
        <v>2010</v>
      </c>
      <c r="J550" t="n">
        <v>2108</v>
      </c>
      <c r="K550" t="n">
        <v>872</v>
      </c>
      <c r="L550" t="n">
        <v>1844</v>
      </c>
      <c r="M550" t="n">
        <v>2015</v>
      </c>
      <c r="N550" t="n">
        <v>1315</v>
      </c>
      <c r="O550" t="n">
        <v>1585</v>
      </c>
      <c r="P550" t="n">
        <v>1213</v>
      </c>
    </row>
    <row r="551">
      <c r="A551" t="inlineStr">
        <is>
          <t>CurrentWorkingView</t>
        </is>
      </c>
      <c r="B551" s="1" t="n">
        <v>4064941033608</v>
      </c>
      <c r="C551" t="inlineStr">
        <is>
          <t>P_US_ULTA</t>
        </is>
      </c>
      <c r="D551" t="inlineStr">
        <is>
          <t>LT Stat Fcst</t>
        </is>
      </c>
      <c r="H551" t="n">
        <v>2245</v>
      </c>
      <c r="I551" t="n">
        <v>1664</v>
      </c>
      <c r="J551" t="n">
        <v>1262</v>
      </c>
      <c r="K551" t="n">
        <v>514</v>
      </c>
      <c r="L551" t="n">
        <v>516</v>
      </c>
      <c r="M551" t="n">
        <v>624</v>
      </c>
      <c r="N551" t="n">
        <v>514</v>
      </c>
      <c r="O551" t="n">
        <v>984</v>
      </c>
      <c r="P551" t="n">
        <v>1003</v>
      </c>
    </row>
    <row r="552">
      <c r="A552" t="inlineStr">
        <is>
          <t>CurrentWorkingView</t>
        </is>
      </c>
      <c r="B552" s="1" t="n">
        <v>4064941033608</v>
      </c>
      <c r="C552" t="inlineStr">
        <is>
          <t>P_US_ULTA</t>
        </is>
      </c>
      <c r="D552" t="inlineStr">
        <is>
          <t>System BestFit Final</t>
        </is>
      </c>
      <c r="E552" t="inlineStr">
        <is>
          <t>CML</t>
        </is>
      </c>
      <c r="F552" t="inlineStr">
        <is>
          <t>CML</t>
        </is>
      </c>
      <c r="G552" t="inlineStr">
        <is>
          <t>CML</t>
        </is>
      </c>
      <c r="H552" t="inlineStr">
        <is>
          <t>CML</t>
        </is>
      </c>
      <c r="I552" t="inlineStr">
        <is>
          <t>CML</t>
        </is>
      </c>
      <c r="J552" t="inlineStr">
        <is>
          <t>CML</t>
        </is>
      </c>
      <c r="K552" t="inlineStr">
        <is>
          <t>CML</t>
        </is>
      </c>
      <c r="L552" t="inlineStr">
        <is>
          <t>CML</t>
        </is>
      </c>
      <c r="M552" t="inlineStr">
        <is>
          <t>CML</t>
        </is>
      </c>
      <c r="N552" t="inlineStr">
        <is>
          <t>CML</t>
        </is>
      </c>
      <c r="O552" t="inlineStr">
        <is>
          <t>CML</t>
        </is>
      </c>
      <c r="P552" t="inlineStr">
        <is>
          <t>CML</t>
        </is>
      </c>
    </row>
    <row r="553">
      <c r="A553" t="inlineStr">
        <is>
          <t>CurrentWorkingView</t>
        </is>
      </c>
      <c r="B553" s="1" t="n">
        <v>4064941033608</v>
      </c>
      <c r="C553" t="inlineStr">
        <is>
          <t>P_US_ULTA</t>
        </is>
      </c>
      <c r="D553" t="inlineStr">
        <is>
          <t>System Bestfit Model ST</t>
        </is>
      </c>
    </row>
    <row r="554">
      <c r="A554" t="inlineStr">
        <is>
          <t>CurrentWorkingView</t>
        </is>
      </c>
      <c r="B554" s="1" t="n">
        <v>4064941033608</v>
      </c>
      <c r="C554" t="inlineStr">
        <is>
          <t>P_US_ULTA</t>
        </is>
      </c>
      <c r="D554" t="inlineStr">
        <is>
          <t>Planner BestFit Model</t>
        </is>
      </c>
    </row>
    <row r="555">
      <c r="A555" t="inlineStr">
        <is>
          <t>CurrentWorkingView</t>
        </is>
      </c>
      <c r="B555" s="1" t="n">
        <v>4064941078074</v>
      </c>
      <c r="C555" t="inlineStr">
        <is>
          <t>P_US_ULTA</t>
        </is>
      </c>
      <c r="D555" t="inlineStr">
        <is>
          <t>System FC - Final</t>
        </is>
      </c>
      <c r="E555" t="n">
        <v>279</v>
      </c>
      <c r="F555" t="n">
        <v>32</v>
      </c>
      <c r="G555" t="n">
        <v>564</v>
      </c>
      <c r="H555" t="n">
        <v>115</v>
      </c>
      <c r="I555" t="n">
        <v>262</v>
      </c>
      <c r="J555" t="n">
        <v>45</v>
      </c>
      <c r="K555" t="n">
        <v>44</v>
      </c>
      <c r="L555" t="n">
        <v>60</v>
      </c>
      <c r="M555" t="n">
        <v>89</v>
      </c>
      <c r="N555" t="n">
        <v>35</v>
      </c>
      <c r="O555" t="n">
        <v>40</v>
      </c>
      <c r="P555" t="n">
        <v>22</v>
      </c>
    </row>
    <row r="556">
      <c r="A556" t="inlineStr">
        <is>
          <t>CurrentWorkingView</t>
        </is>
      </c>
      <c r="B556" s="1" t="n">
        <v>4064941078074</v>
      </c>
      <c r="C556" t="inlineStr">
        <is>
          <t>P_US_ULTA</t>
        </is>
      </c>
      <c r="D556" t="inlineStr">
        <is>
          <t>CML Fcst</t>
        </is>
      </c>
      <c r="H556" t="n">
        <v>115</v>
      </c>
      <c r="I556" t="n">
        <v>262</v>
      </c>
      <c r="J556" t="n">
        <v>45</v>
      </c>
      <c r="K556" t="n">
        <v>44</v>
      </c>
      <c r="L556" t="n">
        <v>60</v>
      </c>
      <c r="M556" t="n">
        <v>89</v>
      </c>
      <c r="N556" t="n">
        <v>35</v>
      </c>
      <c r="O556" t="n">
        <v>40</v>
      </c>
      <c r="P556" t="n">
        <v>22</v>
      </c>
    </row>
    <row r="557">
      <c r="A557" t="inlineStr">
        <is>
          <t>CurrentWorkingView</t>
        </is>
      </c>
      <c r="B557" s="1" t="n">
        <v>4064941078074</v>
      </c>
      <c r="C557" t="inlineStr">
        <is>
          <t>P_US_ULTA</t>
        </is>
      </c>
      <c r="D557" t="inlineStr">
        <is>
          <t>ST Stat Fcst</t>
        </is>
      </c>
      <c r="E557" t="n">
        <v>279</v>
      </c>
      <c r="F557" t="n">
        <v>32</v>
      </c>
      <c r="G557" t="n">
        <v>25</v>
      </c>
      <c r="H557" t="n">
        <v>9</v>
      </c>
      <c r="I557" t="n">
        <v>120</v>
      </c>
      <c r="J557" t="n">
        <v>217</v>
      </c>
      <c r="K557" t="n">
        <v>9</v>
      </c>
      <c r="L557" t="n">
        <v>152</v>
      </c>
      <c r="M557" t="n">
        <v>9</v>
      </c>
      <c r="N557" t="n">
        <v>9</v>
      </c>
      <c r="O557" t="n">
        <v>62</v>
      </c>
      <c r="P557" t="n">
        <v>94</v>
      </c>
    </row>
    <row r="558">
      <c r="A558" t="inlineStr">
        <is>
          <t>CurrentWorkingView</t>
        </is>
      </c>
      <c r="B558" s="1" t="n">
        <v>4064941078074</v>
      </c>
      <c r="C558" t="inlineStr">
        <is>
          <t>P_US_ULTA</t>
        </is>
      </c>
      <c r="D558" t="inlineStr">
        <is>
          <t>LT Stat Fcst</t>
        </is>
      </c>
      <c r="H558" t="n">
        <v>27</v>
      </c>
      <c r="I558" t="n">
        <v>124</v>
      </c>
      <c r="J558" t="n">
        <v>80</v>
      </c>
      <c r="K558" t="n">
        <v>31</v>
      </c>
      <c r="L558" t="n">
        <v>28</v>
      </c>
      <c r="M558" t="n">
        <v>27</v>
      </c>
      <c r="N558" t="n">
        <v>27</v>
      </c>
      <c r="O558" t="n">
        <v>27</v>
      </c>
      <c r="P558" t="n">
        <v>27</v>
      </c>
    </row>
    <row r="559">
      <c r="A559" t="inlineStr">
        <is>
          <t>CurrentWorkingView</t>
        </is>
      </c>
      <c r="B559" s="1" t="n">
        <v>4064941078074</v>
      </c>
      <c r="C559" t="inlineStr">
        <is>
          <t>P_US_ULTA</t>
        </is>
      </c>
      <c r="D559" t="inlineStr">
        <is>
          <t>System BestFit Final</t>
        </is>
      </c>
      <c r="E559" t="inlineStr">
        <is>
          <t>CML</t>
        </is>
      </c>
      <c r="F559" t="inlineStr">
        <is>
          <t>CML</t>
        </is>
      </c>
      <c r="G559" t="inlineStr">
        <is>
          <t>CML</t>
        </is>
      </c>
      <c r="H559" t="inlineStr">
        <is>
          <t>CML</t>
        </is>
      </c>
      <c r="I559" t="inlineStr">
        <is>
          <t>CML</t>
        </is>
      </c>
      <c r="J559" t="inlineStr">
        <is>
          <t>CML</t>
        </is>
      </c>
      <c r="K559" t="inlineStr">
        <is>
          <t>CML</t>
        </is>
      </c>
      <c r="L559" t="inlineStr">
        <is>
          <t>CML</t>
        </is>
      </c>
      <c r="M559" t="inlineStr">
        <is>
          <t>CML</t>
        </is>
      </c>
      <c r="N559" t="inlineStr">
        <is>
          <t>CML</t>
        </is>
      </c>
      <c r="O559" t="inlineStr">
        <is>
          <t>CML</t>
        </is>
      </c>
      <c r="P559" t="inlineStr">
        <is>
          <t>CML</t>
        </is>
      </c>
    </row>
    <row r="560">
      <c r="A560" t="inlineStr">
        <is>
          <t>CurrentWorkingView</t>
        </is>
      </c>
      <c r="B560" s="1" t="n">
        <v>4064941078074</v>
      </c>
      <c r="C560" t="inlineStr">
        <is>
          <t>P_US_ULTA</t>
        </is>
      </c>
      <c r="D560" t="inlineStr">
        <is>
          <t>System Bestfit Model ST</t>
        </is>
      </c>
    </row>
    <row r="561">
      <c r="A561" t="inlineStr">
        <is>
          <t>CurrentWorkingView</t>
        </is>
      </c>
      <c r="B561" s="1" t="n">
        <v>4064941078074</v>
      </c>
      <c r="C561" t="inlineStr">
        <is>
          <t>P_US_ULTA</t>
        </is>
      </c>
      <c r="D561" t="inlineStr">
        <is>
          <t>Planner BestFit Model</t>
        </is>
      </c>
    </row>
    <row r="562">
      <c r="A562" t="inlineStr">
        <is>
          <t>CurrentWorkingView</t>
        </is>
      </c>
      <c r="B562" s="1" t="n">
        <v>4064941078081</v>
      </c>
      <c r="C562" t="inlineStr">
        <is>
          <t>P_US_ULTA</t>
        </is>
      </c>
      <c r="D562" t="inlineStr">
        <is>
          <t>System FC - Final</t>
        </is>
      </c>
      <c r="E562" t="n">
        <v>1002</v>
      </c>
      <c r="F562" t="n">
        <v>412</v>
      </c>
      <c r="G562" t="n">
        <v>593</v>
      </c>
      <c r="H562" t="n">
        <v>456</v>
      </c>
      <c r="I562" t="n">
        <v>2049</v>
      </c>
      <c r="J562" t="n">
        <v>1337</v>
      </c>
      <c r="K562" t="n">
        <v>496</v>
      </c>
      <c r="L562" t="n">
        <v>460</v>
      </c>
      <c r="M562" t="n">
        <v>456</v>
      </c>
      <c r="N562" t="n">
        <v>455</v>
      </c>
      <c r="O562" t="n">
        <v>457</v>
      </c>
      <c r="P562" t="n">
        <v>456</v>
      </c>
    </row>
    <row r="563">
      <c r="A563" t="inlineStr">
        <is>
          <t>CurrentWorkingView</t>
        </is>
      </c>
      <c r="B563" s="1" t="n">
        <v>4064941078081</v>
      </c>
      <c r="C563" t="inlineStr">
        <is>
          <t>P_US_ULTA</t>
        </is>
      </c>
      <c r="D563" t="inlineStr">
        <is>
          <t>CML Fcst</t>
        </is>
      </c>
      <c r="H563" t="n">
        <v>837</v>
      </c>
      <c r="I563" t="n">
        <v>1602</v>
      </c>
      <c r="J563" t="n">
        <v>1311</v>
      </c>
      <c r="K563" t="n">
        <v>111</v>
      </c>
      <c r="L563" t="n">
        <v>12</v>
      </c>
      <c r="M563" t="n">
        <v>102</v>
      </c>
      <c r="N563" t="n">
        <v>60</v>
      </c>
      <c r="O563" t="n">
        <v>1262</v>
      </c>
      <c r="P563" t="n">
        <v>0</v>
      </c>
    </row>
    <row r="564">
      <c r="A564" t="inlineStr">
        <is>
          <t>CurrentWorkingView</t>
        </is>
      </c>
      <c r="B564" s="1" t="n">
        <v>4064941078081</v>
      </c>
      <c r="C564" t="inlineStr">
        <is>
          <t>P_US_ULTA</t>
        </is>
      </c>
      <c r="D564" t="inlineStr">
        <is>
          <t>ST Stat Fcst</t>
        </is>
      </c>
      <c r="E564" t="n">
        <v>1002</v>
      </c>
      <c r="F564" t="n">
        <v>412</v>
      </c>
      <c r="G564" t="n">
        <v>958</v>
      </c>
      <c r="H564" t="n">
        <v>2840</v>
      </c>
      <c r="I564" t="n">
        <v>2572</v>
      </c>
      <c r="J564" t="n">
        <v>771</v>
      </c>
      <c r="K564" t="n">
        <v>762</v>
      </c>
      <c r="L564" t="n">
        <v>2980</v>
      </c>
      <c r="M564" t="n">
        <v>1980</v>
      </c>
      <c r="N564" t="n">
        <v>801</v>
      </c>
      <c r="O564" t="n">
        <v>2015</v>
      </c>
      <c r="P564" t="n">
        <v>861</v>
      </c>
    </row>
    <row r="565">
      <c r="A565" t="inlineStr">
        <is>
          <t>CurrentWorkingView</t>
        </is>
      </c>
      <c r="B565" s="1" t="n">
        <v>4064941078081</v>
      </c>
      <c r="C565" t="inlineStr">
        <is>
          <t>P_US_ULTA</t>
        </is>
      </c>
      <c r="D565" t="inlineStr">
        <is>
          <t>LT Stat Fcst</t>
        </is>
      </c>
      <c r="H565" t="n">
        <v>456</v>
      </c>
      <c r="I565" t="n">
        <v>2048</v>
      </c>
      <c r="J565" t="n">
        <v>1337</v>
      </c>
      <c r="K565" t="n">
        <v>496</v>
      </c>
      <c r="L565" t="n">
        <v>460</v>
      </c>
      <c r="M565" t="n">
        <v>456</v>
      </c>
      <c r="N565" t="n">
        <v>455</v>
      </c>
      <c r="O565" t="n">
        <v>457</v>
      </c>
      <c r="P565" t="n">
        <v>456</v>
      </c>
    </row>
    <row r="566">
      <c r="A566" t="inlineStr">
        <is>
          <t>CurrentWorkingView</t>
        </is>
      </c>
      <c r="B566" s="1" t="n">
        <v>4064941078081</v>
      </c>
      <c r="C566" t="inlineStr">
        <is>
          <t>P_US_ULTA</t>
        </is>
      </c>
      <c r="D566" t="inlineStr">
        <is>
          <t>System BestFit Final</t>
        </is>
      </c>
      <c r="E566" t="inlineStr">
        <is>
          <t>LT</t>
        </is>
      </c>
      <c r="F566" t="inlineStr">
        <is>
          <t>LT</t>
        </is>
      </c>
      <c r="G566" t="inlineStr">
        <is>
          <t>LT</t>
        </is>
      </c>
      <c r="H566" t="inlineStr">
        <is>
          <t>LT</t>
        </is>
      </c>
      <c r="I566" t="inlineStr">
        <is>
          <t>LT</t>
        </is>
      </c>
      <c r="J566" t="inlineStr">
        <is>
          <t>LT</t>
        </is>
      </c>
      <c r="K566" t="inlineStr">
        <is>
          <t>LT</t>
        </is>
      </c>
      <c r="L566" t="inlineStr">
        <is>
          <t>LT</t>
        </is>
      </c>
      <c r="M566" t="inlineStr">
        <is>
          <t>LT</t>
        </is>
      </c>
      <c r="N566" t="inlineStr">
        <is>
          <t>LT</t>
        </is>
      </c>
      <c r="O566" t="inlineStr">
        <is>
          <t>LT</t>
        </is>
      </c>
      <c r="P566" t="inlineStr">
        <is>
          <t>LT</t>
        </is>
      </c>
    </row>
    <row r="567">
      <c r="A567" t="inlineStr">
        <is>
          <t>CurrentWorkingView</t>
        </is>
      </c>
      <c r="B567" s="1" t="n">
        <v>4064941078081</v>
      </c>
      <c r="C567" t="inlineStr">
        <is>
          <t>P_US_ULTA</t>
        </is>
      </c>
      <c r="D567" t="inlineStr">
        <is>
          <t>System Bestfit Model ST</t>
        </is>
      </c>
    </row>
    <row r="568">
      <c r="A568" t="inlineStr">
        <is>
          <t>CurrentWorkingView</t>
        </is>
      </c>
      <c r="B568" s="1" t="n">
        <v>4064941078081</v>
      </c>
      <c r="C568" t="inlineStr">
        <is>
          <t>P_US_ULTA</t>
        </is>
      </c>
      <c r="D568" t="inlineStr">
        <is>
          <t>Planner BestFit Model</t>
        </is>
      </c>
      <c r="E568" t="inlineStr">
        <is>
          <t>LT</t>
        </is>
      </c>
      <c r="F568" t="inlineStr">
        <is>
          <t>LT</t>
        </is>
      </c>
      <c r="G568" t="inlineStr">
        <is>
          <t>LT</t>
        </is>
      </c>
      <c r="H568" t="inlineStr">
        <is>
          <t>LT</t>
        </is>
      </c>
      <c r="I568" t="inlineStr">
        <is>
          <t>LT</t>
        </is>
      </c>
      <c r="J568" t="inlineStr">
        <is>
          <t>LT</t>
        </is>
      </c>
      <c r="K568" t="inlineStr">
        <is>
          <t>LT</t>
        </is>
      </c>
      <c r="L568" t="inlineStr">
        <is>
          <t>LT</t>
        </is>
      </c>
      <c r="M568" t="inlineStr">
        <is>
          <t>LT</t>
        </is>
      </c>
      <c r="N568" t="inlineStr">
        <is>
          <t>LT</t>
        </is>
      </c>
      <c r="O568" t="inlineStr">
        <is>
          <t>LT</t>
        </is>
      </c>
      <c r="P568" t="inlineStr">
        <is>
          <t>LT</t>
        </is>
      </c>
    </row>
    <row r="569">
      <c r="A569" t="inlineStr">
        <is>
          <t>CurrentWorkingView</t>
        </is>
      </c>
      <c r="B569" s="1" t="n">
        <v>4064941078098</v>
      </c>
      <c r="C569" t="inlineStr">
        <is>
          <t>P_US_ULTA</t>
        </is>
      </c>
      <c r="D569" t="inlineStr">
        <is>
          <t>System FC - Final</t>
        </is>
      </c>
      <c r="E569" t="n">
        <v>994</v>
      </c>
      <c r="F569" t="n">
        <v>343</v>
      </c>
      <c r="G569" t="n">
        <v>649</v>
      </c>
      <c r="H569" t="n">
        <v>212</v>
      </c>
      <c r="I569" t="n">
        <v>952</v>
      </c>
      <c r="J569" t="n">
        <v>620</v>
      </c>
      <c r="K569" t="n">
        <v>230</v>
      </c>
      <c r="L569" t="n">
        <v>212</v>
      </c>
      <c r="M569" t="n">
        <v>212</v>
      </c>
      <c r="N569" t="n">
        <v>213</v>
      </c>
      <c r="O569" t="n">
        <v>213</v>
      </c>
      <c r="P569" t="n">
        <v>213</v>
      </c>
    </row>
    <row r="570">
      <c r="A570" t="inlineStr">
        <is>
          <t>CurrentWorkingView</t>
        </is>
      </c>
      <c r="B570" s="1" t="n">
        <v>4064941078098</v>
      </c>
      <c r="C570" t="inlineStr">
        <is>
          <t>P_US_ULTA</t>
        </is>
      </c>
      <c r="D570" t="inlineStr">
        <is>
          <t>CML Fcst</t>
        </is>
      </c>
      <c r="H570" t="n">
        <v>921</v>
      </c>
      <c r="I570" t="n">
        <v>1398</v>
      </c>
      <c r="J570" t="n">
        <v>1431</v>
      </c>
      <c r="K570" t="n">
        <v>359</v>
      </c>
      <c r="L570" t="n">
        <v>0</v>
      </c>
      <c r="M570" t="n">
        <v>881</v>
      </c>
      <c r="N570" t="n">
        <v>266</v>
      </c>
      <c r="O570" t="n">
        <v>669</v>
      </c>
      <c r="P570" t="n">
        <v>185</v>
      </c>
    </row>
    <row r="571">
      <c r="A571" t="inlineStr">
        <is>
          <t>CurrentWorkingView</t>
        </is>
      </c>
      <c r="B571" s="1" t="n">
        <v>4064941078098</v>
      </c>
      <c r="C571" t="inlineStr">
        <is>
          <t>P_US_ULTA</t>
        </is>
      </c>
      <c r="D571" t="inlineStr">
        <is>
          <t>ST Stat Fcst</t>
        </is>
      </c>
      <c r="E571" t="n">
        <v>994</v>
      </c>
      <c r="F571" t="n">
        <v>343</v>
      </c>
      <c r="G571" t="n">
        <v>294</v>
      </c>
      <c r="H571" t="n">
        <v>306</v>
      </c>
      <c r="I571" t="n">
        <v>492</v>
      </c>
      <c r="J571" t="n">
        <v>820</v>
      </c>
      <c r="K571" t="n">
        <v>186</v>
      </c>
      <c r="L571" t="n">
        <v>1080</v>
      </c>
      <c r="M571" t="n">
        <v>478</v>
      </c>
      <c r="N571" t="n">
        <v>185</v>
      </c>
      <c r="O571" t="n">
        <v>753</v>
      </c>
      <c r="P571" t="n">
        <v>703</v>
      </c>
    </row>
    <row r="572">
      <c r="A572" t="inlineStr">
        <is>
          <t>CurrentWorkingView</t>
        </is>
      </c>
      <c r="B572" s="1" t="n">
        <v>4064941078098</v>
      </c>
      <c r="C572" t="inlineStr">
        <is>
          <t>P_US_ULTA</t>
        </is>
      </c>
      <c r="D572" t="inlineStr">
        <is>
          <t>LT Stat Fcst</t>
        </is>
      </c>
      <c r="H572" t="n">
        <v>212</v>
      </c>
      <c r="I572" t="n">
        <v>952</v>
      </c>
      <c r="J572" t="n">
        <v>620</v>
      </c>
      <c r="K572" t="n">
        <v>230</v>
      </c>
      <c r="L572" t="n">
        <v>212</v>
      </c>
      <c r="M572" t="n">
        <v>212</v>
      </c>
      <c r="N572" t="n">
        <v>213</v>
      </c>
      <c r="O572" t="n">
        <v>213</v>
      </c>
      <c r="P572" t="n">
        <v>213</v>
      </c>
    </row>
    <row r="573">
      <c r="A573" t="inlineStr">
        <is>
          <t>CurrentWorkingView</t>
        </is>
      </c>
      <c r="B573" s="1" t="n">
        <v>4064941078098</v>
      </c>
      <c r="C573" t="inlineStr">
        <is>
          <t>P_US_ULTA</t>
        </is>
      </c>
      <c r="D573" t="inlineStr">
        <is>
          <t>System BestFit Final</t>
        </is>
      </c>
      <c r="E573" t="inlineStr">
        <is>
          <t>LT</t>
        </is>
      </c>
      <c r="F573" t="inlineStr">
        <is>
          <t>LT</t>
        </is>
      </c>
      <c r="G573" t="inlineStr">
        <is>
          <t>LT</t>
        </is>
      </c>
      <c r="H573" t="inlineStr">
        <is>
          <t>LT</t>
        </is>
      </c>
      <c r="I573" t="inlineStr">
        <is>
          <t>LT</t>
        </is>
      </c>
      <c r="J573" t="inlineStr">
        <is>
          <t>LT</t>
        </is>
      </c>
      <c r="K573" t="inlineStr">
        <is>
          <t>LT</t>
        </is>
      </c>
      <c r="L573" t="inlineStr">
        <is>
          <t>LT</t>
        </is>
      </c>
      <c r="M573" t="inlineStr">
        <is>
          <t>LT</t>
        </is>
      </c>
      <c r="N573" t="inlineStr">
        <is>
          <t>LT</t>
        </is>
      </c>
      <c r="O573" t="inlineStr">
        <is>
          <t>LT</t>
        </is>
      </c>
      <c r="P573" t="inlineStr">
        <is>
          <t>LT</t>
        </is>
      </c>
    </row>
    <row r="574">
      <c r="A574" t="inlineStr">
        <is>
          <t>CurrentWorkingView</t>
        </is>
      </c>
      <c r="B574" s="1" t="n">
        <v>4064941078098</v>
      </c>
      <c r="C574" t="inlineStr">
        <is>
          <t>P_US_ULTA</t>
        </is>
      </c>
      <c r="D574" t="inlineStr">
        <is>
          <t>System Bestfit Model ST</t>
        </is>
      </c>
    </row>
    <row r="575">
      <c r="A575" t="inlineStr">
        <is>
          <t>CurrentWorkingView</t>
        </is>
      </c>
      <c r="B575" s="1" t="n">
        <v>4064941078098</v>
      </c>
      <c r="C575" t="inlineStr">
        <is>
          <t>P_US_ULTA</t>
        </is>
      </c>
      <c r="D575" t="inlineStr">
        <is>
          <t>Planner BestFit Model</t>
        </is>
      </c>
    </row>
    <row r="576">
      <c r="A576" t="inlineStr">
        <is>
          <t>CurrentWorkingView</t>
        </is>
      </c>
      <c r="B576" s="1" t="n">
        <v>4064941088790</v>
      </c>
      <c r="C576" t="inlineStr">
        <is>
          <t>P_US_ALL_OTHERS</t>
        </is>
      </c>
      <c r="D576" t="inlineStr">
        <is>
          <t>System FC - Final</t>
        </is>
      </c>
      <c r="E576" t="n">
        <v>57</v>
      </c>
      <c r="F576" t="n">
        <v>165</v>
      </c>
      <c r="G576" t="n">
        <v>74</v>
      </c>
      <c r="H576" t="n">
        <v>163</v>
      </c>
      <c r="I576" t="n">
        <v>102</v>
      </c>
      <c r="J576" t="n">
        <v>119</v>
      </c>
      <c r="K576" t="n">
        <v>129</v>
      </c>
      <c r="L576" t="n">
        <v>180</v>
      </c>
      <c r="M576" t="n">
        <v>160</v>
      </c>
      <c r="N576" t="n">
        <v>129</v>
      </c>
      <c r="O576" t="n">
        <v>147</v>
      </c>
      <c r="P576" t="n">
        <v>132</v>
      </c>
    </row>
    <row r="577">
      <c r="A577" t="inlineStr">
        <is>
          <t>CurrentWorkingView</t>
        </is>
      </c>
      <c r="B577" s="1" t="n">
        <v>4064941088790</v>
      </c>
      <c r="C577" t="inlineStr">
        <is>
          <t>P_US_ALL_OTHERS</t>
        </is>
      </c>
      <c r="D577" t="inlineStr">
        <is>
          <t>CML Fcst</t>
        </is>
      </c>
      <c r="H577" t="n">
        <v>164</v>
      </c>
      <c r="I577" t="n">
        <v>102</v>
      </c>
      <c r="J577" t="n">
        <v>119</v>
      </c>
      <c r="K577" t="n">
        <v>129</v>
      </c>
      <c r="L577" t="n">
        <v>180</v>
      </c>
      <c r="M577" t="n">
        <v>160</v>
      </c>
      <c r="N577" t="n">
        <v>129</v>
      </c>
      <c r="O577" t="n">
        <v>147</v>
      </c>
      <c r="P577" t="n">
        <v>132</v>
      </c>
    </row>
    <row r="578">
      <c r="A578" t="inlineStr">
        <is>
          <t>CurrentWorkingView</t>
        </is>
      </c>
      <c r="B578" s="1" t="n">
        <v>4064941088790</v>
      </c>
      <c r="C578" t="inlineStr">
        <is>
          <t>P_US_ALL_OTHERS</t>
        </is>
      </c>
      <c r="D578" t="inlineStr">
        <is>
          <t>ST Stat Fcst</t>
        </is>
      </c>
      <c r="E578" t="n">
        <v>57</v>
      </c>
      <c r="F578" t="n">
        <v>165</v>
      </c>
      <c r="G578" t="n">
        <v>41</v>
      </c>
      <c r="H578" t="n">
        <v>105</v>
      </c>
      <c r="I578" t="n">
        <v>128</v>
      </c>
      <c r="J578" t="n">
        <v>222</v>
      </c>
      <c r="K578" t="n">
        <v>31</v>
      </c>
      <c r="L578" t="n">
        <v>124</v>
      </c>
      <c r="M578" t="n">
        <v>190</v>
      </c>
      <c r="N578" t="n">
        <v>56</v>
      </c>
      <c r="O578" t="n">
        <v>75</v>
      </c>
      <c r="P578" t="n">
        <v>30</v>
      </c>
    </row>
    <row r="579">
      <c r="A579" t="inlineStr">
        <is>
          <t>CurrentWorkingView</t>
        </is>
      </c>
      <c r="B579" s="1" t="n">
        <v>4064941088790</v>
      </c>
      <c r="C579" t="inlineStr">
        <is>
          <t>P_US_ALL_OTHERS</t>
        </is>
      </c>
      <c r="D579" t="inlineStr">
        <is>
          <t>LT Stat Fcst</t>
        </is>
      </c>
      <c r="H579" t="n">
        <v>177</v>
      </c>
      <c r="I579" t="n">
        <v>128</v>
      </c>
      <c r="J579" t="n">
        <v>198</v>
      </c>
      <c r="K579" t="n">
        <v>89</v>
      </c>
      <c r="L579" t="n">
        <v>232</v>
      </c>
      <c r="M579" t="n">
        <v>244</v>
      </c>
      <c r="N579" t="n">
        <v>112</v>
      </c>
      <c r="O579" t="n">
        <v>168</v>
      </c>
      <c r="P579" t="n">
        <v>257</v>
      </c>
    </row>
    <row r="580">
      <c r="A580" t="inlineStr">
        <is>
          <t>CurrentWorkingView</t>
        </is>
      </c>
      <c r="B580" s="1" t="n">
        <v>4064941088790</v>
      </c>
      <c r="C580" t="inlineStr">
        <is>
          <t>P_US_ALL_OTHERS</t>
        </is>
      </c>
      <c r="D580" t="inlineStr">
        <is>
          <t>System BestFit Final</t>
        </is>
      </c>
      <c r="E580" t="inlineStr">
        <is>
          <t>CML</t>
        </is>
      </c>
      <c r="F580" t="inlineStr">
        <is>
          <t>CML</t>
        </is>
      </c>
      <c r="G580" t="inlineStr">
        <is>
          <t>CML</t>
        </is>
      </c>
      <c r="H580" t="inlineStr">
        <is>
          <t>CML</t>
        </is>
      </c>
      <c r="I580" t="inlineStr">
        <is>
          <t>CML</t>
        </is>
      </c>
      <c r="J580" t="inlineStr">
        <is>
          <t>CML</t>
        </is>
      </c>
      <c r="K580" t="inlineStr">
        <is>
          <t>CML</t>
        </is>
      </c>
      <c r="L580" t="inlineStr">
        <is>
          <t>CML</t>
        </is>
      </c>
      <c r="M580" t="inlineStr">
        <is>
          <t>CML</t>
        </is>
      </c>
      <c r="N580" t="inlineStr">
        <is>
          <t>CML</t>
        </is>
      </c>
      <c r="O580" t="inlineStr">
        <is>
          <t>CML</t>
        </is>
      </c>
      <c r="P580" t="inlineStr">
        <is>
          <t>CML</t>
        </is>
      </c>
    </row>
    <row r="581">
      <c r="A581" t="inlineStr">
        <is>
          <t>CurrentWorkingView</t>
        </is>
      </c>
      <c r="B581" s="1" t="n">
        <v>4064941088790</v>
      </c>
      <c r="C581" t="inlineStr">
        <is>
          <t>P_US_ALL_OTHERS</t>
        </is>
      </c>
      <c r="D581" t="inlineStr">
        <is>
          <t>System Bestfit Model ST</t>
        </is>
      </c>
    </row>
    <row r="582">
      <c r="A582" t="inlineStr">
        <is>
          <t>CurrentWorkingView</t>
        </is>
      </c>
      <c r="B582" s="1" t="n">
        <v>4064941088790</v>
      </c>
      <c r="C582" t="inlineStr">
        <is>
          <t>P_US_ALL_OTHERS</t>
        </is>
      </c>
      <c r="D582" t="inlineStr">
        <is>
          <t>Planner BestFit Model</t>
        </is>
      </c>
    </row>
    <row r="583">
      <c r="A583" t="inlineStr">
        <is>
          <t>CurrentWorkingView</t>
        </is>
      </c>
      <c r="B583" s="1" t="n">
        <v>4064941088790</v>
      </c>
      <c r="C583" t="inlineStr">
        <is>
          <t>P_US_ULTA</t>
        </is>
      </c>
      <c r="D583" t="inlineStr">
        <is>
          <t>System FC - Final</t>
        </is>
      </c>
      <c r="E583" t="n">
        <v>542</v>
      </c>
      <c r="F583" t="n">
        <v>493</v>
      </c>
      <c r="G583" t="n">
        <v>627</v>
      </c>
      <c r="H583" t="n">
        <v>863</v>
      </c>
      <c r="I583" t="n">
        <v>822</v>
      </c>
      <c r="J583" t="n">
        <v>199</v>
      </c>
      <c r="K583" t="n">
        <v>199</v>
      </c>
      <c r="L583" t="n">
        <v>200</v>
      </c>
      <c r="M583" t="n">
        <v>208</v>
      </c>
      <c r="N583" t="n">
        <v>197</v>
      </c>
      <c r="O583" t="n">
        <v>199</v>
      </c>
      <c r="P583" t="n">
        <v>198</v>
      </c>
    </row>
    <row r="584">
      <c r="A584" t="inlineStr">
        <is>
          <t>CurrentWorkingView</t>
        </is>
      </c>
      <c r="B584" s="1" t="n">
        <v>4064941088790</v>
      </c>
      <c r="C584" t="inlineStr">
        <is>
          <t>P_US_ULTA</t>
        </is>
      </c>
      <c r="D584" t="inlineStr">
        <is>
          <t>CML Fcst</t>
        </is>
      </c>
      <c r="H584" t="n">
        <v>1130</v>
      </c>
      <c r="I584" t="n">
        <v>1238</v>
      </c>
      <c r="J584" t="n">
        <v>1444</v>
      </c>
      <c r="K584" t="n">
        <v>673</v>
      </c>
      <c r="L584" t="n">
        <v>892</v>
      </c>
      <c r="M584" t="n">
        <v>2152</v>
      </c>
      <c r="N584" t="n">
        <v>1234</v>
      </c>
      <c r="O584" t="n">
        <v>943</v>
      </c>
      <c r="P584" t="n">
        <v>677</v>
      </c>
    </row>
    <row r="585">
      <c r="A585" t="inlineStr">
        <is>
          <t>CurrentWorkingView</t>
        </is>
      </c>
      <c r="B585" s="1" t="n">
        <v>4064941088790</v>
      </c>
      <c r="C585" t="inlineStr">
        <is>
          <t>P_US_ULTA</t>
        </is>
      </c>
      <c r="D585" t="inlineStr">
        <is>
          <t>ST Stat Fcst</t>
        </is>
      </c>
      <c r="E585" t="n">
        <v>542</v>
      </c>
      <c r="F585" t="n">
        <v>493</v>
      </c>
      <c r="G585" t="n">
        <v>507</v>
      </c>
      <c r="H585" t="n">
        <v>863</v>
      </c>
      <c r="I585" t="n">
        <v>822</v>
      </c>
      <c r="J585" t="n">
        <v>199</v>
      </c>
      <c r="K585" t="n">
        <v>199</v>
      </c>
      <c r="L585" t="n">
        <v>200</v>
      </c>
      <c r="M585" t="n">
        <v>208</v>
      </c>
      <c r="N585" t="n">
        <v>197</v>
      </c>
      <c r="O585" t="n">
        <v>199</v>
      </c>
      <c r="P585" t="n">
        <v>198</v>
      </c>
    </row>
    <row r="586">
      <c r="A586" t="inlineStr">
        <is>
          <t>CurrentWorkingView</t>
        </is>
      </c>
      <c r="B586" s="1" t="n">
        <v>4064941088790</v>
      </c>
      <c r="C586" t="inlineStr">
        <is>
          <t>P_US_ULTA</t>
        </is>
      </c>
      <c r="D586" t="inlineStr">
        <is>
          <t>LT Stat Fcst</t>
        </is>
      </c>
      <c r="H586" t="n">
        <v>969</v>
      </c>
      <c r="I586" t="n">
        <v>708</v>
      </c>
      <c r="J586" t="n">
        <v>1084</v>
      </c>
      <c r="K586" t="n">
        <v>482</v>
      </c>
      <c r="L586" t="n">
        <v>1280</v>
      </c>
      <c r="M586" t="n">
        <v>1342</v>
      </c>
      <c r="N586" t="n">
        <v>608</v>
      </c>
      <c r="O586" t="n">
        <v>917</v>
      </c>
      <c r="P586" t="n">
        <v>1406</v>
      </c>
    </row>
    <row r="587">
      <c r="A587" t="inlineStr">
        <is>
          <t>CurrentWorkingView</t>
        </is>
      </c>
      <c r="B587" s="1" t="n">
        <v>4064941088790</v>
      </c>
      <c r="C587" t="inlineStr">
        <is>
          <t>P_US_ULTA</t>
        </is>
      </c>
      <c r="D587" t="inlineStr">
        <is>
          <t>System BestFit Final</t>
        </is>
      </c>
      <c r="E587" t="inlineStr">
        <is>
          <t>ST</t>
        </is>
      </c>
      <c r="F587" t="inlineStr">
        <is>
          <t>ST</t>
        </is>
      </c>
      <c r="G587" t="inlineStr">
        <is>
          <t>ST</t>
        </is>
      </c>
      <c r="H587" t="inlineStr">
        <is>
          <t>ST</t>
        </is>
      </c>
      <c r="I587" t="inlineStr">
        <is>
          <t>ST</t>
        </is>
      </c>
      <c r="J587" t="inlineStr">
        <is>
          <t>ST</t>
        </is>
      </c>
      <c r="K587" t="inlineStr">
        <is>
          <t>ST</t>
        </is>
      </c>
      <c r="L587" t="inlineStr">
        <is>
          <t>ST</t>
        </is>
      </c>
      <c r="M587" t="inlineStr">
        <is>
          <t>ST</t>
        </is>
      </c>
      <c r="N587" t="inlineStr">
        <is>
          <t>ST</t>
        </is>
      </c>
      <c r="O587" t="inlineStr">
        <is>
          <t>ST</t>
        </is>
      </c>
      <c r="P587" t="inlineStr">
        <is>
          <t>ST</t>
        </is>
      </c>
    </row>
    <row r="588">
      <c r="A588" t="inlineStr">
        <is>
          <t>CurrentWorkingView</t>
        </is>
      </c>
      <c r="B588" s="1" t="n">
        <v>4064941088790</v>
      </c>
      <c r="C588" t="inlineStr">
        <is>
          <t>P_US_ULTA</t>
        </is>
      </c>
      <c r="D588" t="inlineStr">
        <is>
          <t>System Bestfit Model ST</t>
        </is>
      </c>
      <c r="E588" t="inlineStr">
        <is>
          <t>ST</t>
        </is>
      </c>
      <c r="F588" t="inlineStr">
        <is>
          <t>ST</t>
        </is>
      </c>
      <c r="G588" t="inlineStr">
        <is>
          <t>ST</t>
        </is>
      </c>
      <c r="H588" t="inlineStr">
        <is>
          <t>ST</t>
        </is>
      </c>
      <c r="I588" t="inlineStr">
        <is>
          <t>ST</t>
        </is>
      </c>
      <c r="J588" t="inlineStr">
        <is>
          <t>ST</t>
        </is>
      </c>
      <c r="K588" t="inlineStr">
        <is>
          <t>ST</t>
        </is>
      </c>
      <c r="L588" t="inlineStr">
        <is>
          <t>ST</t>
        </is>
      </c>
      <c r="M588" t="inlineStr">
        <is>
          <t>ST</t>
        </is>
      </c>
      <c r="N588" t="inlineStr">
        <is>
          <t>ST</t>
        </is>
      </c>
      <c r="O588" t="inlineStr">
        <is>
          <t>ST</t>
        </is>
      </c>
      <c r="P588" t="inlineStr">
        <is>
          <t>ST</t>
        </is>
      </c>
    </row>
    <row r="589">
      <c r="A589" t="inlineStr">
        <is>
          <t>CurrentWorkingView</t>
        </is>
      </c>
      <c r="B589" s="1" t="n">
        <v>4064941088790</v>
      </c>
      <c r="C589" t="inlineStr">
        <is>
          <t>P_US_ULTA</t>
        </is>
      </c>
      <c r="D589" t="inlineStr">
        <is>
          <t>Planner BestFit Model</t>
        </is>
      </c>
      <c r="E589" t="inlineStr">
        <is>
          <t>ST</t>
        </is>
      </c>
      <c r="F589" t="inlineStr">
        <is>
          <t>ST</t>
        </is>
      </c>
      <c r="G589" t="inlineStr">
        <is>
          <t>ST</t>
        </is>
      </c>
      <c r="H589" t="inlineStr">
        <is>
          <t>ST</t>
        </is>
      </c>
      <c r="I589" t="inlineStr">
        <is>
          <t>ST</t>
        </is>
      </c>
      <c r="J589" t="inlineStr">
        <is>
          <t>ST</t>
        </is>
      </c>
      <c r="K589" t="inlineStr">
        <is>
          <t>ST</t>
        </is>
      </c>
      <c r="L589" t="inlineStr">
        <is>
          <t>ST</t>
        </is>
      </c>
      <c r="M589" t="inlineStr">
        <is>
          <t>ST</t>
        </is>
      </c>
      <c r="N589" t="inlineStr">
        <is>
          <t>ST</t>
        </is>
      </c>
      <c r="O589" t="inlineStr">
        <is>
          <t>ST</t>
        </is>
      </c>
      <c r="P589" t="inlineStr">
        <is>
          <t>ST</t>
        </is>
      </c>
    </row>
    <row r="590">
      <c r="A590" t="inlineStr">
        <is>
          <t>CurrentWorkingView</t>
        </is>
      </c>
      <c r="B590" s="1" t="n">
        <v>4064941088844</v>
      </c>
      <c r="C590" t="inlineStr">
        <is>
          <t>P_US_ALL_OTHERS</t>
        </is>
      </c>
      <c r="D590" t="inlineStr">
        <is>
          <t>System FC - Final</t>
        </is>
      </c>
      <c r="E590" t="n">
        <v>60</v>
      </c>
      <c r="F590" t="n">
        <v>166</v>
      </c>
      <c r="G590" t="n">
        <v>69</v>
      </c>
      <c r="H590" t="n">
        <v>200</v>
      </c>
      <c r="I590" t="n">
        <v>138</v>
      </c>
      <c r="J590" t="n">
        <v>150</v>
      </c>
      <c r="K590" t="n">
        <v>150</v>
      </c>
      <c r="L590" t="n">
        <v>200</v>
      </c>
      <c r="M590" t="n">
        <v>199</v>
      </c>
      <c r="N590" t="n">
        <v>163</v>
      </c>
      <c r="O590" t="n">
        <v>177</v>
      </c>
      <c r="P590" t="n">
        <v>171</v>
      </c>
    </row>
    <row r="591">
      <c r="A591" t="inlineStr">
        <is>
          <t>CurrentWorkingView</t>
        </is>
      </c>
      <c r="B591" s="1" t="n">
        <v>4064941088844</v>
      </c>
      <c r="C591" t="inlineStr">
        <is>
          <t>P_US_ALL_OTHERS</t>
        </is>
      </c>
      <c r="D591" t="inlineStr">
        <is>
          <t>CML Fcst</t>
        </is>
      </c>
      <c r="H591" t="n">
        <v>200</v>
      </c>
      <c r="I591" t="n">
        <v>138</v>
      </c>
      <c r="J591" t="n">
        <v>150</v>
      </c>
      <c r="K591" t="n">
        <v>150</v>
      </c>
      <c r="L591" t="n">
        <v>200</v>
      </c>
      <c r="M591" t="n">
        <v>199</v>
      </c>
      <c r="N591" t="n">
        <v>163</v>
      </c>
      <c r="O591" t="n">
        <v>177</v>
      </c>
      <c r="P591" t="n">
        <v>171</v>
      </c>
    </row>
    <row r="592">
      <c r="A592" t="inlineStr">
        <is>
          <t>CurrentWorkingView</t>
        </is>
      </c>
      <c r="B592" s="1" t="n">
        <v>4064941088844</v>
      </c>
      <c r="C592" t="inlineStr">
        <is>
          <t>P_US_ALL_OTHERS</t>
        </is>
      </c>
      <c r="D592" t="inlineStr">
        <is>
          <t>ST Stat Fcst</t>
        </is>
      </c>
      <c r="E592" t="n">
        <v>60</v>
      </c>
      <c r="F592" t="n">
        <v>166</v>
      </c>
      <c r="G592" t="n">
        <v>26</v>
      </c>
      <c r="H592" t="n">
        <v>116</v>
      </c>
      <c r="I592" t="n">
        <v>78</v>
      </c>
      <c r="J592" t="n">
        <v>203</v>
      </c>
      <c r="K592" t="n">
        <v>31</v>
      </c>
      <c r="L592" t="n">
        <v>108</v>
      </c>
      <c r="M592" t="n">
        <v>49</v>
      </c>
      <c r="N592" t="n">
        <v>0</v>
      </c>
      <c r="O592" t="n">
        <v>93</v>
      </c>
      <c r="P592" t="n">
        <v>9</v>
      </c>
    </row>
    <row r="593">
      <c r="A593" t="inlineStr">
        <is>
          <t>CurrentWorkingView</t>
        </is>
      </c>
      <c r="B593" s="1" t="n">
        <v>4064941088844</v>
      </c>
      <c r="C593" t="inlineStr">
        <is>
          <t>P_US_ALL_OTHERS</t>
        </is>
      </c>
      <c r="D593" t="inlineStr">
        <is>
          <t>LT Stat Fcst</t>
        </is>
      </c>
      <c r="H593" t="n">
        <v>169</v>
      </c>
      <c r="I593" t="n">
        <v>124</v>
      </c>
      <c r="J593" t="n">
        <v>186</v>
      </c>
      <c r="K593" t="n">
        <v>80</v>
      </c>
      <c r="L593" t="n">
        <v>220</v>
      </c>
      <c r="M593" t="n">
        <v>230</v>
      </c>
      <c r="N593" t="n">
        <v>106</v>
      </c>
      <c r="O593" t="n">
        <v>160</v>
      </c>
      <c r="P593" t="n">
        <v>243</v>
      </c>
    </row>
    <row r="594">
      <c r="A594" t="inlineStr">
        <is>
          <t>CurrentWorkingView</t>
        </is>
      </c>
      <c r="B594" s="1" t="n">
        <v>4064941088844</v>
      </c>
      <c r="C594" t="inlineStr">
        <is>
          <t>P_US_ALL_OTHERS</t>
        </is>
      </c>
      <c r="D594" t="inlineStr">
        <is>
          <t>System BestFit Final</t>
        </is>
      </c>
      <c r="E594" t="inlineStr">
        <is>
          <t>CML</t>
        </is>
      </c>
      <c r="F594" t="inlineStr">
        <is>
          <t>CML</t>
        </is>
      </c>
      <c r="G594" t="inlineStr">
        <is>
          <t>CML</t>
        </is>
      </c>
      <c r="H594" t="inlineStr">
        <is>
          <t>CML</t>
        </is>
      </c>
      <c r="I594" t="inlineStr">
        <is>
          <t>CML</t>
        </is>
      </c>
      <c r="J594" t="inlineStr">
        <is>
          <t>CML</t>
        </is>
      </c>
      <c r="K594" t="inlineStr">
        <is>
          <t>CML</t>
        </is>
      </c>
      <c r="L594" t="inlineStr">
        <is>
          <t>CML</t>
        </is>
      </c>
      <c r="M594" t="inlineStr">
        <is>
          <t>CML</t>
        </is>
      </c>
      <c r="N594" t="inlineStr">
        <is>
          <t>CML</t>
        </is>
      </c>
      <c r="O594" t="inlineStr">
        <is>
          <t>CML</t>
        </is>
      </c>
      <c r="P594" t="inlineStr">
        <is>
          <t>CML</t>
        </is>
      </c>
    </row>
    <row r="595">
      <c r="A595" t="inlineStr">
        <is>
          <t>CurrentWorkingView</t>
        </is>
      </c>
      <c r="B595" s="1" t="n">
        <v>4064941088844</v>
      </c>
      <c r="C595" t="inlineStr">
        <is>
          <t>P_US_ALL_OTHERS</t>
        </is>
      </c>
      <c r="D595" t="inlineStr">
        <is>
          <t>System Bestfit Model ST</t>
        </is>
      </c>
    </row>
    <row r="596">
      <c r="A596" t="inlineStr">
        <is>
          <t>CurrentWorkingView</t>
        </is>
      </c>
      <c r="B596" s="1" t="n">
        <v>4064941088844</v>
      </c>
      <c r="C596" t="inlineStr">
        <is>
          <t>P_US_ALL_OTHERS</t>
        </is>
      </c>
      <c r="D596" t="inlineStr">
        <is>
          <t>Planner BestFit Model</t>
        </is>
      </c>
    </row>
    <row r="597">
      <c r="A597" t="inlineStr">
        <is>
          <t>CurrentWorkingView</t>
        </is>
      </c>
      <c r="B597" s="1" t="n">
        <v>4064941088844</v>
      </c>
      <c r="C597" t="inlineStr">
        <is>
          <t>P_US_ULTA</t>
        </is>
      </c>
      <c r="D597" t="inlineStr">
        <is>
          <t>System FC - Final</t>
        </is>
      </c>
      <c r="E597" t="n">
        <v>461</v>
      </c>
      <c r="F597" t="n">
        <v>407</v>
      </c>
      <c r="G597" t="n">
        <v>882</v>
      </c>
      <c r="H597" t="n">
        <v>1448</v>
      </c>
      <c r="I597" t="n">
        <v>1182</v>
      </c>
      <c r="J597" t="n">
        <v>1868</v>
      </c>
      <c r="K597" t="n">
        <v>443</v>
      </c>
      <c r="L597" t="n">
        <v>1224</v>
      </c>
      <c r="M597" t="n">
        <v>1550</v>
      </c>
      <c r="N597" t="n">
        <v>365</v>
      </c>
      <c r="O597" t="n">
        <v>1315</v>
      </c>
      <c r="P597" t="n">
        <v>1131</v>
      </c>
    </row>
    <row r="598">
      <c r="A598" t="inlineStr">
        <is>
          <t>CurrentWorkingView</t>
        </is>
      </c>
      <c r="B598" s="1" t="n">
        <v>4064941088844</v>
      </c>
      <c r="C598" t="inlineStr">
        <is>
          <t>P_US_ULTA</t>
        </is>
      </c>
      <c r="D598" t="inlineStr">
        <is>
          <t>CML Fcst</t>
        </is>
      </c>
      <c r="H598" t="n">
        <v>2883</v>
      </c>
      <c r="I598" t="n">
        <v>1608</v>
      </c>
      <c r="J598" t="n">
        <v>2343</v>
      </c>
      <c r="K598" t="n">
        <v>1032</v>
      </c>
      <c r="L598" t="n">
        <v>2892</v>
      </c>
      <c r="M598" t="n">
        <v>4380</v>
      </c>
      <c r="N598" t="n">
        <v>2258</v>
      </c>
      <c r="O598" t="n">
        <v>1873</v>
      </c>
      <c r="P598" t="n">
        <v>969</v>
      </c>
    </row>
    <row r="599">
      <c r="A599" t="inlineStr">
        <is>
          <t>CurrentWorkingView</t>
        </is>
      </c>
      <c r="B599" s="1" t="n">
        <v>4064941088844</v>
      </c>
      <c r="C599" t="inlineStr">
        <is>
          <t>P_US_ULTA</t>
        </is>
      </c>
      <c r="D599" t="inlineStr">
        <is>
          <t>ST Stat Fcst</t>
        </is>
      </c>
      <c r="E599" t="n">
        <v>461</v>
      </c>
      <c r="F599" t="n">
        <v>407</v>
      </c>
      <c r="G599" t="n">
        <v>882</v>
      </c>
      <c r="H599" t="n">
        <v>1448</v>
      </c>
      <c r="I599" t="n">
        <v>1182</v>
      </c>
      <c r="J599" t="n">
        <v>1868</v>
      </c>
      <c r="K599" t="n">
        <v>443</v>
      </c>
      <c r="L599" t="n">
        <v>1224</v>
      </c>
      <c r="M599" t="n">
        <v>1550</v>
      </c>
      <c r="N599" t="n">
        <v>365</v>
      </c>
      <c r="O599" t="n">
        <v>1315</v>
      </c>
      <c r="P599" t="n">
        <v>1131</v>
      </c>
    </row>
    <row r="600">
      <c r="A600" t="inlineStr">
        <is>
          <t>CurrentWorkingView</t>
        </is>
      </c>
      <c r="B600" s="1" t="n">
        <v>4064941088844</v>
      </c>
      <c r="C600" t="inlineStr">
        <is>
          <t>P_US_ULTA</t>
        </is>
      </c>
      <c r="D600" t="inlineStr">
        <is>
          <t>LT Stat Fcst</t>
        </is>
      </c>
      <c r="H600" t="n">
        <v>1463</v>
      </c>
      <c r="I600" t="n">
        <v>1070</v>
      </c>
      <c r="J600" t="n">
        <v>1639</v>
      </c>
      <c r="K600" t="n">
        <v>731</v>
      </c>
      <c r="L600" t="n">
        <v>1940</v>
      </c>
      <c r="M600" t="n">
        <v>2033</v>
      </c>
      <c r="N600" t="n">
        <v>921</v>
      </c>
      <c r="O600" t="n">
        <v>1387</v>
      </c>
      <c r="P600" t="n">
        <v>2130</v>
      </c>
    </row>
    <row r="601">
      <c r="A601" t="inlineStr">
        <is>
          <t>CurrentWorkingView</t>
        </is>
      </c>
      <c r="B601" s="1" t="n">
        <v>4064941088844</v>
      </c>
      <c r="C601" t="inlineStr">
        <is>
          <t>P_US_ULTA</t>
        </is>
      </c>
      <c r="D601" t="inlineStr">
        <is>
          <t>System BestFit Final</t>
        </is>
      </c>
      <c r="E601" t="inlineStr">
        <is>
          <t>ST</t>
        </is>
      </c>
      <c r="F601" t="inlineStr">
        <is>
          <t>ST</t>
        </is>
      </c>
      <c r="G601" t="inlineStr">
        <is>
          <t>ST</t>
        </is>
      </c>
      <c r="H601" t="inlineStr">
        <is>
          <t>ST</t>
        </is>
      </c>
      <c r="I601" t="inlineStr">
        <is>
          <t>ST</t>
        </is>
      </c>
      <c r="J601" t="inlineStr">
        <is>
          <t>ST</t>
        </is>
      </c>
      <c r="K601" t="inlineStr">
        <is>
          <t>ST</t>
        </is>
      </c>
      <c r="L601" t="inlineStr">
        <is>
          <t>ST</t>
        </is>
      </c>
      <c r="M601" t="inlineStr">
        <is>
          <t>ST</t>
        </is>
      </c>
      <c r="N601" t="inlineStr">
        <is>
          <t>ST</t>
        </is>
      </c>
      <c r="O601" t="inlineStr">
        <is>
          <t>ST</t>
        </is>
      </c>
      <c r="P601" t="inlineStr">
        <is>
          <t>ST</t>
        </is>
      </c>
    </row>
    <row r="602">
      <c r="A602" t="inlineStr">
        <is>
          <t>CurrentWorkingView</t>
        </is>
      </c>
      <c r="B602" s="1" t="n">
        <v>4064941088844</v>
      </c>
      <c r="C602" t="inlineStr">
        <is>
          <t>P_US_ULTA</t>
        </is>
      </c>
      <c r="D602" t="inlineStr">
        <is>
          <t>System Bestfit Model ST</t>
        </is>
      </c>
      <c r="E602" t="inlineStr">
        <is>
          <t>ST</t>
        </is>
      </c>
      <c r="F602" t="inlineStr">
        <is>
          <t>ST</t>
        </is>
      </c>
      <c r="G602" t="inlineStr">
        <is>
          <t>ST</t>
        </is>
      </c>
      <c r="H602" t="inlineStr">
        <is>
          <t>ST</t>
        </is>
      </c>
      <c r="I602" t="inlineStr">
        <is>
          <t>ST</t>
        </is>
      </c>
      <c r="J602" t="inlineStr">
        <is>
          <t>ST</t>
        </is>
      </c>
      <c r="K602" t="inlineStr">
        <is>
          <t>ST</t>
        </is>
      </c>
      <c r="L602" t="inlineStr">
        <is>
          <t>ST</t>
        </is>
      </c>
      <c r="M602" t="inlineStr">
        <is>
          <t>ST</t>
        </is>
      </c>
      <c r="N602" t="inlineStr">
        <is>
          <t>ST</t>
        </is>
      </c>
      <c r="O602" t="inlineStr">
        <is>
          <t>ST</t>
        </is>
      </c>
      <c r="P602" t="inlineStr">
        <is>
          <t>ST</t>
        </is>
      </c>
    </row>
    <row r="603">
      <c r="A603" t="inlineStr">
        <is>
          <t>CurrentWorkingView</t>
        </is>
      </c>
      <c r="B603" s="1" t="n">
        <v>4064941088844</v>
      </c>
      <c r="C603" t="inlineStr">
        <is>
          <t>P_US_ULTA</t>
        </is>
      </c>
      <c r="D603" t="inlineStr">
        <is>
          <t>Planner BestFit Model</t>
        </is>
      </c>
      <c r="E603" t="inlineStr">
        <is>
          <t>ST</t>
        </is>
      </c>
      <c r="F603" t="inlineStr">
        <is>
          <t>ST</t>
        </is>
      </c>
      <c r="G603" t="inlineStr">
        <is>
          <t>ST</t>
        </is>
      </c>
      <c r="H603" t="inlineStr">
        <is>
          <t>ST</t>
        </is>
      </c>
      <c r="I603" t="inlineStr">
        <is>
          <t>ST</t>
        </is>
      </c>
      <c r="J603" t="inlineStr">
        <is>
          <t>ST</t>
        </is>
      </c>
      <c r="K603" t="inlineStr">
        <is>
          <t>ST</t>
        </is>
      </c>
      <c r="L603" t="inlineStr">
        <is>
          <t>ST</t>
        </is>
      </c>
      <c r="M603" t="inlineStr">
        <is>
          <t>ST</t>
        </is>
      </c>
      <c r="N603" t="inlineStr">
        <is>
          <t>ST</t>
        </is>
      </c>
      <c r="O603" t="inlineStr">
        <is>
          <t>ST</t>
        </is>
      </c>
      <c r="P603" t="inlineStr">
        <is>
          <t>ST</t>
        </is>
      </c>
    </row>
    <row r="604">
      <c r="A604" t="inlineStr">
        <is>
          <t>CurrentWorkingView</t>
        </is>
      </c>
      <c r="B604" s="1" t="n">
        <v>4064941091400</v>
      </c>
      <c r="C604" t="inlineStr">
        <is>
          <t>P_US_ULTA</t>
        </is>
      </c>
      <c r="D604" t="inlineStr">
        <is>
          <t>System FC - Final</t>
        </is>
      </c>
      <c r="E604" t="n">
        <v>183</v>
      </c>
      <c r="F604" t="n">
        <v>444</v>
      </c>
      <c r="G604" t="n">
        <v>386</v>
      </c>
      <c r="H604" t="n">
        <v>323</v>
      </c>
      <c r="I604" t="n">
        <v>8</v>
      </c>
      <c r="J604" t="n">
        <v>577</v>
      </c>
      <c r="K604" t="n">
        <v>429</v>
      </c>
      <c r="L604" t="n">
        <v>528</v>
      </c>
      <c r="M604" t="n">
        <v>363</v>
      </c>
      <c r="N604" t="n">
        <v>5</v>
      </c>
      <c r="O604" t="n">
        <v>142</v>
      </c>
      <c r="P604" t="n">
        <v>4</v>
      </c>
    </row>
    <row r="605">
      <c r="A605" t="inlineStr">
        <is>
          <t>CurrentWorkingView</t>
        </is>
      </c>
      <c r="B605" s="1" t="n">
        <v>4064941091400</v>
      </c>
      <c r="C605" t="inlineStr">
        <is>
          <t>P_US_ULTA</t>
        </is>
      </c>
      <c r="D605" t="inlineStr">
        <is>
          <t>CML Fcst</t>
        </is>
      </c>
      <c r="H605" t="n">
        <v>293</v>
      </c>
      <c r="I605" t="n">
        <v>334</v>
      </c>
      <c r="J605" t="n">
        <v>358</v>
      </c>
      <c r="K605" t="n">
        <v>248</v>
      </c>
      <c r="L605" t="n">
        <v>348</v>
      </c>
      <c r="M605" t="n">
        <v>345</v>
      </c>
      <c r="N605" t="n">
        <v>180</v>
      </c>
      <c r="O605" t="n">
        <v>256</v>
      </c>
      <c r="P605" t="n">
        <v>313</v>
      </c>
    </row>
    <row r="606">
      <c r="A606" t="inlineStr">
        <is>
          <t>CurrentWorkingView</t>
        </is>
      </c>
      <c r="B606" s="1" t="n">
        <v>4064941091400</v>
      </c>
      <c r="C606" t="inlineStr">
        <is>
          <t>P_US_ULTA</t>
        </is>
      </c>
      <c r="D606" t="inlineStr">
        <is>
          <t>ST Stat Fcst</t>
        </is>
      </c>
      <c r="E606" t="n">
        <v>183</v>
      </c>
      <c r="F606" t="n">
        <v>444</v>
      </c>
      <c r="G606" t="n">
        <v>189</v>
      </c>
      <c r="H606" t="n">
        <v>71</v>
      </c>
      <c r="I606" t="n">
        <v>0</v>
      </c>
      <c r="J606" t="n">
        <v>71</v>
      </c>
      <c r="K606" t="n">
        <v>146</v>
      </c>
      <c r="L606" t="n">
        <v>16</v>
      </c>
      <c r="M606" t="n">
        <v>403</v>
      </c>
      <c r="N606" t="n">
        <v>437</v>
      </c>
      <c r="O606" t="n">
        <v>403</v>
      </c>
      <c r="P606" t="n">
        <v>506</v>
      </c>
    </row>
    <row r="607">
      <c r="A607" t="inlineStr">
        <is>
          <t>CurrentWorkingView</t>
        </is>
      </c>
      <c r="B607" s="1" t="n">
        <v>4064941091400</v>
      </c>
      <c r="C607" t="inlineStr">
        <is>
          <t>P_US_ULTA</t>
        </is>
      </c>
      <c r="D607" t="inlineStr">
        <is>
          <t>LT Stat Fcst</t>
        </is>
      </c>
      <c r="H607" t="n">
        <v>323</v>
      </c>
      <c r="I607" t="n">
        <v>8</v>
      </c>
      <c r="J607" t="n">
        <v>577</v>
      </c>
      <c r="K607" t="n">
        <v>429</v>
      </c>
      <c r="L607" t="n">
        <v>528</v>
      </c>
      <c r="M607" t="n">
        <v>363</v>
      </c>
      <c r="N607" t="n">
        <v>5</v>
      </c>
      <c r="O607" t="n">
        <v>142</v>
      </c>
      <c r="P607" t="n">
        <v>4</v>
      </c>
    </row>
    <row r="608">
      <c r="A608" t="inlineStr">
        <is>
          <t>CurrentWorkingView</t>
        </is>
      </c>
      <c r="B608" s="1" t="n">
        <v>4064941091400</v>
      </c>
      <c r="C608" t="inlineStr">
        <is>
          <t>P_US_ULTA</t>
        </is>
      </c>
      <c r="D608" t="inlineStr">
        <is>
          <t>System BestFit Final</t>
        </is>
      </c>
      <c r="E608" t="inlineStr">
        <is>
          <t>LT</t>
        </is>
      </c>
      <c r="F608" t="inlineStr">
        <is>
          <t>LT</t>
        </is>
      </c>
      <c r="G608" t="inlineStr">
        <is>
          <t>LT</t>
        </is>
      </c>
      <c r="H608" t="inlineStr">
        <is>
          <t>LT</t>
        </is>
      </c>
      <c r="I608" t="inlineStr">
        <is>
          <t>LT</t>
        </is>
      </c>
      <c r="J608" t="inlineStr">
        <is>
          <t>LT</t>
        </is>
      </c>
      <c r="K608" t="inlineStr">
        <is>
          <t>LT</t>
        </is>
      </c>
      <c r="L608" t="inlineStr">
        <is>
          <t>LT</t>
        </is>
      </c>
      <c r="M608" t="inlineStr">
        <is>
          <t>LT</t>
        </is>
      </c>
      <c r="N608" t="inlineStr">
        <is>
          <t>LT</t>
        </is>
      </c>
      <c r="O608" t="inlineStr">
        <is>
          <t>LT</t>
        </is>
      </c>
      <c r="P608" t="inlineStr">
        <is>
          <t>LT</t>
        </is>
      </c>
    </row>
    <row r="609">
      <c r="A609" t="inlineStr">
        <is>
          <t>CurrentWorkingView</t>
        </is>
      </c>
      <c r="B609" s="1" t="n">
        <v>4064941091400</v>
      </c>
      <c r="C609" t="inlineStr">
        <is>
          <t>P_US_ULTA</t>
        </is>
      </c>
      <c r="D609" t="inlineStr">
        <is>
          <t>System Bestfit Model ST</t>
        </is>
      </c>
    </row>
    <row r="610">
      <c r="A610" t="inlineStr">
        <is>
          <t>CurrentWorkingView</t>
        </is>
      </c>
      <c r="B610" s="1" t="n">
        <v>4064941091400</v>
      </c>
      <c r="C610" t="inlineStr">
        <is>
          <t>P_US_ULTA</t>
        </is>
      </c>
      <c r="D610" t="inlineStr">
        <is>
          <t>Planner BestFit Model</t>
        </is>
      </c>
      <c r="E610" t="inlineStr">
        <is>
          <t>LT</t>
        </is>
      </c>
      <c r="F610" t="inlineStr">
        <is>
          <t>LT</t>
        </is>
      </c>
      <c r="G610" t="inlineStr">
        <is>
          <t>LT</t>
        </is>
      </c>
      <c r="H610" t="inlineStr">
        <is>
          <t>LT</t>
        </is>
      </c>
      <c r="I610" t="inlineStr">
        <is>
          <t>LT</t>
        </is>
      </c>
      <c r="J610" t="inlineStr">
        <is>
          <t>LT</t>
        </is>
      </c>
      <c r="K610" t="inlineStr">
        <is>
          <t>LT</t>
        </is>
      </c>
      <c r="L610" t="inlineStr">
        <is>
          <t>LT</t>
        </is>
      </c>
      <c r="M610" t="inlineStr">
        <is>
          <t>LT</t>
        </is>
      </c>
      <c r="N610" t="inlineStr">
        <is>
          <t>LT</t>
        </is>
      </c>
      <c r="O610" t="inlineStr">
        <is>
          <t>LT</t>
        </is>
      </c>
      <c r="P610" t="inlineStr">
        <is>
          <t>LT</t>
        </is>
      </c>
    </row>
    <row r="611">
      <c r="A611" t="inlineStr">
        <is>
          <t>CurrentWorkingView</t>
        </is>
      </c>
      <c r="B611" s="1" t="n">
        <v>4064941092797</v>
      </c>
      <c r="C611" t="inlineStr">
        <is>
          <t>P_US_ALL_OTHERS</t>
        </is>
      </c>
      <c r="D611" t="inlineStr">
        <is>
          <t>System FC - Final</t>
        </is>
      </c>
      <c r="E611" t="n">
        <v>281</v>
      </c>
      <c r="F611" t="n">
        <v>958</v>
      </c>
      <c r="G611" t="n">
        <v>219</v>
      </c>
      <c r="H611" t="n">
        <v>419</v>
      </c>
      <c r="I611" t="n">
        <v>360</v>
      </c>
      <c r="J611" t="n">
        <v>279</v>
      </c>
      <c r="K611" t="n">
        <v>1081</v>
      </c>
      <c r="L611" t="n">
        <v>600</v>
      </c>
      <c r="M611" t="n">
        <v>478</v>
      </c>
      <c r="N611" t="n">
        <v>437</v>
      </c>
      <c r="O611" t="n">
        <v>983</v>
      </c>
      <c r="P611" t="n">
        <v>321</v>
      </c>
    </row>
    <row r="612">
      <c r="A612" t="inlineStr">
        <is>
          <t>CurrentWorkingView</t>
        </is>
      </c>
      <c r="B612" s="1" t="n">
        <v>4064941092797</v>
      </c>
      <c r="C612" t="inlineStr">
        <is>
          <t>P_US_ALL_OTHERS</t>
        </is>
      </c>
      <c r="D612" t="inlineStr">
        <is>
          <t>CML Fcst</t>
        </is>
      </c>
      <c r="H612" t="n">
        <v>420</v>
      </c>
      <c r="I612" t="n">
        <v>360</v>
      </c>
      <c r="J612" t="n">
        <v>279</v>
      </c>
      <c r="K612" t="n">
        <v>1081</v>
      </c>
      <c r="L612" t="n">
        <v>600</v>
      </c>
      <c r="M612" t="n">
        <v>478</v>
      </c>
      <c r="N612" t="n">
        <v>437</v>
      </c>
      <c r="O612" t="n">
        <v>983</v>
      </c>
      <c r="P612" t="n">
        <v>321</v>
      </c>
    </row>
    <row r="613">
      <c r="A613" t="inlineStr">
        <is>
          <t>CurrentWorkingView</t>
        </is>
      </c>
      <c r="B613" s="1" t="n">
        <v>4064941092797</v>
      </c>
      <c r="C613" t="inlineStr">
        <is>
          <t>P_US_ALL_OTHERS</t>
        </is>
      </c>
      <c r="D613" t="inlineStr">
        <is>
          <t>ST Stat Fcst</t>
        </is>
      </c>
      <c r="E613" t="n">
        <v>281</v>
      </c>
      <c r="F613" t="n">
        <v>958</v>
      </c>
      <c r="G613" t="n">
        <v>264</v>
      </c>
      <c r="H613" t="n">
        <v>191</v>
      </c>
      <c r="I613" t="n">
        <v>172</v>
      </c>
      <c r="J613" t="n">
        <v>315</v>
      </c>
      <c r="K613" t="n">
        <v>651</v>
      </c>
      <c r="L613" t="n">
        <v>384</v>
      </c>
      <c r="M613" t="n">
        <v>212</v>
      </c>
      <c r="N613" t="n">
        <v>365</v>
      </c>
      <c r="O613" t="n">
        <v>425</v>
      </c>
      <c r="P613" t="n">
        <v>120</v>
      </c>
    </row>
    <row r="614">
      <c r="A614" t="inlineStr">
        <is>
          <t>CurrentWorkingView</t>
        </is>
      </c>
      <c r="B614" s="1" t="n">
        <v>4064941092797</v>
      </c>
      <c r="C614" t="inlineStr">
        <is>
          <t>P_US_ALL_OTHERS</t>
        </is>
      </c>
      <c r="D614" t="inlineStr">
        <is>
          <t>LT Stat Fcst</t>
        </is>
      </c>
      <c r="H614" t="n">
        <v>611</v>
      </c>
      <c r="I614" t="n">
        <v>376</v>
      </c>
      <c r="J614" t="n">
        <v>519</v>
      </c>
      <c r="K614" t="n">
        <v>1090</v>
      </c>
      <c r="L614" t="n">
        <v>788</v>
      </c>
      <c r="M614" t="n">
        <v>810</v>
      </c>
      <c r="N614" t="n">
        <v>715</v>
      </c>
      <c r="O614" t="n">
        <v>566</v>
      </c>
      <c r="P614" t="n">
        <v>254</v>
      </c>
    </row>
    <row r="615">
      <c r="A615" t="inlineStr">
        <is>
          <t>CurrentWorkingView</t>
        </is>
      </c>
      <c r="B615" s="1" t="n">
        <v>4064941092797</v>
      </c>
      <c r="C615" t="inlineStr">
        <is>
          <t>P_US_ALL_OTHERS</t>
        </is>
      </c>
      <c r="D615" t="inlineStr">
        <is>
          <t>System BestFit Final</t>
        </is>
      </c>
      <c r="E615" t="inlineStr">
        <is>
          <t>CML</t>
        </is>
      </c>
      <c r="F615" t="inlineStr">
        <is>
          <t>CML</t>
        </is>
      </c>
      <c r="G615" t="inlineStr">
        <is>
          <t>CML</t>
        </is>
      </c>
      <c r="H615" t="inlineStr">
        <is>
          <t>CML</t>
        </is>
      </c>
      <c r="I615" t="inlineStr">
        <is>
          <t>CML</t>
        </is>
      </c>
      <c r="J615" t="inlineStr">
        <is>
          <t>CML</t>
        </is>
      </c>
      <c r="K615" t="inlineStr">
        <is>
          <t>CML</t>
        </is>
      </c>
      <c r="L615" t="inlineStr">
        <is>
          <t>CML</t>
        </is>
      </c>
      <c r="M615" t="inlineStr">
        <is>
          <t>CML</t>
        </is>
      </c>
      <c r="N615" t="inlineStr">
        <is>
          <t>CML</t>
        </is>
      </c>
      <c r="O615" t="inlineStr">
        <is>
          <t>CML</t>
        </is>
      </c>
      <c r="P615" t="inlineStr">
        <is>
          <t>CML</t>
        </is>
      </c>
    </row>
    <row r="616">
      <c r="A616" t="inlineStr">
        <is>
          <t>CurrentWorkingView</t>
        </is>
      </c>
      <c r="B616" s="1" t="n">
        <v>4064941092797</v>
      </c>
      <c r="C616" t="inlineStr">
        <is>
          <t>P_US_ALL_OTHERS</t>
        </is>
      </c>
      <c r="D616" t="inlineStr">
        <is>
          <t>System Bestfit Model ST</t>
        </is>
      </c>
    </row>
    <row r="617">
      <c r="A617" t="inlineStr">
        <is>
          <t>CurrentWorkingView</t>
        </is>
      </c>
      <c r="B617" s="1" t="n">
        <v>4064941092797</v>
      </c>
      <c r="C617" t="inlineStr">
        <is>
          <t>P_US_ALL_OTHERS</t>
        </is>
      </c>
      <c r="D617" t="inlineStr">
        <is>
          <t>Planner BestFit Model</t>
        </is>
      </c>
    </row>
    <row r="618">
      <c r="A618" t="inlineStr">
        <is>
          <t>CurrentWorkingView</t>
        </is>
      </c>
      <c r="B618" s="1" t="n">
        <v>4064941092797</v>
      </c>
      <c r="C618" t="inlineStr">
        <is>
          <t>P_US_ULTA</t>
        </is>
      </c>
      <c r="D618" t="inlineStr">
        <is>
          <t>System FC - Final</t>
        </is>
      </c>
      <c r="G618" t="n">
        <v>22</v>
      </c>
      <c r="H618" t="n">
        <v>26</v>
      </c>
      <c r="I618" t="n">
        <v>30</v>
      </c>
      <c r="J618" t="n">
        <v>54</v>
      </c>
      <c r="K618" t="n">
        <v>22</v>
      </c>
      <c r="L618" t="n">
        <v>40</v>
      </c>
      <c r="M618" t="n">
        <v>22</v>
      </c>
      <c r="N618" t="n">
        <v>21</v>
      </c>
      <c r="O618" t="n">
        <v>9</v>
      </c>
      <c r="P618" t="n">
        <v>13</v>
      </c>
    </row>
    <row r="619">
      <c r="A619" t="inlineStr">
        <is>
          <t>CurrentWorkingView</t>
        </is>
      </c>
      <c r="B619" s="1" t="n">
        <v>4064941092797</v>
      </c>
      <c r="C619" t="inlineStr">
        <is>
          <t>P_US_ULTA</t>
        </is>
      </c>
      <c r="D619" t="inlineStr">
        <is>
          <t>CML Fcst</t>
        </is>
      </c>
      <c r="H619" t="n">
        <v>257</v>
      </c>
      <c r="I619" t="n">
        <v>112</v>
      </c>
      <c r="J619" t="n">
        <v>14</v>
      </c>
      <c r="K619" t="n">
        <v>58</v>
      </c>
      <c r="L619" t="n">
        <v>164</v>
      </c>
      <c r="M619" t="n">
        <v>53</v>
      </c>
      <c r="N619" t="n">
        <v>343</v>
      </c>
      <c r="O619" t="n">
        <v>27</v>
      </c>
      <c r="P619" t="n">
        <v>0</v>
      </c>
    </row>
    <row r="620">
      <c r="A620" t="inlineStr">
        <is>
          <t>CurrentWorkingView</t>
        </is>
      </c>
      <c r="B620" s="1" t="n">
        <v>4064941092797</v>
      </c>
      <c r="C620" t="inlineStr">
        <is>
          <t>P_US_ULTA</t>
        </is>
      </c>
      <c r="D620" t="inlineStr">
        <is>
          <t>ST Stat Fcst</t>
        </is>
      </c>
      <c r="G620" t="n">
        <v>14</v>
      </c>
      <c r="H620" t="n">
        <v>26</v>
      </c>
      <c r="I620" t="n">
        <v>30</v>
      </c>
      <c r="J620" t="n">
        <v>54</v>
      </c>
      <c r="K620" t="n">
        <v>22</v>
      </c>
      <c r="L620" t="n">
        <v>40</v>
      </c>
      <c r="M620" t="n">
        <v>22</v>
      </c>
      <c r="N620" t="n">
        <v>21</v>
      </c>
      <c r="O620" t="n">
        <v>9</v>
      </c>
      <c r="P620" t="n">
        <v>13</v>
      </c>
    </row>
    <row r="621">
      <c r="A621" t="inlineStr">
        <is>
          <t>CurrentWorkingView</t>
        </is>
      </c>
      <c r="B621" s="1" t="n">
        <v>4064941092797</v>
      </c>
      <c r="C621" t="inlineStr">
        <is>
          <t>P_US_ULTA</t>
        </is>
      </c>
      <c r="D621" t="inlineStr">
        <is>
          <t>LT Stat Fcst</t>
        </is>
      </c>
      <c r="H621" t="n">
        <v>26</v>
      </c>
      <c r="I621" t="n">
        <v>16</v>
      </c>
      <c r="J621" t="n">
        <v>22</v>
      </c>
      <c r="K621" t="n">
        <v>44</v>
      </c>
      <c r="L621" t="n">
        <v>32</v>
      </c>
      <c r="M621" t="n">
        <v>31</v>
      </c>
      <c r="N621" t="n">
        <v>30</v>
      </c>
      <c r="O621" t="n">
        <v>22</v>
      </c>
      <c r="P621" t="n">
        <v>9</v>
      </c>
    </row>
    <row r="622">
      <c r="A622" t="inlineStr">
        <is>
          <t>CurrentWorkingView</t>
        </is>
      </c>
      <c r="B622" s="1" t="n">
        <v>4064941092797</v>
      </c>
      <c r="C622" t="inlineStr">
        <is>
          <t>P_US_ULTA</t>
        </is>
      </c>
      <c r="D622" t="inlineStr">
        <is>
          <t>System BestFit Final</t>
        </is>
      </c>
      <c r="G622" t="inlineStr">
        <is>
          <t>ST</t>
        </is>
      </c>
      <c r="H622" t="inlineStr">
        <is>
          <t>ST</t>
        </is>
      </c>
      <c r="I622" t="inlineStr">
        <is>
          <t>ST</t>
        </is>
      </c>
      <c r="J622" t="inlineStr">
        <is>
          <t>ST</t>
        </is>
      </c>
      <c r="K622" t="inlineStr">
        <is>
          <t>ST</t>
        </is>
      </c>
      <c r="L622" t="inlineStr">
        <is>
          <t>ST</t>
        </is>
      </c>
      <c r="M622" t="inlineStr">
        <is>
          <t>ST</t>
        </is>
      </c>
      <c r="N622" t="inlineStr">
        <is>
          <t>ST</t>
        </is>
      </c>
      <c r="O622" t="inlineStr">
        <is>
          <t>ST</t>
        </is>
      </c>
      <c r="P622" t="inlineStr">
        <is>
          <t>ST</t>
        </is>
      </c>
    </row>
    <row r="623">
      <c r="A623" t="inlineStr">
        <is>
          <t>CurrentWorkingView</t>
        </is>
      </c>
      <c r="B623" s="1" t="n">
        <v>4064941092797</v>
      </c>
      <c r="C623" t="inlineStr">
        <is>
          <t>P_US_ULTA</t>
        </is>
      </c>
      <c r="D623" t="inlineStr">
        <is>
          <t>System Bestfit Model ST</t>
        </is>
      </c>
      <c r="G623" t="inlineStr">
        <is>
          <t>ST</t>
        </is>
      </c>
      <c r="H623" t="inlineStr">
        <is>
          <t>ST</t>
        </is>
      </c>
      <c r="I623" t="inlineStr">
        <is>
          <t>ST</t>
        </is>
      </c>
      <c r="J623" t="inlineStr">
        <is>
          <t>ST</t>
        </is>
      </c>
      <c r="K623" t="inlineStr">
        <is>
          <t>ST</t>
        </is>
      </c>
      <c r="L623" t="inlineStr">
        <is>
          <t>ST</t>
        </is>
      </c>
      <c r="M623" t="inlineStr">
        <is>
          <t>ST</t>
        </is>
      </c>
      <c r="N623" t="inlineStr">
        <is>
          <t>ST</t>
        </is>
      </c>
      <c r="O623" t="inlineStr">
        <is>
          <t>ST</t>
        </is>
      </c>
      <c r="P623" t="inlineStr">
        <is>
          <t>ST</t>
        </is>
      </c>
    </row>
    <row r="624">
      <c r="A624" t="inlineStr">
        <is>
          <t>CurrentWorkingView</t>
        </is>
      </c>
      <c r="B624" s="1" t="n">
        <v>4064941092797</v>
      </c>
      <c r="C624" t="inlineStr">
        <is>
          <t>P_US_ULTA</t>
        </is>
      </c>
      <c r="D624" t="inlineStr">
        <is>
          <t>Planner BestFit Model</t>
        </is>
      </c>
    </row>
    <row r="625">
      <c r="A625" t="inlineStr">
        <is>
          <t>CurrentWorkingView</t>
        </is>
      </c>
      <c r="B625" s="1" t="n">
        <v>4064941111719</v>
      </c>
      <c r="C625" t="inlineStr">
        <is>
          <t>P_US_ALL_OTHERS</t>
        </is>
      </c>
      <c r="D625" t="inlineStr">
        <is>
          <t>System FC - Final</t>
        </is>
      </c>
      <c r="E625" t="n">
        <v>532</v>
      </c>
      <c r="F625" t="n">
        <v>1932</v>
      </c>
      <c r="G625" t="n">
        <v>113</v>
      </c>
      <c r="H625" t="n">
        <v>1387</v>
      </c>
      <c r="I625" t="n">
        <v>1383</v>
      </c>
      <c r="J625" t="n">
        <v>1386</v>
      </c>
      <c r="K625" t="n">
        <v>1386</v>
      </c>
      <c r="L625" t="n">
        <v>1384</v>
      </c>
      <c r="M625" t="n">
        <v>1386</v>
      </c>
      <c r="N625" t="n">
        <v>1385</v>
      </c>
      <c r="O625" t="n">
        <v>1386</v>
      </c>
      <c r="P625" t="n">
        <v>1384</v>
      </c>
    </row>
    <row r="626">
      <c r="A626" t="inlineStr">
        <is>
          <t>CurrentWorkingView</t>
        </is>
      </c>
      <c r="B626" s="1" t="n">
        <v>4064941111719</v>
      </c>
      <c r="C626" t="inlineStr">
        <is>
          <t>P_US_ALL_OTHERS</t>
        </is>
      </c>
      <c r="D626" t="inlineStr">
        <is>
          <t>CML Fcst</t>
        </is>
      </c>
      <c r="H626" t="n">
        <v>642</v>
      </c>
      <c r="I626" t="n">
        <v>536</v>
      </c>
      <c r="J626" t="n">
        <v>868</v>
      </c>
      <c r="K626" t="n">
        <v>744</v>
      </c>
      <c r="L626" t="n">
        <v>2284</v>
      </c>
      <c r="M626" t="n">
        <v>766</v>
      </c>
      <c r="N626" t="n">
        <v>690</v>
      </c>
      <c r="O626" t="n">
        <v>762</v>
      </c>
      <c r="P626" t="n">
        <v>840</v>
      </c>
    </row>
    <row r="627">
      <c r="A627" t="inlineStr">
        <is>
          <t>CurrentWorkingView</t>
        </is>
      </c>
      <c r="B627" s="1" t="n">
        <v>4064941111719</v>
      </c>
      <c r="C627" t="inlineStr">
        <is>
          <t>P_US_ALL_OTHERS</t>
        </is>
      </c>
      <c r="D627" t="inlineStr">
        <is>
          <t>ST Stat Fcst</t>
        </is>
      </c>
      <c r="E627" t="n">
        <v>532</v>
      </c>
      <c r="F627" t="n">
        <v>1932</v>
      </c>
      <c r="G627" t="n">
        <v>113</v>
      </c>
      <c r="H627" t="n">
        <v>1386</v>
      </c>
      <c r="I627" t="n">
        <v>1384</v>
      </c>
      <c r="J627" t="n">
        <v>1386</v>
      </c>
      <c r="K627" t="n">
        <v>1386</v>
      </c>
      <c r="L627" t="n">
        <v>1384</v>
      </c>
      <c r="M627" t="n">
        <v>1386</v>
      </c>
      <c r="N627" t="n">
        <v>1385</v>
      </c>
      <c r="O627" t="n">
        <v>1386</v>
      </c>
      <c r="P627" t="n">
        <v>1384</v>
      </c>
    </row>
    <row r="628">
      <c r="A628" t="inlineStr">
        <is>
          <t>CurrentWorkingView</t>
        </is>
      </c>
      <c r="B628" s="1" t="n">
        <v>4064941111719</v>
      </c>
      <c r="C628" t="inlineStr">
        <is>
          <t>P_US_ALL_OTHERS</t>
        </is>
      </c>
      <c r="D628" t="inlineStr">
        <is>
          <t>LT Stat Fcst</t>
        </is>
      </c>
      <c r="H628" t="n">
        <v>4383</v>
      </c>
      <c r="I628" t="n">
        <v>4388</v>
      </c>
      <c r="J628" t="n">
        <v>3259</v>
      </c>
      <c r="K628" t="n">
        <v>3126</v>
      </c>
      <c r="L628" t="n">
        <v>3996</v>
      </c>
      <c r="M628" t="n">
        <v>3370</v>
      </c>
      <c r="N628" t="n">
        <v>3321</v>
      </c>
      <c r="O628" t="n">
        <v>2085</v>
      </c>
      <c r="P628" t="n">
        <v>1539</v>
      </c>
    </row>
    <row r="629">
      <c r="A629" t="inlineStr">
        <is>
          <t>CurrentWorkingView</t>
        </is>
      </c>
      <c r="B629" s="1" t="n">
        <v>4064941111719</v>
      </c>
      <c r="C629" t="inlineStr">
        <is>
          <t>P_US_ALL_OTHERS</t>
        </is>
      </c>
      <c r="D629" t="inlineStr">
        <is>
          <t>System BestFit Final</t>
        </is>
      </c>
      <c r="E629" t="inlineStr">
        <is>
          <t>ST</t>
        </is>
      </c>
      <c r="F629" t="inlineStr">
        <is>
          <t>ST</t>
        </is>
      </c>
      <c r="G629" t="inlineStr">
        <is>
          <t>ST</t>
        </is>
      </c>
      <c r="H629" t="inlineStr">
        <is>
          <t>ST</t>
        </is>
      </c>
      <c r="I629" t="inlineStr">
        <is>
          <t>ST</t>
        </is>
      </c>
      <c r="J629" t="inlineStr">
        <is>
          <t>ST</t>
        </is>
      </c>
      <c r="K629" t="inlineStr">
        <is>
          <t>ST</t>
        </is>
      </c>
      <c r="L629" t="inlineStr">
        <is>
          <t>ST</t>
        </is>
      </c>
      <c r="M629" t="inlineStr">
        <is>
          <t>ST</t>
        </is>
      </c>
      <c r="N629" t="inlineStr">
        <is>
          <t>ST</t>
        </is>
      </c>
      <c r="O629" t="inlineStr">
        <is>
          <t>ST</t>
        </is>
      </c>
      <c r="P629" t="inlineStr">
        <is>
          <t>ST</t>
        </is>
      </c>
    </row>
    <row r="630">
      <c r="A630" t="inlineStr">
        <is>
          <t>CurrentWorkingView</t>
        </is>
      </c>
      <c r="B630" s="1" t="n">
        <v>4064941111719</v>
      </c>
      <c r="C630" t="inlineStr">
        <is>
          <t>P_US_ALL_OTHERS</t>
        </is>
      </c>
      <c r="D630" t="inlineStr">
        <is>
          <t>System Bestfit Model ST</t>
        </is>
      </c>
      <c r="E630" t="inlineStr">
        <is>
          <t>ST</t>
        </is>
      </c>
      <c r="F630" t="inlineStr">
        <is>
          <t>ST</t>
        </is>
      </c>
      <c r="G630" t="inlineStr">
        <is>
          <t>ST</t>
        </is>
      </c>
      <c r="H630" t="inlineStr">
        <is>
          <t>ST</t>
        </is>
      </c>
      <c r="I630" t="inlineStr">
        <is>
          <t>ST</t>
        </is>
      </c>
      <c r="J630" t="inlineStr">
        <is>
          <t>ST</t>
        </is>
      </c>
      <c r="K630" t="inlineStr">
        <is>
          <t>ST</t>
        </is>
      </c>
      <c r="L630" t="inlineStr">
        <is>
          <t>ST</t>
        </is>
      </c>
      <c r="M630" t="inlineStr">
        <is>
          <t>ST</t>
        </is>
      </c>
      <c r="N630" t="inlineStr">
        <is>
          <t>ST</t>
        </is>
      </c>
      <c r="O630" t="inlineStr">
        <is>
          <t>ST</t>
        </is>
      </c>
      <c r="P630" t="inlineStr">
        <is>
          <t>ST</t>
        </is>
      </c>
    </row>
    <row r="631">
      <c r="A631" t="inlineStr">
        <is>
          <t>CurrentWorkingView</t>
        </is>
      </c>
      <c r="B631" s="1" t="n">
        <v>4064941111719</v>
      </c>
      <c r="C631" t="inlineStr">
        <is>
          <t>P_US_ALL_OTHERS</t>
        </is>
      </c>
      <c r="D631" t="inlineStr">
        <is>
          <t>Planner BestFit Model</t>
        </is>
      </c>
      <c r="E631" t="inlineStr">
        <is>
          <t>ST</t>
        </is>
      </c>
      <c r="F631" t="inlineStr">
        <is>
          <t>ST</t>
        </is>
      </c>
      <c r="G631" t="inlineStr">
        <is>
          <t>ST</t>
        </is>
      </c>
      <c r="H631" t="inlineStr">
        <is>
          <t>ST</t>
        </is>
      </c>
      <c r="I631" t="inlineStr">
        <is>
          <t>ST</t>
        </is>
      </c>
      <c r="J631" t="inlineStr">
        <is>
          <t>ST</t>
        </is>
      </c>
      <c r="K631" t="inlineStr">
        <is>
          <t>ST</t>
        </is>
      </c>
      <c r="L631" t="inlineStr">
        <is>
          <t>ST</t>
        </is>
      </c>
      <c r="M631" t="inlineStr">
        <is>
          <t>ST</t>
        </is>
      </c>
      <c r="N631" t="inlineStr">
        <is>
          <t>ST</t>
        </is>
      </c>
      <c r="O631" t="inlineStr">
        <is>
          <t>ST</t>
        </is>
      </c>
      <c r="P631" t="inlineStr">
        <is>
          <t>ST</t>
        </is>
      </c>
    </row>
    <row r="632">
      <c r="A632" t="inlineStr">
        <is>
          <t>CurrentWorkingView</t>
        </is>
      </c>
      <c r="B632" s="1" t="n">
        <v>4064941111719</v>
      </c>
      <c r="C632" t="inlineStr">
        <is>
          <t>P_US_ULTA</t>
        </is>
      </c>
      <c r="D632" t="inlineStr">
        <is>
          <t>System FC - Final</t>
        </is>
      </c>
      <c r="E632" t="n">
        <v>4009</v>
      </c>
      <c r="F632" t="n">
        <v>6478</v>
      </c>
      <c r="G632" t="n">
        <v>11141</v>
      </c>
      <c r="H632" t="n">
        <v>3613</v>
      </c>
      <c r="I632" t="n">
        <v>9771</v>
      </c>
      <c r="J632" t="n">
        <v>1457</v>
      </c>
      <c r="K632" t="n">
        <v>7994</v>
      </c>
      <c r="L632" t="n">
        <v>9856</v>
      </c>
      <c r="M632" t="n">
        <v>12232</v>
      </c>
      <c r="N632" t="n">
        <v>11692</v>
      </c>
      <c r="O632" t="n">
        <v>10987</v>
      </c>
      <c r="P632" t="n">
        <v>9707</v>
      </c>
    </row>
    <row r="633">
      <c r="A633" t="inlineStr">
        <is>
          <t>CurrentWorkingView</t>
        </is>
      </c>
      <c r="B633" s="1" t="n">
        <v>4064941111719</v>
      </c>
      <c r="C633" t="inlineStr">
        <is>
          <t>P_US_ULTA</t>
        </is>
      </c>
      <c r="D633" t="inlineStr">
        <is>
          <t>CML Fcst</t>
        </is>
      </c>
      <c r="H633" t="n">
        <v>5412</v>
      </c>
      <c r="I633" t="n">
        <v>5228</v>
      </c>
      <c r="J633" t="n">
        <v>2661</v>
      </c>
      <c r="K633" t="n">
        <v>2139</v>
      </c>
      <c r="L633" t="n">
        <v>6024</v>
      </c>
      <c r="M633" t="n">
        <v>12635</v>
      </c>
      <c r="N633" t="n">
        <v>505</v>
      </c>
      <c r="O633" t="n">
        <v>917</v>
      </c>
      <c r="P633" t="n">
        <v>942</v>
      </c>
    </row>
    <row r="634">
      <c r="A634" t="inlineStr">
        <is>
          <t>CurrentWorkingView</t>
        </is>
      </c>
      <c r="B634" s="1" t="n">
        <v>4064941111719</v>
      </c>
      <c r="C634" t="inlineStr">
        <is>
          <t>P_US_ULTA</t>
        </is>
      </c>
      <c r="D634" t="inlineStr">
        <is>
          <t>ST Stat Fcst</t>
        </is>
      </c>
      <c r="E634" t="n">
        <v>4009</v>
      </c>
      <c r="F634" t="n">
        <v>6478</v>
      </c>
      <c r="G634" t="n">
        <v>11141</v>
      </c>
      <c r="H634" t="n">
        <v>3614</v>
      </c>
      <c r="I634" t="n">
        <v>9772</v>
      </c>
      <c r="J634" t="n">
        <v>1457</v>
      </c>
      <c r="K634" t="n">
        <v>7994</v>
      </c>
      <c r="L634" t="n">
        <v>9856</v>
      </c>
      <c r="M634" t="n">
        <v>12232</v>
      </c>
      <c r="N634" t="n">
        <v>11692</v>
      </c>
      <c r="O634" t="n">
        <v>10987</v>
      </c>
      <c r="P634" t="n">
        <v>9707</v>
      </c>
    </row>
    <row r="635">
      <c r="A635" t="inlineStr">
        <is>
          <t>CurrentWorkingView</t>
        </is>
      </c>
      <c r="B635" s="1" t="n">
        <v>4064941111719</v>
      </c>
      <c r="C635" t="inlineStr">
        <is>
          <t>P_US_ULTA</t>
        </is>
      </c>
      <c r="D635" t="inlineStr">
        <is>
          <t>LT Stat Fcst</t>
        </is>
      </c>
      <c r="H635" t="n">
        <v>23733</v>
      </c>
      <c r="I635" t="n">
        <v>23760</v>
      </c>
      <c r="J635" t="n">
        <v>17664</v>
      </c>
      <c r="K635" t="n">
        <v>16939</v>
      </c>
      <c r="L635" t="n">
        <v>21628</v>
      </c>
      <c r="M635" t="n">
        <v>18242</v>
      </c>
      <c r="N635" t="n">
        <v>17983</v>
      </c>
      <c r="O635" t="n">
        <v>11288</v>
      </c>
      <c r="P635" t="n">
        <v>8341</v>
      </c>
    </row>
    <row r="636">
      <c r="A636" t="inlineStr">
        <is>
          <t>CurrentWorkingView</t>
        </is>
      </c>
      <c r="B636" s="1" t="n">
        <v>4064941111719</v>
      </c>
      <c r="C636" t="inlineStr">
        <is>
          <t>P_US_ULTA</t>
        </is>
      </c>
      <c r="D636" t="inlineStr">
        <is>
          <t>System BestFit Final</t>
        </is>
      </c>
      <c r="E636" t="inlineStr">
        <is>
          <t>ST</t>
        </is>
      </c>
      <c r="F636" t="inlineStr">
        <is>
          <t>ST</t>
        </is>
      </c>
      <c r="G636" t="inlineStr">
        <is>
          <t>ST</t>
        </is>
      </c>
      <c r="H636" t="inlineStr">
        <is>
          <t>ST</t>
        </is>
      </c>
      <c r="I636" t="inlineStr">
        <is>
          <t>ST</t>
        </is>
      </c>
      <c r="J636" t="inlineStr">
        <is>
          <t>ST</t>
        </is>
      </c>
      <c r="K636" t="inlineStr">
        <is>
          <t>ST</t>
        </is>
      </c>
      <c r="L636" t="inlineStr">
        <is>
          <t>ST</t>
        </is>
      </c>
      <c r="M636" t="inlineStr">
        <is>
          <t>ST</t>
        </is>
      </c>
      <c r="N636" t="inlineStr">
        <is>
          <t>ST</t>
        </is>
      </c>
      <c r="O636" t="inlineStr">
        <is>
          <t>ST</t>
        </is>
      </c>
      <c r="P636" t="inlineStr">
        <is>
          <t>ST</t>
        </is>
      </c>
    </row>
    <row r="637">
      <c r="A637" t="inlineStr">
        <is>
          <t>CurrentWorkingView</t>
        </is>
      </c>
      <c r="B637" s="1" t="n">
        <v>4064941111719</v>
      </c>
      <c r="C637" t="inlineStr">
        <is>
          <t>P_US_ULTA</t>
        </is>
      </c>
      <c r="D637" t="inlineStr">
        <is>
          <t>System Bestfit Model ST</t>
        </is>
      </c>
      <c r="E637" t="inlineStr">
        <is>
          <t>ST</t>
        </is>
      </c>
      <c r="F637" t="inlineStr">
        <is>
          <t>ST</t>
        </is>
      </c>
      <c r="G637" t="inlineStr">
        <is>
          <t>ST</t>
        </is>
      </c>
      <c r="H637" t="inlineStr">
        <is>
          <t>ST</t>
        </is>
      </c>
      <c r="I637" t="inlineStr">
        <is>
          <t>ST</t>
        </is>
      </c>
      <c r="J637" t="inlineStr">
        <is>
          <t>ST</t>
        </is>
      </c>
      <c r="K637" t="inlineStr">
        <is>
          <t>ST</t>
        </is>
      </c>
      <c r="L637" t="inlineStr">
        <is>
          <t>ST</t>
        </is>
      </c>
      <c r="M637" t="inlineStr">
        <is>
          <t>ST</t>
        </is>
      </c>
      <c r="N637" t="inlineStr">
        <is>
          <t>ST</t>
        </is>
      </c>
      <c r="O637" t="inlineStr">
        <is>
          <t>ST</t>
        </is>
      </c>
      <c r="P637" t="inlineStr">
        <is>
          <t>ST</t>
        </is>
      </c>
    </row>
    <row r="638">
      <c r="A638" t="inlineStr">
        <is>
          <t>CurrentWorkingView</t>
        </is>
      </c>
      <c r="B638" s="1" t="n">
        <v>4064941111719</v>
      </c>
      <c r="C638" t="inlineStr">
        <is>
          <t>P_US_ULTA</t>
        </is>
      </c>
      <c r="D638" t="inlineStr">
        <is>
          <t>Planner BestFit Model</t>
        </is>
      </c>
      <c r="E638" t="inlineStr">
        <is>
          <t>ST</t>
        </is>
      </c>
      <c r="F638" t="inlineStr">
        <is>
          <t>ST</t>
        </is>
      </c>
      <c r="G638" t="inlineStr">
        <is>
          <t>ST</t>
        </is>
      </c>
      <c r="H638" t="inlineStr">
        <is>
          <t>ST</t>
        </is>
      </c>
      <c r="I638" t="inlineStr">
        <is>
          <t>ST</t>
        </is>
      </c>
      <c r="J638" t="inlineStr">
        <is>
          <t>ST</t>
        </is>
      </c>
      <c r="K638" t="inlineStr">
        <is>
          <t>ST</t>
        </is>
      </c>
      <c r="L638" t="inlineStr">
        <is>
          <t>ST</t>
        </is>
      </c>
      <c r="M638" t="inlineStr">
        <is>
          <t>ST</t>
        </is>
      </c>
      <c r="N638" t="inlineStr">
        <is>
          <t>ST</t>
        </is>
      </c>
      <c r="O638" t="inlineStr">
        <is>
          <t>ST</t>
        </is>
      </c>
      <c r="P638" t="inlineStr">
        <is>
          <t>ST</t>
        </is>
      </c>
    </row>
    <row r="639">
      <c r="A639" t="inlineStr">
        <is>
          <t>CurrentWorkingView</t>
        </is>
      </c>
      <c r="B639" s="1" t="n">
        <v>4064941112709</v>
      </c>
      <c r="C639" t="inlineStr">
        <is>
          <t>P_US_ALL_OTHERS</t>
        </is>
      </c>
      <c r="D639" t="inlineStr">
        <is>
          <t>System FC - Final</t>
        </is>
      </c>
      <c r="E639" t="n">
        <v>69</v>
      </c>
      <c r="F639" t="n">
        <v>81</v>
      </c>
      <c r="G639" t="n">
        <v>94</v>
      </c>
      <c r="H639" t="n">
        <v>83</v>
      </c>
      <c r="I639" t="n">
        <v>121</v>
      </c>
      <c r="J639" t="n">
        <v>119</v>
      </c>
      <c r="K639" t="n">
        <v>119</v>
      </c>
      <c r="L639" t="n">
        <v>152</v>
      </c>
      <c r="M639" t="n">
        <v>115</v>
      </c>
      <c r="N639" t="n">
        <v>103</v>
      </c>
      <c r="O639" t="n">
        <v>97</v>
      </c>
      <c r="P639" t="n">
        <v>90</v>
      </c>
    </row>
    <row r="640">
      <c r="A640" t="inlineStr">
        <is>
          <t>CurrentWorkingView</t>
        </is>
      </c>
      <c r="B640" s="1" t="n">
        <v>4064941112709</v>
      </c>
      <c r="C640" t="inlineStr">
        <is>
          <t>P_US_ALL_OTHERS</t>
        </is>
      </c>
      <c r="D640" t="inlineStr">
        <is>
          <t>CML Fcst</t>
        </is>
      </c>
      <c r="H640" t="n">
        <v>84</v>
      </c>
      <c r="I640" t="n">
        <v>120</v>
      </c>
      <c r="J640" t="n">
        <v>119</v>
      </c>
      <c r="K640" t="n">
        <v>119</v>
      </c>
      <c r="L640" t="n">
        <v>152</v>
      </c>
      <c r="M640" t="n">
        <v>115</v>
      </c>
      <c r="N640" t="n">
        <v>103</v>
      </c>
      <c r="O640" t="n">
        <v>97</v>
      </c>
      <c r="P640" t="n">
        <v>90</v>
      </c>
    </row>
    <row r="641">
      <c r="A641" t="inlineStr">
        <is>
          <t>CurrentWorkingView</t>
        </is>
      </c>
      <c r="B641" s="1" t="n">
        <v>4064941112709</v>
      </c>
      <c r="C641" t="inlineStr">
        <is>
          <t>P_US_ALL_OTHERS</t>
        </is>
      </c>
      <c r="D641" t="inlineStr">
        <is>
          <t>ST Stat Fcst</t>
        </is>
      </c>
      <c r="E641" t="n">
        <v>69</v>
      </c>
      <c r="F641" t="n">
        <v>81</v>
      </c>
      <c r="G641" t="n">
        <v>49</v>
      </c>
      <c r="H641" t="n">
        <v>5</v>
      </c>
      <c r="I641" t="n">
        <v>34</v>
      </c>
      <c r="J641" t="n">
        <v>102</v>
      </c>
      <c r="K641" t="n">
        <v>9</v>
      </c>
      <c r="L641" t="n">
        <v>4</v>
      </c>
      <c r="M641" t="n">
        <v>93</v>
      </c>
      <c r="N641" t="n">
        <v>47</v>
      </c>
      <c r="O641" t="n">
        <v>4</v>
      </c>
      <c r="P641" t="n">
        <v>4</v>
      </c>
    </row>
    <row r="642">
      <c r="A642" t="inlineStr">
        <is>
          <t>CurrentWorkingView</t>
        </is>
      </c>
      <c r="B642" s="1" t="n">
        <v>4064941112709</v>
      </c>
      <c r="C642" t="inlineStr">
        <is>
          <t>P_US_ALL_OTHERS</t>
        </is>
      </c>
      <c r="D642" t="inlineStr">
        <is>
          <t>LT Stat Fcst</t>
        </is>
      </c>
      <c r="H642" t="n">
        <v>75</v>
      </c>
      <c r="I642" t="n">
        <v>52</v>
      </c>
      <c r="J642" t="n">
        <v>26</v>
      </c>
      <c r="K642" t="n">
        <v>40</v>
      </c>
      <c r="L642" t="n">
        <v>104</v>
      </c>
      <c r="M642" t="n">
        <v>44</v>
      </c>
      <c r="N642" t="n">
        <v>38</v>
      </c>
      <c r="O642" t="n">
        <v>35</v>
      </c>
      <c r="P642" t="n">
        <v>51</v>
      </c>
    </row>
    <row r="643">
      <c r="A643" t="inlineStr">
        <is>
          <t>CurrentWorkingView</t>
        </is>
      </c>
      <c r="B643" s="1" t="n">
        <v>4064941112709</v>
      </c>
      <c r="C643" t="inlineStr">
        <is>
          <t>P_US_ALL_OTHERS</t>
        </is>
      </c>
      <c r="D643" t="inlineStr">
        <is>
          <t>System BestFit Final</t>
        </is>
      </c>
      <c r="E643" t="inlineStr">
        <is>
          <t>CML</t>
        </is>
      </c>
      <c r="F643" t="inlineStr">
        <is>
          <t>CML</t>
        </is>
      </c>
      <c r="G643" t="inlineStr">
        <is>
          <t>CML</t>
        </is>
      </c>
      <c r="H643" t="inlineStr">
        <is>
          <t>CML</t>
        </is>
      </c>
      <c r="I643" t="inlineStr">
        <is>
          <t>CML</t>
        </is>
      </c>
      <c r="J643" t="inlineStr">
        <is>
          <t>CML</t>
        </is>
      </c>
      <c r="K643" t="inlineStr">
        <is>
          <t>CML</t>
        </is>
      </c>
      <c r="L643" t="inlineStr">
        <is>
          <t>CML</t>
        </is>
      </c>
      <c r="M643" t="inlineStr">
        <is>
          <t>CML</t>
        </is>
      </c>
      <c r="N643" t="inlineStr">
        <is>
          <t>CML</t>
        </is>
      </c>
      <c r="O643" t="inlineStr">
        <is>
          <t>CML</t>
        </is>
      </c>
      <c r="P643" t="inlineStr">
        <is>
          <t>CML</t>
        </is>
      </c>
    </row>
    <row r="644">
      <c r="A644" t="inlineStr">
        <is>
          <t>CurrentWorkingView</t>
        </is>
      </c>
      <c r="B644" s="1" t="n">
        <v>4064941112709</v>
      </c>
      <c r="C644" t="inlineStr">
        <is>
          <t>P_US_ALL_OTHERS</t>
        </is>
      </c>
      <c r="D644" t="inlineStr">
        <is>
          <t>System Bestfit Model ST</t>
        </is>
      </c>
    </row>
    <row r="645">
      <c r="A645" t="inlineStr">
        <is>
          <t>CurrentWorkingView</t>
        </is>
      </c>
      <c r="B645" s="1" t="n">
        <v>4064941112709</v>
      </c>
      <c r="C645" t="inlineStr">
        <is>
          <t>P_US_ALL_OTHERS</t>
        </is>
      </c>
      <c r="D645" t="inlineStr">
        <is>
          <t>Planner BestFit Model</t>
        </is>
      </c>
    </row>
    <row r="646">
      <c r="A646" t="inlineStr">
        <is>
          <t>CurrentWorkingView</t>
        </is>
      </c>
      <c r="B646" s="1" t="n">
        <v>4064941112709</v>
      </c>
      <c r="C646" t="inlineStr">
        <is>
          <t>P_US_ULTA</t>
        </is>
      </c>
      <c r="D646" t="inlineStr">
        <is>
          <t>System FC - Final</t>
        </is>
      </c>
      <c r="E646" t="n">
        <v>547</v>
      </c>
      <c r="F646" t="n">
        <v>588</v>
      </c>
      <c r="G646" t="n">
        <v>929</v>
      </c>
      <c r="H646" t="n">
        <v>1204</v>
      </c>
      <c r="I646" t="n">
        <v>1041</v>
      </c>
      <c r="J646" t="n">
        <v>823</v>
      </c>
      <c r="K646" t="n">
        <v>864</v>
      </c>
      <c r="L646" t="n">
        <v>752</v>
      </c>
      <c r="M646" t="n">
        <v>925</v>
      </c>
      <c r="N646" t="n">
        <v>625</v>
      </c>
      <c r="O646" t="n">
        <v>721</v>
      </c>
      <c r="P646" t="n">
        <v>882</v>
      </c>
    </row>
    <row r="647">
      <c r="A647" t="inlineStr">
        <is>
          <t>CurrentWorkingView</t>
        </is>
      </c>
      <c r="B647" s="1" t="n">
        <v>4064941112709</v>
      </c>
      <c r="C647" t="inlineStr">
        <is>
          <t>P_US_ULTA</t>
        </is>
      </c>
      <c r="D647" t="inlineStr">
        <is>
          <t>CML Fcst</t>
        </is>
      </c>
      <c r="H647" t="n">
        <v>1204</v>
      </c>
      <c r="I647" t="n">
        <v>1042</v>
      </c>
      <c r="J647" t="n">
        <v>823</v>
      </c>
      <c r="K647" t="n">
        <v>864</v>
      </c>
      <c r="L647" t="n">
        <v>752</v>
      </c>
      <c r="M647" t="n">
        <v>925</v>
      </c>
      <c r="N647" t="n">
        <v>625</v>
      </c>
      <c r="O647" t="n">
        <v>721</v>
      </c>
      <c r="P647" t="n">
        <v>882</v>
      </c>
    </row>
    <row r="648">
      <c r="A648" t="inlineStr">
        <is>
          <t>CurrentWorkingView</t>
        </is>
      </c>
      <c r="B648" s="1" t="n">
        <v>4064941112709</v>
      </c>
      <c r="C648" t="inlineStr">
        <is>
          <t>P_US_ULTA</t>
        </is>
      </c>
      <c r="D648" t="inlineStr">
        <is>
          <t>ST Stat Fcst</t>
        </is>
      </c>
      <c r="E648" t="n">
        <v>547</v>
      </c>
      <c r="F648" t="n">
        <v>588</v>
      </c>
      <c r="G648" t="n">
        <v>716</v>
      </c>
      <c r="H648" t="n">
        <v>310</v>
      </c>
      <c r="I648" t="n">
        <v>668</v>
      </c>
      <c r="J648" t="n">
        <v>355</v>
      </c>
      <c r="K648" t="n">
        <v>708</v>
      </c>
      <c r="L648" t="n">
        <v>1092</v>
      </c>
      <c r="M648" t="n">
        <v>1160</v>
      </c>
      <c r="N648" t="n">
        <v>1101</v>
      </c>
      <c r="O648" t="n">
        <v>558</v>
      </c>
      <c r="P648" t="n">
        <v>338</v>
      </c>
    </row>
    <row r="649">
      <c r="A649" t="inlineStr">
        <is>
          <t>CurrentWorkingView</t>
        </is>
      </c>
      <c r="B649" s="1" t="n">
        <v>4064941112709</v>
      </c>
      <c r="C649" t="inlineStr">
        <is>
          <t>P_US_ULTA</t>
        </is>
      </c>
      <c r="D649" t="inlineStr">
        <is>
          <t>LT Stat Fcst</t>
        </is>
      </c>
      <c r="H649" t="n">
        <v>1266</v>
      </c>
      <c r="I649" t="n">
        <v>920</v>
      </c>
      <c r="J649" t="n">
        <v>473</v>
      </c>
      <c r="K649" t="n">
        <v>674</v>
      </c>
      <c r="L649" t="n">
        <v>1736</v>
      </c>
      <c r="M649" t="n">
        <v>727</v>
      </c>
      <c r="N649" t="n">
        <v>612</v>
      </c>
      <c r="O649" t="n">
        <v>638</v>
      </c>
      <c r="P649" t="n">
        <v>828</v>
      </c>
    </row>
    <row r="650">
      <c r="A650" t="inlineStr">
        <is>
          <t>CurrentWorkingView</t>
        </is>
      </c>
      <c r="B650" s="1" t="n">
        <v>4064941112709</v>
      </c>
      <c r="C650" t="inlineStr">
        <is>
          <t>P_US_ULTA</t>
        </is>
      </c>
      <c r="D650" t="inlineStr">
        <is>
          <t>System BestFit Final</t>
        </is>
      </c>
      <c r="E650" t="inlineStr">
        <is>
          <t>CML</t>
        </is>
      </c>
      <c r="F650" t="inlineStr">
        <is>
          <t>CML</t>
        </is>
      </c>
      <c r="G650" t="inlineStr">
        <is>
          <t>CML</t>
        </is>
      </c>
      <c r="H650" t="inlineStr">
        <is>
          <t>CML</t>
        </is>
      </c>
      <c r="I650" t="inlineStr">
        <is>
          <t>CML</t>
        </is>
      </c>
      <c r="J650" t="inlineStr">
        <is>
          <t>CML</t>
        </is>
      </c>
      <c r="K650" t="inlineStr">
        <is>
          <t>CML</t>
        </is>
      </c>
      <c r="L650" t="inlineStr">
        <is>
          <t>CML</t>
        </is>
      </c>
      <c r="M650" t="inlineStr">
        <is>
          <t>CML</t>
        </is>
      </c>
      <c r="N650" t="inlineStr">
        <is>
          <t>CML</t>
        </is>
      </c>
      <c r="O650" t="inlineStr">
        <is>
          <t>CML</t>
        </is>
      </c>
      <c r="P650" t="inlineStr">
        <is>
          <t>CML</t>
        </is>
      </c>
    </row>
    <row r="651">
      <c r="A651" t="inlineStr">
        <is>
          <t>CurrentWorkingView</t>
        </is>
      </c>
      <c r="B651" s="1" t="n">
        <v>4064941112709</v>
      </c>
      <c r="C651" t="inlineStr">
        <is>
          <t>P_US_ULTA</t>
        </is>
      </c>
      <c r="D651" t="inlineStr">
        <is>
          <t>System Bestfit Model ST</t>
        </is>
      </c>
    </row>
    <row r="652">
      <c r="A652" t="inlineStr">
        <is>
          <t>CurrentWorkingView</t>
        </is>
      </c>
      <c r="B652" s="1" t="n">
        <v>4064941112709</v>
      </c>
      <c r="C652" t="inlineStr">
        <is>
          <t>P_US_ULTA</t>
        </is>
      </c>
      <c r="D652" t="inlineStr">
        <is>
          <t>Planner BestFit Model</t>
        </is>
      </c>
    </row>
    <row r="653">
      <c r="A653" t="inlineStr">
        <is>
          <t>CurrentWorkingView</t>
        </is>
      </c>
      <c r="B653" s="1" t="n">
        <v>4064941118183</v>
      </c>
      <c r="C653" t="inlineStr">
        <is>
          <t>P_US_ALL_OTHERS</t>
        </is>
      </c>
      <c r="D653" t="inlineStr">
        <is>
          <t>System FC - Final</t>
        </is>
      </c>
      <c r="E653" t="n">
        <v>109</v>
      </c>
      <c r="F653" t="n">
        <v>111</v>
      </c>
      <c r="G653" t="n">
        <v>173</v>
      </c>
      <c r="H653" t="n">
        <v>48</v>
      </c>
      <c r="I653" t="n">
        <v>127</v>
      </c>
      <c r="J653" t="n">
        <v>49</v>
      </c>
      <c r="K653" t="n">
        <v>49</v>
      </c>
      <c r="L653" t="n">
        <v>48</v>
      </c>
      <c r="M653" t="n">
        <v>49</v>
      </c>
      <c r="N653" t="n">
        <v>47</v>
      </c>
      <c r="O653" t="n">
        <v>49</v>
      </c>
      <c r="P653" t="n">
        <v>72</v>
      </c>
    </row>
    <row r="654">
      <c r="A654" t="inlineStr">
        <is>
          <t>CurrentWorkingView</t>
        </is>
      </c>
      <c r="B654" s="1" t="n">
        <v>4064941118183</v>
      </c>
      <c r="C654" t="inlineStr">
        <is>
          <t>P_US_ALL_OTHERS</t>
        </is>
      </c>
      <c r="D654" t="inlineStr">
        <is>
          <t>CML Fcst</t>
        </is>
      </c>
      <c r="H654" t="n">
        <v>120</v>
      </c>
      <c r="I654" t="n">
        <v>108</v>
      </c>
      <c r="J654" t="n">
        <v>110</v>
      </c>
      <c r="K654" t="n">
        <v>115</v>
      </c>
      <c r="L654" t="n">
        <v>164</v>
      </c>
      <c r="M654" t="n">
        <v>124</v>
      </c>
      <c r="N654" t="n">
        <v>112</v>
      </c>
      <c r="O654" t="n">
        <v>124</v>
      </c>
      <c r="P654" t="n">
        <v>94</v>
      </c>
    </row>
    <row r="655">
      <c r="A655" t="inlineStr">
        <is>
          <t>CurrentWorkingView</t>
        </is>
      </c>
      <c r="B655" s="1" t="n">
        <v>4064941118183</v>
      </c>
      <c r="C655" t="inlineStr">
        <is>
          <t>P_US_ALL_OTHERS</t>
        </is>
      </c>
      <c r="D655" t="inlineStr">
        <is>
          <t>ST Stat Fcst</t>
        </is>
      </c>
      <c r="E655" t="n">
        <v>109</v>
      </c>
      <c r="F655" t="n">
        <v>111</v>
      </c>
      <c r="G655" t="n">
        <v>64</v>
      </c>
      <c r="H655" t="n">
        <v>141</v>
      </c>
      <c r="I655" t="n">
        <v>60</v>
      </c>
      <c r="J655" t="n">
        <v>105</v>
      </c>
      <c r="K655" t="n">
        <v>84</v>
      </c>
      <c r="L655" t="n">
        <v>88</v>
      </c>
      <c r="M655" t="n">
        <v>75</v>
      </c>
      <c r="N655" t="n">
        <v>38</v>
      </c>
      <c r="O655" t="n">
        <v>53</v>
      </c>
      <c r="P655" t="n">
        <v>137</v>
      </c>
    </row>
    <row r="656">
      <c r="A656" t="inlineStr">
        <is>
          <t>CurrentWorkingView</t>
        </is>
      </c>
      <c r="B656" s="1" t="n">
        <v>4064941118183</v>
      </c>
      <c r="C656" t="inlineStr">
        <is>
          <t>P_US_ALL_OTHERS</t>
        </is>
      </c>
      <c r="D656" t="inlineStr">
        <is>
          <t>LT Stat Fcst</t>
        </is>
      </c>
      <c r="H656" t="n">
        <v>49</v>
      </c>
      <c r="I656" t="n">
        <v>128</v>
      </c>
      <c r="J656" t="n">
        <v>49</v>
      </c>
      <c r="K656" t="n">
        <v>49</v>
      </c>
      <c r="L656" t="n">
        <v>48</v>
      </c>
      <c r="M656" t="n">
        <v>49</v>
      </c>
      <c r="N656" t="n">
        <v>47</v>
      </c>
      <c r="O656" t="n">
        <v>49</v>
      </c>
      <c r="P656" t="n">
        <v>72</v>
      </c>
    </row>
    <row r="657">
      <c r="A657" t="inlineStr">
        <is>
          <t>CurrentWorkingView</t>
        </is>
      </c>
      <c r="B657" s="1" t="n">
        <v>4064941118183</v>
      </c>
      <c r="C657" t="inlineStr">
        <is>
          <t>P_US_ALL_OTHERS</t>
        </is>
      </c>
      <c r="D657" t="inlineStr">
        <is>
          <t>System BestFit Final</t>
        </is>
      </c>
      <c r="E657" t="inlineStr">
        <is>
          <t>LT</t>
        </is>
      </c>
      <c r="F657" t="inlineStr">
        <is>
          <t>LT</t>
        </is>
      </c>
      <c r="G657" t="inlineStr">
        <is>
          <t>LT</t>
        </is>
      </c>
      <c r="H657" t="inlineStr">
        <is>
          <t>LT</t>
        </is>
      </c>
      <c r="I657" t="inlineStr">
        <is>
          <t>LT</t>
        </is>
      </c>
      <c r="J657" t="inlineStr">
        <is>
          <t>LT</t>
        </is>
      </c>
      <c r="K657" t="inlineStr">
        <is>
          <t>LT</t>
        </is>
      </c>
      <c r="L657" t="inlineStr">
        <is>
          <t>LT</t>
        </is>
      </c>
      <c r="M657" t="inlineStr">
        <is>
          <t>LT</t>
        </is>
      </c>
      <c r="N657" t="inlineStr">
        <is>
          <t>LT</t>
        </is>
      </c>
      <c r="O657" t="inlineStr">
        <is>
          <t>LT</t>
        </is>
      </c>
      <c r="P657" t="inlineStr">
        <is>
          <t>LT</t>
        </is>
      </c>
    </row>
    <row r="658">
      <c r="A658" t="inlineStr">
        <is>
          <t>CurrentWorkingView</t>
        </is>
      </c>
      <c r="B658" s="1" t="n">
        <v>4064941118183</v>
      </c>
      <c r="C658" t="inlineStr">
        <is>
          <t>P_US_ALL_OTHERS</t>
        </is>
      </c>
      <c r="D658" t="inlineStr">
        <is>
          <t>System Bestfit Model ST</t>
        </is>
      </c>
    </row>
    <row r="659">
      <c r="A659" t="inlineStr">
        <is>
          <t>CurrentWorkingView</t>
        </is>
      </c>
      <c r="B659" s="1" t="n">
        <v>4064941118183</v>
      </c>
      <c r="C659" t="inlineStr">
        <is>
          <t>P_US_ALL_OTHERS</t>
        </is>
      </c>
      <c r="D659" t="inlineStr">
        <is>
          <t>Planner BestFit Model</t>
        </is>
      </c>
    </row>
    <row r="660">
      <c r="A660" t="inlineStr">
        <is>
          <t>CurrentWorkingView</t>
        </is>
      </c>
      <c r="B660" s="1" t="n">
        <v>4064941118183</v>
      </c>
      <c r="C660" t="inlineStr">
        <is>
          <t>P_US_ULTA</t>
        </is>
      </c>
      <c r="D660" t="inlineStr">
        <is>
          <t>System FC - Final</t>
        </is>
      </c>
      <c r="E660" t="n">
        <v>480</v>
      </c>
      <c r="F660" t="n">
        <v>720</v>
      </c>
      <c r="G660" t="n">
        <v>703</v>
      </c>
      <c r="H660" t="n">
        <v>1071</v>
      </c>
      <c r="I660" t="n">
        <v>994</v>
      </c>
      <c r="J660" t="n">
        <v>974</v>
      </c>
      <c r="K660" t="n">
        <v>1014</v>
      </c>
      <c r="L660" t="n">
        <v>804</v>
      </c>
      <c r="M660" t="n">
        <v>1426</v>
      </c>
      <c r="N660" t="n">
        <v>592</v>
      </c>
      <c r="O660" t="n">
        <v>907</v>
      </c>
      <c r="P660" t="n">
        <v>883</v>
      </c>
    </row>
    <row r="661">
      <c r="A661" t="inlineStr">
        <is>
          <t>CurrentWorkingView</t>
        </is>
      </c>
      <c r="B661" s="1" t="n">
        <v>4064941118183</v>
      </c>
      <c r="C661" t="inlineStr">
        <is>
          <t>P_US_ULTA</t>
        </is>
      </c>
      <c r="D661" t="inlineStr">
        <is>
          <t>CML Fcst</t>
        </is>
      </c>
      <c r="H661" t="n">
        <v>1072</v>
      </c>
      <c r="I661" t="n">
        <v>994</v>
      </c>
      <c r="J661" t="n">
        <v>974</v>
      </c>
      <c r="K661" t="n">
        <v>1014</v>
      </c>
      <c r="L661" t="n">
        <v>804</v>
      </c>
      <c r="M661" t="n">
        <v>1426</v>
      </c>
      <c r="N661" t="n">
        <v>592</v>
      </c>
      <c r="O661" t="n">
        <v>907</v>
      </c>
      <c r="P661" t="n">
        <v>883</v>
      </c>
    </row>
    <row r="662">
      <c r="A662" t="inlineStr">
        <is>
          <t>CurrentWorkingView</t>
        </is>
      </c>
      <c r="B662" s="1" t="n">
        <v>4064941118183</v>
      </c>
      <c r="C662" t="inlineStr">
        <is>
          <t>P_US_ULTA</t>
        </is>
      </c>
      <c r="D662" t="inlineStr">
        <is>
          <t>ST Stat Fcst</t>
        </is>
      </c>
      <c r="E662" t="n">
        <v>480</v>
      </c>
      <c r="F662" t="n">
        <v>720</v>
      </c>
      <c r="G662" t="n">
        <v>610</v>
      </c>
      <c r="H662" t="n">
        <v>660</v>
      </c>
      <c r="I662" t="n">
        <v>912</v>
      </c>
      <c r="J662" t="n">
        <v>952</v>
      </c>
      <c r="K662" t="n">
        <v>647</v>
      </c>
      <c r="L662" t="n">
        <v>1032</v>
      </c>
      <c r="M662" t="n">
        <v>1049</v>
      </c>
      <c r="N662" t="n">
        <v>802</v>
      </c>
      <c r="O662" t="n">
        <v>1103</v>
      </c>
      <c r="P662" t="n">
        <v>591</v>
      </c>
    </row>
    <row r="663">
      <c r="A663" t="inlineStr">
        <is>
          <t>CurrentWorkingView</t>
        </is>
      </c>
      <c r="B663" s="1" t="n">
        <v>4064941118183</v>
      </c>
      <c r="C663" t="inlineStr">
        <is>
          <t>P_US_ULTA</t>
        </is>
      </c>
      <c r="D663" t="inlineStr">
        <is>
          <t>LT Stat Fcst</t>
        </is>
      </c>
      <c r="H663" t="n">
        <v>527</v>
      </c>
      <c r="I663" t="n">
        <v>1406</v>
      </c>
      <c r="J663" t="n">
        <v>527</v>
      </c>
      <c r="K663" t="n">
        <v>527</v>
      </c>
      <c r="L663" t="n">
        <v>528</v>
      </c>
      <c r="M663" t="n">
        <v>527</v>
      </c>
      <c r="N663" t="n">
        <v>531</v>
      </c>
      <c r="O663" t="n">
        <v>527</v>
      </c>
      <c r="P663" t="n">
        <v>780</v>
      </c>
    </row>
    <row r="664">
      <c r="A664" t="inlineStr">
        <is>
          <t>CurrentWorkingView</t>
        </is>
      </c>
      <c r="B664" s="1" t="n">
        <v>4064941118183</v>
      </c>
      <c r="C664" t="inlineStr">
        <is>
          <t>P_US_ULTA</t>
        </is>
      </c>
      <c r="D664" t="inlineStr">
        <is>
          <t>System BestFit Final</t>
        </is>
      </c>
      <c r="E664" t="inlineStr">
        <is>
          <t>CML</t>
        </is>
      </c>
      <c r="F664" t="inlineStr">
        <is>
          <t>CML</t>
        </is>
      </c>
      <c r="G664" t="inlineStr">
        <is>
          <t>CML</t>
        </is>
      </c>
      <c r="H664" t="inlineStr">
        <is>
          <t>CML</t>
        </is>
      </c>
      <c r="I664" t="inlineStr">
        <is>
          <t>CML</t>
        </is>
      </c>
      <c r="J664" t="inlineStr">
        <is>
          <t>CML</t>
        </is>
      </c>
      <c r="K664" t="inlineStr">
        <is>
          <t>CML</t>
        </is>
      </c>
      <c r="L664" t="inlineStr">
        <is>
          <t>CML</t>
        </is>
      </c>
      <c r="M664" t="inlineStr">
        <is>
          <t>CML</t>
        </is>
      </c>
      <c r="N664" t="inlineStr">
        <is>
          <t>CML</t>
        </is>
      </c>
      <c r="O664" t="inlineStr">
        <is>
          <t>CML</t>
        </is>
      </c>
      <c r="P664" t="inlineStr">
        <is>
          <t>CML</t>
        </is>
      </c>
    </row>
    <row r="665">
      <c r="A665" t="inlineStr">
        <is>
          <t>CurrentWorkingView</t>
        </is>
      </c>
      <c r="B665" s="1" t="n">
        <v>4064941118183</v>
      </c>
      <c r="C665" t="inlineStr">
        <is>
          <t>P_US_ULTA</t>
        </is>
      </c>
      <c r="D665" t="inlineStr">
        <is>
          <t>System Bestfit Model ST</t>
        </is>
      </c>
    </row>
    <row r="666">
      <c r="A666" t="inlineStr">
        <is>
          <t>CurrentWorkingView</t>
        </is>
      </c>
      <c r="B666" s="1" t="n">
        <v>4064941118183</v>
      </c>
      <c r="C666" t="inlineStr">
        <is>
          <t>P_US_ULTA</t>
        </is>
      </c>
      <c r="D666" t="inlineStr">
        <is>
          <t>Planner BestFit Model</t>
        </is>
      </c>
      <c r="E666" t="inlineStr">
        <is>
          <t>CML</t>
        </is>
      </c>
      <c r="F666" t="inlineStr">
        <is>
          <t>CML</t>
        </is>
      </c>
      <c r="G666" t="inlineStr">
        <is>
          <t>CML</t>
        </is>
      </c>
      <c r="H666" t="inlineStr">
        <is>
          <t>CML</t>
        </is>
      </c>
      <c r="I666" t="inlineStr">
        <is>
          <t>CML</t>
        </is>
      </c>
      <c r="J666" t="inlineStr">
        <is>
          <t>CML</t>
        </is>
      </c>
      <c r="K666" t="inlineStr">
        <is>
          <t>CML</t>
        </is>
      </c>
      <c r="L666" t="inlineStr">
        <is>
          <t>CML</t>
        </is>
      </c>
      <c r="M666" t="inlineStr">
        <is>
          <t>CML</t>
        </is>
      </c>
      <c r="N666" t="inlineStr">
        <is>
          <t>CML</t>
        </is>
      </c>
      <c r="O666" t="inlineStr">
        <is>
          <t>CML</t>
        </is>
      </c>
      <c r="P666" t="inlineStr">
        <is>
          <t>CML</t>
        </is>
      </c>
    </row>
    <row r="667">
      <c r="A667" t="inlineStr">
        <is>
          <t>CurrentWorkingView</t>
        </is>
      </c>
      <c r="B667" s="1" t="n">
        <v>4064941130680</v>
      </c>
      <c r="C667" t="inlineStr">
        <is>
          <t>P_US_ALL_OTHERS</t>
        </is>
      </c>
      <c r="D667" t="inlineStr">
        <is>
          <t>System FC - Final</t>
        </is>
      </c>
      <c r="E667" t="n">
        <v>27</v>
      </c>
      <c r="F667" t="n">
        <v>47</v>
      </c>
      <c r="G667" t="n">
        <v>29</v>
      </c>
      <c r="H667" t="n">
        <v>83</v>
      </c>
      <c r="I667" t="n">
        <v>49</v>
      </c>
      <c r="J667" t="n">
        <v>57</v>
      </c>
      <c r="K667" t="n">
        <v>71</v>
      </c>
      <c r="L667" t="n">
        <v>72</v>
      </c>
      <c r="M667" t="n">
        <v>53</v>
      </c>
      <c r="N667" t="n">
        <v>60</v>
      </c>
      <c r="O667" t="n">
        <v>75</v>
      </c>
      <c r="P667" t="n">
        <v>42</v>
      </c>
    </row>
    <row r="668">
      <c r="A668" t="inlineStr">
        <is>
          <t>CurrentWorkingView</t>
        </is>
      </c>
      <c r="B668" s="1" t="n">
        <v>4064941130680</v>
      </c>
      <c r="C668" t="inlineStr">
        <is>
          <t>P_US_ALL_OTHERS</t>
        </is>
      </c>
      <c r="D668" t="inlineStr">
        <is>
          <t>CML Fcst</t>
        </is>
      </c>
      <c r="H668" t="n">
        <v>84</v>
      </c>
      <c r="I668" t="n">
        <v>48</v>
      </c>
      <c r="J668" t="n">
        <v>57</v>
      </c>
      <c r="K668" t="n">
        <v>71</v>
      </c>
      <c r="L668" t="n">
        <v>72</v>
      </c>
      <c r="M668" t="n">
        <v>53</v>
      </c>
      <c r="N668" t="n">
        <v>60</v>
      </c>
      <c r="O668" t="n">
        <v>75</v>
      </c>
      <c r="P668" t="n">
        <v>42</v>
      </c>
    </row>
    <row r="669">
      <c r="A669" t="inlineStr">
        <is>
          <t>CurrentWorkingView</t>
        </is>
      </c>
      <c r="B669" s="1" t="n">
        <v>4064941130680</v>
      </c>
      <c r="C669" t="inlineStr">
        <is>
          <t>P_US_ALL_OTHERS</t>
        </is>
      </c>
      <c r="D669" t="inlineStr">
        <is>
          <t>ST Stat Fcst</t>
        </is>
      </c>
      <c r="E669" t="n">
        <v>27</v>
      </c>
      <c r="F669" t="n">
        <v>47</v>
      </c>
      <c r="G669" t="n">
        <v>11</v>
      </c>
      <c r="H669" t="n">
        <v>4</v>
      </c>
      <c r="I669" t="n">
        <v>0</v>
      </c>
      <c r="J669" t="n">
        <v>297</v>
      </c>
      <c r="K669" t="n">
        <v>57</v>
      </c>
      <c r="L669" t="n">
        <v>156</v>
      </c>
      <c r="M669" t="n">
        <v>58</v>
      </c>
      <c r="N669" t="n">
        <v>56</v>
      </c>
      <c r="O669" t="n">
        <v>31</v>
      </c>
      <c r="P669" t="n">
        <v>0</v>
      </c>
    </row>
    <row r="670">
      <c r="A670" t="inlineStr">
        <is>
          <t>CurrentWorkingView</t>
        </is>
      </c>
      <c r="B670" s="1" t="n">
        <v>4064941130680</v>
      </c>
      <c r="C670" t="inlineStr">
        <is>
          <t>P_US_ALL_OTHERS</t>
        </is>
      </c>
      <c r="D670" t="inlineStr">
        <is>
          <t>LT Stat Fcst</t>
        </is>
      </c>
      <c r="H670" t="n">
        <v>71</v>
      </c>
      <c r="I670" t="n">
        <v>78</v>
      </c>
      <c r="J670" t="n">
        <v>79</v>
      </c>
      <c r="K670" t="n">
        <v>80</v>
      </c>
      <c r="L670" t="n">
        <v>80</v>
      </c>
      <c r="M670" t="n">
        <v>80</v>
      </c>
      <c r="N670" t="n">
        <v>82</v>
      </c>
      <c r="O670" t="n">
        <v>80</v>
      </c>
      <c r="P670" t="n">
        <v>81</v>
      </c>
    </row>
    <row r="671">
      <c r="A671" t="inlineStr">
        <is>
          <t>CurrentWorkingView</t>
        </is>
      </c>
      <c r="B671" s="1" t="n">
        <v>4064941130680</v>
      </c>
      <c r="C671" t="inlineStr">
        <is>
          <t>P_US_ALL_OTHERS</t>
        </is>
      </c>
      <c r="D671" t="inlineStr">
        <is>
          <t>System BestFit Final</t>
        </is>
      </c>
      <c r="E671" t="inlineStr">
        <is>
          <t>CML</t>
        </is>
      </c>
      <c r="F671" t="inlineStr">
        <is>
          <t>CML</t>
        </is>
      </c>
      <c r="G671" t="inlineStr">
        <is>
          <t>CML</t>
        </is>
      </c>
      <c r="H671" t="inlineStr">
        <is>
          <t>CML</t>
        </is>
      </c>
      <c r="I671" t="inlineStr">
        <is>
          <t>CML</t>
        </is>
      </c>
      <c r="J671" t="inlineStr">
        <is>
          <t>CML</t>
        </is>
      </c>
      <c r="K671" t="inlineStr">
        <is>
          <t>CML</t>
        </is>
      </c>
      <c r="L671" t="inlineStr">
        <is>
          <t>CML</t>
        </is>
      </c>
      <c r="M671" t="inlineStr">
        <is>
          <t>CML</t>
        </is>
      </c>
      <c r="N671" t="inlineStr">
        <is>
          <t>CML</t>
        </is>
      </c>
      <c r="O671" t="inlineStr">
        <is>
          <t>CML</t>
        </is>
      </c>
      <c r="P671" t="inlineStr">
        <is>
          <t>CML</t>
        </is>
      </c>
    </row>
    <row r="672">
      <c r="A672" t="inlineStr">
        <is>
          <t>CurrentWorkingView</t>
        </is>
      </c>
      <c r="B672" s="1" t="n">
        <v>4064941130680</v>
      </c>
      <c r="C672" t="inlineStr">
        <is>
          <t>P_US_ALL_OTHERS</t>
        </is>
      </c>
      <c r="D672" t="inlineStr">
        <is>
          <t>System Bestfit Model ST</t>
        </is>
      </c>
    </row>
    <row r="673">
      <c r="A673" t="inlineStr">
        <is>
          <t>CurrentWorkingView</t>
        </is>
      </c>
      <c r="B673" s="1" t="n">
        <v>4064941130680</v>
      </c>
      <c r="C673" t="inlineStr">
        <is>
          <t>P_US_ALL_OTHERS</t>
        </is>
      </c>
      <c r="D673" t="inlineStr">
        <is>
          <t>Planner BestFit Model</t>
        </is>
      </c>
    </row>
    <row r="674">
      <c r="A674" t="inlineStr">
        <is>
          <t>CurrentWorkingView</t>
        </is>
      </c>
      <c r="B674" s="1" t="n">
        <v>4064941130680</v>
      </c>
      <c r="C674" t="inlineStr">
        <is>
          <t>P_US_ULTA</t>
        </is>
      </c>
      <c r="D674" t="inlineStr">
        <is>
          <t>System FC - Final</t>
        </is>
      </c>
      <c r="E674" t="n">
        <v>96</v>
      </c>
      <c r="F674" t="n">
        <v>960</v>
      </c>
      <c r="G674" t="n">
        <v>422</v>
      </c>
      <c r="H674" t="n">
        <v>280</v>
      </c>
      <c r="I674" t="n">
        <v>335</v>
      </c>
      <c r="J674" t="n">
        <v>385</v>
      </c>
      <c r="K674" t="n">
        <v>443</v>
      </c>
      <c r="L674" t="n">
        <v>340</v>
      </c>
      <c r="M674" t="n">
        <v>354</v>
      </c>
      <c r="N674" t="n">
        <v>373</v>
      </c>
      <c r="O674" t="n">
        <v>376</v>
      </c>
      <c r="P674" t="n">
        <v>377</v>
      </c>
    </row>
    <row r="675">
      <c r="A675" t="inlineStr">
        <is>
          <t>CurrentWorkingView</t>
        </is>
      </c>
      <c r="B675" s="1" t="n">
        <v>4064941130680</v>
      </c>
      <c r="C675" t="inlineStr">
        <is>
          <t>P_US_ULTA</t>
        </is>
      </c>
      <c r="D675" t="inlineStr">
        <is>
          <t>CML Fcst</t>
        </is>
      </c>
      <c r="H675" t="n">
        <v>1178</v>
      </c>
      <c r="I675" t="n">
        <v>712</v>
      </c>
      <c r="J675" t="n">
        <v>1319</v>
      </c>
      <c r="K675" t="n">
        <v>881</v>
      </c>
      <c r="L675" t="n">
        <v>788</v>
      </c>
      <c r="M675" t="n">
        <v>1479</v>
      </c>
      <c r="N675" t="n">
        <v>947</v>
      </c>
      <c r="O675" t="n">
        <v>1116</v>
      </c>
      <c r="P675" t="n">
        <v>865</v>
      </c>
    </row>
    <row r="676">
      <c r="A676" t="inlineStr">
        <is>
          <t>CurrentWorkingView</t>
        </is>
      </c>
      <c r="B676" s="1" t="n">
        <v>4064941130680</v>
      </c>
      <c r="C676" t="inlineStr">
        <is>
          <t>P_US_ULTA</t>
        </is>
      </c>
      <c r="D676" t="inlineStr">
        <is>
          <t>ST Stat Fcst</t>
        </is>
      </c>
      <c r="E676" t="n">
        <v>96</v>
      </c>
      <c r="F676" t="n">
        <v>960</v>
      </c>
      <c r="G676" t="n">
        <v>410</v>
      </c>
      <c r="H676" t="n">
        <v>279</v>
      </c>
      <c r="I676" t="n">
        <v>334</v>
      </c>
      <c r="J676" t="n">
        <v>385</v>
      </c>
      <c r="K676" t="n">
        <v>443</v>
      </c>
      <c r="L676" t="n">
        <v>340</v>
      </c>
      <c r="M676" t="n">
        <v>354</v>
      </c>
      <c r="N676" t="n">
        <v>373</v>
      </c>
      <c r="O676" t="n">
        <v>376</v>
      </c>
      <c r="P676" t="n">
        <v>377</v>
      </c>
    </row>
    <row r="677">
      <c r="A677" t="inlineStr">
        <is>
          <t>CurrentWorkingView</t>
        </is>
      </c>
      <c r="B677" s="1" t="n">
        <v>4064941130680</v>
      </c>
      <c r="C677" t="inlineStr">
        <is>
          <t>P_US_ULTA</t>
        </is>
      </c>
      <c r="D677" t="inlineStr">
        <is>
          <t>LT Stat Fcst</t>
        </is>
      </c>
      <c r="H677" t="n">
        <v>302</v>
      </c>
      <c r="I677" t="n">
        <v>322</v>
      </c>
      <c r="J677" t="n">
        <v>331</v>
      </c>
      <c r="K677" t="n">
        <v>336</v>
      </c>
      <c r="L677" t="n">
        <v>340</v>
      </c>
      <c r="M677" t="n">
        <v>341</v>
      </c>
      <c r="N677" t="n">
        <v>342</v>
      </c>
      <c r="O677" t="n">
        <v>341</v>
      </c>
      <c r="P677" t="n">
        <v>343</v>
      </c>
    </row>
    <row r="678">
      <c r="A678" t="inlineStr">
        <is>
          <t>CurrentWorkingView</t>
        </is>
      </c>
      <c r="B678" s="1" t="n">
        <v>4064941130680</v>
      </c>
      <c r="C678" t="inlineStr">
        <is>
          <t>P_US_ULTA</t>
        </is>
      </c>
      <c r="D678" t="inlineStr">
        <is>
          <t>System BestFit Final</t>
        </is>
      </c>
      <c r="E678" t="inlineStr">
        <is>
          <t>ST</t>
        </is>
      </c>
      <c r="F678" t="inlineStr">
        <is>
          <t>ST</t>
        </is>
      </c>
      <c r="G678" t="inlineStr">
        <is>
          <t>ST</t>
        </is>
      </c>
      <c r="H678" t="inlineStr">
        <is>
          <t>ST</t>
        </is>
      </c>
      <c r="I678" t="inlineStr">
        <is>
          <t>ST</t>
        </is>
      </c>
      <c r="J678" t="inlineStr">
        <is>
          <t>ST</t>
        </is>
      </c>
      <c r="K678" t="inlineStr">
        <is>
          <t>ST</t>
        </is>
      </c>
      <c r="L678" t="inlineStr">
        <is>
          <t>ST</t>
        </is>
      </c>
      <c r="M678" t="inlineStr">
        <is>
          <t>ST</t>
        </is>
      </c>
      <c r="N678" t="inlineStr">
        <is>
          <t>ST</t>
        </is>
      </c>
      <c r="O678" t="inlineStr">
        <is>
          <t>ST</t>
        </is>
      </c>
      <c r="P678" t="inlineStr">
        <is>
          <t>ST</t>
        </is>
      </c>
    </row>
    <row r="679">
      <c r="A679" t="inlineStr">
        <is>
          <t>CurrentWorkingView</t>
        </is>
      </c>
      <c r="B679" s="1" t="n">
        <v>4064941130680</v>
      </c>
      <c r="C679" t="inlineStr">
        <is>
          <t>P_US_ULTA</t>
        </is>
      </c>
      <c r="D679" t="inlineStr">
        <is>
          <t>System Bestfit Model ST</t>
        </is>
      </c>
      <c r="E679" t="inlineStr">
        <is>
          <t>ST</t>
        </is>
      </c>
      <c r="F679" t="inlineStr">
        <is>
          <t>ST</t>
        </is>
      </c>
      <c r="G679" t="inlineStr">
        <is>
          <t>ST</t>
        </is>
      </c>
      <c r="H679" t="inlineStr">
        <is>
          <t>ST</t>
        </is>
      </c>
      <c r="I679" t="inlineStr">
        <is>
          <t>ST</t>
        </is>
      </c>
      <c r="J679" t="inlineStr">
        <is>
          <t>ST</t>
        </is>
      </c>
      <c r="K679" t="inlineStr">
        <is>
          <t>ST</t>
        </is>
      </c>
      <c r="L679" t="inlineStr">
        <is>
          <t>ST</t>
        </is>
      </c>
      <c r="M679" t="inlineStr">
        <is>
          <t>ST</t>
        </is>
      </c>
      <c r="N679" t="inlineStr">
        <is>
          <t>ST</t>
        </is>
      </c>
      <c r="O679" t="inlineStr">
        <is>
          <t>ST</t>
        </is>
      </c>
      <c r="P679" t="inlineStr">
        <is>
          <t>ST</t>
        </is>
      </c>
    </row>
    <row r="680">
      <c r="A680" t="inlineStr">
        <is>
          <t>CurrentWorkingView</t>
        </is>
      </c>
      <c r="B680" s="1" t="n">
        <v>4064941130680</v>
      </c>
      <c r="C680" t="inlineStr">
        <is>
          <t>P_US_ULTA</t>
        </is>
      </c>
      <c r="D680" t="inlineStr">
        <is>
          <t>Planner BestFit Model</t>
        </is>
      </c>
    </row>
    <row r="681">
      <c r="A681" t="inlineStr">
        <is>
          <t>CurrentWorkingView</t>
        </is>
      </c>
      <c r="B681" s="1" t="n">
        <v>4064941130697</v>
      </c>
      <c r="C681" t="inlineStr">
        <is>
          <t>P_US_ALL_OTHERS</t>
        </is>
      </c>
      <c r="D681" t="inlineStr">
        <is>
          <t>System FC - Final</t>
        </is>
      </c>
      <c r="E681" t="n">
        <v>82</v>
      </c>
      <c r="F681" t="n">
        <v>103</v>
      </c>
      <c r="G681" t="n">
        <v>70</v>
      </c>
      <c r="H681" t="n">
        <v>133</v>
      </c>
      <c r="I681" t="n">
        <v>108</v>
      </c>
      <c r="J681" t="n">
        <v>110</v>
      </c>
      <c r="K681" t="n">
        <v>102</v>
      </c>
      <c r="L681" t="n">
        <v>148</v>
      </c>
      <c r="M681" t="n">
        <v>106</v>
      </c>
      <c r="N681" t="n">
        <v>142</v>
      </c>
      <c r="O681" t="n">
        <v>177</v>
      </c>
      <c r="P681" t="n">
        <v>129</v>
      </c>
    </row>
    <row r="682">
      <c r="A682" t="inlineStr">
        <is>
          <t>CurrentWorkingView</t>
        </is>
      </c>
      <c r="B682" s="1" t="n">
        <v>4064941130697</v>
      </c>
      <c r="C682" t="inlineStr">
        <is>
          <t>P_US_ALL_OTHERS</t>
        </is>
      </c>
      <c r="D682" t="inlineStr">
        <is>
          <t>CML Fcst</t>
        </is>
      </c>
      <c r="H682" t="n">
        <v>132</v>
      </c>
      <c r="I682" t="n">
        <v>108</v>
      </c>
      <c r="J682" t="n">
        <v>110</v>
      </c>
      <c r="K682" t="n">
        <v>102</v>
      </c>
      <c r="L682" t="n">
        <v>148</v>
      </c>
      <c r="M682" t="n">
        <v>106</v>
      </c>
      <c r="N682" t="n">
        <v>142</v>
      </c>
      <c r="O682" t="n">
        <v>177</v>
      </c>
      <c r="P682" t="n">
        <v>129</v>
      </c>
    </row>
    <row r="683">
      <c r="A683" t="inlineStr">
        <is>
          <t>CurrentWorkingView</t>
        </is>
      </c>
      <c r="B683" s="1" t="n">
        <v>4064941130697</v>
      </c>
      <c r="C683" t="inlineStr">
        <is>
          <t>P_US_ALL_OTHERS</t>
        </is>
      </c>
      <c r="D683" t="inlineStr">
        <is>
          <t>ST Stat Fcst</t>
        </is>
      </c>
      <c r="E683" t="n">
        <v>82</v>
      </c>
      <c r="F683" t="n">
        <v>103</v>
      </c>
      <c r="G683" t="n">
        <v>69</v>
      </c>
      <c r="H683" t="n">
        <v>167</v>
      </c>
      <c r="I683" t="n">
        <v>300</v>
      </c>
      <c r="J683" t="n">
        <v>150</v>
      </c>
      <c r="K683" t="n">
        <v>98</v>
      </c>
      <c r="L683" t="n">
        <v>308</v>
      </c>
      <c r="M683" t="n">
        <v>84</v>
      </c>
      <c r="N683" t="n">
        <v>85</v>
      </c>
      <c r="O683" t="n">
        <v>23</v>
      </c>
      <c r="P683" t="n">
        <v>99</v>
      </c>
    </row>
    <row r="684">
      <c r="A684" t="inlineStr">
        <is>
          <t>CurrentWorkingView</t>
        </is>
      </c>
      <c r="B684" s="1" t="n">
        <v>4064941130697</v>
      </c>
      <c r="C684" t="inlineStr">
        <is>
          <t>P_US_ALL_OTHERS</t>
        </is>
      </c>
      <c r="D684" t="inlineStr">
        <is>
          <t>LT Stat Fcst</t>
        </is>
      </c>
      <c r="H684" t="n">
        <v>160</v>
      </c>
      <c r="I684" t="n">
        <v>172</v>
      </c>
      <c r="J684" t="n">
        <v>177</v>
      </c>
      <c r="K684" t="n">
        <v>178</v>
      </c>
      <c r="L684" t="n">
        <v>184</v>
      </c>
      <c r="M684" t="n">
        <v>182</v>
      </c>
      <c r="N684" t="n">
        <v>180</v>
      </c>
      <c r="O684" t="n">
        <v>186</v>
      </c>
      <c r="P684" t="n">
        <v>180</v>
      </c>
    </row>
    <row r="685">
      <c r="A685" t="inlineStr">
        <is>
          <t>CurrentWorkingView</t>
        </is>
      </c>
      <c r="B685" s="1" t="n">
        <v>4064941130697</v>
      </c>
      <c r="C685" t="inlineStr">
        <is>
          <t>P_US_ALL_OTHERS</t>
        </is>
      </c>
      <c r="D685" t="inlineStr">
        <is>
          <t>System BestFit Final</t>
        </is>
      </c>
      <c r="E685" t="inlineStr">
        <is>
          <t>CML</t>
        </is>
      </c>
      <c r="F685" t="inlineStr">
        <is>
          <t>CML</t>
        </is>
      </c>
      <c r="G685" t="inlineStr">
        <is>
          <t>CML</t>
        </is>
      </c>
      <c r="H685" t="inlineStr">
        <is>
          <t>CML</t>
        </is>
      </c>
      <c r="I685" t="inlineStr">
        <is>
          <t>CML</t>
        </is>
      </c>
      <c r="J685" t="inlineStr">
        <is>
          <t>CML</t>
        </is>
      </c>
      <c r="K685" t="inlineStr">
        <is>
          <t>CML</t>
        </is>
      </c>
      <c r="L685" t="inlineStr">
        <is>
          <t>CML</t>
        </is>
      </c>
      <c r="M685" t="inlineStr">
        <is>
          <t>CML</t>
        </is>
      </c>
      <c r="N685" t="inlineStr">
        <is>
          <t>CML</t>
        </is>
      </c>
      <c r="O685" t="inlineStr">
        <is>
          <t>CML</t>
        </is>
      </c>
      <c r="P685" t="inlineStr">
        <is>
          <t>CML</t>
        </is>
      </c>
    </row>
    <row r="686">
      <c r="A686" t="inlineStr">
        <is>
          <t>CurrentWorkingView</t>
        </is>
      </c>
      <c r="B686" s="1" t="n">
        <v>4064941130697</v>
      </c>
      <c r="C686" t="inlineStr">
        <is>
          <t>P_US_ALL_OTHERS</t>
        </is>
      </c>
      <c r="D686" t="inlineStr">
        <is>
          <t>System Bestfit Model ST</t>
        </is>
      </c>
    </row>
    <row r="687">
      <c r="A687" t="inlineStr">
        <is>
          <t>CurrentWorkingView</t>
        </is>
      </c>
      <c r="B687" s="1" t="n">
        <v>4064941130697</v>
      </c>
      <c r="C687" t="inlineStr">
        <is>
          <t>P_US_ALL_OTHERS</t>
        </is>
      </c>
      <c r="D687" t="inlineStr">
        <is>
          <t>Planner BestFit Model</t>
        </is>
      </c>
    </row>
    <row r="688">
      <c r="A688" t="inlineStr">
        <is>
          <t>CurrentWorkingView</t>
        </is>
      </c>
      <c r="B688" s="1" t="n">
        <v>4064941130697</v>
      </c>
      <c r="C688" t="inlineStr">
        <is>
          <t>P_US_ULTA</t>
        </is>
      </c>
      <c r="D688" t="inlineStr">
        <is>
          <t>System FC - Final</t>
        </is>
      </c>
      <c r="E688" t="n">
        <v>288</v>
      </c>
      <c r="F688" t="n">
        <v>2592</v>
      </c>
      <c r="G688" t="n">
        <v>956</v>
      </c>
      <c r="H688" t="n">
        <v>363</v>
      </c>
      <c r="I688" t="n">
        <v>327</v>
      </c>
      <c r="J688" t="n">
        <v>291</v>
      </c>
      <c r="K688" t="n">
        <v>257</v>
      </c>
      <c r="L688" t="n">
        <v>224</v>
      </c>
      <c r="M688" t="n">
        <v>195</v>
      </c>
      <c r="N688" t="n">
        <v>163</v>
      </c>
      <c r="O688" t="n">
        <v>137</v>
      </c>
      <c r="P688" t="n">
        <v>111</v>
      </c>
    </row>
    <row r="689">
      <c r="A689" t="inlineStr">
        <is>
          <t>CurrentWorkingView</t>
        </is>
      </c>
      <c r="B689" s="1" t="n">
        <v>4064941130697</v>
      </c>
      <c r="C689" t="inlineStr">
        <is>
          <t>P_US_ULTA</t>
        </is>
      </c>
      <c r="D689" t="inlineStr">
        <is>
          <t>CML Fcst</t>
        </is>
      </c>
      <c r="H689" t="n">
        <v>3391</v>
      </c>
      <c r="I689" t="n">
        <v>5130</v>
      </c>
      <c r="J689" t="n">
        <v>4126</v>
      </c>
      <c r="K689" t="n">
        <v>3946</v>
      </c>
      <c r="L689" t="n">
        <v>2408</v>
      </c>
      <c r="M689" t="n">
        <v>6315</v>
      </c>
      <c r="N689" t="n">
        <v>8135</v>
      </c>
      <c r="O689" t="n">
        <v>4402</v>
      </c>
      <c r="P689" t="n">
        <v>4560</v>
      </c>
    </row>
    <row r="690">
      <c r="A690" t="inlineStr">
        <is>
          <t>CurrentWorkingView</t>
        </is>
      </c>
      <c r="B690" s="1" t="n">
        <v>4064941130697</v>
      </c>
      <c r="C690" t="inlineStr">
        <is>
          <t>P_US_ULTA</t>
        </is>
      </c>
      <c r="D690" t="inlineStr">
        <is>
          <t>ST Stat Fcst</t>
        </is>
      </c>
      <c r="E690" t="n">
        <v>288</v>
      </c>
      <c r="F690" t="n">
        <v>2592</v>
      </c>
      <c r="G690" t="n">
        <v>926</v>
      </c>
      <c r="H690" t="n">
        <v>363</v>
      </c>
      <c r="I690" t="n">
        <v>326</v>
      </c>
      <c r="J690" t="n">
        <v>291</v>
      </c>
      <c r="K690" t="n">
        <v>257</v>
      </c>
      <c r="L690" t="n">
        <v>224</v>
      </c>
      <c r="M690" t="n">
        <v>195</v>
      </c>
      <c r="N690" t="n">
        <v>163</v>
      </c>
      <c r="O690" t="n">
        <v>137</v>
      </c>
      <c r="P690" t="n">
        <v>111</v>
      </c>
    </row>
    <row r="691">
      <c r="A691" t="inlineStr">
        <is>
          <t>CurrentWorkingView</t>
        </is>
      </c>
      <c r="B691" s="1" t="n">
        <v>4064941130697</v>
      </c>
      <c r="C691" t="inlineStr">
        <is>
          <t>P_US_ULTA</t>
        </is>
      </c>
      <c r="D691" t="inlineStr">
        <is>
          <t>LT Stat Fcst</t>
        </is>
      </c>
      <c r="H691" t="n">
        <v>473</v>
      </c>
      <c r="I691" t="n">
        <v>502</v>
      </c>
      <c r="J691" t="n">
        <v>519</v>
      </c>
      <c r="K691" t="n">
        <v>523</v>
      </c>
      <c r="L691" t="n">
        <v>528</v>
      </c>
      <c r="M691" t="n">
        <v>532</v>
      </c>
      <c r="N691" t="n">
        <v>532</v>
      </c>
      <c r="O691" t="n">
        <v>532</v>
      </c>
      <c r="P691" t="n">
        <v>535</v>
      </c>
    </row>
    <row r="692">
      <c r="A692" t="inlineStr">
        <is>
          <t>CurrentWorkingView</t>
        </is>
      </c>
      <c r="B692" s="1" t="n">
        <v>4064941130697</v>
      </c>
      <c r="C692" t="inlineStr">
        <is>
          <t>P_US_ULTA</t>
        </is>
      </c>
      <c r="D692" t="inlineStr">
        <is>
          <t>System BestFit Final</t>
        </is>
      </c>
      <c r="E692" t="inlineStr">
        <is>
          <t>ST</t>
        </is>
      </c>
      <c r="F692" t="inlineStr">
        <is>
          <t>ST</t>
        </is>
      </c>
      <c r="G692" t="inlineStr">
        <is>
          <t>ST</t>
        </is>
      </c>
      <c r="H692" t="inlineStr">
        <is>
          <t>ST</t>
        </is>
      </c>
      <c r="I692" t="inlineStr">
        <is>
          <t>ST</t>
        </is>
      </c>
      <c r="J692" t="inlineStr">
        <is>
          <t>ST</t>
        </is>
      </c>
      <c r="K692" t="inlineStr">
        <is>
          <t>ST</t>
        </is>
      </c>
      <c r="L692" t="inlineStr">
        <is>
          <t>ST</t>
        </is>
      </c>
      <c r="M692" t="inlineStr">
        <is>
          <t>ST</t>
        </is>
      </c>
      <c r="N692" t="inlineStr">
        <is>
          <t>ST</t>
        </is>
      </c>
      <c r="O692" t="inlineStr">
        <is>
          <t>ST</t>
        </is>
      </c>
      <c r="P692" t="inlineStr">
        <is>
          <t>ST</t>
        </is>
      </c>
    </row>
    <row r="693">
      <c r="A693" t="inlineStr">
        <is>
          <t>CurrentWorkingView</t>
        </is>
      </c>
      <c r="B693" s="1" t="n">
        <v>4064941130697</v>
      </c>
      <c r="C693" t="inlineStr">
        <is>
          <t>P_US_ULTA</t>
        </is>
      </c>
      <c r="D693" t="inlineStr">
        <is>
          <t>System Bestfit Model ST</t>
        </is>
      </c>
      <c r="E693" t="inlineStr">
        <is>
          <t>ST</t>
        </is>
      </c>
      <c r="F693" t="inlineStr">
        <is>
          <t>ST</t>
        </is>
      </c>
      <c r="G693" t="inlineStr">
        <is>
          <t>ST</t>
        </is>
      </c>
      <c r="H693" t="inlineStr">
        <is>
          <t>ST</t>
        </is>
      </c>
      <c r="I693" t="inlineStr">
        <is>
          <t>ST</t>
        </is>
      </c>
      <c r="J693" t="inlineStr">
        <is>
          <t>ST</t>
        </is>
      </c>
      <c r="K693" t="inlineStr">
        <is>
          <t>ST</t>
        </is>
      </c>
      <c r="L693" t="inlineStr">
        <is>
          <t>ST</t>
        </is>
      </c>
      <c r="M693" t="inlineStr">
        <is>
          <t>ST</t>
        </is>
      </c>
      <c r="N693" t="inlineStr">
        <is>
          <t>ST</t>
        </is>
      </c>
      <c r="O693" t="inlineStr">
        <is>
          <t>ST</t>
        </is>
      </c>
      <c r="P693" t="inlineStr">
        <is>
          <t>ST</t>
        </is>
      </c>
    </row>
    <row r="694">
      <c r="A694" t="inlineStr">
        <is>
          <t>CurrentWorkingView</t>
        </is>
      </c>
      <c r="B694" s="1" t="n">
        <v>4064941130697</v>
      </c>
      <c r="C694" t="inlineStr">
        <is>
          <t>P_US_ULTA</t>
        </is>
      </c>
      <c r="D694" t="inlineStr">
        <is>
          <t>Planner BestFit Model</t>
        </is>
      </c>
      <c r="E694" t="inlineStr">
        <is>
          <t>ST</t>
        </is>
      </c>
      <c r="F694" t="inlineStr">
        <is>
          <t>ST</t>
        </is>
      </c>
      <c r="G694" t="inlineStr">
        <is>
          <t>ST</t>
        </is>
      </c>
      <c r="H694" t="inlineStr">
        <is>
          <t>ST</t>
        </is>
      </c>
      <c r="I694" t="inlineStr">
        <is>
          <t>ST</t>
        </is>
      </c>
      <c r="J694" t="inlineStr">
        <is>
          <t>ST</t>
        </is>
      </c>
      <c r="K694" t="inlineStr">
        <is>
          <t>ST</t>
        </is>
      </c>
      <c r="L694" t="inlineStr">
        <is>
          <t>ST</t>
        </is>
      </c>
      <c r="M694" t="inlineStr">
        <is>
          <t>ST</t>
        </is>
      </c>
      <c r="N694" t="inlineStr">
        <is>
          <t>ST</t>
        </is>
      </c>
      <c r="O694" t="inlineStr">
        <is>
          <t>ST</t>
        </is>
      </c>
      <c r="P694" t="inlineStr">
        <is>
          <t>ST</t>
        </is>
      </c>
    </row>
    <row r="695">
      <c r="A695" t="inlineStr">
        <is>
          <t>CurrentWorkingView</t>
        </is>
      </c>
      <c r="B695" s="1" t="n">
        <v>4064941130703</v>
      </c>
      <c r="C695" t="inlineStr">
        <is>
          <t>P_US_ALL_OTHERS</t>
        </is>
      </c>
      <c r="D695" t="inlineStr">
        <is>
          <t>System FC - Final</t>
        </is>
      </c>
      <c r="E695" t="n">
        <v>58</v>
      </c>
      <c r="F695" t="n">
        <v>91</v>
      </c>
      <c r="G695" t="n">
        <v>25</v>
      </c>
      <c r="H695" t="n">
        <v>71</v>
      </c>
      <c r="I695" t="n">
        <v>4</v>
      </c>
      <c r="J695" t="n">
        <v>322</v>
      </c>
      <c r="K695" t="n">
        <v>111</v>
      </c>
      <c r="L695" t="n">
        <v>140</v>
      </c>
      <c r="M695" t="n">
        <v>111</v>
      </c>
      <c r="N695" t="n">
        <v>77</v>
      </c>
      <c r="O695" t="n">
        <v>53</v>
      </c>
      <c r="P695" t="n">
        <v>0</v>
      </c>
    </row>
    <row r="696">
      <c r="A696" t="inlineStr">
        <is>
          <t>CurrentWorkingView</t>
        </is>
      </c>
      <c r="B696" s="1" t="n">
        <v>4064941130703</v>
      </c>
      <c r="C696" t="inlineStr">
        <is>
          <t>P_US_ALL_OTHERS</t>
        </is>
      </c>
      <c r="D696" t="inlineStr">
        <is>
          <t>CML Fcst</t>
        </is>
      </c>
      <c r="H696" t="n">
        <v>127</v>
      </c>
      <c r="I696" t="n">
        <v>108</v>
      </c>
      <c r="J696" t="n">
        <v>128</v>
      </c>
      <c r="K696" t="n">
        <v>102</v>
      </c>
      <c r="L696" t="n">
        <v>148</v>
      </c>
      <c r="M696" t="n">
        <v>111</v>
      </c>
      <c r="N696" t="n">
        <v>138</v>
      </c>
      <c r="O696" t="n">
        <v>133</v>
      </c>
      <c r="P696" t="n">
        <v>129</v>
      </c>
    </row>
    <row r="697">
      <c r="A697" t="inlineStr">
        <is>
          <t>CurrentWorkingView</t>
        </is>
      </c>
      <c r="B697" s="1" t="n">
        <v>4064941130703</v>
      </c>
      <c r="C697" t="inlineStr">
        <is>
          <t>P_US_ALL_OTHERS</t>
        </is>
      </c>
      <c r="D697" t="inlineStr">
        <is>
          <t>ST Stat Fcst</t>
        </is>
      </c>
      <c r="E697" t="n">
        <v>58</v>
      </c>
      <c r="F697" t="n">
        <v>91</v>
      </c>
      <c r="G697" t="n">
        <v>24</v>
      </c>
      <c r="H697" t="n">
        <v>71</v>
      </c>
      <c r="I697" t="n">
        <v>4</v>
      </c>
      <c r="J697" t="n">
        <v>322</v>
      </c>
      <c r="K697" t="n">
        <v>111</v>
      </c>
      <c r="L697" t="n">
        <v>140</v>
      </c>
      <c r="M697" t="n">
        <v>111</v>
      </c>
      <c r="N697" t="n">
        <v>77</v>
      </c>
      <c r="O697" t="n">
        <v>53</v>
      </c>
      <c r="P697" t="n">
        <v>0</v>
      </c>
    </row>
    <row r="698">
      <c r="A698" t="inlineStr">
        <is>
          <t>CurrentWorkingView</t>
        </is>
      </c>
      <c r="B698" s="1" t="n">
        <v>4064941130703</v>
      </c>
      <c r="C698" t="inlineStr">
        <is>
          <t>P_US_ALL_OTHERS</t>
        </is>
      </c>
      <c r="D698" t="inlineStr">
        <is>
          <t>LT Stat Fcst</t>
        </is>
      </c>
      <c r="H698" t="n">
        <v>111</v>
      </c>
      <c r="I698" t="n">
        <v>120</v>
      </c>
      <c r="J698" t="n">
        <v>119</v>
      </c>
      <c r="K698" t="n">
        <v>124</v>
      </c>
      <c r="L698" t="n">
        <v>124</v>
      </c>
      <c r="M698" t="n">
        <v>124</v>
      </c>
      <c r="N698" t="n">
        <v>125</v>
      </c>
      <c r="O698" t="n">
        <v>124</v>
      </c>
      <c r="P698" t="n">
        <v>125</v>
      </c>
    </row>
    <row r="699">
      <c r="A699" t="inlineStr">
        <is>
          <t>CurrentWorkingView</t>
        </is>
      </c>
      <c r="B699" s="1" t="n">
        <v>4064941130703</v>
      </c>
      <c r="C699" t="inlineStr">
        <is>
          <t>P_US_ALL_OTHERS</t>
        </is>
      </c>
      <c r="D699" t="inlineStr">
        <is>
          <t>System BestFit Final</t>
        </is>
      </c>
      <c r="E699" t="inlineStr">
        <is>
          <t>ST</t>
        </is>
      </c>
      <c r="F699" t="inlineStr">
        <is>
          <t>ST</t>
        </is>
      </c>
      <c r="G699" t="inlineStr">
        <is>
          <t>ST</t>
        </is>
      </c>
      <c r="H699" t="inlineStr">
        <is>
          <t>ST</t>
        </is>
      </c>
      <c r="I699" t="inlineStr">
        <is>
          <t>ST</t>
        </is>
      </c>
      <c r="J699" t="inlineStr">
        <is>
          <t>ST</t>
        </is>
      </c>
      <c r="K699" t="inlineStr">
        <is>
          <t>ST</t>
        </is>
      </c>
      <c r="L699" t="inlineStr">
        <is>
          <t>ST</t>
        </is>
      </c>
      <c r="M699" t="inlineStr">
        <is>
          <t>ST</t>
        </is>
      </c>
      <c r="N699" t="inlineStr">
        <is>
          <t>ST</t>
        </is>
      </c>
      <c r="O699" t="inlineStr">
        <is>
          <t>ST</t>
        </is>
      </c>
      <c r="P699" t="inlineStr">
        <is>
          <t>ST</t>
        </is>
      </c>
    </row>
    <row r="700">
      <c r="A700" t="inlineStr">
        <is>
          <t>CurrentWorkingView</t>
        </is>
      </c>
      <c r="B700" s="1" t="n">
        <v>4064941130703</v>
      </c>
      <c r="C700" t="inlineStr">
        <is>
          <t>P_US_ALL_OTHERS</t>
        </is>
      </c>
      <c r="D700" t="inlineStr">
        <is>
          <t>System Bestfit Model ST</t>
        </is>
      </c>
      <c r="E700" t="inlineStr">
        <is>
          <t>ST</t>
        </is>
      </c>
      <c r="F700" t="inlineStr">
        <is>
          <t>ST</t>
        </is>
      </c>
      <c r="G700" t="inlineStr">
        <is>
          <t>ST</t>
        </is>
      </c>
      <c r="H700" t="inlineStr">
        <is>
          <t>ST</t>
        </is>
      </c>
      <c r="I700" t="inlineStr">
        <is>
          <t>ST</t>
        </is>
      </c>
      <c r="J700" t="inlineStr">
        <is>
          <t>ST</t>
        </is>
      </c>
      <c r="K700" t="inlineStr">
        <is>
          <t>ST</t>
        </is>
      </c>
      <c r="L700" t="inlineStr">
        <is>
          <t>ST</t>
        </is>
      </c>
      <c r="M700" t="inlineStr">
        <is>
          <t>ST</t>
        </is>
      </c>
      <c r="N700" t="inlineStr">
        <is>
          <t>ST</t>
        </is>
      </c>
      <c r="O700" t="inlineStr">
        <is>
          <t>ST</t>
        </is>
      </c>
      <c r="P700" t="inlineStr">
        <is>
          <t>ST</t>
        </is>
      </c>
    </row>
    <row r="701">
      <c r="A701" t="inlineStr">
        <is>
          <t>CurrentWorkingView</t>
        </is>
      </c>
      <c r="B701" s="1" t="n">
        <v>4064941130703</v>
      </c>
      <c r="C701" t="inlineStr">
        <is>
          <t>P_US_ALL_OTHERS</t>
        </is>
      </c>
      <c r="D701" t="inlineStr">
        <is>
          <t>Planner BestFit Model</t>
        </is>
      </c>
      <c r="E701" t="inlineStr">
        <is>
          <t>ST</t>
        </is>
      </c>
      <c r="F701" t="inlineStr">
        <is>
          <t>ST</t>
        </is>
      </c>
      <c r="G701" t="inlineStr">
        <is>
          <t>ST</t>
        </is>
      </c>
      <c r="H701" t="inlineStr">
        <is>
          <t>ST</t>
        </is>
      </c>
      <c r="I701" t="inlineStr">
        <is>
          <t>ST</t>
        </is>
      </c>
      <c r="J701" t="inlineStr">
        <is>
          <t>ST</t>
        </is>
      </c>
      <c r="K701" t="inlineStr">
        <is>
          <t>ST</t>
        </is>
      </c>
      <c r="L701" t="inlineStr">
        <is>
          <t>ST</t>
        </is>
      </c>
      <c r="M701" t="inlineStr">
        <is>
          <t>ST</t>
        </is>
      </c>
      <c r="N701" t="inlineStr">
        <is>
          <t>ST</t>
        </is>
      </c>
      <c r="O701" t="inlineStr">
        <is>
          <t>ST</t>
        </is>
      </c>
      <c r="P701" t="inlineStr">
        <is>
          <t>ST</t>
        </is>
      </c>
    </row>
    <row r="702">
      <c r="A702" t="inlineStr">
        <is>
          <t>CurrentWorkingView</t>
        </is>
      </c>
      <c r="B702" s="1" t="n">
        <v>4064941130703</v>
      </c>
      <c r="C702" t="inlineStr">
        <is>
          <t>P_US_ULTA</t>
        </is>
      </c>
      <c r="D702" t="inlineStr">
        <is>
          <t>System FC - Final</t>
        </is>
      </c>
      <c r="E702" t="n">
        <v>288</v>
      </c>
      <c r="F702" t="n">
        <v>2976</v>
      </c>
      <c r="G702" t="n">
        <v>900</v>
      </c>
      <c r="H702" t="n">
        <v>252</v>
      </c>
      <c r="I702" t="n">
        <v>223</v>
      </c>
      <c r="J702" t="n">
        <v>195</v>
      </c>
      <c r="K702" t="n">
        <v>173</v>
      </c>
      <c r="L702" t="n">
        <v>148</v>
      </c>
      <c r="M702" t="n">
        <v>124</v>
      </c>
      <c r="N702" t="n">
        <v>103</v>
      </c>
      <c r="O702" t="n">
        <v>80</v>
      </c>
      <c r="P702" t="n">
        <v>60</v>
      </c>
    </row>
    <row r="703">
      <c r="A703" t="inlineStr">
        <is>
          <t>CurrentWorkingView</t>
        </is>
      </c>
      <c r="B703" s="1" t="n">
        <v>4064941130703</v>
      </c>
      <c r="C703" t="inlineStr">
        <is>
          <t>P_US_ULTA</t>
        </is>
      </c>
      <c r="D703" t="inlineStr">
        <is>
          <t>CML Fcst</t>
        </is>
      </c>
      <c r="H703" t="n">
        <v>4469</v>
      </c>
      <c r="I703" t="n">
        <v>5438</v>
      </c>
      <c r="J703" t="n">
        <v>4538</v>
      </c>
      <c r="K703" t="n">
        <v>4052</v>
      </c>
      <c r="L703" t="n">
        <v>3840</v>
      </c>
      <c r="M703" t="n">
        <v>6678</v>
      </c>
      <c r="N703" t="n">
        <v>7822</v>
      </c>
      <c r="O703" t="n">
        <v>4141</v>
      </c>
      <c r="P703" t="n">
        <v>4191</v>
      </c>
    </row>
    <row r="704">
      <c r="A704" t="inlineStr">
        <is>
          <t>CurrentWorkingView</t>
        </is>
      </c>
      <c r="B704" s="1" t="n">
        <v>4064941130703</v>
      </c>
      <c r="C704" t="inlineStr">
        <is>
          <t>P_US_ULTA</t>
        </is>
      </c>
      <c r="D704" t="inlineStr">
        <is>
          <t>ST Stat Fcst</t>
        </is>
      </c>
      <c r="E704" t="n">
        <v>288</v>
      </c>
      <c r="F704" t="n">
        <v>2976</v>
      </c>
      <c r="G704" t="n">
        <v>888</v>
      </c>
      <c r="H704" t="n">
        <v>253</v>
      </c>
      <c r="I704" t="n">
        <v>222</v>
      </c>
      <c r="J704" t="n">
        <v>195</v>
      </c>
      <c r="K704" t="n">
        <v>173</v>
      </c>
      <c r="L704" t="n">
        <v>148</v>
      </c>
      <c r="M704" t="n">
        <v>124</v>
      </c>
      <c r="N704" t="n">
        <v>103</v>
      </c>
      <c r="O704" t="n">
        <v>80</v>
      </c>
      <c r="P704" t="n">
        <v>60</v>
      </c>
    </row>
    <row r="705">
      <c r="A705" t="inlineStr">
        <is>
          <t>CurrentWorkingView</t>
        </is>
      </c>
      <c r="B705" s="1" t="n">
        <v>4064941130703</v>
      </c>
      <c r="C705" t="inlineStr">
        <is>
          <t>P_US_ULTA</t>
        </is>
      </c>
      <c r="D705" t="inlineStr">
        <is>
          <t>LT Stat Fcst</t>
        </is>
      </c>
      <c r="H705" t="n">
        <v>446</v>
      </c>
      <c r="I705" t="n">
        <v>476</v>
      </c>
      <c r="J705" t="n">
        <v>491</v>
      </c>
      <c r="K705" t="n">
        <v>496</v>
      </c>
      <c r="L705" t="n">
        <v>496</v>
      </c>
      <c r="M705" t="n">
        <v>501</v>
      </c>
      <c r="N705" t="n">
        <v>501</v>
      </c>
      <c r="O705" t="n">
        <v>505</v>
      </c>
      <c r="P705" t="n">
        <v>501</v>
      </c>
    </row>
    <row r="706">
      <c r="A706" t="inlineStr">
        <is>
          <t>CurrentWorkingView</t>
        </is>
      </c>
      <c r="B706" s="1" t="n">
        <v>4064941130703</v>
      </c>
      <c r="C706" t="inlineStr">
        <is>
          <t>P_US_ULTA</t>
        </is>
      </c>
      <c r="D706" t="inlineStr">
        <is>
          <t>System BestFit Final</t>
        </is>
      </c>
      <c r="E706" t="inlineStr">
        <is>
          <t>ST</t>
        </is>
      </c>
      <c r="F706" t="inlineStr">
        <is>
          <t>ST</t>
        </is>
      </c>
      <c r="G706" t="inlineStr">
        <is>
          <t>ST</t>
        </is>
      </c>
      <c r="H706" t="inlineStr">
        <is>
          <t>ST</t>
        </is>
      </c>
      <c r="I706" t="inlineStr">
        <is>
          <t>ST</t>
        </is>
      </c>
      <c r="J706" t="inlineStr">
        <is>
          <t>ST</t>
        </is>
      </c>
      <c r="K706" t="inlineStr">
        <is>
          <t>ST</t>
        </is>
      </c>
      <c r="L706" t="inlineStr">
        <is>
          <t>ST</t>
        </is>
      </c>
      <c r="M706" t="inlineStr">
        <is>
          <t>ST</t>
        </is>
      </c>
      <c r="N706" t="inlineStr">
        <is>
          <t>ST</t>
        </is>
      </c>
      <c r="O706" t="inlineStr">
        <is>
          <t>ST</t>
        </is>
      </c>
      <c r="P706" t="inlineStr">
        <is>
          <t>ST</t>
        </is>
      </c>
    </row>
    <row r="707">
      <c r="A707" t="inlineStr">
        <is>
          <t>CurrentWorkingView</t>
        </is>
      </c>
      <c r="B707" s="1" t="n">
        <v>4064941130703</v>
      </c>
      <c r="C707" t="inlineStr">
        <is>
          <t>P_US_ULTA</t>
        </is>
      </c>
      <c r="D707" t="inlineStr">
        <is>
          <t>System Bestfit Model ST</t>
        </is>
      </c>
      <c r="E707" t="inlineStr">
        <is>
          <t>ST</t>
        </is>
      </c>
      <c r="F707" t="inlineStr">
        <is>
          <t>ST</t>
        </is>
      </c>
      <c r="G707" t="inlineStr">
        <is>
          <t>ST</t>
        </is>
      </c>
      <c r="H707" t="inlineStr">
        <is>
          <t>ST</t>
        </is>
      </c>
      <c r="I707" t="inlineStr">
        <is>
          <t>ST</t>
        </is>
      </c>
      <c r="J707" t="inlineStr">
        <is>
          <t>ST</t>
        </is>
      </c>
      <c r="K707" t="inlineStr">
        <is>
          <t>ST</t>
        </is>
      </c>
      <c r="L707" t="inlineStr">
        <is>
          <t>ST</t>
        </is>
      </c>
      <c r="M707" t="inlineStr">
        <is>
          <t>ST</t>
        </is>
      </c>
      <c r="N707" t="inlineStr">
        <is>
          <t>ST</t>
        </is>
      </c>
      <c r="O707" t="inlineStr">
        <is>
          <t>ST</t>
        </is>
      </c>
      <c r="P707" t="inlineStr">
        <is>
          <t>ST</t>
        </is>
      </c>
    </row>
    <row r="708">
      <c r="A708" t="inlineStr">
        <is>
          <t>CurrentWorkingView</t>
        </is>
      </c>
      <c r="B708" s="1" t="n">
        <v>4064941130703</v>
      </c>
      <c r="C708" t="inlineStr">
        <is>
          <t>P_US_ULTA</t>
        </is>
      </c>
      <c r="D708" t="inlineStr">
        <is>
          <t>Planner BestFit Model</t>
        </is>
      </c>
      <c r="E708" t="inlineStr">
        <is>
          <t>ST</t>
        </is>
      </c>
      <c r="F708" t="inlineStr">
        <is>
          <t>ST</t>
        </is>
      </c>
      <c r="G708" t="inlineStr">
        <is>
          <t>ST</t>
        </is>
      </c>
      <c r="H708" t="inlineStr">
        <is>
          <t>ST</t>
        </is>
      </c>
      <c r="I708" t="inlineStr">
        <is>
          <t>ST</t>
        </is>
      </c>
      <c r="J708" t="inlineStr">
        <is>
          <t>ST</t>
        </is>
      </c>
      <c r="K708" t="inlineStr">
        <is>
          <t>ST</t>
        </is>
      </c>
      <c r="L708" t="inlineStr">
        <is>
          <t>ST</t>
        </is>
      </c>
      <c r="M708" t="inlineStr">
        <is>
          <t>ST</t>
        </is>
      </c>
      <c r="N708" t="inlineStr">
        <is>
          <t>ST</t>
        </is>
      </c>
      <c r="O708" t="inlineStr">
        <is>
          <t>ST</t>
        </is>
      </c>
      <c r="P708" t="inlineStr">
        <is>
          <t>ST</t>
        </is>
      </c>
    </row>
    <row r="709">
      <c r="A709" t="inlineStr">
        <is>
          <t>CurrentWorkingView</t>
        </is>
      </c>
      <c r="B709" s="1" t="n">
        <v>4064941130727</v>
      </c>
      <c r="C709" t="inlineStr">
        <is>
          <t>P_US_ALL_OTHERS</t>
        </is>
      </c>
      <c r="D709" t="inlineStr">
        <is>
          <t>System FC - Final</t>
        </is>
      </c>
      <c r="E709" t="n">
        <v>70</v>
      </c>
      <c r="F709" t="n">
        <v>97</v>
      </c>
      <c r="G709" t="n">
        <v>47</v>
      </c>
      <c r="H709" t="n">
        <v>112</v>
      </c>
      <c r="I709" t="n">
        <v>82</v>
      </c>
      <c r="J709" t="n">
        <v>107</v>
      </c>
      <c r="K709" t="n">
        <v>128</v>
      </c>
      <c r="L709" t="n">
        <v>124</v>
      </c>
      <c r="M709" t="n">
        <v>111</v>
      </c>
      <c r="N709" t="n">
        <v>90</v>
      </c>
      <c r="O709" t="n">
        <v>116</v>
      </c>
      <c r="P709" t="n">
        <v>73</v>
      </c>
    </row>
    <row r="710">
      <c r="A710" t="inlineStr">
        <is>
          <t>CurrentWorkingView</t>
        </is>
      </c>
      <c r="B710" s="1" t="n">
        <v>4064941130727</v>
      </c>
      <c r="C710" t="inlineStr">
        <is>
          <t>P_US_ALL_OTHERS</t>
        </is>
      </c>
      <c r="D710" t="inlineStr">
        <is>
          <t>CML Fcst</t>
        </is>
      </c>
      <c r="H710" t="n">
        <v>112</v>
      </c>
      <c r="I710" t="n">
        <v>82</v>
      </c>
      <c r="J710" t="n">
        <v>107</v>
      </c>
      <c r="K710" t="n">
        <v>128</v>
      </c>
      <c r="L710" t="n">
        <v>124</v>
      </c>
      <c r="M710" t="n">
        <v>111</v>
      </c>
      <c r="N710" t="n">
        <v>90</v>
      </c>
      <c r="O710" t="n">
        <v>116</v>
      </c>
      <c r="P710" t="n">
        <v>73</v>
      </c>
    </row>
    <row r="711">
      <c r="A711" t="inlineStr">
        <is>
          <t>CurrentWorkingView</t>
        </is>
      </c>
      <c r="B711" s="1" t="n">
        <v>4064941130727</v>
      </c>
      <c r="C711" t="inlineStr">
        <is>
          <t>P_US_ALL_OTHERS</t>
        </is>
      </c>
      <c r="D711" t="inlineStr">
        <is>
          <t>ST Stat Fcst</t>
        </is>
      </c>
      <c r="E711" t="n">
        <v>70</v>
      </c>
      <c r="F711" t="n">
        <v>97</v>
      </c>
      <c r="G711" t="n">
        <v>95</v>
      </c>
      <c r="H711" t="n">
        <v>57</v>
      </c>
      <c r="I711" t="n">
        <v>34</v>
      </c>
      <c r="J711" t="n">
        <v>26</v>
      </c>
      <c r="K711" t="n">
        <v>150</v>
      </c>
      <c r="L711" t="n">
        <v>164</v>
      </c>
      <c r="M711" t="n">
        <v>62</v>
      </c>
      <c r="N711" t="n">
        <v>60</v>
      </c>
      <c r="O711" t="n">
        <v>27</v>
      </c>
      <c r="P711" t="n">
        <v>4</v>
      </c>
    </row>
    <row r="712">
      <c r="A712" t="inlineStr">
        <is>
          <t>CurrentWorkingView</t>
        </is>
      </c>
      <c r="B712" s="1" t="n">
        <v>4064941130727</v>
      </c>
      <c r="C712" t="inlineStr">
        <is>
          <t>P_US_ALL_OTHERS</t>
        </is>
      </c>
      <c r="D712" t="inlineStr">
        <is>
          <t>LT Stat Fcst</t>
        </is>
      </c>
      <c r="H712" t="n">
        <v>88</v>
      </c>
      <c r="I712" t="n">
        <v>94</v>
      </c>
      <c r="J712" t="n">
        <v>97</v>
      </c>
      <c r="K712" t="n">
        <v>98</v>
      </c>
      <c r="L712" t="n">
        <v>100</v>
      </c>
      <c r="M712" t="n">
        <v>101</v>
      </c>
      <c r="N712" t="n">
        <v>99</v>
      </c>
      <c r="O712" t="n">
        <v>98</v>
      </c>
      <c r="P712" t="n">
        <v>98</v>
      </c>
    </row>
    <row r="713">
      <c r="A713" t="inlineStr">
        <is>
          <t>CurrentWorkingView</t>
        </is>
      </c>
      <c r="B713" s="1" t="n">
        <v>4064941130727</v>
      </c>
      <c r="C713" t="inlineStr">
        <is>
          <t>P_US_ALL_OTHERS</t>
        </is>
      </c>
      <c r="D713" t="inlineStr">
        <is>
          <t>System BestFit Final</t>
        </is>
      </c>
      <c r="E713" t="inlineStr">
        <is>
          <t>CML</t>
        </is>
      </c>
      <c r="F713" t="inlineStr">
        <is>
          <t>CML</t>
        </is>
      </c>
      <c r="G713" t="inlineStr">
        <is>
          <t>CML</t>
        </is>
      </c>
      <c r="H713" t="inlineStr">
        <is>
          <t>CML</t>
        </is>
      </c>
      <c r="I713" t="inlineStr">
        <is>
          <t>CML</t>
        </is>
      </c>
      <c r="J713" t="inlineStr">
        <is>
          <t>CML</t>
        </is>
      </c>
      <c r="K713" t="inlineStr">
        <is>
          <t>CML</t>
        </is>
      </c>
      <c r="L713" t="inlineStr">
        <is>
          <t>CML</t>
        </is>
      </c>
      <c r="M713" t="inlineStr">
        <is>
          <t>CML</t>
        </is>
      </c>
      <c r="N713" t="inlineStr">
        <is>
          <t>CML</t>
        </is>
      </c>
      <c r="O713" t="inlineStr">
        <is>
          <t>CML</t>
        </is>
      </c>
      <c r="P713" t="inlineStr">
        <is>
          <t>CML</t>
        </is>
      </c>
    </row>
    <row r="714">
      <c r="A714" t="inlineStr">
        <is>
          <t>CurrentWorkingView</t>
        </is>
      </c>
      <c r="B714" s="1" t="n">
        <v>4064941130727</v>
      </c>
      <c r="C714" t="inlineStr">
        <is>
          <t>P_US_ALL_OTHERS</t>
        </is>
      </c>
      <c r="D714" t="inlineStr">
        <is>
          <t>System Bestfit Model ST</t>
        </is>
      </c>
    </row>
    <row r="715">
      <c r="A715" t="inlineStr">
        <is>
          <t>CurrentWorkingView</t>
        </is>
      </c>
      <c r="B715" s="1" t="n">
        <v>4064941130727</v>
      </c>
      <c r="C715" t="inlineStr">
        <is>
          <t>P_US_ALL_OTHERS</t>
        </is>
      </c>
      <c r="D715" t="inlineStr">
        <is>
          <t>Planner BestFit Model</t>
        </is>
      </c>
    </row>
    <row r="716">
      <c r="A716" t="inlineStr">
        <is>
          <t>CurrentWorkingView</t>
        </is>
      </c>
      <c r="B716" s="1" t="n">
        <v>4064941130727</v>
      </c>
      <c r="C716" t="inlineStr">
        <is>
          <t>P_US_ULTA</t>
        </is>
      </c>
      <c r="D716" t="inlineStr">
        <is>
          <t>System FC - Final</t>
        </is>
      </c>
      <c r="E716" t="n">
        <v>384</v>
      </c>
      <c r="F716" t="n">
        <v>2398</v>
      </c>
      <c r="G716" t="n">
        <v>576</v>
      </c>
      <c r="H716" t="n">
        <v>1360</v>
      </c>
      <c r="I716" t="n">
        <v>433</v>
      </c>
      <c r="J716" t="n">
        <v>14</v>
      </c>
      <c r="K716" t="n">
        <v>67</v>
      </c>
      <c r="L716" t="n">
        <v>280</v>
      </c>
      <c r="M716" t="n">
        <v>607</v>
      </c>
      <c r="N716" t="n">
        <v>835</v>
      </c>
      <c r="O716" t="n">
        <v>133</v>
      </c>
      <c r="P716" t="n">
        <v>711</v>
      </c>
    </row>
    <row r="717">
      <c r="A717" t="inlineStr">
        <is>
          <t>CurrentWorkingView</t>
        </is>
      </c>
      <c r="B717" s="1" t="n">
        <v>4064941130727</v>
      </c>
      <c r="C717" t="inlineStr">
        <is>
          <t>P_US_ULTA</t>
        </is>
      </c>
      <c r="D717" t="inlineStr">
        <is>
          <t>CML Fcst</t>
        </is>
      </c>
      <c r="H717" t="n">
        <v>810</v>
      </c>
      <c r="I717" t="n">
        <v>472</v>
      </c>
      <c r="J717" t="n">
        <v>2198</v>
      </c>
      <c r="K717" t="n">
        <v>629</v>
      </c>
      <c r="L717" t="n">
        <v>1904</v>
      </c>
      <c r="M717" t="n">
        <v>1687</v>
      </c>
      <c r="N717" t="n">
        <v>1085</v>
      </c>
      <c r="O717" t="n">
        <v>757</v>
      </c>
      <c r="P717" t="n">
        <v>635</v>
      </c>
    </row>
    <row r="718">
      <c r="A718" t="inlineStr">
        <is>
          <t>CurrentWorkingView</t>
        </is>
      </c>
      <c r="B718" s="1" t="n">
        <v>4064941130727</v>
      </c>
      <c r="C718" t="inlineStr">
        <is>
          <t>P_US_ULTA</t>
        </is>
      </c>
      <c r="D718" t="inlineStr">
        <is>
          <t>ST Stat Fcst</t>
        </is>
      </c>
      <c r="E718" t="n">
        <v>384</v>
      </c>
      <c r="F718" t="n">
        <v>2398</v>
      </c>
      <c r="G718" t="n">
        <v>576</v>
      </c>
      <c r="H718" t="n">
        <v>1360</v>
      </c>
      <c r="I718" t="n">
        <v>432</v>
      </c>
      <c r="J718" t="n">
        <v>14</v>
      </c>
      <c r="K718" t="n">
        <v>67</v>
      </c>
      <c r="L718" t="n">
        <v>280</v>
      </c>
      <c r="M718" t="n">
        <v>607</v>
      </c>
      <c r="N718" t="n">
        <v>835</v>
      </c>
      <c r="O718" t="n">
        <v>133</v>
      </c>
      <c r="P718" t="n">
        <v>711</v>
      </c>
    </row>
    <row r="719">
      <c r="A719" t="inlineStr">
        <is>
          <t>CurrentWorkingView</t>
        </is>
      </c>
      <c r="B719" s="1" t="n">
        <v>4064941130727</v>
      </c>
      <c r="C719" t="inlineStr">
        <is>
          <t>P_US_ULTA</t>
        </is>
      </c>
      <c r="D719" t="inlineStr">
        <is>
          <t>LT Stat Fcst</t>
        </is>
      </c>
      <c r="H719" t="n">
        <v>593</v>
      </c>
      <c r="I719" t="n">
        <v>630</v>
      </c>
      <c r="J719" t="n">
        <v>651</v>
      </c>
      <c r="K719" t="n">
        <v>660</v>
      </c>
      <c r="L719" t="n">
        <v>664</v>
      </c>
      <c r="M719" t="n">
        <v>664</v>
      </c>
      <c r="N719" t="n">
        <v>668</v>
      </c>
      <c r="O719" t="n">
        <v>669</v>
      </c>
      <c r="P719" t="n">
        <v>669</v>
      </c>
    </row>
    <row r="720">
      <c r="A720" t="inlineStr">
        <is>
          <t>CurrentWorkingView</t>
        </is>
      </c>
      <c r="B720" s="1" t="n">
        <v>4064941130727</v>
      </c>
      <c r="C720" t="inlineStr">
        <is>
          <t>P_US_ULTA</t>
        </is>
      </c>
      <c r="D720" t="inlineStr">
        <is>
          <t>System BestFit Final</t>
        </is>
      </c>
      <c r="E720" t="inlineStr">
        <is>
          <t>ST</t>
        </is>
      </c>
      <c r="F720" t="inlineStr">
        <is>
          <t>ST</t>
        </is>
      </c>
      <c r="G720" t="inlineStr">
        <is>
          <t>ST</t>
        </is>
      </c>
      <c r="H720" t="inlineStr">
        <is>
          <t>ST</t>
        </is>
      </c>
      <c r="I720" t="inlineStr">
        <is>
          <t>ST</t>
        </is>
      </c>
      <c r="J720" t="inlineStr">
        <is>
          <t>ST</t>
        </is>
      </c>
      <c r="K720" t="inlineStr">
        <is>
          <t>ST</t>
        </is>
      </c>
      <c r="L720" t="inlineStr">
        <is>
          <t>ST</t>
        </is>
      </c>
      <c r="M720" t="inlineStr">
        <is>
          <t>ST</t>
        </is>
      </c>
      <c r="N720" t="inlineStr">
        <is>
          <t>ST</t>
        </is>
      </c>
      <c r="O720" t="inlineStr">
        <is>
          <t>ST</t>
        </is>
      </c>
      <c r="P720" t="inlineStr">
        <is>
          <t>ST</t>
        </is>
      </c>
    </row>
    <row r="721">
      <c r="A721" t="inlineStr">
        <is>
          <t>CurrentWorkingView</t>
        </is>
      </c>
      <c r="B721" s="1" t="n">
        <v>4064941130727</v>
      </c>
      <c r="C721" t="inlineStr">
        <is>
          <t>P_US_ULTA</t>
        </is>
      </c>
      <c r="D721" t="inlineStr">
        <is>
          <t>System Bestfit Model ST</t>
        </is>
      </c>
      <c r="E721" t="inlineStr">
        <is>
          <t>ST</t>
        </is>
      </c>
      <c r="F721" t="inlineStr">
        <is>
          <t>ST</t>
        </is>
      </c>
      <c r="G721" t="inlineStr">
        <is>
          <t>ST</t>
        </is>
      </c>
      <c r="H721" t="inlineStr">
        <is>
          <t>ST</t>
        </is>
      </c>
      <c r="I721" t="inlineStr">
        <is>
          <t>ST</t>
        </is>
      </c>
      <c r="J721" t="inlineStr">
        <is>
          <t>ST</t>
        </is>
      </c>
      <c r="K721" t="inlineStr">
        <is>
          <t>ST</t>
        </is>
      </c>
      <c r="L721" t="inlineStr">
        <is>
          <t>ST</t>
        </is>
      </c>
      <c r="M721" t="inlineStr">
        <is>
          <t>ST</t>
        </is>
      </c>
      <c r="N721" t="inlineStr">
        <is>
          <t>ST</t>
        </is>
      </c>
      <c r="O721" t="inlineStr">
        <is>
          <t>ST</t>
        </is>
      </c>
      <c r="P721" t="inlineStr">
        <is>
          <t>ST</t>
        </is>
      </c>
    </row>
    <row r="722">
      <c r="A722" t="inlineStr">
        <is>
          <t>CurrentWorkingView</t>
        </is>
      </c>
      <c r="B722" s="1" t="n">
        <v>4064941130727</v>
      </c>
      <c r="C722" t="inlineStr">
        <is>
          <t>P_US_ULTA</t>
        </is>
      </c>
      <c r="D722" t="inlineStr">
        <is>
          <t>Planner BestFit Model</t>
        </is>
      </c>
    </row>
    <row r="723">
      <c r="A723" t="inlineStr">
        <is>
          <t>CurrentWorkingView</t>
        </is>
      </c>
      <c r="B723" s="1" t="n">
        <v>4064941130734</v>
      </c>
      <c r="C723" t="inlineStr">
        <is>
          <t>P_US_ALL_OTHERS</t>
        </is>
      </c>
      <c r="D723" t="inlineStr">
        <is>
          <t>System FC - Final</t>
        </is>
      </c>
      <c r="E723" t="n">
        <v>1</v>
      </c>
      <c r="F723" t="n">
        <v>2</v>
      </c>
      <c r="G723" t="n">
        <v>5</v>
      </c>
      <c r="H723" t="n">
        <v>5</v>
      </c>
      <c r="I723" t="n">
        <v>4</v>
      </c>
      <c r="J723" t="n">
        <v>4</v>
      </c>
      <c r="K723" t="n">
        <v>5</v>
      </c>
      <c r="L723" t="n">
        <v>8</v>
      </c>
      <c r="M723" t="n">
        <v>5</v>
      </c>
      <c r="N723" t="n">
        <v>5</v>
      </c>
      <c r="O723" t="n">
        <v>4</v>
      </c>
      <c r="P723" t="n">
        <v>5</v>
      </c>
    </row>
    <row r="724">
      <c r="A724" t="inlineStr">
        <is>
          <t>CurrentWorkingView</t>
        </is>
      </c>
      <c r="B724" s="1" t="n">
        <v>4064941130734</v>
      </c>
      <c r="C724" t="inlineStr">
        <is>
          <t>P_US_ALL_OTHERS</t>
        </is>
      </c>
      <c r="D724" t="inlineStr">
        <is>
          <t>CML Fcst</t>
        </is>
      </c>
      <c r="H724" t="n">
        <v>71</v>
      </c>
      <c r="I724" t="n">
        <v>48</v>
      </c>
      <c r="J724" t="n">
        <v>50</v>
      </c>
      <c r="K724" t="n">
        <v>31</v>
      </c>
      <c r="L724" t="n">
        <v>20</v>
      </c>
      <c r="M724" t="n">
        <v>18</v>
      </c>
      <c r="N724" t="n">
        <v>43</v>
      </c>
      <c r="O724" t="n">
        <v>58</v>
      </c>
      <c r="P724" t="n">
        <v>34</v>
      </c>
    </row>
    <row r="725">
      <c r="A725" t="inlineStr">
        <is>
          <t>CurrentWorkingView</t>
        </is>
      </c>
      <c r="B725" s="1" t="n">
        <v>4064941130734</v>
      </c>
      <c r="C725" t="inlineStr">
        <is>
          <t>P_US_ALL_OTHERS</t>
        </is>
      </c>
      <c r="D725" t="inlineStr">
        <is>
          <t>ST Stat Fcst</t>
        </is>
      </c>
      <c r="E725" t="n">
        <v>1</v>
      </c>
      <c r="F725" t="n">
        <v>2</v>
      </c>
      <c r="G725" t="n">
        <v>4</v>
      </c>
      <c r="H725" t="n">
        <v>5</v>
      </c>
      <c r="I725" t="n">
        <v>4</v>
      </c>
      <c r="J725" t="n">
        <v>5</v>
      </c>
      <c r="K725" t="n">
        <v>4</v>
      </c>
      <c r="L725" t="n">
        <v>4</v>
      </c>
      <c r="M725" t="n">
        <v>4</v>
      </c>
      <c r="N725" t="n">
        <v>5</v>
      </c>
      <c r="O725" t="n">
        <v>4</v>
      </c>
      <c r="P725" t="n">
        <v>4</v>
      </c>
    </row>
    <row r="726">
      <c r="A726" t="inlineStr">
        <is>
          <t>CurrentWorkingView</t>
        </is>
      </c>
      <c r="B726" s="1" t="n">
        <v>4064941130734</v>
      </c>
      <c r="C726" t="inlineStr">
        <is>
          <t>P_US_ALL_OTHERS</t>
        </is>
      </c>
      <c r="D726" t="inlineStr">
        <is>
          <t>LT Stat Fcst</t>
        </is>
      </c>
      <c r="H726" t="n">
        <v>4</v>
      </c>
      <c r="I726" t="n">
        <v>4</v>
      </c>
      <c r="J726" t="n">
        <v>4</v>
      </c>
      <c r="K726" t="n">
        <v>5</v>
      </c>
      <c r="L726" t="n">
        <v>8</v>
      </c>
      <c r="M726" t="n">
        <v>5</v>
      </c>
      <c r="N726" t="n">
        <v>5</v>
      </c>
      <c r="O726" t="n">
        <v>4</v>
      </c>
      <c r="P726" t="n">
        <v>5</v>
      </c>
    </row>
    <row r="727">
      <c r="A727" t="inlineStr">
        <is>
          <t>CurrentWorkingView</t>
        </is>
      </c>
      <c r="B727" s="1" t="n">
        <v>4064941130734</v>
      </c>
      <c r="C727" t="inlineStr">
        <is>
          <t>P_US_ALL_OTHERS</t>
        </is>
      </c>
      <c r="D727" t="inlineStr">
        <is>
          <t>System BestFit Final</t>
        </is>
      </c>
      <c r="E727" t="inlineStr">
        <is>
          <t>LT</t>
        </is>
      </c>
      <c r="F727" t="inlineStr">
        <is>
          <t>LT</t>
        </is>
      </c>
      <c r="G727" t="inlineStr">
        <is>
          <t>LT</t>
        </is>
      </c>
      <c r="H727" t="inlineStr">
        <is>
          <t>LT</t>
        </is>
      </c>
      <c r="I727" t="inlineStr">
        <is>
          <t>LT</t>
        </is>
      </c>
      <c r="J727" t="inlineStr">
        <is>
          <t>LT</t>
        </is>
      </c>
      <c r="K727" t="inlineStr">
        <is>
          <t>LT</t>
        </is>
      </c>
      <c r="L727" t="inlineStr">
        <is>
          <t>LT</t>
        </is>
      </c>
      <c r="M727" t="inlineStr">
        <is>
          <t>LT</t>
        </is>
      </c>
      <c r="N727" t="inlineStr">
        <is>
          <t>LT</t>
        </is>
      </c>
      <c r="O727" t="inlineStr">
        <is>
          <t>LT</t>
        </is>
      </c>
      <c r="P727" t="inlineStr">
        <is>
          <t>LT</t>
        </is>
      </c>
    </row>
    <row r="728">
      <c r="A728" t="inlineStr">
        <is>
          <t>CurrentWorkingView</t>
        </is>
      </c>
      <c r="B728" s="1" t="n">
        <v>4064941130734</v>
      </c>
      <c r="C728" t="inlineStr">
        <is>
          <t>P_US_ALL_OTHERS</t>
        </is>
      </c>
      <c r="D728" t="inlineStr">
        <is>
          <t>System Bestfit Model ST</t>
        </is>
      </c>
    </row>
    <row r="729">
      <c r="A729" t="inlineStr">
        <is>
          <t>CurrentWorkingView</t>
        </is>
      </c>
      <c r="B729" s="1" t="n">
        <v>4064941130734</v>
      </c>
      <c r="C729" t="inlineStr">
        <is>
          <t>P_US_ALL_OTHERS</t>
        </is>
      </c>
      <c r="D729" t="inlineStr">
        <is>
          <t>Planner BestFit Model</t>
        </is>
      </c>
      <c r="E729" t="inlineStr">
        <is>
          <t>LT</t>
        </is>
      </c>
      <c r="F729" t="inlineStr">
        <is>
          <t>LT</t>
        </is>
      </c>
      <c r="G729" t="inlineStr">
        <is>
          <t>LT</t>
        </is>
      </c>
      <c r="H729" t="inlineStr">
        <is>
          <t>LT</t>
        </is>
      </c>
      <c r="I729" t="inlineStr">
        <is>
          <t>LT</t>
        </is>
      </c>
      <c r="J729" t="inlineStr">
        <is>
          <t>LT</t>
        </is>
      </c>
      <c r="K729" t="inlineStr">
        <is>
          <t>LT</t>
        </is>
      </c>
      <c r="L729" t="inlineStr">
        <is>
          <t>LT</t>
        </is>
      </c>
      <c r="M729" t="inlineStr">
        <is>
          <t>LT</t>
        </is>
      </c>
      <c r="N729" t="inlineStr">
        <is>
          <t>LT</t>
        </is>
      </c>
      <c r="O729" t="inlineStr">
        <is>
          <t>LT</t>
        </is>
      </c>
      <c r="P729" t="inlineStr">
        <is>
          <t>LT</t>
        </is>
      </c>
    </row>
    <row r="730">
      <c r="A730" t="inlineStr">
        <is>
          <t>CurrentWorkingView</t>
        </is>
      </c>
      <c r="B730" s="1" t="n">
        <v>4064941130734</v>
      </c>
      <c r="C730" t="inlineStr">
        <is>
          <t>P_US_ULTA</t>
        </is>
      </c>
      <c r="D730" t="inlineStr">
        <is>
          <t>System FC - Final</t>
        </is>
      </c>
      <c r="E730" t="n">
        <v>432</v>
      </c>
      <c r="F730" t="n">
        <v>1036</v>
      </c>
      <c r="G730" t="n">
        <v>697</v>
      </c>
      <c r="H730" t="n">
        <v>1355</v>
      </c>
      <c r="I730" t="n">
        <v>1101</v>
      </c>
      <c r="J730" t="n">
        <v>1484</v>
      </c>
      <c r="K730" t="n">
        <v>952</v>
      </c>
      <c r="L730" t="n">
        <v>1016</v>
      </c>
      <c r="M730" t="n">
        <v>1338</v>
      </c>
      <c r="N730" t="n">
        <v>1170</v>
      </c>
      <c r="O730" t="n">
        <v>1103</v>
      </c>
      <c r="P730" t="n">
        <v>999</v>
      </c>
    </row>
    <row r="731">
      <c r="A731" t="inlineStr">
        <is>
          <t>CurrentWorkingView</t>
        </is>
      </c>
      <c r="B731" s="1" t="n">
        <v>4064941130734</v>
      </c>
      <c r="C731" t="inlineStr">
        <is>
          <t>P_US_ULTA</t>
        </is>
      </c>
      <c r="D731" t="inlineStr">
        <is>
          <t>CML Fcst</t>
        </is>
      </c>
      <c r="H731" t="n">
        <v>1355</v>
      </c>
      <c r="I731" t="n">
        <v>1102</v>
      </c>
      <c r="J731" t="n">
        <v>1484</v>
      </c>
      <c r="K731" t="n">
        <v>952</v>
      </c>
      <c r="L731" t="n">
        <v>1016</v>
      </c>
      <c r="M731" t="n">
        <v>1338</v>
      </c>
      <c r="N731" t="n">
        <v>1170</v>
      </c>
      <c r="O731" t="n">
        <v>1103</v>
      </c>
      <c r="P731" t="n">
        <v>999</v>
      </c>
    </row>
    <row r="732">
      <c r="A732" t="inlineStr">
        <is>
          <t>CurrentWorkingView</t>
        </is>
      </c>
      <c r="B732" s="1" t="n">
        <v>4064941130734</v>
      </c>
      <c r="C732" t="inlineStr">
        <is>
          <t>P_US_ULTA</t>
        </is>
      </c>
      <c r="D732" t="inlineStr">
        <is>
          <t>ST Stat Fcst</t>
        </is>
      </c>
      <c r="E732" t="n">
        <v>432</v>
      </c>
      <c r="F732" t="n">
        <v>1036</v>
      </c>
      <c r="G732" t="n">
        <v>451</v>
      </c>
      <c r="H732" t="n">
        <v>1050</v>
      </c>
      <c r="I732" t="n">
        <v>810</v>
      </c>
      <c r="J732" t="n">
        <v>1006</v>
      </c>
      <c r="K732" t="n">
        <v>252</v>
      </c>
      <c r="L732" t="n">
        <v>196</v>
      </c>
      <c r="M732" t="n">
        <v>3729</v>
      </c>
      <c r="N732" t="n">
        <v>695</v>
      </c>
      <c r="O732" t="n">
        <v>407</v>
      </c>
      <c r="P732" t="n">
        <v>145</v>
      </c>
    </row>
    <row r="733">
      <c r="A733" t="inlineStr">
        <is>
          <t>CurrentWorkingView</t>
        </is>
      </c>
      <c r="B733" s="1" t="n">
        <v>4064941130734</v>
      </c>
      <c r="C733" t="inlineStr">
        <is>
          <t>P_US_ULTA</t>
        </is>
      </c>
      <c r="D733" t="inlineStr">
        <is>
          <t>LT Stat Fcst</t>
        </is>
      </c>
      <c r="H733" t="n">
        <v>558</v>
      </c>
      <c r="I733" t="n">
        <v>468</v>
      </c>
      <c r="J733" t="n">
        <v>616</v>
      </c>
      <c r="K733" t="n">
        <v>987</v>
      </c>
      <c r="L733" t="n">
        <v>1744</v>
      </c>
      <c r="M733" t="n">
        <v>1187</v>
      </c>
      <c r="N733" t="n">
        <v>802</v>
      </c>
      <c r="O733" t="n">
        <v>1098</v>
      </c>
      <c r="P733" t="n">
        <v>1084</v>
      </c>
    </row>
    <row r="734">
      <c r="A734" t="inlineStr">
        <is>
          <t>CurrentWorkingView</t>
        </is>
      </c>
      <c r="B734" s="1" t="n">
        <v>4064941130734</v>
      </c>
      <c r="C734" t="inlineStr">
        <is>
          <t>P_US_ULTA</t>
        </is>
      </c>
      <c r="D734" t="inlineStr">
        <is>
          <t>System BestFit Final</t>
        </is>
      </c>
      <c r="E734" t="inlineStr">
        <is>
          <t>CML</t>
        </is>
      </c>
      <c r="F734" t="inlineStr">
        <is>
          <t>CML</t>
        </is>
      </c>
      <c r="G734" t="inlineStr">
        <is>
          <t>CML</t>
        </is>
      </c>
      <c r="H734" t="inlineStr">
        <is>
          <t>CML</t>
        </is>
      </c>
      <c r="I734" t="inlineStr">
        <is>
          <t>CML</t>
        </is>
      </c>
      <c r="J734" t="inlineStr">
        <is>
          <t>CML</t>
        </is>
      </c>
      <c r="K734" t="inlineStr">
        <is>
          <t>CML</t>
        </is>
      </c>
      <c r="L734" t="inlineStr">
        <is>
          <t>CML</t>
        </is>
      </c>
      <c r="M734" t="inlineStr">
        <is>
          <t>CML</t>
        </is>
      </c>
      <c r="N734" t="inlineStr">
        <is>
          <t>CML</t>
        </is>
      </c>
      <c r="O734" t="inlineStr">
        <is>
          <t>CML</t>
        </is>
      </c>
      <c r="P734" t="inlineStr">
        <is>
          <t>CML</t>
        </is>
      </c>
    </row>
    <row r="735">
      <c r="A735" t="inlineStr">
        <is>
          <t>CurrentWorkingView</t>
        </is>
      </c>
      <c r="B735" s="1" t="n">
        <v>4064941130734</v>
      </c>
      <c r="C735" t="inlineStr">
        <is>
          <t>P_US_ULTA</t>
        </is>
      </c>
      <c r="D735" t="inlineStr">
        <is>
          <t>System Bestfit Model ST</t>
        </is>
      </c>
    </row>
    <row r="736">
      <c r="A736" t="inlineStr">
        <is>
          <t>CurrentWorkingView</t>
        </is>
      </c>
      <c r="B736" s="1" t="n">
        <v>4064941130734</v>
      </c>
      <c r="C736" t="inlineStr">
        <is>
          <t>P_US_ULTA</t>
        </is>
      </c>
      <c r="D736" t="inlineStr">
        <is>
          <t>Planner BestFit Model</t>
        </is>
      </c>
      <c r="E736" t="inlineStr">
        <is>
          <t>CML</t>
        </is>
      </c>
      <c r="F736" t="inlineStr">
        <is>
          <t>CML</t>
        </is>
      </c>
      <c r="G736" t="inlineStr">
        <is>
          <t>CML</t>
        </is>
      </c>
      <c r="H736" t="inlineStr">
        <is>
          <t>CML</t>
        </is>
      </c>
      <c r="I736" t="inlineStr">
        <is>
          <t>CML</t>
        </is>
      </c>
      <c r="J736" t="inlineStr">
        <is>
          <t>CML</t>
        </is>
      </c>
      <c r="K736" t="inlineStr">
        <is>
          <t>CML</t>
        </is>
      </c>
      <c r="L736" t="inlineStr">
        <is>
          <t>CML</t>
        </is>
      </c>
      <c r="M736" t="inlineStr">
        <is>
          <t>CML</t>
        </is>
      </c>
      <c r="N736" t="inlineStr">
        <is>
          <t>CML</t>
        </is>
      </c>
      <c r="O736" t="inlineStr">
        <is>
          <t>CML</t>
        </is>
      </c>
      <c r="P736" t="inlineStr">
        <is>
          <t>CML</t>
        </is>
      </c>
    </row>
    <row r="737">
      <c r="A737" t="inlineStr">
        <is>
          <t>CurrentWorkingView</t>
        </is>
      </c>
      <c r="B737" s="1" t="n">
        <v>4064941130741</v>
      </c>
      <c r="C737" t="inlineStr">
        <is>
          <t>P_US_ALL_OTHERS</t>
        </is>
      </c>
      <c r="D737" t="inlineStr">
        <is>
          <t>System FC - Final</t>
        </is>
      </c>
      <c r="E737" t="n">
        <v>218</v>
      </c>
      <c r="F737" t="n">
        <v>307</v>
      </c>
      <c r="G737" t="n">
        <v>242</v>
      </c>
      <c r="H737" t="n">
        <v>185</v>
      </c>
      <c r="I737" t="n">
        <v>155</v>
      </c>
      <c r="J737" t="n">
        <v>203</v>
      </c>
      <c r="K737" t="n">
        <v>323</v>
      </c>
      <c r="L737" t="n">
        <v>576</v>
      </c>
      <c r="M737" t="n">
        <v>390</v>
      </c>
      <c r="N737" t="n">
        <v>266</v>
      </c>
      <c r="O737" t="n">
        <v>363</v>
      </c>
      <c r="P737" t="n">
        <v>360</v>
      </c>
    </row>
    <row r="738">
      <c r="A738" t="inlineStr">
        <is>
          <t>CurrentWorkingView</t>
        </is>
      </c>
      <c r="B738" s="1" t="n">
        <v>4064941130741</v>
      </c>
      <c r="C738" t="inlineStr">
        <is>
          <t>P_US_ALL_OTHERS</t>
        </is>
      </c>
      <c r="D738" t="inlineStr">
        <is>
          <t>CML Fcst</t>
        </is>
      </c>
      <c r="H738" t="n">
        <v>279</v>
      </c>
      <c r="I738" t="n">
        <v>188</v>
      </c>
      <c r="J738" t="n">
        <v>190</v>
      </c>
      <c r="K738" t="n">
        <v>195</v>
      </c>
      <c r="L738" t="n">
        <v>312</v>
      </c>
      <c r="M738" t="n">
        <v>288</v>
      </c>
      <c r="N738" t="n">
        <v>231</v>
      </c>
      <c r="O738" t="n">
        <v>279</v>
      </c>
      <c r="P738" t="n">
        <v>206</v>
      </c>
    </row>
    <row r="739">
      <c r="A739" t="inlineStr">
        <is>
          <t>CurrentWorkingView</t>
        </is>
      </c>
      <c r="B739" s="1" t="n">
        <v>4064941130741</v>
      </c>
      <c r="C739" t="inlineStr">
        <is>
          <t>P_US_ALL_OTHERS</t>
        </is>
      </c>
      <c r="D739" t="inlineStr">
        <is>
          <t>ST Stat Fcst</t>
        </is>
      </c>
      <c r="E739" t="n">
        <v>218</v>
      </c>
      <c r="F739" t="n">
        <v>307</v>
      </c>
      <c r="G739" t="n">
        <v>213</v>
      </c>
      <c r="H739" t="n">
        <v>421</v>
      </c>
      <c r="I739" t="n">
        <v>98</v>
      </c>
      <c r="J739" t="n">
        <v>363</v>
      </c>
      <c r="K739" t="n">
        <v>403</v>
      </c>
      <c r="L739" t="n">
        <v>440</v>
      </c>
      <c r="M739" t="n">
        <v>279</v>
      </c>
      <c r="N739" t="n">
        <v>145</v>
      </c>
      <c r="O739" t="n">
        <v>349</v>
      </c>
      <c r="P739" t="n">
        <v>245</v>
      </c>
    </row>
    <row r="740">
      <c r="A740" t="inlineStr">
        <is>
          <t>CurrentWorkingView</t>
        </is>
      </c>
      <c r="B740" s="1" t="n">
        <v>4064941130741</v>
      </c>
      <c r="C740" t="inlineStr">
        <is>
          <t>P_US_ALL_OTHERS</t>
        </is>
      </c>
      <c r="D740" t="inlineStr">
        <is>
          <t>LT Stat Fcst</t>
        </is>
      </c>
      <c r="H740" t="n">
        <v>185</v>
      </c>
      <c r="I740" t="n">
        <v>154</v>
      </c>
      <c r="J740" t="n">
        <v>203</v>
      </c>
      <c r="K740" t="n">
        <v>323</v>
      </c>
      <c r="L740" t="n">
        <v>576</v>
      </c>
      <c r="M740" t="n">
        <v>390</v>
      </c>
      <c r="N740" t="n">
        <v>266</v>
      </c>
      <c r="O740" t="n">
        <v>363</v>
      </c>
      <c r="P740" t="n">
        <v>360</v>
      </c>
    </row>
    <row r="741">
      <c r="A741" t="inlineStr">
        <is>
          <t>CurrentWorkingView</t>
        </is>
      </c>
      <c r="B741" s="1" t="n">
        <v>4064941130741</v>
      </c>
      <c r="C741" t="inlineStr">
        <is>
          <t>P_US_ALL_OTHERS</t>
        </is>
      </c>
      <c r="D741" t="inlineStr">
        <is>
          <t>System BestFit Final</t>
        </is>
      </c>
      <c r="E741" t="inlineStr">
        <is>
          <t>LT</t>
        </is>
      </c>
      <c r="F741" t="inlineStr">
        <is>
          <t>LT</t>
        </is>
      </c>
      <c r="G741" t="inlineStr">
        <is>
          <t>LT</t>
        </is>
      </c>
      <c r="H741" t="inlineStr">
        <is>
          <t>LT</t>
        </is>
      </c>
      <c r="I741" t="inlineStr">
        <is>
          <t>LT</t>
        </is>
      </c>
      <c r="J741" t="inlineStr">
        <is>
          <t>LT</t>
        </is>
      </c>
      <c r="K741" t="inlineStr">
        <is>
          <t>LT</t>
        </is>
      </c>
      <c r="L741" t="inlineStr">
        <is>
          <t>LT</t>
        </is>
      </c>
      <c r="M741" t="inlineStr">
        <is>
          <t>LT</t>
        </is>
      </c>
      <c r="N741" t="inlineStr">
        <is>
          <t>LT</t>
        </is>
      </c>
      <c r="O741" t="inlineStr">
        <is>
          <t>LT</t>
        </is>
      </c>
      <c r="P741" t="inlineStr">
        <is>
          <t>LT</t>
        </is>
      </c>
    </row>
    <row r="742">
      <c r="A742" t="inlineStr">
        <is>
          <t>CurrentWorkingView</t>
        </is>
      </c>
      <c r="B742" s="1" t="n">
        <v>4064941130741</v>
      </c>
      <c r="C742" t="inlineStr">
        <is>
          <t>P_US_ALL_OTHERS</t>
        </is>
      </c>
      <c r="D742" t="inlineStr">
        <is>
          <t>System Bestfit Model ST</t>
        </is>
      </c>
    </row>
    <row r="743">
      <c r="A743" t="inlineStr">
        <is>
          <t>CurrentWorkingView</t>
        </is>
      </c>
      <c r="B743" s="1" t="n">
        <v>4064941130741</v>
      </c>
      <c r="C743" t="inlineStr">
        <is>
          <t>P_US_ALL_OTHERS</t>
        </is>
      </c>
      <c r="D743" t="inlineStr">
        <is>
          <t>Planner BestFit Model</t>
        </is>
      </c>
    </row>
    <row r="744">
      <c r="A744" t="inlineStr">
        <is>
          <t>CurrentWorkingView</t>
        </is>
      </c>
      <c r="B744" s="1" t="n">
        <v>4064941130741</v>
      </c>
      <c r="C744" t="inlineStr">
        <is>
          <t>P_US_ULTA</t>
        </is>
      </c>
      <c r="D744" t="inlineStr">
        <is>
          <t>System FC - Final</t>
        </is>
      </c>
      <c r="E744" t="n">
        <v>2769</v>
      </c>
      <c r="F744" t="n">
        <v>2464</v>
      </c>
      <c r="G744" t="n">
        <v>2477</v>
      </c>
      <c r="H744" t="n">
        <v>2998</v>
      </c>
      <c r="I744" t="n">
        <v>2996</v>
      </c>
      <c r="J744" t="n">
        <v>2990</v>
      </c>
      <c r="K744" t="n">
        <v>2989</v>
      </c>
      <c r="L744" t="n">
        <v>2984</v>
      </c>
      <c r="M744" t="n">
        <v>2981</v>
      </c>
      <c r="N744" t="n">
        <v>2978</v>
      </c>
      <c r="O744" t="n">
        <v>2976</v>
      </c>
      <c r="P744" t="n">
        <v>2974</v>
      </c>
    </row>
    <row r="745">
      <c r="A745" t="inlineStr">
        <is>
          <t>CurrentWorkingView</t>
        </is>
      </c>
      <c r="B745" s="1" t="n">
        <v>4064941130741</v>
      </c>
      <c r="C745" t="inlineStr">
        <is>
          <t>P_US_ULTA</t>
        </is>
      </c>
      <c r="D745" t="inlineStr">
        <is>
          <t>CML Fcst</t>
        </is>
      </c>
      <c r="H745" t="n">
        <v>1409</v>
      </c>
      <c r="I745" t="n">
        <v>2768</v>
      </c>
      <c r="J745" t="n">
        <v>3813</v>
      </c>
      <c r="K745" t="n">
        <v>1426</v>
      </c>
      <c r="L745" t="n">
        <v>2144</v>
      </c>
      <c r="M745" t="n">
        <v>2976</v>
      </c>
      <c r="N745" t="n">
        <v>3690</v>
      </c>
      <c r="O745" t="n">
        <v>2719</v>
      </c>
      <c r="P745" t="n">
        <v>669</v>
      </c>
    </row>
    <row r="746">
      <c r="A746" t="inlineStr">
        <is>
          <t>CurrentWorkingView</t>
        </is>
      </c>
      <c r="B746" s="1" t="n">
        <v>4064941130741</v>
      </c>
      <c r="C746" t="inlineStr">
        <is>
          <t>P_US_ULTA</t>
        </is>
      </c>
      <c r="D746" t="inlineStr">
        <is>
          <t>ST Stat Fcst</t>
        </is>
      </c>
      <c r="E746" t="n">
        <v>2769</v>
      </c>
      <c r="F746" t="n">
        <v>2464</v>
      </c>
      <c r="G746" t="n">
        <v>2477</v>
      </c>
      <c r="H746" t="n">
        <v>2998</v>
      </c>
      <c r="I746" t="n">
        <v>2996</v>
      </c>
      <c r="J746" t="n">
        <v>2990</v>
      </c>
      <c r="K746" t="n">
        <v>2989</v>
      </c>
      <c r="L746" t="n">
        <v>2984</v>
      </c>
      <c r="M746" t="n">
        <v>2981</v>
      </c>
      <c r="N746" t="n">
        <v>2978</v>
      </c>
      <c r="O746" t="n">
        <v>2976</v>
      </c>
      <c r="P746" t="n">
        <v>2974</v>
      </c>
    </row>
    <row r="747">
      <c r="A747" t="inlineStr">
        <is>
          <t>CurrentWorkingView</t>
        </is>
      </c>
      <c r="B747" s="1" t="n">
        <v>4064941130741</v>
      </c>
      <c r="C747" t="inlineStr">
        <is>
          <t>P_US_ULTA</t>
        </is>
      </c>
      <c r="D747" t="inlineStr">
        <is>
          <t>LT Stat Fcst</t>
        </is>
      </c>
      <c r="H747" t="n">
        <v>2020</v>
      </c>
      <c r="I747" t="n">
        <v>1692</v>
      </c>
      <c r="J747" t="n">
        <v>2220</v>
      </c>
      <c r="K747" t="n">
        <v>3565</v>
      </c>
      <c r="L747" t="n">
        <v>6296</v>
      </c>
      <c r="M747" t="n">
        <v>4274</v>
      </c>
      <c r="N747" t="n">
        <v>2888</v>
      </c>
      <c r="O747" t="n">
        <v>3959</v>
      </c>
      <c r="P747" t="n">
        <v>3905</v>
      </c>
    </row>
    <row r="748">
      <c r="A748" t="inlineStr">
        <is>
          <t>CurrentWorkingView</t>
        </is>
      </c>
      <c r="B748" s="1" t="n">
        <v>4064941130741</v>
      </c>
      <c r="C748" t="inlineStr">
        <is>
          <t>P_US_ULTA</t>
        </is>
      </c>
      <c r="D748" t="inlineStr">
        <is>
          <t>System BestFit Final</t>
        </is>
      </c>
      <c r="E748" t="inlineStr">
        <is>
          <t>ST</t>
        </is>
      </c>
      <c r="F748" t="inlineStr">
        <is>
          <t>ST</t>
        </is>
      </c>
      <c r="G748" t="inlineStr">
        <is>
          <t>ST</t>
        </is>
      </c>
      <c r="H748" t="inlineStr">
        <is>
          <t>ST</t>
        </is>
      </c>
      <c r="I748" t="inlineStr">
        <is>
          <t>ST</t>
        </is>
      </c>
      <c r="J748" t="inlineStr">
        <is>
          <t>ST</t>
        </is>
      </c>
      <c r="K748" t="inlineStr">
        <is>
          <t>ST</t>
        </is>
      </c>
      <c r="L748" t="inlineStr">
        <is>
          <t>ST</t>
        </is>
      </c>
      <c r="M748" t="inlineStr">
        <is>
          <t>ST</t>
        </is>
      </c>
      <c r="N748" t="inlineStr">
        <is>
          <t>ST</t>
        </is>
      </c>
      <c r="O748" t="inlineStr">
        <is>
          <t>ST</t>
        </is>
      </c>
      <c r="P748" t="inlineStr">
        <is>
          <t>ST</t>
        </is>
      </c>
    </row>
    <row r="749">
      <c r="A749" t="inlineStr">
        <is>
          <t>CurrentWorkingView</t>
        </is>
      </c>
      <c r="B749" s="1" t="n">
        <v>4064941130741</v>
      </c>
      <c r="C749" t="inlineStr">
        <is>
          <t>P_US_ULTA</t>
        </is>
      </c>
      <c r="D749" t="inlineStr">
        <is>
          <t>System Bestfit Model ST</t>
        </is>
      </c>
      <c r="E749" t="inlineStr">
        <is>
          <t>ST</t>
        </is>
      </c>
      <c r="F749" t="inlineStr">
        <is>
          <t>ST</t>
        </is>
      </c>
      <c r="G749" t="inlineStr">
        <is>
          <t>ST</t>
        </is>
      </c>
      <c r="H749" t="inlineStr">
        <is>
          <t>ST</t>
        </is>
      </c>
      <c r="I749" t="inlineStr">
        <is>
          <t>ST</t>
        </is>
      </c>
      <c r="J749" t="inlineStr">
        <is>
          <t>ST</t>
        </is>
      </c>
      <c r="K749" t="inlineStr">
        <is>
          <t>ST</t>
        </is>
      </c>
      <c r="L749" t="inlineStr">
        <is>
          <t>ST</t>
        </is>
      </c>
      <c r="M749" t="inlineStr">
        <is>
          <t>ST</t>
        </is>
      </c>
      <c r="N749" t="inlineStr">
        <is>
          <t>ST</t>
        </is>
      </c>
      <c r="O749" t="inlineStr">
        <is>
          <t>ST</t>
        </is>
      </c>
      <c r="P749" t="inlineStr">
        <is>
          <t>ST</t>
        </is>
      </c>
    </row>
    <row r="750">
      <c r="A750" t="inlineStr">
        <is>
          <t>CurrentWorkingView</t>
        </is>
      </c>
      <c r="B750" s="1" t="n">
        <v>4064941130741</v>
      </c>
      <c r="C750" t="inlineStr">
        <is>
          <t>P_US_ULTA</t>
        </is>
      </c>
      <c r="D750" t="inlineStr">
        <is>
          <t>Planner BestFit Model</t>
        </is>
      </c>
      <c r="E750" t="inlineStr">
        <is>
          <t>ST</t>
        </is>
      </c>
      <c r="F750" t="inlineStr">
        <is>
          <t>ST</t>
        </is>
      </c>
      <c r="G750" t="inlineStr">
        <is>
          <t>ST</t>
        </is>
      </c>
      <c r="H750" t="inlineStr">
        <is>
          <t>ST</t>
        </is>
      </c>
      <c r="I750" t="inlineStr">
        <is>
          <t>ST</t>
        </is>
      </c>
      <c r="J750" t="inlineStr">
        <is>
          <t>ST</t>
        </is>
      </c>
      <c r="K750" t="inlineStr">
        <is>
          <t>ST</t>
        </is>
      </c>
      <c r="L750" t="inlineStr">
        <is>
          <t>ST</t>
        </is>
      </c>
      <c r="M750" t="inlineStr">
        <is>
          <t>ST</t>
        </is>
      </c>
      <c r="N750" t="inlineStr">
        <is>
          <t>ST</t>
        </is>
      </c>
      <c r="O750" t="inlineStr">
        <is>
          <t>ST</t>
        </is>
      </c>
      <c r="P750" t="inlineStr">
        <is>
          <t>ST</t>
        </is>
      </c>
    </row>
    <row r="751">
      <c r="A751" t="inlineStr">
        <is>
          <t>CurrentWorkingView</t>
        </is>
      </c>
      <c r="B751" s="1" t="n">
        <v>4064941133551</v>
      </c>
      <c r="C751" t="inlineStr">
        <is>
          <t>P_US_ALL_OTHERS</t>
        </is>
      </c>
      <c r="D751" t="inlineStr">
        <is>
          <t>System FC - Final</t>
        </is>
      </c>
      <c r="E751" t="n">
        <v>114</v>
      </c>
      <c r="F751" t="n">
        <v>161</v>
      </c>
      <c r="G751" t="n">
        <v>88</v>
      </c>
      <c r="H751" t="n">
        <v>195</v>
      </c>
      <c r="I751" t="n">
        <v>85</v>
      </c>
      <c r="J751" t="n">
        <v>324</v>
      </c>
      <c r="K751" t="n">
        <v>164</v>
      </c>
      <c r="L751" t="n">
        <v>240</v>
      </c>
      <c r="M751" t="n">
        <v>168</v>
      </c>
      <c r="N751" t="n">
        <v>163</v>
      </c>
      <c r="O751" t="n">
        <v>146</v>
      </c>
      <c r="P751" t="n">
        <v>95</v>
      </c>
    </row>
    <row r="752">
      <c r="A752" t="inlineStr">
        <is>
          <t>CurrentWorkingView</t>
        </is>
      </c>
      <c r="B752" s="1" t="n">
        <v>4064941133551</v>
      </c>
      <c r="C752" t="inlineStr">
        <is>
          <t>P_US_ALL_OTHERS</t>
        </is>
      </c>
      <c r="D752" t="inlineStr">
        <is>
          <t>CML Fcst</t>
        </is>
      </c>
      <c r="H752" t="n">
        <v>155</v>
      </c>
      <c r="I752" t="n">
        <v>142</v>
      </c>
      <c r="J752" t="n">
        <v>150</v>
      </c>
      <c r="K752" t="n">
        <v>151</v>
      </c>
      <c r="L752" t="n">
        <v>240</v>
      </c>
      <c r="M752" t="n">
        <v>181</v>
      </c>
      <c r="N752" t="n">
        <v>175</v>
      </c>
      <c r="O752" t="n">
        <v>177</v>
      </c>
      <c r="P752" t="n">
        <v>175</v>
      </c>
    </row>
    <row r="753">
      <c r="A753" t="inlineStr">
        <is>
          <t>CurrentWorkingView</t>
        </is>
      </c>
      <c r="B753" s="1" t="n">
        <v>4064941133551</v>
      </c>
      <c r="C753" t="inlineStr">
        <is>
          <t>P_US_ALL_OTHERS</t>
        </is>
      </c>
      <c r="D753" t="inlineStr">
        <is>
          <t>ST Stat Fcst</t>
        </is>
      </c>
      <c r="E753" t="n">
        <v>114</v>
      </c>
      <c r="F753" t="n">
        <v>161</v>
      </c>
      <c r="G753" t="n">
        <v>88</v>
      </c>
      <c r="H753" t="n">
        <v>195</v>
      </c>
      <c r="I753" t="n">
        <v>86</v>
      </c>
      <c r="J753" t="n">
        <v>324</v>
      </c>
      <c r="K753" t="n">
        <v>164</v>
      </c>
      <c r="L753" t="n">
        <v>240</v>
      </c>
      <c r="M753" t="n">
        <v>168</v>
      </c>
      <c r="N753" t="n">
        <v>163</v>
      </c>
      <c r="O753" t="n">
        <v>146</v>
      </c>
      <c r="P753" t="n">
        <v>95</v>
      </c>
    </row>
    <row r="754">
      <c r="A754" t="inlineStr">
        <is>
          <t>CurrentWorkingView</t>
        </is>
      </c>
      <c r="B754" s="1" t="n">
        <v>4064941133551</v>
      </c>
      <c r="C754" t="inlineStr">
        <is>
          <t>P_US_ALL_OTHERS</t>
        </is>
      </c>
      <c r="D754" t="inlineStr">
        <is>
          <t>LT Stat Fcst</t>
        </is>
      </c>
      <c r="H754" t="n">
        <v>186</v>
      </c>
      <c r="I754" t="n">
        <v>196</v>
      </c>
      <c r="J754" t="n">
        <v>205</v>
      </c>
      <c r="K754" t="n">
        <v>208</v>
      </c>
      <c r="L754" t="n">
        <v>212</v>
      </c>
      <c r="M754" t="n">
        <v>212</v>
      </c>
      <c r="N754" t="n">
        <v>212</v>
      </c>
      <c r="O754" t="n">
        <v>213</v>
      </c>
      <c r="P754" t="n">
        <v>215</v>
      </c>
    </row>
    <row r="755">
      <c r="A755" t="inlineStr">
        <is>
          <t>CurrentWorkingView</t>
        </is>
      </c>
      <c r="B755" s="1" t="n">
        <v>4064941133551</v>
      </c>
      <c r="C755" t="inlineStr">
        <is>
          <t>P_US_ALL_OTHERS</t>
        </is>
      </c>
      <c r="D755" t="inlineStr">
        <is>
          <t>System BestFit Final</t>
        </is>
      </c>
      <c r="E755" t="inlineStr">
        <is>
          <t>ST</t>
        </is>
      </c>
      <c r="F755" t="inlineStr">
        <is>
          <t>ST</t>
        </is>
      </c>
      <c r="G755" t="inlineStr">
        <is>
          <t>ST</t>
        </is>
      </c>
      <c r="H755" t="inlineStr">
        <is>
          <t>ST</t>
        </is>
      </c>
      <c r="I755" t="inlineStr">
        <is>
          <t>ST</t>
        </is>
      </c>
      <c r="J755" t="inlineStr">
        <is>
          <t>ST</t>
        </is>
      </c>
      <c r="K755" t="inlineStr">
        <is>
          <t>ST</t>
        </is>
      </c>
      <c r="L755" t="inlineStr">
        <is>
          <t>ST</t>
        </is>
      </c>
      <c r="M755" t="inlineStr">
        <is>
          <t>ST</t>
        </is>
      </c>
      <c r="N755" t="inlineStr">
        <is>
          <t>ST</t>
        </is>
      </c>
      <c r="O755" t="inlineStr">
        <is>
          <t>ST</t>
        </is>
      </c>
      <c r="P755" t="inlineStr">
        <is>
          <t>ST</t>
        </is>
      </c>
    </row>
    <row r="756">
      <c r="A756" t="inlineStr">
        <is>
          <t>CurrentWorkingView</t>
        </is>
      </c>
      <c r="B756" s="1" t="n">
        <v>4064941133551</v>
      </c>
      <c r="C756" t="inlineStr">
        <is>
          <t>P_US_ALL_OTHERS</t>
        </is>
      </c>
      <c r="D756" t="inlineStr">
        <is>
          <t>System Bestfit Model ST</t>
        </is>
      </c>
      <c r="E756" t="inlineStr">
        <is>
          <t>ST</t>
        </is>
      </c>
      <c r="F756" t="inlineStr">
        <is>
          <t>ST</t>
        </is>
      </c>
      <c r="G756" t="inlineStr">
        <is>
          <t>ST</t>
        </is>
      </c>
      <c r="H756" t="inlineStr">
        <is>
          <t>ST</t>
        </is>
      </c>
      <c r="I756" t="inlineStr">
        <is>
          <t>ST</t>
        </is>
      </c>
      <c r="J756" t="inlineStr">
        <is>
          <t>ST</t>
        </is>
      </c>
      <c r="K756" t="inlineStr">
        <is>
          <t>ST</t>
        </is>
      </c>
      <c r="L756" t="inlineStr">
        <is>
          <t>ST</t>
        </is>
      </c>
      <c r="M756" t="inlineStr">
        <is>
          <t>ST</t>
        </is>
      </c>
      <c r="N756" t="inlineStr">
        <is>
          <t>ST</t>
        </is>
      </c>
      <c r="O756" t="inlineStr">
        <is>
          <t>ST</t>
        </is>
      </c>
      <c r="P756" t="inlineStr">
        <is>
          <t>ST</t>
        </is>
      </c>
    </row>
    <row r="757">
      <c r="A757" t="inlineStr">
        <is>
          <t>CurrentWorkingView</t>
        </is>
      </c>
      <c r="B757" s="1" t="n">
        <v>4064941133551</v>
      </c>
      <c r="C757" t="inlineStr">
        <is>
          <t>P_US_ALL_OTHERS</t>
        </is>
      </c>
      <c r="D757" t="inlineStr">
        <is>
          <t>Planner BestFit Model</t>
        </is>
      </c>
    </row>
    <row r="758">
      <c r="A758" t="inlineStr">
        <is>
          <t>CurrentWorkingView</t>
        </is>
      </c>
      <c r="B758" s="1" t="n">
        <v>4064941133551</v>
      </c>
      <c r="C758" t="inlineStr">
        <is>
          <t>P_US_ULTA</t>
        </is>
      </c>
      <c r="D758" t="inlineStr">
        <is>
          <t>System FC - Final</t>
        </is>
      </c>
      <c r="E758" t="n">
        <v>480</v>
      </c>
      <c r="F758" t="n">
        <v>5472</v>
      </c>
      <c r="G758" t="n">
        <v>1368</v>
      </c>
      <c r="H758" t="n">
        <v>1523</v>
      </c>
      <c r="I758" t="n">
        <v>1621</v>
      </c>
      <c r="J758" t="n">
        <v>1670</v>
      </c>
      <c r="K758" t="n">
        <v>1696</v>
      </c>
      <c r="L758" t="n">
        <v>1708</v>
      </c>
      <c r="M758" t="n">
        <v>1714</v>
      </c>
      <c r="N758" t="n">
        <v>1715</v>
      </c>
      <c r="O758" t="n">
        <v>1718</v>
      </c>
      <c r="P758" t="n">
        <v>1719</v>
      </c>
    </row>
    <row r="759">
      <c r="A759" t="inlineStr">
        <is>
          <t>CurrentWorkingView</t>
        </is>
      </c>
      <c r="B759" s="1" t="n">
        <v>4064941133551</v>
      </c>
      <c r="C759" t="inlineStr">
        <is>
          <t>P_US_ULTA</t>
        </is>
      </c>
      <c r="D759" t="inlineStr">
        <is>
          <t>CML Fcst</t>
        </is>
      </c>
      <c r="H759" t="n">
        <v>2280</v>
      </c>
      <c r="I759" t="n">
        <v>3634</v>
      </c>
      <c r="J759" t="n">
        <v>5177</v>
      </c>
      <c r="K759" t="n">
        <v>2630</v>
      </c>
      <c r="L759" t="n">
        <v>6176</v>
      </c>
      <c r="M759" t="n">
        <v>5460</v>
      </c>
      <c r="N759" t="n">
        <v>4089</v>
      </c>
      <c r="O759" t="n">
        <v>3689</v>
      </c>
      <c r="P759" t="n">
        <v>1625</v>
      </c>
    </row>
    <row r="760">
      <c r="A760" t="inlineStr">
        <is>
          <t>CurrentWorkingView</t>
        </is>
      </c>
      <c r="B760" s="1" t="n">
        <v>4064941133551</v>
      </c>
      <c r="C760" t="inlineStr">
        <is>
          <t>P_US_ULTA</t>
        </is>
      </c>
      <c r="D760" t="inlineStr">
        <is>
          <t>ST Stat Fcst</t>
        </is>
      </c>
      <c r="E760" t="n">
        <v>480</v>
      </c>
      <c r="F760" t="n">
        <v>5472</v>
      </c>
      <c r="G760" t="n">
        <v>1294</v>
      </c>
      <c r="H760" t="n">
        <v>1435</v>
      </c>
      <c r="I760" t="n">
        <v>1440</v>
      </c>
      <c r="J760" t="n">
        <v>1439</v>
      </c>
      <c r="K760" t="n">
        <v>1439</v>
      </c>
      <c r="L760" t="n">
        <v>1440</v>
      </c>
      <c r="M760" t="n">
        <v>1439</v>
      </c>
      <c r="N760" t="n">
        <v>1440</v>
      </c>
      <c r="O760" t="n">
        <v>1439</v>
      </c>
      <c r="P760" t="n">
        <v>1440</v>
      </c>
    </row>
    <row r="761">
      <c r="A761" t="inlineStr">
        <is>
          <t>CurrentWorkingView</t>
        </is>
      </c>
      <c r="B761" s="1" t="n">
        <v>4064941133551</v>
      </c>
      <c r="C761" t="inlineStr">
        <is>
          <t>P_US_ULTA</t>
        </is>
      </c>
      <c r="D761" t="inlineStr">
        <is>
          <t>LT Stat Fcst</t>
        </is>
      </c>
      <c r="H761" t="n">
        <v>1524</v>
      </c>
      <c r="I761" t="n">
        <v>1620</v>
      </c>
      <c r="J761" t="n">
        <v>1670</v>
      </c>
      <c r="K761" t="n">
        <v>1696</v>
      </c>
      <c r="L761" t="n">
        <v>1708</v>
      </c>
      <c r="M761" t="n">
        <v>1714</v>
      </c>
      <c r="N761" t="n">
        <v>1715</v>
      </c>
      <c r="O761" t="n">
        <v>1718</v>
      </c>
      <c r="P761" t="n">
        <v>1719</v>
      </c>
    </row>
    <row r="762">
      <c r="A762" t="inlineStr">
        <is>
          <t>CurrentWorkingView</t>
        </is>
      </c>
      <c r="B762" s="1" t="n">
        <v>4064941133551</v>
      </c>
      <c r="C762" t="inlineStr">
        <is>
          <t>P_US_ULTA</t>
        </is>
      </c>
      <c r="D762" t="inlineStr">
        <is>
          <t>System BestFit Final</t>
        </is>
      </c>
      <c r="E762" t="inlineStr">
        <is>
          <t>LT</t>
        </is>
      </c>
      <c r="F762" t="inlineStr">
        <is>
          <t>LT</t>
        </is>
      </c>
      <c r="G762" t="inlineStr">
        <is>
          <t>LT</t>
        </is>
      </c>
      <c r="H762" t="inlineStr">
        <is>
          <t>LT</t>
        </is>
      </c>
      <c r="I762" t="inlineStr">
        <is>
          <t>LT</t>
        </is>
      </c>
      <c r="J762" t="inlineStr">
        <is>
          <t>LT</t>
        </is>
      </c>
      <c r="K762" t="inlineStr">
        <is>
          <t>LT</t>
        </is>
      </c>
      <c r="L762" t="inlineStr">
        <is>
          <t>LT</t>
        </is>
      </c>
      <c r="M762" t="inlineStr">
        <is>
          <t>LT</t>
        </is>
      </c>
      <c r="N762" t="inlineStr">
        <is>
          <t>LT</t>
        </is>
      </c>
      <c r="O762" t="inlineStr">
        <is>
          <t>LT</t>
        </is>
      </c>
      <c r="P762" t="inlineStr">
        <is>
          <t>LT</t>
        </is>
      </c>
    </row>
    <row r="763">
      <c r="A763" t="inlineStr">
        <is>
          <t>CurrentWorkingView</t>
        </is>
      </c>
      <c r="B763" s="1" t="n">
        <v>4064941133551</v>
      </c>
      <c r="C763" t="inlineStr">
        <is>
          <t>P_US_ULTA</t>
        </is>
      </c>
      <c r="D763" t="inlineStr">
        <is>
          <t>System Bestfit Model ST</t>
        </is>
      </c>
    </row>
    <row r="764">
      <c r="A764" t="inlineStr">
        <is>
          <t>CurrentWorkingView</t>
        </is>
      </c>
      <c r="B764" s="1" t="n">
        <v>4064941133551</v>
      </c>
      <c r="C764" t="inlineStr">
        <is>
          <t>P_US_ULTA</t>
        </is>
      </c>
      <c r="D764" t="inlineStr">
        <is>
          <t>Planner BestFit Model</t>
        </is>
      </c>
      <c r="E764" t="inlineStr">
        <is>
          <t>LT</t>
        </is>
      </c>
      <c r="F764" t="inlineStr">
        <is>
          <t>LT</t>
        </is>
      </c>
      <c r="G764" t="inlineStr">
        <is>
          <t>LT</t>
        </is>
      </c>
      <c r="H764" t="inlineStr">
        <is>
          <t>LT</t>
        </is>
      </c>
      <c r="I764" t="inlineStr">
        <is>
          <t>LT</t>
        </is>
      </c>
      <c r="J764" t="inlineStr">
        <is>
          <t>LT</t>
        </is>
      </c>
      <c r="K764" t="inlineStr">
        <is>
          <t>LT</t>
        </is>
      </c>
      <c r="L764" t="inlineStr">
        <is>
          <t>LT</t>
        </is>
      </c>
      <c r="M764" t="inlineStr">
        <is>
          <t>LT</t>
        </is>
      </c>
      <c r="N764" t="inlineStr">
        <is>
          <t>LT</t>
        </is>
      </c>
      <c r="O764" t="inlineStr">
        <is>
          <t>LT</t>
        </is>
      </c>
      <c r="P764" t="inlineStr">
        <is>
          <t>LT</t>
        </is>
      </c>
    </row>
    <row r="765">
      <c r="A765" t="inlineStr">
        <is>
          <t>CurrentWorkingView</t>
        </is>
      </c>
      <c r="B765" s="1" t="n">
        <v>4064941147084</v>
      </c>
      <c r="C765" t="inlineStr">
        <is>
          <t>P_US_ALL_OTHERS</t>
        </is>
      </c>
      <c r="D765" t="inlineStr">
        <is>
          <t>System FC - Final</t>
        </is>
      </c>
      <c r="E765" t="n">
        <v>166</v>
      </c>
      <c r="F765" t="n">
        <v>106</v>
      </c>
      <c r="G765" t="n">
        <v>56</v>
      </c>
      <c r="H765" t="n">
        <v>123</v>
      </c>
      <c r="I765" t="n">
        <v>112</v>
      </c>
      <c r="J765" t="n">
        <v>115</v>
      </c>
      <c r="K765" t="n">
        <v>115</v>
      </c>
      <c r="L765" t="n">
        <v>112</v>
      </c>
      <c r="M765" t="n">
        <v>115</v>
      </c>
      <c r="N765" t="n">
        <v>115</v>
      </c>
      <c r="O765" t="n">
        <v>115</v>
      </c>
      <c r="P765" t="n">
        <v>115</v>
      </c>
    </row>
    <row r="766">
      <c r="A766" t="inlineStr">
        <is>
          <t>CurrentWorkingView</t>
        </is>
      </c>
      <c r="B766" s="1" t="n">
        <v>4064941147084</v>
      </c>
      <c r="C766" t="inlineStr">
        <is>
          <t>P_US_ALL_OTHERS</t>
        </is>
      </c>
      <c r="D766" t="inlineStr">
        <is>
          <t>CML Fcst</t>
        </is>
      </c>
      <c r="H766" t="n">
        <v>120</v>
      </c>
      <c r="I766" t="n">
        <v>180</v>
      </c>
      <c r="J766" t="n">
        <v>102</v>
      </c>
      <c r="K766" t="n">
        <v>137</v>
      </c>
      <c r="L766" t="n">
        <v>224</v>
      </c>
      <c r="M766" t="n">
        <v>102</v>
      </c>
      <c r="N766" t="n">
        <v>120</v>
      </c>
      <c r="O766" t="n">
        <v>142</v>
      </c>
      <c r="P766" t="n">
        <v>81</v>
      </c>
    </row>
    <row r="767">
      <c r="A767" t="inlineStr">
        <is>
          <t>CurrentWorkingView</t>
        </is>
      </c>
      <c r="B767" s="1" t="n">
        <v>4064941147084</v>
      </c>
      <c r="C767" t="inlineStr">
        <is>
          <t>P_US_ALL_OTHERS</t>
        </is>
      </c>
      <c r="D767" t="inlineStr">
        <is>
          <t>ST Stat Fcst</t>
        </is>
      </c>
      <c r="E767" t="n">
        <v>166</v>
      </c>
      <c r="F767" t="n">
        <v>106</v>
      </c>
      <c r="G767" t="n">
        <v>56</v>
      </c>
      <c r="H767" t="n">
        <v>124</v>
      </c>
      <c r="I767" t="n">
        <v>112</v>
      </c>
      <c r="J767" t="n">
        <v>115</v>
      </c>
      <c r="K767" t="n">
        <v>115</v>
      </c>
      <c r="L767" t="n">
        <v>112</v>
      </c>
      <c r="M767" t="n">
        <v>115</v>
      </c>
      <c r="N767" t="n">
        <v>115</v>
      </c>
      <c r="O767" t="n">
        <v>115</v>
      </c>
      <c r="P767" t="n">
        <v>115</v>
      </c>
    </row>
    <row r="768">
      <c r="A768" t="inlineStr">
        <is>
          <t>CurrentWorkingView</t>
        </is>
      </c>
      <c r="B768" s="1" t="n">
        <v>4064941147084</v>
      </c>
      <c r="C768" t="inlineStr">
        <is>
          <t>P_US_ALL_OTHERS</t>
        </is>
      </c>
      <c r="D768" t="inlineStr">
        <is>
          <t>LT Stat Fcst</t>
        </is>
      </c>
      <c r="H768" t="n">
        <v>80</v>
      </c>
      <c r="I768" t="n">
        <v>82</v>
      </c>
      <c r="J768" t="n">
        <v>80</v>
      </c>
      <c r="K768" t="n">
        <v>80</v>
      </c>
      <c r="L768" t="n">
        <v>80</v>
      </c>
      <c r="M768" t="n">
        <v>80</v>
      </c>
      <c r="N768" t="n">
        <v>81</v>
      </c>
      <c r="O768" t="n">
        <v>80</v>
      </c>
      <c r="P768" t="n">
        <v>81</v>
      </c>
    </row>
    <row r="769">
      <c r="A769" t="inlineStr">
        <is>
          <t>CurrentWorkingView</t>
        </is>
      </c>
      <c r="B769" s="1" t="n">
        <v>4064941147084</v>
      </c>
      <c r="C769" t="inlineStr">
        <is>
          <t>P_US_ALL_OTHERS</t>
        </is>
      </c>
      <c r="D769" t="inlineStr">
        <is>
          <t>System BestFit Final</t>
        </is>
      </c>
      <c r="E769" t="inlineStr">
        <is>
          <t>ST</t>
        </is>
      </c>
      <c r="F769" t="inlineStr">
        <is>
          <t>ST</t>
        </is>
      </c>
      <c r="G769" t="inlineStr">
        <is>
          <t>ST</t>
        </is>
      </c>
      <c r="H769" t="inlineStr">
        <is>
          <t>ST</t>
        </is>
      </c>
      <c r="I769" t="inlineStr">
        <is>
          <t>ST</t>
        </is>
      </c>
      <c r="J769" t="inlineStr">
        <is>
          <t>ST</t>
        </is>
      </c>
      <c r="K769" t="inlineStr">
        <is>
          <t>ST</t>
        </is>
      </c>
      <c r="L769" t="inlineStr">
        <is>
          <t>ST</t>
        </is>
      </c>
      <c r="M769" t="inlineStr">
        <is>
          <t>ST</t>
        </is>
      </c>
      <c r="N769" t="inlineStr">
        <is>
          <t>ST</t>
        </is>
      </c>
      <c r="O769" t="inlineStr">
        <is>
          <t>ST</t>
        </is>
      </c>
      <c r="P769" t="inlineStr">
        <is>
          <t>ST</t>
        </is>
      </c>
    </row>
    <row r="770">
      <c r="A770" t="inlineStr">
        <is>
          <t>CurrentWorkingView</t>
        </is>
      </c>
      <c r="B770" s="1" t="n">
        <v>4064941147084</v>
      </c>
      <c r="C770" t="inlineStr">
        <is>
          <t>P_US_ALL_OTHERS</t>
        </is>
      </c>
      <c r="D770" t="inlineStr">
        <is>
          <t>System Bestfit Model ST</t>
        </is>
      </c>
      <c r="E770" t="inlineStr">
        <is>
          <t>ST</t>
        </is>
      </c>
      <c r="F770" t="inlineStr">
        <is>
          <t>ST</t>
        </is>
      </c>
      <c r="G770" t="inlineStr">
        <is>
          <t>ST</t>
        </is>
      </c>
      <c r="H770" t="inlineStr">
        <is>
          <t>ST</t>
        </is>
      </c>
      <c r="I770" t="inlineStr">
        <is>
          <t>ST</t>
        </is>
      </c>
      <c r="J770" t="inlineStr">
        <is>
          <t>ST</t>
        </is>
      </c>
      <c r="K770" t="inlineStr">
        <is>
          <t>ST</t>
        </is>
      </c>
      <c r="L770" t="inlineStr">
        <is>
          <t>ST</t>
        </is>
      </c>
      <c r="M770" t="inlineStr">
        <is>
          <t>ST</t>
        </is>
      </c>
      <c r="N770" t="inlineStr">
        <is>
          <t>ST</t>
        </is>
      </c>
      <c r="O770" t="inlineStr">
        <is>
          <t>ST</t>
        </is>
      </c>
      <c r="P770" t="inlineStr">
        <is>
          <t>ST</t>
        </is>
      </c>
    </row>
    <row r="771">
      <c r="A771" t="inlineStr">
        <is>
          <t>CurrentWorkingView</t>
        </is>
      </c>
      <c r="B771" s="1" t="n">
        <v>4064941147084</v>
      </c>
      <c r="C771" t="inlineStr">
        <is>
          <t>P_US_ALL_OTHERS</t>
        </is>
      </c>
      <c r="D771" t="inlineStr">
        <is>
          <t>Planner BestFit Model</t>
        </is>
      </c>
      <c r="E771" t="inlineStr">
        <is>
          <t>ST</t>
        </is>
      </c>
      <c r="F771" t="inlineStr">
        <is>
          <t>ST</t>
        </is>
      </c>
      <c r="G771" t="inlineStr">
        <is>
          <t>ST</t>
        </is>
      </c>
      <c r="H771" t="inlineStr">
        <is>
          <t>ST</t>
        </is>
      </c>
      <c r="I771" t="inlineStr">
        <is>
          <t>ST</t>
        </is>
      </c>
      <c r="J771" t="inlineStr">
        <is>
          <t>ST</t>
        </is>
      </c>
      <c r="K771" t="inlineStr">
        <is>
          <t>ST</t>
        </is>
      </c>
      <c r="L771" t="inlineStr">
        <is>
          <t>ST</t>
        </is>
      </c>
      <c r="M771" t="inlineStr">
        <is>
          <t>ST</t>
        </is>
      </c>
      <c r="N771" t="inlineStr">
        <is>
          <t>ST</t>
        </is>
      </c>
      <c r="O771" t="inlineStr">
        <is>
          <t>ST</t>
        </is>
      </c>
      <c r="P771" t="inlineStr">
        <is>
          <t>ST</t>
        </is>
      </c>
    </row>
    <row r="772">
      <c r="A772" t="inlineStr">
        <is>
          <t>CurrentWorkingView</t>
        </is>
      </c>
      <c r="B772" s="1" t="n">
        <v>4064941147084</v>
      </c>
      <c r="C772" t="inlineStr">
        <is>
          <t>P_US_ULTA</t>
        </is>
      </c>
      <c r="D772" t="inlineStr">
        <is>
          <t>System FC - Final</t>
        </is>
      </c>
      <c r="E772" t="n">
        <v>648</v>
      </c>
      <c r="F772" t="n">
        <v>5112</v>
      </c>
      <c r="G772" t="n">
        <v>3976</v>
      </c>
      <c r="H772" t="n">
        <v>2590</v>
      </c>
      <c r="I772" t="n">
        <v>3240</v>
      </c>
      <c r="J772" t="n">
        <v>2617</v>
      </c>
      <c r="K772" t="n">
        <v>2817</v>
      </c>
      <c r="L772" t="n">
        <v>2892</v>
      </c>
      <c r="M772" t="n">
        <v>2772</v>
      </c>
      <c r="N772" t="n">
        <v>2828</v>
      </c>
      <c r="O772" t="n">
        <v>2830</v>
      </c>
      <c r="P772" t="n">
        <v>2811</v>
      </c>
    </row>
    <row r="773">
      <c r="A773" t="inlineStr">
        <is>
          <t>CurrentWorkingView</t>
        </is>
      </c>
      <c r="B773" s="1" t="n">
        <v>4064941147084</v>
      </c>
      <c r="C773" t="inlineStr">
        <is>
          <t>P_US_ULTA</t>
        </is>
      </c>
      <c r="D773" t="inlineStr">
        <is>
          <t>CML Fcst</t>
        </is>
      </c>
      <c r="H773" t="n">
        <v>1820</v>
      </c>
      <c r="I773" t="n">
        <v>2352</v>
      </c>
      <c r="J773" t="n">
        <v>2214</v>
      </c>
      <c r="K773" t="n">
        <v>903</v>
      </c>
      <c r="L773" t="n">
        <v>1888</v>
      </c>
      <c r="M773" t="n">
        <v>1873</v>
      </c>
      <c r="N773" t="n">
        <v>1020</v>
      </c>
      <c r="O773" t="n">
        <v>1732</v>
      </c>
      <c r="P773" t="n">
        <v>1007</v>
      </c>
    </row>
    <row r="774">
      <c r="A774" t="inlineStr">
        <is>
          <t>CurrentWorkingView</t>
        </is>
      </c>
      <c r="B774" s="1" t="n">
        <v>4064941147084</v>
      </c>
      <c r="C774" t="inlineStr">
        <is>
          <t>P_US_ULTA</t>
        </is>
      </c>
      <c r="D774" t="inlineStr">
        <is>
          <t>ST Stat Fcst</t>
        </is>
      </c>
      <c r="E774" t="n">
        <v>648</v>
      </c>
      <c r="F774" t="n">
        <v>5112</v>
      </c>
      <c r="G774" t="n">
        <v>3976</v>
      </c>
      <c r="H774" t="n">
        <v>2591</v>
      </c>
      <c r="I774" t="n">
        <v>3240</v>
      </c>
      <c r="J774" t="n">
        <v>2617</v>
      </c>
      <c r="K774" t="n">
        <v>2817</v>
      </c>
      <c r="L774" t="n">
        <v>2892</v>
      </c>
      <c r="M774" t="n">
        <v>2772</v>
      </c>
      <c r="N774" t="n">
        <v>2828</v>
      </c>
      <c r="O774" t="n">
        <v>2830</v>
      </c>
      <c r="P774" t="n">
        <v>2811</v>
      </c>
    </row>
    <row r="775">
      <c r="A775" t="inlineStr">
        <is>
          <t>CurrentWorkingView</t>
        </is>
      </c>
      <c r="B775" s="1" t="n">
        <v>4064941147084</v>
      </c>
      <c r="C775" t="inlineStr">
        <is>
          <t>P_US_ULTA</t>
        </is>
      </c>
      <c r="D775" t="inlineStr">
        <is>
          <t>LT Stat Fcst</t>
        </is>
      </c>
      <c r="H775" t="n">
        <v>1767</v>
      </c>
      <c r="I775" t="n">
        <v>1770</v>
      </c>
      <c r="J775" t="n">
        <v>1767</v>
      </c>
      <c r="K775" t="n">
        <v>1767</v>
      </c>
      <c r="L775" t="n">
        <v>1768</v>
      </c>
      <c r="M775" t="n">
        <v>1767</v>
      </c>
      <c r="N775" t="n">
        <v>1769</v>
      </c>
      <c r="O775" t="n">
        <v>1767</v>
      </c>
      <c r="P775" t="n">
        <v>1769</v>
      </c>
    </row>
    <row r="776">
      <c r="A776" t="inlineStr">
        <is>
          <t>CurrentWorkingView</t>
        </is>
      </c>
      <c r="B776" s="1" t="n">
        <v>4064941147084</v>
      </c>
      <c r="C776" t="inlineStr">
        <is>
          <t>P_US_ULTA</t>
        </is>
      </c>
      <c r="D776" t="inlineStr">
        <is>
          <t>System BestFit Final</t>
        </is>
      </c>
      <c r="E776" t="inlineStr">
        <is>
          <t>ST</t>
        </is>
      </c>
      <c r="F776" t="inlineStr">
        <is>
          <t>ST</t>
        </is>
      </c>
      <c r="G776" t="inlineStr">
        <is>
          <t>ST</t>
        </is>
      </c>
      <c r="H776" t="inlineStr">
        <is>
          <t>ST</t>
        </is>
      </c>
      <c r="I776" t="inlineStr">
        <is>
          <t>ST</t>
        </is>
      </c>
      <c r="J776" t="inlineStr">
        <is>
          <t>ST</t>
        </is>
      </c>
      <c r="K776" t="inlineStr">
        <is>
          <t>ST</t>
        </is>
      </c>
      <c r="L776" t="inlineStr">
        <is>
          <t>ST</t>
        </is>
      </c>
      <c r="M776" t="inlineStr">
        <is>
          <t>ST</t>
        </is>
      </c>
      <c r="N776" t="inlineStr">
        <is>
          <t>ST</t>
        </is>
      </c>
      <c r="O776" t="inlineStr">
        <is>
          <t>ST</t>
        </is>
      </c>
      <c r="P776" t="inlineStr">
        <is>
          <t>ST</t>
        </is>
      </c>
    </row>
    <row r="777">
      <c r="A777" t="inlineStr">
        <is>
          <t>CurrentWorkingView</t>
        </is>
      </c>
      <c r="B777" s="1" t="n">
        <v>4064941147084</v>
      </c>
      <c r="C777" t="inlineStr">
        <is>
          <t>P_US_ULTA</t>
        </is>
      </c>
      <c r="D777" t="inlineStr">
        <is>
          <t>System Bestfit Model ST</t>
        </is>
      </c>
      <c r="E777" t="inlineStr">
        <is>
          <t>ST</t>
        </is>
      </c>
      <c r="F777" t="inlineStr">
        <is>
          <t>ST</t>
        </is>
      </c>
      <c r="G777" t="inlineStr">
        <is>
          <t>ST</t>
        </is>
      </c>
      <c r="H777" t="inlineStr">
        <is>
          <t>ST</t>
        </is>
      </c>
      <c r="I777" t="inlineStr">
        <is>
          <t>ST</t>
        </is>
      </c>
      <c r="J777" t="inlineStr">
        <is>
          <t>ST</t>
        </is>
      </c>
      <c r="K777" t="inlineStr">
        <is>
          <t>ST</t>
        </is>
      </c>
      <c r="L777" t="inlineStr">
        <is>
          <t>ST</t>
        </is>
      </c>
      <c r="M777" t="inlineStr">
        <is>
          <t>ST</t>
        </is>
      </c>
      <c r="N777" t="inlineStr">
        <is>
          <t>ST</t>
        </is>
      </c>
      <c r="O777" t="inlineStr">
        <is>
          <t>ST</t>
        </is>
      </c>
      <c r="P777" t="inlineStr">
        <is>
          <t>ST</t>
        </is>
      </c>
    </row>
    <row r="778">
      <c r="A778" t="inlineStr">
        <is>
          <t>CurrentWorkingView</t>
        </is>
      </c>
      <c r="B778" s="1" t="n">
        <v>4064941147084</v>
      </c>
      <c r="C778" t="inlineStr">
        <is>
          <t>P_US_ULTA</t>
        </is>
      </c>
      <c r="D778" t="inlineStr">
        <is>
          <t>Planner BestFit Model</t>
        </is>
      </c>
      <c r="E778" t="inlineStr">
        <is>
          <t>ST</t>
        </is>
      </c>
      <c r="F778" t="inlineStr">
        <is>
          <t>ST</t>
        </is>
      </c>
      <c r="G778" t="inlineStr">
        <is>
          <t>ST</t>
        </is>
      </c>
      <c r="H778" t="inlineStr">
        <is>
          <t>ST</t>
        </is>
      </c>
      <c r="I778" t="inlineStr">
        <is>
          <t>ST</t>
        </is>
      </c>
      <c r="J778" t="inlineStr">
        <is>
          <t>ST</t>
        </is>
      </c>
      <c r="K778" t="inlineStr">
        <is>
          <t>ST</t>
        </is>
      </c>
      <c r="L778" t="inlineStr">
        <is>
          <t>ST</t>
        </is>
      </c>
      <c r="M778" t="inlineStr">
        <is>
          <t>ST</t>
        </is>
      </c>
      <c r="N778" t="inlineStr">
        <is>
          <t>ST</t>
        </is>
      </c>
      <c r="O778" t="inlineStr">
        <is>
          <t>ST</t>
        </is>
      </c>
      <c r="P778" t="inlineStr">
        <is>
          <t>ST</t>
        </is>
      </c>
    </row>
    <row r="779">
      <c r="A779" t="inlineStr">
        <is>
          <t>CurrentWorkingView</t>
        </is>
      </c>
      <c r="B779" s="1" t="n">
        <v>4064941147091</v>
      </c>
      <c r="C779" t="inlineStr">
        <is>
          <t>P_US_ALL_OTHERS</t>
        </is>
      </c>
      <c r="D779" t="inlineStr">
        <is>
          <t>System FC - Final</t>
        </is>
      </c>
      <c r="E779" t="n">
        <v>49</v>
      </c>
      <c r="F779" t="n">
        <v>114</v>
      </c>
      <c r="G779" t="n">
        <v>57</v>
      </c>
      <c r="H779" t="n">
        <v>76</v>
      </c>
      <c r="I779" t="n">
        <v>85</v>
      </c>
      <c r="J779" t="n">
        <v>76</v>
      </c>
      <c r="K779" t="n">
        <v>80</v>
      </c>
      <c r="L779" t="n">
        <v>80</v>
      </c>
      <c r="M779" t="n">
        <v>80</v>
      </c>
      <c r="N779" t="n">
        <v>77</v>
      </c>
      <c r="O779" t="n">
        <v>80</v>
      </c>
      <c r="P779" t="n">
        <v>78</v>
      </c>
    </row>
    <row r="780">
      <c r="A780" t="inlineStr">
        <is>
          <t>CurrentWorkingView</t>
        </is>
      </c>
      <c r="B780" s="1" t="n">
        <v>4064941147091</v>
      </c>
      <c r="C780" t="inlineStr">
        <is>
          <t>P_US_ALL_OTHERS</t>
        </is>
      </c>
      <c r="D780" t="inlineStr">
        <is>
          <t>CML Fcst</t>
        </is>
      </c>
      <c r="H780" t="n">
        <v>115</v>
      </c>
      <c r="I780" t="n">
        <v>176</v>
      </c>
      <c r="J780" t="n">
        <v>101</v>
      </c>
      <c r="K780" t="n">
        <v>159</v>
      </c>
      <c r="L780" t="n">
        <v>120</v>
      </c>
      <c r="M780" t="n">
        <v>97</v>
      </c>
      <c r="N780" t="n">
        <v>112</v>
      </c>
      <c r="O780" t="n">
        <v>120</v>
      </c>
      <c r="P780" t="n">
        <v>86</v>
      </c>
    </row>
    <row r="781">
      <c r="A781" t="inlineStr">
        <is>
          <t>CurrentWorkingView</t>
        </is>
      </c>
      <c r="B781" s="1" t="n">
        <v>4064941147091</v>
      </c>
      <c r="C781" t="inlineStr">
        <is>
          <t>P_US_ALL_OTHERS</t>
        </is>
      </c>
      <c r="D781" t="inlineStr">
        <is>
          <t>ST Stat Fcst</t>
        </is>
      </c>
      <c r="E781" t="n">
        <v>49</v>
      </c>
      <c r="F781" t="n">
        <v>114</v>
      </c>
      <c r="G781" t="n">
        <v>50</v>
      </c>
      <c r="H781" t="n">
        <v>76</v>
      </c>
      <c r="I781" t="n">
        <v>86</v>
      </c>
      <c r="J781" t="n">
        <v>76</v>
      </c>
      <c r="K781" t="n">
        <v>80</v>
      </c>
      <c r="L781" t="n">
        <v>80</v>
      </c>
      <c r="M781" t="n">
        <v>80</v>
      </c>
      <c r="N781" t="n">
        <v>77</v>
      </c>
      <c r="O781" t="n">
        <v>80</v>
      </c>
      <c r="P781" t="n">
        <v>78</v>
      </c>
    </row>
    <row r="782">
      <c r="A782" t="inlineStr">
        <is>
          <t>CurrentWorkingView</t>
        </is>
      </c>
      <c r="B782" s="1" t="n">
        <v>4064941147091</v>
      </c>
      <c r="C782" t="inlineStr">
        <is>
          <t>P_US_ALL_OTHERS</t>
        </is>
      </c>
      <c r="D782" t="inlineStr">
        <is>
          <t>LT Stat Fcst</t>
        </is>
      </c>
      <c r="H782" t="n">
        <v>50</v>
      </c>
      <c r="I782" t="n">
        <v>52</v>
      </c>
      <c r="J782" t="n">
        <v>50</v>
      </c>
      <c r="K782" t="n">
        <v>49</v>
      </c>
      <c r="L782" t="n">
        <v>52</v>
      </c>
      <c r="M782" t="n">
        <v>49</v>
      </c>
      <c r="N782" t="n">
        <v>52</v>
      </c>
      <c r="O782" t="n">
        <v>50</v>
      </c>
      <c r="P782" t="n">
        <v>52</v>
      </c>
    </row>
    <row r="783">
      <c r="A783" t="inlineStr">
        <is>
          <t>CurrentWorkingView</t>
        </is>
      </c>
      <c r="B783" s="1" t="n">
        <v>4064941147091</v>
      </c>
      <c r="C783" t="inlineStr">
        <is>
          <t>P_US_ALL_OTHERS</t>
        </is>
      </c>
      <c r="D783" t="inlineStr">
        <is>
          <t>System BestFit Final</t>
        </is>
      </c>
      <c r="E783" t="inlineStr">
        <is>
          <t>ST</t>
        </is>
      </c>
      <c r="F783" t="inlineStr">
        <is>
          <t>ST</t>
        </is>
      </c>
      <c r="G783" t="inlineStr">
        <is>
          <t>ST</t>
        </is>
      </c>
      <c r="H783" t="inlineStr">
        <is>
          <t>ST</t>
        </is>
      </c>
      <c r="I783" t="inlineStr">
        <is>
          <t>ST</t>
        </is>
      </c>
      <c r="J783" t="inlineStr">
        <is>
          <t>ST</t>
        </is>
      </c>
      <c r="K783" t="inlineStr">
        <is>
          <t>ST</t>
        </is>
      </c>
      <c r="L783" t="inlineStr">
        <is>
          <t>ST</t>
        </is>
      </c>
      <c r="M783" t="inlineStr">
        <is>
          <t>ST</t>
        </is>
      </c>
      <c r="N783" t="inlineStr">
        <is>
          <t>ST</t>
        </is>
      </c>
      <c r="O783" t="inlineStr">
        <is>
          <t>ST</t>
        </is>
      </c>
      <c r="P783" t="inlineStr">
        <is>
          <t>ST</t>
        </is>
      </c>
    </row>
    <row r="784">
      <c r="A784" t="inlineStr">
        <is>
          <t>CurrentWorkingView</t>
        </is>
      </c>
      <c r="B784" s="1" t="n">
        <v>4064941147091</v>
      </c>
      <c r="C784" t="inlineStr">
        <is>
          <t>P_US_ALL_OTHERS</t>
        </is>
      </c>
      <c r="D784" t="inlineStr">
        <is>
          <t>System Bestfit Model ST</t>
        </is>
      </c>
      <c r="E784" t="inlineStr">
        <is>
          <t>ST</t>
        </is>
      </c>
      <c r="F784" t="inlineStr">
        <is>
          <t>ST</t>
        </is>
      </c>
      <c r="G784" t="inlineStr">
        <is>
          <t>ST</t>
        </is>
      </c>
      <c r="H784" t="inlineStr">
        <is>
          <t>ST</t>
        </is>
      </c>
      <c r="I784" t="inlineStr">
        <is>
          <t>ST</t>
        </is>
      </c>
      <c r="J784" t="inlineStr">
        <is>
          <t>ST</t>
        </is>
      </c>
      <c r="K784" t="inlineStr">
        <is>
          <t>ST</t>
        </is>
      </c>
      <c r="L784" t="inlineStr">
        <is>
          <t>ST</t>
        </is>
      </c>
      <c r="M784" t="inlineStr">
        <is>
          <t>ST</t>
        </is>
      </c>
      <c r="N784" t="inlineStr">
        <is>
          <t>ST</t>
        </is>
      </c>
      <c r="O784" t="inlineStr">
        <is>
          <t>ST</t>
        </is>
      </c>
      <c r="P784" t="inlineStr">
        <is>
          <t>ST</t>
        </is>
      </c>
    </row>
    <row r="785">
      <c r="A785" t="inlineStr">
        <is>
          <t>CurrentWorkingView</t>
        </is>
      </c>
      <c r="B785" s="1" t="n">
        <v>4064941147091</v>
      </c>
      <c r="C785" t="inlineStr">
        <is>
          <t>P_US_ALL_OTHERS</t>
        </is>
      </c>
      <c r="D785" t="inlineStr">
        <is>
          <t>Planner BestFit Model</t>
        </is>
      </c>
      <c r="E785" t="inlineStr">
        <is>
          <t>ST</t>
        </is>
      </c>
      <c r="F785" t="inlineStr">
        <is>
          <t>ST</t>
        </is>
      </c>
      <c r="G785" t="inlineStr">
        <is>
          <t>ST</t>
        </is>
      </c>
      <c r="H785" t="inlineStr">
        <is>
          <t>ST</t>
        </is>
      </c>
      <c r="I785" t="inlineStr">
        <is>
          <t>ST</t>
        </is>
      </c>
      <c r="J785" t="inlineStr">
        <is>
          <t>ST</t>
        </is>
      </c>
      <c r="K785" t="inlineStr">
        <is>
          <t>ST</t>
        </is>
      </c>
      <c r="L785" t="inlineStr">
        <is>
          <t>ST</t>
        </is>
      </c>
      <c r="M785" t="inlineStr">
        <is>
          <t>ST</t>
        </is>
      </c>
      <c r="N785" t="inlineStr">
        <is>
          <t>ST</t>
        </is>
      </c>
      <c r="O785" t="inlineStr">
        <is>
          <t>ST</t>
        </is>
      </c>
      <c r="P785" t="inlineStr">
        <is>
          <t>ST</t>
        </is>
      </c>
    </row>
    <row r="786">
      <c r="A786" t="inlineStr">
        <is>
          <t>CurrentWorkingView</t>
        </is>
      </c>
      <c r="B786" s="1" t="n">
        <v>4064941147091</v>
      </c>
      <c r="C786" t="inlineStr">
        <is>
          <t>P_US_ULTA</t>
        </is>
      </c>
      <c r="D786" t="inlineStr">
        <is>
          <t>System FC - Final</t>
        </is>
      </c>
      <c r="E786" t="n">
        <v>1224</v>
      </c>
      <c r="F786" t="n">
        <v>5040</v>
      </c>
      <c r="G786" t="n">
        <v>2414</v>
      </c>
      <c r="H786" t="n">
        <v>1293</v>
      </c>
      <c r="I786" t="n">
        <v>1293</v>
      </c>
      <c r="J786" t="n">
        <v>1294</v>
      </c>
      <c r="K786" t="n">
        <v>1293</v>
      </c>
      <c r="L786" t="n">
        <v>1296</v>
      </c>
      <c r="M786" t="n">
        <v>1293</v>
      </c>
      <c r="N786" t="n">
        <v>1295</v>
      </c>
      <c r="O786" t="n">
        <v>1294</v>
      </c>
      <c r="P786" t="n">
        <v>1295</v>
      </c>
    </row>
    <row r="787">
      <c r="A787" t="inlineStr">
        <is>
          <t>CurrentWorkingView</t>
        </is>
      </c>
      <c r="B787" s="1" t="n">
        <v>4064941147091</v>
      </c>
      <c r="C787" t="inlineStr">
        <is>
          <t>P_US_ULTA</t>
        </is>
      </c>
      <c r="D787" t="inlineStr">
        <is>
          <t>CML Fcst</t>
        </is>
      </c>
      <c r="H787" t="n">
        <v>1333</v>
      </c>
      <c r="I787" t="n">
        <v>1688</v>
      </c>
      <c r="J787" t="n">
        <v>2240</v>
      </c>
      <c r="K787" t="n">
        <v>873</v>
      </c>
      <c r="L787" t="n">
        <v>2284</v>
      </c>
      <c r="M787" t="n">
        <v>323</v>
      </c>
      <c r="N787" t="n">
        <v>759</v>
      </c>
      <c r="O787" t="n">
        <v>828</v>
      </c>
      <c r="P787" t="n">
        <v>900</v>
      </c>
    </row>
    <row r="788">
      <c r="A788" t="inlineStr">
        <is>
          <t>CurrentWorkingView</t>
        </is>
      </c>
      <c r="B788" s="1" t="n">
        <v>4064941147091</v>
      </c>
      <c r="C788" t="inlineStr">
        <is>
          <t>P_US_ULTA</t>
        </is>
      </c>
      <c r="D788" t="inlineStr">
        <is>
          <t>ST Stat Fcst</t>
        </is>
      </c>
      <c r="E788" t="n">
        <v>1224</v>
      </c>
      <c r="F788" t="n">
        <v>5040</v>
      </c>
      <c r="G788" t="n">
        <v>2236</v>
      </c>
      <c r="H788" t="n">
        <v>1294</v>
      </c>
      <c r="I788" t="n">
        <v>1294</v>
      </c>
      <c r="J788" t="n">
        <v>1294</v>
      </c>
      <c r="K788" t="n">
        <v>1293</v>
      </c>
      <c r="L788" t="n">
        <v>1296</v>
      </c>
      <c r="M788" t="n">
        <v>1293</v>
      </c>
      <c r="N788" t="n">
        <v>1295</v>
      </c>
      <c r="O788" t="n">
        <v>1294</v>
      </c>
      <c r="P788" t="n">
        <v>1295</v>
      </c>
    </row>
    <row r="789">
      <c r="A789" t="inlineStr">
        <is>
          <t>CurrentWorkingView</t>
        </is>
      </c>
      <c r="B789" s="1" t="n">
        <v>4064941147091</v>
      </c>
      <c r="C789" t="inlineStr">
        <is>
          <t>P_US_ULTA</t>
        </is>
      </c>
      <c r="D789" t="inlineStr">
        <is>
          <t>LT Stat Fcst</t>
        </is>
      </c>
      <c r="H789" t="n">
        <v>1160</v>
      </c>
      <c r="I789" t="n">
        <v>1162</v>
      </c>
      <c r="J789" t="n">
        <v>1160</v>
      </c>
      <c r="K789" t="n">
        <v>1161</v>
      </c>
      <c r="L789" t="n">
        <v>1160</v>
      </c>
      <c r="M789" t="n">
        <v>1161</v>
      </c>
      <c r="N789" t="n">
        <v>1162</v>
      </c>
      <c r="O789" t="n">
        <v>1161</v>
      </c>
      <c r="P789" t="n">
        <v>1162</v>
      </c>
    </row>
    <row r="790">
      <c r="A790" t="inlineStr">
        <is>
          <t>CurrentWorkingView</t>
        </is>
      </c>
      <c r="B790" s="1" t="n">
        <v>4064941147091</v>
      </c>
      <c r="C790" t="inlineStr">
        <is>
          <t>P_US_ULTA</t>
        </is>
      </c>
      <c r="D790" t="inlineStr">
        <is>
          <t>System BestFit Final</t>
        </is>
      </c>
      <c r="E790" t="inlineStr">
        <is>
          <t>ST</t>
        </is>
      </c>
      <c r="F790" t="inlineStr">
        <is>
          <t>ST</t>
        </is>
      </c>
      <c r="G790" t="inlineStr">
        <is>
          <t>ST</t>
        </is>
      </c>
      <c r="H790" t="inlineStr">
        <is>
          <t>ST</t>
        </is>
      </c>
      <c r="I790" t="inlineStr">
        <is>
          <t>ST</t>
        </is>
      </c>
      <c r="J790" t="inlineStr">
        <is>
          <t>ST</t>
        </is>
      </c>
      <c r="K790" t="inlineStr">
        <is>
          <t>ST</t>
        </is>
      </c>
      <c r="L790" t="inlineStr">
        <is>
          <t>ST</t>
        </is>
      </c>
      <c r="M790" t="inlineStr">
        <is>
          <t>ST</t>
        </is>
      </c>
      <c r="N790" t="inlineStr">
        <is>
          <t>ST</t>
        </is>
      </c>
      <c r="O790" t="inlineStr">
        <is>
          <t>ST</t>
        </is>
      </c>
      <c r="P790" t="inlineStr">
        <is>
          <t>ST</t>
        </is>
      </c>
    </row>
    <row r="791">
      <c r="A791" t="inlineStr">
        <is>
          <t>CurrentWorkingView</t>
        </is>
      </c>
      <c r="B791" s="1" t="n">
        <v>4064941147091</v>
      </c>
      <c r="C791" t="inlineStr">
        <is>
          <t>P_US_ULTA</t>
        </is>
      </c>
      <c r="D791" t="inlineStr">
        <is>
          <t>System Bestfit Model ST</t>
        </is>
      </c>
      <c r="E791" t="inlineStr">
        <is>
          <t>ST</t>
        </is>
      </c>
      <c r="F791" t="inlineStr">
        <is>
          <t>ST</t>
        </is>
      </c>
      <c r="G791" t="inlineStr">
        <is>
          <t>ST</t>
        </is>
      </c>
      <c r="H791" t="inlineStr">
        <is>
          <t>ST</t>
        </is>
      </c>
      <c r="I791" t="inlineStr">
        <is>
          <t>ST</t>
        </is>
      </c>
      <c r="J791" t="inlineStr">
        <is>
          <t>ST</t>
        </is>
      </c>
      <c r="K791" t="inlineStr">
        <is>
          <t>ST</t>
        </is>
      </c>
      <c r="L791" t="inlineStr">
        <is>
          <t>ST</t>
        </is>
      </c>
      <c r="M791" t="inlineStr">
        <is>
          <t>ST</t>
        </is>
      </c>
      <c r="N791" t="inlineStr">
        <is>
          <t>ST</t>
        </is>
      </c>
      <c r="O791" t="inlineStr">
        <is>
          <t>ST</t>
        </is>
      </c>
      <c r="P791" t="inlineStr">
        <is>
          <t>ST</t>
        </is>
      </c>
    </row>
    <row r="792">
      <c r="A792" t="inlineStr">
        <is>
          <t>CurrentWorkingView</t>
        </is>
      </c>
      <c r="B792" s="1" t="n">
        <v>4064941147091</v>
      </c>
      <c r="C792" t="inlineStr">
        <is>
          <t>P_US_ULTA</t>
        </is>
      </c>
      <c r="D792" t="inlineStr">
        <is>
          <t>Planner BestFit Model</t>
        </is>
      </c>
      <c r="E792" t="inlineStr">
        <is>
          <t>ST</t>
        </is>
      </c>
      <c r="F792" t="inlineStr">
        <is>
          <t>ST</t>
        </is>
      </c>
      <c r="G792" t="inlineStr">
        <is>
          <t>ST</t>
        </is>
      </c>
      <c r="H792" t="inlineStr">
        <is>
          <t>ST</t>
        </is>
      </c>
      <c r="I792" t="inlineStr">
        <is>
          <t>ST</t>
        </is>
      </c>
      <c r="J792" t="inlineStr">
        <is>
          <t>ST</t>
        </is>
      </c>
      <c r="K792" t="inlineStr">
        <is>
          <t>ST</t>
        </is>
      </c>
      <c r="L792" t="inlineStr">
        <is>
          <t>ST</t>
        </is>
      </c>
      <c r="M792" t="inlineStr">
        <is>
          <t>ST</t>
        </is>
      </c>
      <c r="N792" t="inlineStr">
        <is>
          <t>ST</t>
        </is>
      </c>
      <c r="O792" t="inlineStr">
        <is>
          <t>ST</t>
        </is>
      </c>
      <c r="P792" t="inlineStr">
        <is>
          <t>ST</t>
        </is>
      </c>
    </row>
    <row r="793">
      <c r="A793" t="inlineStr">
        <is>
          <t>CurrentWorkingView</t>
        </is>
      </c>
      <c r="B793" s="1" t="n">
        <v>4064941147107</v>
      </c>
      <c r="C793" t="inlineStr">
        <is>
          <t>P_US_ALL_OTHERS</t>
        </is>
      </c>
      <c r="D793" t="inlineStr">
        <is>
          <t>System FC - Final</t>
        </is>
      </c>
      <c r="E793" t="n">
        <v>187</v>
      </c>
      <c r="F793" t="n">
        <v>157</v>
      </c>
      <c r="G793" t="n">
        <v>128</v>
      </c>
      <c r="H793" t="n">
        <v>159</v>
      </c>
      <c r="I793" t="n">
        <v>150</v>
      </c>
      <c r="J793" t="n">
        <v>146</v>
      </c>
      <c r="K793" t="n">
        <v>151</v>
      </c>
      <c r="L793" t="n">
        <v>148</v>
      </c>
      <c r="M793" t="n">
        <v>150</v>
      </c>
      <c r="N793" t="n">
        <v>150</v>
      </c>
      <c r="O793" t="n">
        <v>151</v>
      </c>
      <c r="P793" t="n">
        <v>150</v>
      </c>
    </row>
    <row r="794">
      <c r="A794" t="inlineStr">
        <is>
          <t>CurrentWorkingView</t>
        </is>
      </c>
      <c r="B794" s="1" t="n">
        <v>4064941147107</v>
      </c>
      <c r="C794" t="inlineStr">
        <is>
          <t>P_US_ALL_OTHERS</t>
        </is>
      </c>
      <c r="D794" t="inlineStr">
        <is>
          <t>CML Fcst</t>
        </is>
      </c>
      <c r="H794" t="n">
        <v>195</v>
      </c>
      <c r="I794" t="n">
        <v>124</v>
      </c>
      <c r="J794" t="n">
        <v>124</v>
      </c>
      <c r="K794" t="n">
        <v>168</v>
      </c>
      <c r="L794" t="n">
        <v>252</v>
      </c>
      <c r="M794" t="n">
        <v>137</v>
      </c>
      <c r="N794" t="n">
        <v>189</v>
      </c>
      <c r="O794" t="n">
        <v>159</v>
      </c>
      <c r="P794" t="n">
        <v>108</v>
      </c>
    </row>
    <row r="795">
      <c r="A795" t="inlineStr">
        <is>
          <t>CurrentWorkingView</t>
        </is>
      </c>
      <c r="B795" s="1" t="n">
        <v>4064941147107</v>
      </c>
      <c r="C795" t="inlineStr">
        <is>
          <t>P_US_ALL_OTHERS</t>
        </is>
      </c>
      <c r="D795" t="inlineStr">
        <is>
          <t>ST Stat Fcst</t>
        </is>
      </c>
      <c r="E795" t="n">
        <v>187</v>
      </c>
      <c r="F795" t="n">
        <v>157</v>
      </c>
      <c r="G795" t="n">
        <v>108</v>
      </c>
      <c r="H795" t="n">
        <v>159</v>
      </c>
      <c r="I795" t="n">
        <v>150</v>
      </c>
      <c r="J795" t="n">
        <v>146</v>
      </c>
      <c r="K795" t="n">
        <v>151</v>
      </c>
      <c r="L795" t="n">
        <v>148</v>
      </c>
      <c r="M795" t="n">
        <v>150</v>
      </c>
      <c r="N795" t="n">
        <v>150</v>
      </c>
      <c r="O795" t="n">
        <v>151</v>
      </c>
      <c r="P795" t="n">
        <v>150</v>
      </c>
    </row>
    <row r="796">
      <c r="A796" t="inlineStr">
        <is>
          <t>CurrentWorkingView</t>
        </is>
      </c>
      <c r="B796" s="1" t="n">
        <v>4064941147107</v>
      </c>
      <c r="C796" t="inlineStr">
        <is>
          <t>P_US_ALL_OTHERS</t>
        </is>
      </c>
      <c r="D796" t="inlineStr">
        <is>
          <t>LT Stat Fcst</t>
        </is>
      </c>
      <c r="H796" t="n">
        <v>111</v>
      </c>
      <c r="I796" t="n">
        <v>112</v>
      </c>
      <c r="J796" t="n">
        <v>111</v>
      </c>
      <c r="K796" t="n">
        <v>111</v>
      </c>
      <c r="L796" t="n">
        <v>112</v>
      </c>
      <c r="M796" t="n">
        <v>111</v>
      </c>
      <c r="N796" t="n">
        <v>112</v>
      </c>
      <c r="O796" t="n">
        <v>111</v>
      </c>
      <c r="P796" t="n">
        <v>112</v>
      </c>
    </row>
    <row r="797">
      <c r="A797" t="inlineStr">
        <is>
          <t>CurrentWorkingView</t>
        </is>
      </c>
      <c r="B797" s="1" t="n">
        <v>4064941147107</v>
      </c>
      <c r="C797" t="inlineStr">
        <is>
          <t>P_US_ALL_OTHERS</t>
        </is>
      </c>
      <c r="D797" t="inlineStr">
        <is>
          <t>System BestFit Final</t>
        </is>
      </c>
      <c r="E797" t="inlineStr">
        <is>
          <t>ST</t>
        </is>
      </c>
      <c r="F797" t="inlineStr">
        <is>
          <t>ST</t>
        </is>
      </c>
      <c r="G797" t="inlineStr">
        <is>
          <t>ST</t>
        </is>
      </c>
      <c r="H797" t="inlineStr">
        <is>
          <t>ST</t>
        </is>
      </c>
      <c r="I797" t="inlineStr">
        <is>
          <t>ST</t>
        </is>
      </c>
      <c r="J797" t="inlineStr">
        <is>
          <t>ST</t>
        </is>
      </c>
      <c r="K797" t="inlineStr">
        <is>
          <t>ST</t>
        </is>
      </c>
      <c r="L797" t="inlineStr">
        <is>
          <t>ST</t>
        </is>
      </c>
      <c r="M797" t="inlineStr">
        <is>
          <t>ST</t>
        </is>
      </c>
      <c r="N797" t="inlineStr">
        <is>
          <t>ST</t>
        </is>
      </c>
      <c r="O797" t="inlineStr">
        <is>
          <t>ST</t>
        </is>
      </c>
      <c r="P797" t="inlineStr">
        <is>
          <t>ST</t>
        </is>
      </c>
    </row>
    <row r="798">
      <c r="A798" t="inlineStr">
        <is>
          <t>CurrentWorkingView</t>
        </is>
      </c>
      <c r="B798" s="1" t="n">
        <v>4064941147107</v>
      </c>
      <c r="C798" t="inlineStr">
        <is>
          <t>P_US_ALL_OTHERS</t>
        </is>
      </c>
      <c r="D798" t="inlineStr">
        <is>
          <t>System Bestfit Model ST</t>
        </is>
      </c>
      <c r="E798" t="inlineStr">
        <is>
          <t>ST</t>
        </is>
      </c>
      <c r="F798" t="inlineStr">
        <is>
          <t>ST</t>
        </is>
      </c>
      <c r="G798" t="inlineStr">
        <is>
          <t>ST</t>
        </is>
      </c>
      <c r="H798" t="inlineStr">
        <is>
          <t>ST</t>
        </is>
      </c>
      <c r="I798" t="inlineStr">
        <is>
          <t>ST</t>
        </is>
      </c>
      <c r="J798" t="inlineStr">
        <is>
          <t>ST</t>
        </is>
      </c>
      <c r="K798" t="inlineStr">
        <is>
          <t>ST</t>
        </is>
      </c>
      <c r="L798" t="inlineStr">
        <is>
          <t>ST</t>
        </is>
      </c>
      <c r="M798" t="inlineStr">
        <is>
          <t>ST</t>
        </is>
      </c>
      <c r="N798" t="inlineStr">
        <is>
          <t>ST</t>
        </is>
      </c>
      <c r="O798" t="inlineStr">
        <is>
          <t>ST</t>
        </is>
      </c>
      <c r="P798" t="inlineStr">
        <is>
          <t>ST</t>
        </is>
      </c>
    </row>
    <row r="799">
      <c r="A799" t="inlineStr">
        <is>
          <t>CurrentWorkingView</t>
        </is>
      </c>
      <c r="B799" s="1" t="n">
        <v>4064941147107</v>
      </c>
      <c r="C799" t="inlineStr">
        <is>
          <t>P_US_ALL_OTHERS</t>
        </is>
      </c>
      <c r="D799" t="inlineStr">
        <is>
          <t>Planner BestFit Model</t>
        </is>
      </c>
      <c r="E799" t="inlineStr">
        <is>
          <t>ST</t>
        </is>
      </c>
      <c r="F799" t="inlineStr">
        <is>
          <t>ST</t>
        </is>
      </c>
      <c r="G799" t="inlineStr">
        <is>
          <t>ST</t>
        </is>
      </c>
      <c r="H799" t="inlineStr">
        <is>
          <t>ST</t>
        </is>
      </c>
      <c r="I799" t="inlineStr">
        <is>
          <t>ST</t>
        </is>
      </c>
      <c r="J799" t="inlineStr">
        <is>
          <t>ST</t>
        </is>
      </c>
      <c r="K799" t="inlineStr">
        <is>
          <t>ST</t>
        </is>
      </c>
      <c r="L799" t="inlineStr">
        <is>
          <t>ST</t>
        </is>
      </c>
      <c r="M799" t="inlineStr">
        <is>
          <t>ST</t>
        </is>
      </c>
      <c r="N799" t="inlineStr">
        <is>
          <t>ST</t>
        </is>
      </c>
      <c r="O799" t="inlineStr">
        <is>
          <t>ST</t>
        </is>
      </c>
      <c r="P799" t="inlineStr">
        <is>
          <t>ST</t>
        </is>
      </c>
    </row>
    <row r="800">
      <c r="A800" t="inlineStr">
        <is>
          <t>CurrentWorkingView</t>
        </is>
      </c>
      <c r="B800" s="1" t="n">
        <v>4064941147107</v>
      </c>
      <c r="C800" t="inlineStr">
        <is>
          <t>P_US_ULTA</t>
        </is>
      </c>
      <c r="D800" t="inlineStr">
        <is>
          <t>System FC - Final</t>
        </is>
      </c>
      <c r="E800" t="n">
        <v>1440</v>
      </c>
      <c r="F800" t="n">
        <v>7848</v>
      </c>
      <c r="G800" t="n">
        <v>5571</v>
      </c>
      <c r="H800" t="n">
        <v>1674</v>
      </c>
      <c r="I800" t="n">
        <v>1676</v>
      </c>
      <c r="J800" t="n">
        <v>1674</v>
      </c>
      <c r="K800" t="n">
        <v>1674</v>
      </c>
      <c r="L800" t="n">
        <v>1676</v>
      </c>
      <c r="M800" t="n">
        <v>1674</v>
      </c>
      <c r="N800" t="n">
        <v>1675</v>
      </c>
      <c r="O800" t="n">
        <v>1674</v>
      </c>
      <c r="P800" t="n">
        <v>1676</v>
      </c>
    </row>
    <row r="801">
      <c r="A801" t="inlineStr">
        <is>
          <t>CurrentWorkingView</t>
        </is>
      </c>
      <c r="B801" s="1" t="n">
        <v>4064941147107</v>
      </c>
      <c r="C801" t="inlineStr">
        <is>
          <t>P_US_ULTA</t>
        </is>
      </c>
      <c r="D801" t="inlineStr">
        <is>
          <t>CML Fcst</t>
        </is>
      </c>
      <c r="H801" t="n">
        <v>2024</v>
      </c>
      <c r="I801" t="n">
        <v>2512</v>
      </c>
      <c r="J801" t="n">
        <v>1793</v>
      </c>
      <c r="K801" t="n">
        <v>1227</v>
      </c>
      <c r="L801" t="n">
        <v>1712</v>
      </c>
      <c r="M801" t="n">
        <v>1311</v>
      </c>
      <c r="N801" t="n">
        <v>1320</v>
      </c>
      <c r="O801" t="n">
        <v>2595</v>
      </c>
      <c r="P801" t="n">
        <v>1423</v>
      </c>
    </row>
    <row r="802">
      <c r="A802" t="inlineStr">
        <is>
          <t>CurrentWorkingView</t>
        </is>
      </c>
      <c r="B802" s="1" t="n">
        <v>4064941147107</v>
      </c>
      <c r="C802" t="inlineStr">
        <is>
          <t>P_US_ULTA</t>
        </is>
      </c>
      <c r="D802" t="inlineStr">
        <is>
          <t>ST Stat Fcst</t>
        </is>
      </c>
      <c r="E802" t="n">
        <v>1440</v>
      </c>
      <c r="F802" t="n">
        <v>7848</v>
      </c>
      <c r="G802" t="n">
        <v>5349</v>
      </c>
      <c r="H802" t="n">
        <v>1674</v>
      </c>
      <c r="I802" t="n">
        <v>1676</v>
      </c>
      <c r="J802" t="n">
        <v>1674</v>
      </c>
      <c r="K802" t="n">
        <v>1674</v>
      </c>
      <c r="L802" t="n">
        <v>1676</v>
      </c>
      <c r="M802" t="n">
        <v>1674</v>
      </c>
      <c r="N802" t="n">
        <v>1675</v>
      </c>
      <c r="O802" t="n">
        <v>1674</v>
      </c>
      <c r="P802" t="n">
        <v>1676</v>
      </c>
    </row>
    <row r="803">
      <c r="A803" t="inlineStr">
        <is>
          <t>CurrentWorkingView</t>
        </is>
      </c>
      <c r="B803" s="1" t="n">
        <v>4064941147107</v>
      </c>
      <c r="C803" t="inlineStr">
        <is>
          <t>P_US_ULTA</t>
        </is>
      </c>
      <c r="D803" t="inlineStr">
        <is>
          <t>LT Stat Fcst</t>
        </is>
      </c>
      <c r="H803" t="n">
        <v>1612</v>
      </c>
      <c r="I803" t="n">
        <v>1612</v>
      </c>
      <c r="J803" t="n">
        <v>1612</v>
      </c>
      <c r="K803" t="n">
        <v>1612</v>
      </c>
      <c r="L803" t="n">
        <v>1612</v>
      </c>
      <c r="M803" t="n">
        <v>1612</v>
      </c>
      <c r="N803" t="n">
        <v>1611</v>
      </c>
      <c r="O803" t="n">
        <v>1612</v>
      </c>
      <c r="P803" t="n">
        <v>1611</v>
      </c>
    </row>
    <row r="804">
      <c r="A804" t="inlineStr">
        <is>
          <t>CurrentWorkingView</t>
        </is>
      </c>
      <c r="B804" s="1" t="n">
        <v>4064941147107</v>
      </c>
      <c r="C804" t="inlineStr">
        <is>
          <t>P_US_ULTA</t>
        </is>
      </c>
      <c r="D804" t="inlineStr">
        <is>
          <t>System BestFit Final</t>
        </is>
      </c>
      <c r="E804" t="inlineStr">
        <is>
          <t>ST</t>
        </is>
      </c>
      <c r="F804" t="inlineStr">
        <is>
          <t>ST</t>
        </is>
      </c>
      <c r="G804" t="inlineStr">
        <is>
          <t>ST</t>
        </is>
      </c>
      <c r="H804" t="inlineStr">
        <is>
          <t>ST</t>
        </is>
      </c>
      <c r="I804" t="inlineStr">
        <is>
          <t>ST</t>
        </is>
      </c>
      <c r="J804" t="inlineStr">
        <is>
          <t>ST</t>
        </is>
      </c>
      <c r="K804" t="inlineStr">
        <is>
          <t>ST</t>
        </is>
      </c>
      <c r="L804" t="inlineStr">
        <is>
          <t>ST</t>
        </is>
      </c>
      <c r="M804" t="inlineStr">
        <is>
          <t>ST</t>
        </is>
      </c>
      <c r="N804" t="inlineStr">
        <is>
          <t>ST</t>
        </is>
      </c>
      <c r="O804" t="inlineStr">
        <is>
          <t>ST</t>
        </is>
      </c>
      <c r="P804" t="inlineStr">
        <is>
          <t>ST</t>
        </is>
      </c>
    </row>
    <row r="805">
      <c r="A805" t="inlineStr">
        <is>
          <t>CurrentWorkingView</t>
        </is>
      </c>
      <c r="B805" s="1" t="n">
        <v>4064941147107</v>
      </c>
      <c r="C805" t="inlineStr">
        <is>
          <t>P_US_ULTA</t>
        </is>
      </c>
      <c r="D805" t="inlineStr">
        <is>
          <t>System Bestfit Model ST</t>
        </is>
      </c>
      <c r="E805" t="inlineStr">
        <is>
          <t>ST</t>
        </is>
      </c>
      <c r="F805" t="inlineStr">
        <is>
          <t>ST</t>
        </is>
      </c>
      <c r="G805" t="inlineStr">
        <is>
          <t>ST</t>
        </is>
      </c>
      <c r="H805" t="inlineStr">
        <is>
          <t>ST</t>
        </is>
      </c>
      <c r="I805" t="inlineStr">
        <is>
          <t>ST</t>
        </is>
      </c>
      <c r="J805" t="inlineStr">
        <is>
          <t>ST</t>
        </is>
      </c>
      <c r="K805" t="inlineStr">
        <is>
          <t>ST</t>
        </is>
      </c>
      <c r="L805" t="inlineStr">
        <is>
          <t>ST</t>
        </is>
      </c>
      <c r="M805" t="inlineStr">
        <is>
          <t>ST</t>
        </is>
      </c>
      <c r="N805" t="inlineStr">
        <is>
          <t>ST</t>
        </is>
      </c>
      <c r="O805" t="inlineStr">
        <is>
          <t>ST</t>
        </is>
      </c>
      <c r="P805" t="inlineStr">
        <is>
          <t>ST</t>
        </is>
      </c>
    </row>
    <row r="806">
      <c r="A806" t="inlineStr">
        <is>
          <t>CurrentWorkingView</t>
        </is>
      </c>
      <c r="B806" s="1" t="n">
        <v>4064941147107</v>
      </c>
      <c r="C806" t="inlineStr">
        <is>
          <t>P_US_ULTA</t>
        </is>
      </c>
      <c r="D806" t="inlineStr">
        <is>
          <t>Planner BestFit Model</t>
        </is>
      </c>
      <c r="E806" t="inlineStr">
        <is>
          <t>ST</t>
        </is>
      </c>
      <c r="F806" t="inlineStr">
        <is>
          <t>ST</t>
        </is>
      </c>
      <c r="G806" t="inlineStr">
        <is>
          <t>ST</t>
        </is>
      </c>
      <c r="H806" t="inlineStr">
        <is>
          <t>ST</t>
        </is>
      </c>
      <c r="I806" t="inlineStr">
        <is>
          <t>ST</t>
        </is>
      </c>
      <c r="J806" t="inlineStr">
        <is>
          <t>ST</t>
        </is>
      </c>
      <c r="K806" t="inlineStr">
        <is>
          <t>ST</t>
        </is>
      </c>
      <c r="L806" t="inlineStr">
        <is>
          <t>ST</t>
        </is>
      </c>
      <c r="M806" t="inlineStr">
        <is>
          <t>ST</t>
        </is>
      </c>
      <c r="N806" t="inlineStr">
        <is>
          <t>ST</t>
        </is>
      </c>
      <c r="O806" t="inlineStr">
        <is>
          <t>ST</t>
        </is>
      </c>
      <c r="P806" t="inlineStr">
        <is>
          <t>ST</t>
        </is>
      </c>
    </row>
    <row r="807">
      <c r="A807" t="inlineStr">
        <is>
          <t>CurrentWorkingView</t>
        </is>
      </c>
      <c r="B807" s="1" t="n">
        <v>4064941147114</v>
      </c>
      <c r="C807" t="inlineStr">
        <is>
          <t>P_US_ALL_OTHERS</t>
        </is>
      </c>
      <c r="D807" t="inlineStr">
        <is>
          <t>System FC - Final</t>
        </is>
      </c>
      <c r="E807" t="n">
        <v>511</v>
      </c>
      <c r="F807" t="n">
        <v>333</v>
      </c>
      <c r="G807" t="n">
        <v>255</v>
      </c>
      <c r="H807" t="n">
        <v>377</v>
      </c>
      <c r="I807" t="n">
        <v>329</v>
      </c>
      <c r="J807" t="n">
        <v>332</v>
      </c>
      <c r="K807" t="n">
        <v>345</v>
      </c>
      <c r="L807" t="n">
        <v>336</v>
      </c>
      <c r="M807" t="n">
        <v>337</v>
      </c>
      <c r="N807" t="n">
        <v>339</v>
      </c>
      <c r="O807" t="n">
        <v>337</v>
      </c>
      <c r="P807" t="n">
        <v>339</v>
      </c>
    </row>
    <row r="808">
      <c r="A808" t="inlineStr">
        <is>
          <t>CurrentWorkingView</t>
        </is>
      </c>
      <c r="B808" s="1" t="n">
        <v>4064941147114</v>
      </c>
      <c r="C808" t="inlineStr">
        <is>
          <t>P_US_ALL_OTHERS</t>
        </is>
      </c>
      <c r="D808" t="inlineStr">
        <is>
          <t>CML Fcst</t>
        </is>
      </c>
      <c r="H808" t="n">
        <v>209</v>
      </c>
      <c r="I808" t="n">
        <v>296</v>
      </c>
      <c r="J808" t="n">
        <v>251</v>
      </c>
      <c r="K808" t="n">
        <v>310</v>
      </c>
      <c r="L808" t="n">
        <v>500</v>
      </c>
      <c r="M808" t="n">
        <v>288</v>
      </c>
      <c r="N808" t="n">
        <v>347</v>
      </c>
      <c r="O808" t="n">
        <v>554</v>
      </c>
      <c r="P808" t="n">
        <v>223</v>
      </c>
    </row>
    <row r="809">
      <c r="A809" t="inlineStr">
        <is>
          <t>CurrentWorkingView</t>
        </is>
      </c>
      <c r="B809" s="1" t="n">
        <v>4064941147114</v>
      </c>
      <c r="C809" t="inlineStr">
        <is>
          <t>P_US_ALL_OTHERS</t>
        </is>
      </c>
      <c r="D809" t="inlineStr">
        <is>
          <t>ST Stat Fcst</t>
        </is>
      </c>
      <c r="E809" t="n">
        <v>511</v>
      </c>
      <c r="F809" t="n">
        <v>333</v>
      </c>
      <c r="G809" t="n">
        <v>208</v>
      </c>
      <c r="H809" t="n">
        <v>377</v>
      </c>
      <c r="I809" t="n">
        <v>330</v>
      </c>
      <c r="J809" t="n">
        <v>332</v>
      </c>
      <c r="K809" t="n">
        <v>345</v>
      </c>
      <c r="L809" t="n">
        <v>336</v>
      </c>
      <c r="M809" t="n">
        <v>337</v>
      </c>
      <c r="N809" t="n">
        <v>339</v>
      </c>
      <c r="O809" t="n">
        <v>337</v>
      </c>
      <c r="P809" t="n">
        <v>339</v>
      </c>
    </row>
    <row r="810">
      <c r="A810" t="inlineStr">
        <is>
          <t>CurrentWorkingView</t>
        </is>
      </c>
      <c r="B810" s="1" t="n">
        <v>4064941147114</v>
      </c>
      <c r="C810" t="inlineStr">
        <is>
          <t>P_US_ALL_OTHERS</t>
        </is>
      </c>
      <c r="D810" t="inlineStr">
        <is>
          <t>LT Stat Fcst</t>
        </is>
      </c>
      <c r="H810" t="n">
        <v>243</v>
      </c>
      <c r="I810" t="n">
        <v>244</v>
      </c>
      <c r="J810" t="n">
        <v>243</v>
      </c>
      <c r="K810" t="n">
        <v>244</v>
      </c>
      <c r="L810" t="n">
        <v>244</v>
      </c>
      <c r="M810" t="n">
        <v>244</v>
      </c>
      <c r="N810" t="n">
        <v>243</v>
      </c>
      <c r="O810" t="n">
        <v>243</v>
      </c>
      <c r="P810" t="n">
        <v>244</v>
      </c>
    </row>
    <row r="811">
      <c r="A811" t="inlineStr">
        <is>
          <t>CurrentWorkingView</t>
        </is>
      </c>
      <c r="B811" s="1" t="n">
        <v>4064941147114</v>
      </c>
      <c r="C811" t="inlineStr">
        <is>
          <t>P_US_ALL_OTHERS</t>
        </is>
      </c>
      <c r="D811" t="inlineStr">
        <is>
          <t>System BestFit Final</t>
        </is>
      </c>
      <c r="E811" t="inlineStr">
        <is>
          <t>ST</t>
        </is>
      </c>
      <c r="F811" t="inlineStr">
        <is>
          <t>ST</t>
        </is>
      </c>
      <c r="G811" t="inlineStr">
        <is>
          <t>ST</t>
        </is>
      </c>
      <c r="H811" t="inlineStr">
        <is>
          <t>ST</t>
        </is>
      </c>
      <c r="I811" t="inlineStr">
        <is>
          <t>ST</t>
        </is>
      </c>
      <c r="J811" t="inlineStr">
        <is>
          <t>ST</t>
        </is>
      </c>
      <c r="K811" t="inlineStr">
        <is>
          <t>ST</t>
        </is>
      </c>
      <c r="L811" t="inlineStr">
        <is>
          <t>ST</t>
        </is>
      </c>
      <c r="M811" t="inlineStr">
        <is>
          <t>ST</t>
        </is>
      </c>
      <c r="N811" t="inlineStr">
        <is>
          <t>ST</t>
        </is>
      </c>
      <c r="O811" t="inlineStr">
        <is>
          <t>ST</t>
        </is>
      </c>
      <c r="P811" t="inlineStr">
        <is>
          <t>ST</t>
        </is>
      </c>
    </row>
    <row r="812">
      <c r="A812" t="inlineStr">
        <is>
          <t>CurrentWorkingView</t>
        </is>
      </c>
      <c r="B812" s="1" t="n">
        <v>4064941147114</v>
      </c>
      <c r="C812" t="inlineStr">
        <is>
          <t>P_US_ALL_OTHERS</t>
        </is>
      </c>
      <c r="D812" t="inlineStr">
        <is>
          <t>System Bestfit Model ST</t>
        </is>
      </c>
      <c r="E812" t="inlineStr">
        <is>
          <t>ST</t>
        </is>
      </c>
      <c r="F812" t="inlineStr">
        <is>
          <t>ST</t>
        </is>
      </c>
      <c r="G812" t="inlineStr">
        <is>
          <t>ST</t>
        </is>
      </c>
      <c r="H812" t="inlineStr">
        <is>
          <t>ST</t>
        </is>
      </c>
      <c r="I812" t="inlineStr">
        <is>
          <t>ST</t>
        </is>
      </c>
      <c r="J812" t="inlineStr">
        <is>
          <t>ST</t>
        </is>
      </c>
      <c r="K812" t="inlineStr">
        <is>
          <t>ST</t>
        </is>
      </c>
      <c r="L812" t="inlineStr">
        <is>
          <t>ST</t>
        </is>
      </c>
      <c r="M812" t="inlineStr">
        <is>
          <t>ST</t>
        </is>
      </c>
      <c r="N812" t="inlineStr">
        <is>
          <t>ST</t>
        </is>
      </c>
      <c r="O812" t="inlineStr">
        <is>
          <t>ST</t>
        </is>
      </c>
      <c r="P812" t="inlineStr">
        <is>
          <t>ST</t>
        </is>
      </c>
    </row>
    <row r="813">
      <c r="A813" t="inlineStr">
        <is>
          <t>CurrentWorkingView</t>
        </is>
      </c>
      <c r="B813" s="1" t="n">
        <v>4064941147114</v>
      </c>
      <c r="C813" t="inlineStr">
        <is>
          <t>P_US_ALL_OTHERS</t>
        </is>
      </c>
      <c r="D813" t="inlineStr">
        <is>
          <t>Planner BestFit Model</t>
        </is>
      </c>
      <c r="E813" t="inlineStr">
        <is>
          <t>ST</t>
        </is>
      </c>
      <c r="F813" t="inlineStr">
        <is>
          <t>ST</t>
        </is>
      </c>
      <c r="G813" t="inlineStr">
        <is>
          <t>ST</t>
        </is>
      </c>
      <c r="H813" t="inlineStr">
        <is>
          <t>ST</t>
        </is>
      </c>
      <c r="I813" t="inlineStr">
        <is>
          <t>ST</t>
        </is>
      </c>
      <c r="J813" t="inlineStr">
        <is>
          <t>ST</t>
        </is>
      </c>
      <c r="K813" t="inlineStr">
        <is>
          <t>ST</t>
        </is>
      </c>
      <c r="L813" t="inlineStr">
        <is>
          <t>ST</t>
        </is>
      </c>
      <c r="M813" t="inlineStr">
        <is>
          <t>ST</t>
        </is>
      </c>
      <c r="N813" t="inlineStr">
        <is>
          <t>ST</t>
        </is>
      </c>
      <c r="O813" t="inlineStr">
        <is>
          <t>ST</t>
        </is>
      </c>
      <c r="P813" t="inlineStr">
        <is>
          <t>ST</t>
        </is>
      </c>
    </row>
    <row r="814">
      <c r="A814" t="inlineStr">
        <is>
          <t>CurrentWorkingView</t>
        </is>
      </c>
      <c r="B814" s="1" t="n">
        <v>4064941147114</v>
      </c>
      <c r="C814" t="inlineStr">
        <is>
          <t>P_US_ULTA</t>
        </is>
      </c>
      <c r="D814" t="inlineStr">
        <is>
          <t>System FC - Final</t>
        </is>
      </c>
      <c r="E814" t="n">
        <v>6408</v>
      </c>
      <c r="F814" t="n">
        <v>14832</v>
      </c>
      <c r="G814" t="n">
        <v>4983</v>
      </c>
      <c r="H814" t="n">
        <v>5372</v>
      </c>
      <c r="I814" t="n">
        <v>5532</v>
      </c>
      <c r="J814" t="n">
        <v>5611</v>
      </c>
      <c r="K814" t="n">
        <v>5655</v>
      </c>
      <c r="L814" t="n">
        <v>5672</v>
      </c>
      <c r="M814" t="n">
        <v>5682</v>
      </c>
      <c r="N814" t="n">
        <v>5688</v>
      </c>
      <c r="O814" t="n">
        <v>5691</v>
      </c>
      <c r="P814" t="n">
        <v>5692</v>
      </c>
    </row>
    <row r="815">
      <c r="A815" t="inlineStr">
        <is>
          <t>CurrentWorkingView</t>
        </is>
      </c>
      <c r="B815" s="1" t="n">
        <v>4064941147114</v>
      </c>
      <c r="C815" t="inlineStr">
        <is>
          <t>P_US_ULTA</t>
        </is>
      </c>
      <c r="D815" t="inlineStr">
        <is>
          <t>CML Fcst</t>
        </is>
      </c>
      <c r="H815" t="n">
        <v>2374</v>
      </c>
      <c r="I815" t="n">
        <v>4718</v>
      </c>
      <c r="J815" t="n">
        <v>6205</v>
      </c>
      <c r="K815" t="n">
        <v>7223</v>
      </c>
      <c r="L815" t="n">
        <v>6328</v>
      </c>
      <c r="M815" t="n">
        <v>6271</v>
      </c>
      <c r="N815" t="n">
        <v>4868</v>
      </c>
      <c r="O815" t="n">
        <v>6297</v>
      </c>
      <c r="P815" t="n">
        <v>4878</v>
      </c>
    </row>
    <row r="816">
      <c r="A816" t="inlineStr">
        <is>
          <t>CurrentWorkingView</t>
        </is>
      </c>
      <c r="B816" s="1" t="n">
        <v>4064941147114</v>
      </c>
      <c r="C816" t="inlineStr">
        <is>
          <t>P_US_ULTA</t>
        </is>
      </c>
      <c r="D816" t="inlineStr">
        <is>
          <t>ST Stat Fcst</t>
        </is>
      </c>
      <c r="E816" t="n">
        <v>6408</v>
      </c>
      <c r="F816" t="n">
        <v>14832</v>
      </c>
      <c r="G816" t="n">
        <v>4983</v>
      </c>
      <c r="H816" t="n">
        <v>5371</v>
      </c>
      <c r="I816" t="n">
        <v>5532</v>
      </c>
      <c r="J816" t="n">
        <v>5611</v>
      </c>
      <c r="K816" t="n">
        <v>5655</v>
      </c>
      <c r="L816" t="n">
        <v>5672</v>
      </c>
      <c r="M816" t="n">
        <v>5682</v>
      </c>
      <c r="N816" t="n">
        <v>5688</v>
      </c>
      <c r="O816" t="n">
        <v>5691</v>
      </c>
      <c r="P816" t="n">
        <v>5692</v>
      </c>
    </row>
    <row r="817">
      <c r="A817" t="inlineStr">
        <is>
          <t>CurrentWorkingView</t>
        </is>
      </c>
      <c r="B817" s="1" t="n">
        <v>4064941147114</v>
      </c>
      <c r="C817" t="inlineStr">
        <is>
          <t>P_US_ULTA</t>
        </is>
      </c>
      <c r="D817" t="inlineStr">
        <is>
          <t>LT Stat Fcst</t>
        </is>
      </c>
      <c r="H817" t="n">
        <v>4323</v>
      </c>
      <c r="I817" t="n">
        <v>4324</v>
      </c>
      <c r="J817" t="n">
        <v>4323</v>
      </c>
      <c r="K817" t="n">
        <v>4323</v>
      </c>
      <c r="L817" t="n">
        <v>4320</v>
      </c>
      <c r="M817" t="n">
        <v>4323</v>
      </c>
      <c r="N817" t="n">
        <v>4324</v>
      </c>
      <c r="O817" t="n">
        <v>4322</v>
      </c>
      <c r="P817" t="n">
        <v>4324</v>
      </c>
    </row>
    <row r="818">
      <c r="A818" t="inlineStr">
        <is>
          <t>CurrentWorkingView</t>
        </is>
      </c>
      <c r="B818" s="1" t="n">
        <v>4064941147114</v>
      </c>
      <c r="C818" t="inlineStr">
        <is>
          <t>P_US_ULTA</t>
        </is>
      </c>
      <c r="D818" t="inlineStr">
        <is>
          <t>System BestFit Final</t>
        </is>
      </c>
      <c r="E818" t="inlineStr">
        <is>
          <t>ST</t>
        </is>
      </c>
      <c r="F818" t="inlineStr">
        <is>
          <t>ST</t>
        </is>
      </c>
      <c r="G818" t="inlineStr">
        <is>
          <t>ST</t>
        </is>
      </c>
      <c r="H818" t="inlineStr">
        <is>
          <t>ST</t>
        </is>
      </c>
      <c r="I818" t="inlineStr">
        <is>
          <t>ST</t>
        </is>
      </c>
      <c r="J818" t="inlineStr">
        <is>
          <t>ST</t>
        </is>
      </c>
      <c r="K818" t="inlineStr">
        <is>
          <t>ST</t>
        </is>
      </c>
      <c r="L818" t="inlineStr">
        <is>
          <t>ST</t>
        </is>
      </c>
      <c r="M818" t="inlineStr">
        <is>
          <t>ST</t>
        </is>
      </c>
      <c r="N818" t="inlineStr">
        <is>
          <t>ST</t>
        </is>
      </c>
      <c r="O818" t="inlineStr">
        <is>
          <t>ST</t>
        </is>
      </c>
      <c r="P818" t="inlineStr">
        <is>
          <t>ST</t>
        </is>
      </c>
    </row>
    <row r="819">
      <c r="A819" t="inlineStr">
        <is>
          <t>CurrentWorkingView</t>
        </is>
      </c>
      <c r="B819" s="1" t="n">
        <v>4064941147114</v>
      </c>
      <c r="C819" t="inlineStr">
        <is>
          <t>P_US_ULTA</t>
        </is>
      </c>
      <c r="D819" t="inlineStr">
        <is>
          <t>System Bestfit Model ST</t>
        </is>
      </c>
      <c r="E819" t="inlineStr">
        <is>
          <t>ST</t>
        </is>
      </c>
      <c r="F819" t="inlineStr">
        <is>
          <t>ST</t>
        </is>
      </c>
      <c r="G819" t="inlineStr">
        <is>
          <t>ST</t>
        </is>
      </c>
      <c r="H819" t="inlineStr">
        <is>
          <t>ST</t>
        </is>
      </c>
      <c r="I819" t="inlineStr">
        <is>
          <t>ST</t>
        </is>
      </c>
      <c r="J819" t="inlineStr">
        <is>
          <t>ST</t>
        </is>
      </c>
      <c r="K819" t="inlineStr">
        <is>
          <t>ST</t>
        </is>
      </c>
      <c r="L819" t="inlineStr">
        <is>
          <t>ST</t>
        </is>
      </c>
      <c r="M819" t="inlineStr">
        <is>
          <t>ST</t>
        </is>
      </c>
      <c r="N819" t="inlineStr">
        <is>
          <t>ST</t>
        </is>
      </c>
      <c r="O819" t="inlineStr">
        <is>
          <t>ST</t>
        </is>
      </c>
      <c r="P819" t="inlineStr">
        <is>
          <t>ST</t>
        </is>
      </c>
    </row>
    <row r="820">
      <c r="A820" t="inlineStr">
        <is>
          <t>CurrentWorkingView</t>
        </is>
      </c>
      <c r="B820" s="1" t="n">
        <v>4064941147114</v>
      </c>
      <c r="C820" t="inlineStr">
        <is>
          <t>P_US_ULTA</t>
        </is>
      </c>
      <c r="D820" t="inlineStr">
        <is>
          <t>Planner BestFit Model</t>
        </is>
      </c>
      <c r="E820" t="inlineStr">
        <is>
          <t>ST</t>
        </is>
      </c>
      <c r="F820" t="inlineStr">
        <is>
          <t>ST</t>
        </is>
      </c>
      <c r="G820" t="inlineStr">
        <is>
          <t>ST</t>
        </is>
      </c>
      <c r="H820" t="inlineStr">
        <is>
          <t>ST</t>
        </is>
      </c>
      <c r="I820" t="inlineStr">
        <is>
          <t>ST</t>
        </is>
      </c>
      <c r="J820" t="inlineStr">
        <is>
          <t>ST</t>
        </is>
      </c>
      <c r="K820" t="inlineStr">
        <is>
          <t>ST</t>
        </is>
      </c>
      <c r="L820" t="inlineStr">
        <is>
          <t>ST</t>
        </is>
      </c>
      <c r="M820" t="inlineStr">
        <is>
          <t>ST</t>
        </is>
      </c>
      <c r="N820" t="inlineStr">
        <is>
          <t>ST</t>
        </is>
      </c>
      <c r="O820" t="inlineStr">
        <is>
          <t>ST</t>
        </is>
      </c>
      <c r="P820" t="inlineStr">
        <is>
          <t>ST</t>
        </is>
      </c>
    </row>
    <row r="821">
      <c r="A821" t="inlineStr">
        <is>
          <t>CurrentWorkingView</t>
        </is>
      </c>
      <c r="B821" s="1" t="n">
        <v>4064941147121</v>
      </c>
      <c r="C821" t="inlineStr">
        <is>
          <t>P_US_ALL_OTHERS</t>
        </is>
      </c>
      <c r="D821" t="inlineStr">
        <is>
          <t>System FC - Final</t>
        </is>
      </c>
      <c r="E821" t="n">
        <v>10</v>
      </c>
      <c r="F821" t="n">
        <v>29</v>
      </c>
      <c r="G821" t="n">
        <v>9</v>
      </c>
      <c r="H821" t="n">
        <v>17</v>
      </c>
      <c r="I821" t="n">
        <v>22</v>
      </c>
      <c r="J821" t="n">
        <v>18</v>
      </c>
      <c r="K821" t="n">
        <v>18</v>
      </c>
      <c r="L821" t="n">
        <v>20</v>
      </c>
      <c r="M821" t="n">
        <v>18</v>
      </c>
      <c r="N821" t="n">
        <v>21</v>
      </c>
      <c r="O821" t="n">
        <v>18</v>
      </c>
      <c r="P821" t="n">
        <v>21</v>
      </c>
    </row>
    <row r="822">
      <c r="A822" t="inlineStr">
        <is>
          <t>CurrentWorkingView</t>
        </is>
      </c>
      <c r="B822" s="1" t="n">
        <v>4064941147121</v>
      </c>
      <c r="C822" t="inlineStr">
        <is>
          <t>P_US_ALL_OTHERS</t>
        </is>
      </c>
      <c r="D822" t="inlineStr">
        <is>
          <t>CML Fcst</t>
        </is>
      </c>
      <c r="H822" t="n">
        <v>22</v>
      </c>
      <c r="I822" t="n">
        <v>30</v>
      </c>
      <c r="J822" t="n">
        <v>22</v>
      </c>
      <c r="K822" t="n">
        <v>18</v>
      </c>
      <c r="L822" t="n">
        <v>24</v>
      </c>
      <c r="M822" t="n">
        <v>18</v>
      </c>
      <c r="N822" t="n">
        <v>18</v>
      </c>
      <c r="O822" t="n">
        <v>22</v>
      </c>
      <c r="P822" t="n">
        <v>17</v>
      </c>
    </row>
    <row r="823">
      <c r="A823" t="inlineStr">
        <is>
          <t>CurrentWorkingView</t>
        </is>
      </c>
      <c r="B823" s="1" t="n">
        <v>4064941147121</v>
      </c>
      <c r="C823" t="inlineStr">
        <is>
          <t>P_US_ALL_OTHERS</t>
        </is>
      </c>
      <c r="D823" t="inlineStr">
        <is>
          <t>ST Stat Fcst</t>
        </is>
      </c>
      <c r="E823" t="n">
        <v>10</v>
      </c>
      <c r="F823" t="n">
        <v>29</v>
      </c>
      <c r="G823" t="n">
        <v>8</v>
      </c>
      <c r="H823" t="n">
        <v>18</v>
      </c>
      <c r="I823" t="n">
        <v>22</v>
      </c>
      <c r="J823" t="n">
        <v>18</v>
      </c>
      <c r="K823" t="n">
        <v>18</v>
      </c>
      <c r="L823" t="n">
        <v>20</v>
      </c>
      <c r="M823" t="n">
        <v>18</v>
      </c>
      <c r="N823" t="n">
        <v>21</v>
      </c>
      <c r="O823" t="n">
        <v>18</v>
      </c>
      <c r="P823" t="n">
        <v>21</v>
      </c>
    </row>
    <row r="824">
      <c r="A824" t="inlineStr">
        <is>
          <t>CurrentWorkingView</t>
        </is>
      </c>
      <c r="B824" s="1" t="n">
        <v>4064941147121</v>
      </c>
      <c r="C824" t="inlineStr">
        <is>
          <t>P_US_ALL_OTHERS</t>
        </is>
      </c>
      <c r="D824" t="inlineStr">
        <is>
          <t>LT Stat Fcst</t>
        </is>
      </c>
      <c r="H824" t="n">
        <v>9</v>
      </c>
      <c r="I824" t="n">
        <v>12</v>
      </c>
      <c r="J824" t="n">
        <v>9</v>
      </c>
      <c r="K824" t="n">
        <v>9</v>
      </c>
      <c r="L824" t="n">
        <v>12</v>
      </c>
      <c r="M824" t="n">
        <v>9</v>
      </c>
      <c r="N824" t="n">
        <v>12</v>
      </c>
      <c r="O824" t="n">
        <v>9</v>
      </c>
      <c r="P824" t="n">
        <v>12</v>
      </c>
    </row>
    <row r="825">
      <c r="A825" t="inlineStr">
        <is>
          <t>CurrentWorkingView</t>
        </is>
      </c>
      <c r="B825" s="1" t="n">
        <v>4064941147121</v>
      </c>
      <c r="C825" t="inlineStr">
        <is>
          <t>P_US_ALL_OTHERS</t>
        </is>
      </c>
      <c r="D825" t="inlineStr">
        <is>
          <t>System BestFit Final</t>
        </is>
      </c>
      <c r="E825" t="inlineStr">
        <is>
          <t>ST</t>
        </is>
      </c>
      <c r="F825" t="inlineStr">
        <is>
          <t>ST</t>
        </is>
      </c>
      <c r="G825" t="inlineStr">
        <is>
          <t>ST</t>
        </is>
      </c>
      <c r="H825" t="inlineStr">
        <is>
          <t>ST</t>
        </is>
      </c>
      <c r="I825" t="inlineStr">
        <is>
          <t>ST</t>
        </is>
      </c>
      <c r="J825" t="inlineStr">
        <is>
          <t>ST</t>
        </is>
      </c>
      <c r="K825" t="inlineStr">
        <is>
          <t>ST</t>
        </is>
      </c>
      <c r="L825" t="inlineStr">
        <is>
          <t>ST</t>
        </is>
      </c>
      <c r="M825" t="inlineStr">
        <is>
          <t>ST</t>
        </is>
      </c>
      <c r="N825" t="inlineStr">
        <is>
          <t>ST</t>
        </is>
      </c>
      <c r="O825" t="inlineStr">
        <is>
          <t>ST</t>
        </is>
      </c>
      <c r="P825" t="inlineStr">
        <is>
          <t>ST</t>
        </is>
      </c>
    </row>
    <row r="826">
      <c r="A826" t="inlineStr">
        <is>
          <t>CurrentWorkingView</t>
        </is>
      </c>
      <c r="B826" s="1" t="n">
        <v>4064941147121</v>
      </c>
      <c r="C826" t="inlineStr">
        <is>
          <t>P_US_ALL_OTHERS</t>
        </is>
      </c>
      <c r="D826" t="inlineStr">
        <is>
          <t>System Bestfit Model ST</t>
        </is>
      </c>
      <c r="E826" t="inlineStr">
        <is>
          <t>ST</t>
        </is>
      </c>
      <c r="F826" t="inlineStr">
        <is>
          <t>ST</t>
        </is>
      </c>
      <c r="G826" t="inlineStr">
        <is>
          <t>ST</t>
        </is>
      </c>
      <c r="H826" t="inlineStr">
        <is>
          <t>ST</t>
        </is>
      </c>
      <c r="I826" t="inlineStr">
        <is>
          <t>ST</t>
        </is>
      </c>
      <c r="J826" t="inlineStr">
        <is>
          <t>ST</t>
        </is>
      </c>
      <c r="K826" t="inlineStr">
        <is>
          <t>ST</t>
        </is>
      </c>
      <c r="L826" t="inlineStr">
        <is>
          <t>ST</t>
        </is>
      </c>
      <c r="M826" t="inlineStr">
        <is>
          <t>ST</t>
        </is>
      </c>
      <c r="N826" t="inlineStr">
        <is>
          <t>ST</t>
        </is>
      </c>
      <c r="O826" t="inlineStr">
        <is>
          <t>ST</t>
        </is>
      </c>
      <c r="P826" t="inlineStr">
        <is>
          <t>ST</t>
        </is>
      </c>
    </row>
    <row r="827">
      <c r="A827" t="inlineStr">
        <is>
          <t>CurrentWorkingView</t>
        </is>
      </c>
      <c r="B827" s="1" t="n">
        <v>4064941147121</v>
      </c>
      <c r="C827" t="inlineStr">
        <is>
          <t>P_US_ALL_OTHERS</t>
        </is>
      </c>
      <c r="D827" t="inlineStr">
        <is>
          <t>Planner BestFit Model</t>
        </is>
      </c>
    </row>
    <row r="828">
      <c r="A828" t="inlineStr">
        <is>
          <t>CurrentWorkingView</t>
        </is>
      </c>
      <c r="B828" s="1" t="n">
        <v>4064941147121</v>
      </c>
      <c r="C828" t="inlineStr">
        <is>
          <t>P_US_ULTA</t>
        </is>
      </c>
      <c r="D828" t="inlineStr">
        <is>
          <t>System FC - Final</t>
        </is>
      </c>
      <c r="E828" t="n">
        <v>288</v>
      </c>
      <c r="F828" t="n">
        <v>1584</v>
      </c>
      <c r="G828" t="n">
        <v>1226</v>
      </c>
      <c r="H828" t="n">
        <v>832</v>
      </c>
      <c r="I828" t="n">
        <v>1012</v>
      </c>
      <c r="J828" t="n">
        <v>823</v>
      </c>
      <c r="K828" t="n">
        <v>890</v>
      </c>
      <c r="L828" t="n">
        <v>908</v>
      </c>
      <c r="M828" t="n">
        <v>873</v>
      </c>
      <c r="N828" t="n">
        <v>891</v>
      </c>
      <c r="O828" t="n">
        <v>890</v>
      </c>
      <c r="P828" t="n">
        <v>887</v>
      </c>
    </row>
    <row r="829">
      <c r="A829" t="inlineStr">
        <is>
          <t>CurrentWorkingView</t>
        </is>
      </c>
      <c r="B829" s="1" t="n">
        <v>4064941147121</v>
      </c>
      <c r="C829" t="inlineStr">
        <is>
          <t>P_US_ULTA</t>
        </is>
      </c>
      <c r="D829" t="inlineStr">
        <is>
          <t>CML Fcst</t>
        </is>
      </c>
      <c r="H829" t="n">
        <v>1882</v>
      </c>
      <c r="I829" t="n">
        <v>1684</v>
      </c>
      <c r="J829" t="n">
        <v>2153</v>
      </c>
      <c r="K829" t="n">
        <v>1001</v>
      </c>
      <c r="L829" t="n">
        <v>1424</v>
      </c>
      <c r="M829" t="n">
        <v>1461</v>
      </c>
      <c r="N829" t="n">
        <v>660</v>
      </c>
      <c r="O829" t="n">
        <v>1107</v>
      </c>
      <c r="P829" t="n">
        <v>741</v>
      </c>
    </row>
    <row r="830">
      <c r="A830" t="inlineStr">
        <is>
          <t>CurrentWorkingView</t>
        </is>
      </c>
      <c r="B830" s="1" t="n">
        <v>4064941147121</v>
      </c>
      <c r="C830" t="inlineStr">
        <is>
          <t>P_US_ULTA</t>
        </is>
      </c>
      <c r="D830" t="inlineStr">
        <is>
          <t>ST Stat Fcst</t>
        </is>
      </c>
      <c r="E830" t="n">
        <v>288</v>
      </c>
      <c r="F830" t="n">
        <v>1584</v>
      </c>
      <c r="G830" t="n">
        <v>1202</v>
      </c>
      <c r="H830" t="n">
        <v>832</v>
      </c>
      <c r="I830" t="n">
        <v>1012</v>
      </c>
      <c r="J830" t="n">
        <v>823</v>
      </c>
      <c r="K830" t="n">
        <v>890</v>
      </c>
      <c r="L830" t="n">
        <v>908</v>
      </c>
      <c r="M830" t="n">
        <v>873</v>
      </c>
      <c r="N830" t="n">
        <v>891</v>
      </c>
      <c r="O830" t="n">
        <v>890</v>
      </c>
      <c r="P830" t="n">
        <v>887</v>
      </c>
    </row>
    <row r="831">
      <c r="A831" t="inlineStr">
        <is>
          <t>CurrentWorkingView</t>
        </is>
      </c>
      <c r="B831" s="1" t="n">
        <v>4064941147121</v>
      </c>
      <c r="C831" t="inlineStr">
        <is>
          <t>P_US_ULTA</t>
        </is>
      </c>
      <c r="D831" t="inlineStr">
        <is>
          <t>LT Stat Fcst</t>
        </is>
      </c>
      <c r="H831" t="n">
        <v>469</v>
      </c>
      <c r="I831" t="n">
        <v>472</v>
      </c>
      <c r="J831" t="n">
        <v>469</v>
      </c>
      <c r="K831" t="n">
        <v>470</v>
      </c>
      <c r="L831" t="n">
        <v>472</v>
      </c>
      <c r="M831" t="n">
        <v>470</v>
      </c>
      <c r="N831" t="n">
        <v>471</v>
      </c>
      <c r="O831" t="n">
        <v>470</v>
      </c>
      <c r="P831" t="n">
        <v>471</v>
      </c>
    </row>
    <row r="832">
      <c r="A832" t="inlineStr">
        <is>
          <t>CurrentWorkingView</t>
        </is>
      </c>
      <c r="B832" s="1" t="n">
        <v>4064941147121</v>
      </c>
      <c r="C832" t="inlineStr">
        <is>
          <t>P_US_ULTA</t>
        </is>
      </c>
      <c r="D832" t="inlineStr">
        <is>
          <t>System BestFit Final</t>
        </is>
      </c>
      <c r="E832" t="inlineStr">
        <is>
          <t>ST</t>
        </is>
      </c>
      <c r="F832" t="inlineStr">
        <is>
          <t>ST</t>
        </is>
      </c>
      <c r="G832" t="inlineStr">
        <is>
          <t>ST</t>
        </is>
      </c>
      <c r="H832" t="inlineStr">
        <is>
          <t>ST</t>
        </is>
      </c>
      <c r="I832" t="inlineStr">
        <is>
          <t>ST</t>
        </is>
      </c>
      <c r="J832" t="inlineStr">
        <is>
          <t>ST</t>
        </is>
      </c>
      <c r="K832" t="inlineStr">
        <is>
          <t>ST</t>
        </is>
      </c>
      <c r="L832" t="inlineStr">
        <is>
          <t>ST</t>
        </is>
      </c>
      <c r="M832" t="inlineStr">
        <is>
          <t>ST</t>
        </is>
      </c>
      <c r="N832" t="inlineStr">
        <is>
          <t>ST</t>
        </is>
      </c>
      <c r="O832" t="inlineStr">
        <is>
          <t>ST</t>
        </is>
      </c>
      <c r="P832" t="inlineStr">
        <is>
          <t>ST</t>
        </is>
      </c>
    </row>
    <row r="833">
      <c r="A833" t="inlineStr">
        <is>
          <t>CurrentWorkingView</t>
        </is>
      </c>
      <c r="B833" s="1" t="n">
        <v>4064941147121</v>
      </c>
      <c r="C833" t="inlineStr">
        <is>
          <t>P_US_ULTA</t>
        </is>
      </c>
      <c r="D833" t="inlineStr">
        <is>
          <t>System Bestfit Model ST</t>
        </is>
      </c>
      <c r="E833" t="inlineStr">
        <is>
          <t>ST</t>
        </is>
      </c>
      <c r="F833" t="inlineStr">
        <is>
          <t>ST</t>
        </is>
      </c>
      <c r="G833" t="inlineStr">
        <is>
          <t>ST</t>
        </is>
      </c>
      <c r="H833" t="inlineStr">
        <is>
          <t>ST</t>
        </is>
      </c>
      <c r="I833" t="inlineStr">
        <is>
          <t>ST</t>
        </is>
      </c>
      <c r="J833" t="inlineStr">
        <is>
          <t>ST</t>
        </is>
      </c>
      <c r="K833" t="inlineStr">
        <is>
          <t>ST</t>
        </is>
      </c>
      <c r="L833" t="inlineStr">
        <is>
          <t>ST</t>
        </is>
      </c>
      <c r="M833" t="inlineStr">
        <is>
          <t>ST</t>
        </is>
      </c>
      <c r="N833" t="inlineStr">
        <is>
          <t>ST</t>
        </is>
      </c>
      <c r="O833" t="inlineStr">
        <is>
          <t>ST</t>
        </is>
      </c>
      <c r="P833" t="inlineStr">
        <is>
          <t>ST</t>
        </is>
      </c>
    </row>
    <row r="834">
      <c r="A834" t="inlineStr">
        <is>
          <t>CurrentWorkingView</t>
        </is>
      </c>
      <c r="B834" s="1" t="n">
        <v>4064941147121</v>
      </c>
      <c r="C834" t="inlineStr">
        <is>
          <t>P_US_ULTA</t>
        </is>
      </c>
      <c r="D834" t="inlineStr">
        <is>
          <t>Planner BestFit Model</t>
        </is>
      </c>
      <c r="E834" t="inlineStr">
        <is>
          <t>ST</t>
        </is>
      </c>
      <c r="F834" t="inlineStr">
        <is>
          <t>ST</t>
        </is>
      </c>
      <c r="G834" t="inlineStr">
        <is>
          <t>ST</t>
        </is>
      </c>
      <c r="H834" t="inlineStr">
        <is>
          <t>ST</t>
        </is>
      </c>
      <c r="I834" t="inlineStr">
        <is>
          <t>ST</t>
        </is>
      </c>
      <c r="J834" t="inlineStr">
        <is>
          <t>ST</t>
        </is>
      </c>
      <c r="K834" t="inlineStr">
        <is>
          <t>ST</t>
        </is>
      </c>
      <c r="L834" t="inlineStr">
        <is>
          <t>ST</t>
        </is>
      </c>
      <c r="M834" t="inlineStr">
        <is>
          <t>ST</t>
        </is>
      </c>
      <c r="N834" t="inlineStr">
        <is>
          <t>ST</t>
        </is>
      </c>
      <c r="O834" t="inlineStr">
        <is>
          <t>ST</t>
        </is>
      </c>
      <c r="P834" t="inlineStr">
        <is>
          <t>ST</t>
        </is>
      </c>
    </row>
    <row r="835">
      <c r="A835" t="inlineStr">
        <is>
          <t>CurrentWorkingView</t>
        </is>
      </c>
      <c r="B835" s="1" t="n">
        <v>4064941147145</v>
      </c>
      <c r="C835" t="inlineStr">
        <is>
          <t>P_US_ALL_OTHERS</t>
        </is>
      </c>
      <c r="D835" t="inlineStr">
        <is>
          <t>System FC - Final</t>
        </is>
      </c>
      <c r="E835" t="n">
        <v>81</v>
      </c>
      <c r="F835" t="n">
        <v>127</v>
      </c>
      <c r="G835" t="n">
        <v>85</v>
      </c>
      <c r="H835" t="n">
        <v>99</v>
      </c>
      <c r="I835" t="n">
        <v>102</v>
      </c>
      <c r="J835" t="n">
        <v>93</v>
      </c>
      <c r="K835" t="n">
        <v>98</v>
      </c>
      <c r="L835" t="n">
        <v>100</v>
      </c>
      <c r="M835" t="n">
        <v>97</v>
      </c>
      <c r="N835" t="n">
        <v>98</v>
      </c>
      <c r="O835" t="n">
        <v>97</v>
      </c>
      <c r="P835" t="n">
        <v>99</v>
      </c>
    </row>
    <row r="836">
      <c r="A836" t="inlineStr">
        <is>
          <t>CurrentWorkingView</t>
        </is>
      </c>
      <c r="B836" s="1" t="n">
        <v>4064941147145</v>
      </c>
      <c r="C836" t="inlineStr">
        <is>
          <t>P_US_ALL_OTHERS</t>
        </is>
      </c>
      <c r="D836" t="inlineStr">
        <is>
          <t>CML Fcst</t>
        </is>
      </c>
      <c r="H836" t="n">
        <v>137</v>
      </c>
      <c r="I836" t="n">
        <v>132</v>
      </c>
      <c r="J836" t="n">
        <v>97</v>
      </c>
      <c r="K836" t="n">
        <v>97</v>
      </c>
      <c r="L836" t="n">
        <v>96</v>
      </c>
      <c r="M836" t="n">
        <v>115</v>
      </c>
      <c r="N836" t="n">
        <v>107</v>
      </c>
      <c r="O836" t="n">
        <v>111</v>
      </c>
      <c r="P836" t="n">
        <v>64</v>
      </c>
    </row>
    <row r="837">
      <c r="A837" t="inlineStr">
        <is>
          <t>CurrentWorkingView</t>
        </is>
      </c>
      <c r="B837" s="1" t="n">
        <v>4064941147145</v>
      </c>
      <c r="C837" t="inlineStr">
        <is>
          <t>P_US_ALL_OTHERS</t>
        </is>
      </c>
      <c r="D837" t="inlineStr">
        <is>
          <t>ST Stat Fcst</t>
        </is>
      </c>
      <c r="E837" t="n">
        <v>81</v>
      </c>
      <c r="F837" t="n">
        <v>127</v>
      </c>
      <c r="G837" t="n">
        <v>74</v>
      </c>
      <c r="H837" t="n">
        <v>98</v>
      </c>
      <c r="I837" t="n">
        <v>102</v>
      </c>
      <c r="J837" t="n">
        <v>93</v>
      </c>
      <c r="K837" t="n">
        <v>98</v>
      </c>
      <c r="L837" t="n">
        <v>100</v>
      </c>
      <c r="M837" t="n">
        <v>97</v>
      </c>
      <c r="N837" t="n">
        <v>98</v>
      </c>
      <c r="O837" t="n">
        <v>97</v>
      </c>
      <c r="P837" t="n">
        <v>99</v>
      </c>
    </row>
    <row r="838">
      <c r="A838" t="inlineStr">
        <is>
          <t>CurrentWorkingView</t>
        </is>
      </c>
      <c r="B838" s="1" t="n">
        <v>4064941147145</v>
      </c>
      <c r="C838" t="inlineStr">
        <is>
          <t>P_US_ALL_OTHERS</t>
        </is>
      </c>
      <c r="D838" t="inlineStr">
        <is>
          <t>LT Stat Fcst</t>
        </is>
      </c>
      <c r="H838" t="n">
        <v>66</v>
      </c>
      <c r="I838" t="n">
        <v>68</v>
      </c>
      <c r="J838" t="n">
        <v>66</v>
      </c>
      <c r="K838" t="n">
        <v>66</v>
      </c>
      <c r="L838" t="n">
        <v>64</v>
      </c>
      <c r="M838" t="n">
        <v>66</v>
      </c>
      <c r="N838" t="n">
        <v>68</v>
      </c>
      <c r="O838" t="n">
        <v>67</v>
      </c>
      <c r="P838" t="n">
        <v>68</v>
      </c>
    </row>
    <row r="839">
      <c r="A839" t="inlineStr">
        <is>
          <t>CurrentWorkingView</t>
        </is>
      </c>
      <c r="B839" s="1" t="n">
        <v>4064941147145</v>
      </c>
      <c r="C839" t="inlineStr">
        <is>
          <t>P_US_ALL_OTHERS</t>
        </is>
      </c>
      <c r="D839" t="inlineStr">
        <is>
          <t>System BestFit Final</t>
        </is>
      </c>
      <c r="E839" t="inlineStr">
        <is>
          <t>ST</t>
        </is>
      </c>
      <c r="F839" t="inlineStr">
        <is>
          <t>ST</t>
        </is>
      </c>
      <c r="G839" t="inlineStr">
        <is>
          <t>ST</t>
        </is>
      </c>
      <c r="H839" t="inlineStr">
        <is>
          <t>ST</t>
        </is>
      </c>
      <c r="I839" t="inlineStr">
        <is>
          <t>ST</t>
        </is>
      </c>
      <c r="J839" t="inlineStr">
        <is>
          <t>ST</t>
        </is>
      </c>
      <c r="K839" t="inlineStr">
        <is>
          <t>ST</t>
        </is>
      </c>
      <c r="L839" t="inlineStr">
        <is>
          <t>ST</t>
        </is>
      </c>
      <c r="M839" t="inlineStr">
        <is>
          <t>ST</t>
        </is>
      </c>
      <c r="N839" t="inlineStr">
        <is>
          <t>ST</t>
        </is>
      </c>
      <c r="O839" t="inlineStr">
        <is>
          <t>ST</t>
        </is>
      </c>
      <c r="P839" t="inlineStr">
        <is>
          <t>ST</t>
        </is>
      </c>
    </row>
    <row r="840">
      <c r="A840" t="inlineStr">
        <is>
          <t>CurrentWorkingView</t>
        </is>
      </c>
      <c r="B840" s="1" t="n">
        <v>4064941147145</v>
      </c>
      <c r="C840" t="inlineStr">
        <is>
          <t>P_US_ALL_OTHERS</t>
        </is>
      </c>
      <c r="D840" t="inlineStr">
        <is>
          <t>System Bestfit Model ST</t>
        </is>
      </c>
      <c r="E840" t="inlineStr">
        <is>
          <t>ST</t>
        </is>
      </c>
      <c r="F840" t="inlineStr">
        <is>
          <t>ST</t>
        </is>
      </c>
      <c r="G840" t="inlineStr">
        <is>
          <t>ST</t>
        </is>
      </c>
      <c r="H840" t="inlineStr">
        <is>
          <t>ST</t>
        </is>
      </c>
      <c r="I840" t="inlineStr">
        <is>
          <t>ST</t>
        </is>
      </c>
      <c r="J840" t="inlineStr">
        <is>
          <t>ST</t>
        </is>
      </c>
      <c r="K840" t="inlineStr">
        <is>
          <t>ST</t>
        </is>
      </c>
      <c r="L840" t="inlineStr">
        <is>
          <t>ST</t>
        </is>
      </c>
      <c r="M840" t="inlineStr">
        <is>
          <t>ST</t>
        </is>
      </c>
      <c r="N840" t="inlineStr">
        <is>
          <t>ST</t>
        </is>
      </c>
      <c r="O840" t="inlineStr">
        <is>
          <t>ST</t>
        </is>
      </c>
      <c r="P840" t="inlineStr">
        <is>
          <t>ST</t>
        </is>
      </c>
    </row>
    <row r="841">
      <c r="A841" t="inlineStr">
        <is>
          <t>CurrentWorkingView</t>
        </is>
      </c>
      <c r="B841" s="1" t="n">
        <v>4064941147145</v>
      </c>
      <c r="C841" t="inlineStr">
        <is>
          <t>P_US_ALL_OTHERS</t>
        </is>
      </c>
      <c r="D841" t="inlineStr">
        <is>
          <t>Planner BestFit Model</t>
        </is>
      </c>
      <c r="E841" t="inlineStr">
        <is>
          <t>ST</t>
        </is>
      </c>
      <c r="F841" t="inlineStr">
        <is>
          <t>ST</t>
        </is>
      </c>
      <c r="G841" t="inlineStr">
        <is>
          <t>ST</t>
        </is>
      </c>
      <c r="H841" t="inlineStr">
        <is>
          <t>ST</t>
        </is>
      </c>
      <c r="I841" t="inlineStr">
        <is>
          <t>ST</t>
        </is>
      </c>
      <c r="J841" t="inlineStr">
        <is>
          <t>ST</t>
        </is>
      </c>
      <c r="K841" t="inlineStr">
        <is>
          <t>ST</t>
        </is>
      </c>
      <c r="L841" t="inlineStr">
        <is>
          <t>ST</t>
        </is>
      </c>
      <c r="M841" t="inlineStr">
        <is>
          <t>ST</t>
        </is>
      </c>
      <c r="N841" t="inlineStr">
        <is>
          <t>ST</t>
        </is>
      </c>
      <c r="O841" t="inlineStr">
        <is>
          <t>ST</t>
        </is>
      </c>
      <c r="P841" t="inlineStr">
        <is>
          <t>ST</t>
        </is>
      </c>
    </row>
    <row r="842">
      <c r="A842" t="inlineStr">
        <is>
          <t>CurrentWorkingView</t>
        </is>
      </c>
      <c r="B842" s="1" t="n">
        <v>4064941147145</v>
      </c>
      <c r="C842" t="inlineStr">
        <is>
          <t>P_US_ULTA</t>
        </is>
      </c>
      <c r="D842" t="inlineStr">
        <is>
          <t>System FC - Final</t>
        </is>
      </c>
      <c r="E842" t="n">
        <v>864</v>
      </c>
      <c r="F842" t="n">
        <v>4176</v>
      </c>
      <c r="G842" t="n">
        <v>2934</v>
      </c>
      <c r="H842" t="n">
        <v>1416</v>
      </c>
      <c r="I842" t="n">
        <v>1482</v>
      </c>
      <c r="J842" t="n">
        <v>1519</v>
      </c>
      <c r="K842" t="n">
        <v>1532</v>
      </c>
      <c r="L842" t="n">
        <v>1544</v>
      </c>
      <c r="M842" t="n">
        <v>1546</v>
      </c>
      <c r="N842" t="n">
        <v>1548</v>
      </c>
      <c r="O842" t="n">
        <v>1550</v>
      </c>
      <c r="P842" t="n">
        <v>1551</v>
      </c>
    </row>
    <row r="843">
      <c r="A843" t="inlineStr">
        <is>
          <t>CurrentWorkingView</t>
        </is>
      </c>
      <c r="B843" s="1" t="n">
        <v>4064941147145</v>
      </c>
      <c r="C843" t="inlineStr">
        <is>
          <t>P_US_ULTA</t>
        </is>
      </c>
      <c r="D843" t="inlineStr">
        <is>
          <t>CML Fcst</t>
        </is>
      </c>
      <c r="H843" t="n">
        <v>386</v>
      </c>
      <c r="I843" t="n">
        <v>2044</v>
      </c>
      <c r="J843" t="n">
        <v>1758</v>
      </c>
      <c r="K843" t="n">
        <v>62</v>
      </c>
      <c r="L843" t="n">
        <v>1268</v>
      </c>
      <c r="M843" t="n">
        <v>1807</v>
      </c>
      <c r="N843" t="n">
        <v>1590</v>
      </c>
      <c r="O843" t="n">
        <v>2250</v>
      </c>
      <c r="P843" t="n">
        <v>1500</v>
      </c>
    </row>
    <row r="844">
      <c r="A844" t="inlineStr">
        <is>
          <t>CurrentWorkingView</t>
        </is>
      </c>
      <c r="B844" s="1" t="n">
        <v>4064941147145</v>
      </c>
      <c r="C844" t="inlineStr">
        <is>
          <t>P_US_ULTA</t>
        </is>
      </c>
      <c r="D844" t="inlineStr">
        <is>
          <t>ST Stat Fcst</t>
        </is>
      </c>
      <c r="E844" t="n">
        <v>864</v>
      </c>
      <c r="F844" t="n">
        <v>4176</v>
      </c>
      <c r="G844" t="n">
        <v>2846</v>
      </c>
      <c r="H844" t="n">
        <v>1417</v>
      </c>
      <c r="I844" t="n">
        <v>1482</v>
      </c>
      <c r="J844" t="n">
        <v>1519</v>
      </c>
      <c r="K844" t="n">
        <v>1532</v>
      </c>
      <c r="L844" t="n">
        <v>1544</v>
      </c>
      <c r="M844" t="n">
        <v>1546</v>
      </c>
      <c r="N844" t="n">
        <v>1548</v>
      </c>
      <c r="O844" t="n">
        <v>1550</v>
      </c>
      <c r="P844" t="n">
        <v>1551</v>
      </c>
    </row>
    <row r="845">
      <c r="A845" t="inlineStr">
        <is>
          <t>CurrentWorkingView</t>
        </is>
      </c>
      <c r="B845" s="1" t="n">
        <v>4064941147145</v>
      </c>
      <c r="C845" t="inlineStr">
        <is>
          <t>P_US_ULTA</t>
        </is>
      </c>
      <c r="D845" t="inlineStr">
        <is>
          <t>LT Stat Fcst</t>
        </is>
      </c>
      <c r="H845" t="n">
        <v>921</v>
      </c>
      <c r="I845" t="n">
        <v>920</v>
      </c>
      <c r="J845" t="n">
        <v>921</v>
      </c>
      <c r="K845" t="n">
        <v>921</v>
      </c>
      <c r="L845" t="n">
        <v>920</v>
      </c>
      <c r="M845" t="n">
        <v>921</v>
      </c>
      <c r="N845" t="n">
        <v>922</v>
      </c>
      <c r="O845" t="n">
        <v>921</v>
      </c>
      <c r="P845" t="n">
        <v>921</v>
      </c>
    </row>
    <row r="846">
      <c r="A846" t="inlineStr">
        <is>
          <t>CurrentWorkingView</t>
        </is>
      </c>
      <c r="B846" s="1" t="n">
        <v>4064941147145</v>
      </c>
      <c r="C846" t="inlineStr">
        <is>
          <t>P_US_ULTA</t>
        </is>
      </c>
      <c r="D846" t="inlineStr">
        <is>
          <t>System BestFit Final</t>
        </is>
      </c>
      <c r="E846" t="inlineStr">
        <is>
          <t>ST</t>
        </is>
      </c>
      <c r="F846" t="inlineStr">
        <is>
          <t>ST</t>
        </is>
      </c>
      <c r="G846" t="inlineStr">
        <is>
          <t>ST</t>
        </is>
      </c>
      <c r="H846" t="inlineStr">
        <is>
          <t>ST</t>
        </is>
      </c>
      <c r="I846" t="inlineStr">
        <is>
          <t>ST</t>
        </is>
      </c>
      <c r="J846" t="inlineStr">
        <is>
          <t>ST</t>
        </is>
      </c>
      <c r="K846" t="inlineStr">
        <is>
          <t>ST</t>
        </is>
      </c>
      <c r="L846" t="inlineStr">
        <is>
          <t>ST</t>
        </is>
      </c>
      <c r="M846" t="inlineStr">
        <is>
          <t>ST</t>
        </is>
      </c>
      <c r="N846" t="inlineStr">
        <is>
          <t>ST</t>
        </is>
      </c>
      <c r="O846" t="inlineStr">
        <is>
          <t>ST</t>
        </is>
      </c>
      <c r="P846" t="inlineStr">
        <is>
          <t>ST</t>
        </is>
      </c>
    </row>
    <row r="847">
      <c r="A847" t="inlineStr">
        <is>
          <t>CurrentWorkingView</t>
        </is>
      </c>
      <c r="B847" s="1" t="n">
        <v>4064941147145</v>
      </c>
      <c r="C847" t="inlineStr">
        <is>
          <t>P_US_ULTA</t>
        </is>
      </c>
      <c r="D847" t="inlineStr">
        <is>
          <t>System Bestfit Model ST</t>
        </is>
      </c>
      <c r="E847" t="inlineStr">
        <is>
          <t>ST</t>
        </is>
      </c>
      <c r="F847" t="inlineStr">
        <is>
          <t>ST</t>
        </is>
      </c>
      <c r="G847" t="inlineStr">
        <is>
          <t>ST</t>
        </is>
      </c>
      <c r="H847" t="inlineStr">
        <is>
          <t>ST</t>
        </is>
      </c>
      <c r="I847" t="inlineStr">
        <is>
          <t>ST</t>
        </is>
      </c>
      <c r="J847" t="inlineStr">
        <is>
          <t>ST</t>
        </is>
      </c>
      <c r="K847" t="inlineStr">
        <is>
          <t>ST</t>
        </is>
      </c>
      <c r="L847" t="inlineStr">
        <is>
          <t>ST</t>
        </is>
      </c>
      <c r="M847" t="inlineStr">
        <is>
          <t>ST</t>
        </is>
      </c>
      <c r="N847" t="inlineStr">
        <is>
          <t>ST</t>
        </is>
      </c>
      <c r="O847" t="inlineStr">
        <is>
          <t>ST</t>
        </is>
      </c>
      <c r="P847" t="inlineStr">
        <is>
          <t>ST</t>
        </is>
      </c>
    </row>
    <row r="848">
      <c r="A848" t="inlineStr">
        <is>
          <t>CurrentWorkingView</t>
        </is>
      </c>
      <c r="B848" s="1" t="n">
        <v>4064941147145</v>
      </c>
      <c r="C848" t="inlineStr">
        <is>
          <t>P_US_ULTA</t>
        </is>
      </c>
      <c r="D848" t="inlineStr">
        <is>
          <t>Planner BestFit Model</t>
        </is>
      </c>
      <c r="E848" t="inlineStr">
        <is>
          <t>ST</t>
        </is>
      </c>
      <c r="F848" t="inlineStr">
        <is>
          <t>ST</t>
        </is>
      </c>
      <c r="G848" t="inlineStr">
        <is>
          <t>ST</t>
        </is>
      </c>
      <c r="H848" t="inlineStr">
        <is>
          <t>ST</t>
        </is>
      </c>
      <c r="I848" t="inlineStr">
        <is>
          <t>ST</t>
        </is>
      </c>
      <c r="J848" t="inlineStr">
        <is>
          <t>ST</t>
        </is>
      </c>
      <c r="K848" t="inlineStr">
        <is>
          <t>ST</t>
        </is>
      </c>
      <c r="L848" t="inlineStr">
        <is>
          <t>ST</t>
        </is>
      </c>
      <c r="M848" t="inlineStr">
        <is>
          <t>ST</t>
        </is>
      </c>
      <c r="N848" t="inlineStr">
        <is>
          <t>ST</t>
        </is>
      </c>
      <c r="O848" t="inlineStr">
        <is>
          <t>ST</t>
        </is>
      </c>
      <c r="P848" t="inlineStr">
        <is>
          <t>ST</t>
        </is>
      </c>
    </row>
    <row r="849">
      <c r="A849" t="inlineStr">
        <is>
          <t>CurrentWorkingView</t>
        </is>
      </c>
      <c r="B849" s="1" t="n">
        <v>4064941156826</v>
      </c>
      <c r="C849" t="inlineStr">
        <is>
          <t>P_US_ALL_OTHERS</t>
        </is>
      </c>
      <c r="D849" t="inlineStr">
        <is>
          <t>System FC - Final</t>
        </is>
      </c>
      <c r="G849" t="n">
        <v>4</v>
      </c>
      <c r="H849" t="n">
        <v>5</v>
      </c>
      <c r="I849" t="n">
        <v>4</v>
      </c>
      <c r="J849" t="n">
        <v>5</v>
      </c>
      <c r="K849" t="n">
        <v>5</v>
      </c>
      <c r="L849" t="n">
        <v>4</v>
      </c>
      <c r="M849" t="n">
        <v>5</v>
      </c>
      <c r="N849" t="n">
        <v>5</v>
      </c>
      <c r="O849" t="n">
        <v>4</v>
      </c>
      <c r="P849" t="n">
        <v>5</v>
      </c>
    </row>
    <row r="850">
      <c r="A850" t="inlineStr">
        <is>
          <t>CurrentWorkingView</t>
        </is>
      </c>
      <c r="B850" s="1" t="n">
        <v>4064941156826</v>
      </c>
      <c r="C850" t="inlineStr">
        <is>
          <t>P_US_ALL_OTHERS</t>
        </is>
      </c>
      <c r="D850" t="inlineStr">
        <is>
          <t>CML Fcst</t>
        </is>
      </c>
      <c r="H850" t="n">
        <v>76</v>
      </c>
      <c r="I850" t="n">
        <v>78</v>
      </c>
      <c r="J850" t="n">
        <v>58</v>
      </c>
      <c r="K850" t="n">
        <v>75</v>
      </c>
      <c r="L850" t="n">
        <v>48</v>
      </c>
      <c r="M850" t="n">
        <v>75</v>
      </c>
      <c r="N850" t="n">
        <v>77</v>
      </c>
      <c r="O850" t="n">
        <v>89</v>
      </c>
      <c r="P850" t="n">
        <v>94</v>
      </c>
    </row>
    <row r="851">
      <c r="A851" t="inlineStr">
        <is>
          <t>CurrentWorkingView</t>
        </is>
      </c>
      <c r="B851" s="1" t="n">
        <v>4064941156826</v>
      </c>
      <c r="C851" t="inlineStr">
        <is>
          <t>P_US_ALL_OTHERS</t>
        </is>
      </c>
      <c r="D851" t="inlineStr">
        <is>
          <t>ST Stat Fcst</t>
        </is>
      </c>
      <c r="G851" t="n">
        <v>3</v>
      </c>
      <c r="H851" t="n">
        <v>5</v>
      </c>
      <c r="I851" t="n">
        <v>4</v>
      </c>
      <c r="J851" t="n">
        <v>5</v>
      </c>
      <c r="K851" t="n">
        <v>5</v>
      </c>
      <c r="L851" t="n">
        <v>4</v>
      </c>
      <c r="M851" t="n">
        <v>5</v>
      </c>
      <c r="N851" t="n">
        <v>5</v>
      </c>
      <c r="O851" t="n">
        <v>4</v>
      </c>
      <c r="P851" t="n">
        <v>5</v>
      </c>
    </row>
    <row r="852">
      <c r="A852" t="inlineStr">
        <is>
          <t>CurrentWorkingView</t>
        </is>
      </c>
      <c r="B852" s="1" t="n">
        <v>4064941156826</v>
      </c>
      <c r="C852" t="inlineStr">
        <is>
          <t>P_US_ALL_OTHERS</t>
        </is>
      </c>
      <c r="D852" t="inlineStr">
        <is>
          <t>LT Stat Fcst</t>
        </is>
      </c>
      <c r="H852" t="n">
        <v>22</v>
      </c>
      <c r="I852" t="n">
        <v>34</v>
      </c>
      <c r="J852" t="n">
        <v>26</v>
      </c>
      <c r="K852" t="n">
        <v>31</v>
      </c>
      <c r="L852" t="n">
        <v>28</v>
      </c>
      <c r="M852" t="n">
        <v>26</v>
      </c>
      <c r="N852" t="n">
        <v>29</v>
      </c>
      <c r="O852" t="n">
        <v>27</v>
      </c>
      <c r="P852" t="n">
        <v>27</v>
      </c>
    </row>
    <row r="853">
      <c r="A853" t="inlineStr">
        <is>
          <t>CurrentWorkingView</t>
        </is>
      </c>
      <c r="B853" s="1" t="n">
        <v>4064941156826</v>
      </c>
      <c r="C853" t="inlineStr">
        <is>
          <t>P_US_ALL_OTHERS</t>
        </is>
      </c>
      <c r="D853" t="inlineStr">
        <is>
          <t>System BestFit Final</t>
        </is>
      </c>
      <c r="G853" t="inlineStr">
        <is>
          <t>ST</t>
        </is>
      </c>
      <c r="H853" t="inlineStr">
        <is>
          <t>ST</t>
        </is>
      </c>
      <c r="I853" t="inlineStr">
        <is>
          <t>ST</t>
        </is>
      </c>
      <c r="J853" t="inlineStr">
        <is>
          <t>ST</t>
        </is>
      </c>
      <c r="K853" t="inlineStr">
        <is>
          <t>ST</t>
        </is>
      </c>
      <c r="L853" t="inlineStr">
        <is>
          <t>ST</t>
        </is>
      </c>
      <c r="M853" t="inlineStr">
        <is>
          <t>ST</t>
        </is>
      </c>
      <c r="N853" t="inlineStr">
        <is>
          <t>ST</t>
        </is>
      </c>
      <c r="O853" t="inlineStr">
        <is>
          <t>ST</t>
        </is>
      </c>
      <c r="P853" t="inlineStr">
        <is>
          <t>ST</t>
        </is>
      </c>
    </row>
    <row r="854">
      <c r="A854" t="inlineStr">
        <is>
          <t>CurrentWorkingView</t>
        </is>
      </c>
      <c r="B854" s="1" t="n">
        <v>4064941156826</v>
      </c>
      <c r="C854" t="inlineStr">
        <is>
          <t>P_US_ALL_OTHERS</t>
        </is>
      </c>
      <c r="D854" t="inlineStr">
        <is>
          <t>System Bestfit Model ST</t>
        </is>
      </c>
      <c r="G854" t="inlineStr">
        <is>
          <t>ST</t>
        </is>
      </c>
      <c r="H854" t="inlineStr">
        <is>
          <t>ST</t>
        </is>
      </c>
      <c r="I854" t="inlineStr">
        <is>
          <t>ST</t>
        </is>
      </c>
      <c r="J854" t="inlineStr">
        <is>
          <t>ST</t>
        </is>
      </c>
      <c r="K854" t="inlineStr">
        <is>
          <t>ST</t>
        </is>
      </c>
      <c r="L854" t="inlineStr">
        <is>
          <t>ST</t>
        </is>
      </c>
      <c r="M854" t="inlineStr">
        <is>
          <t>ST</t>
        </is>
      </c>
      <c r="N854" t="inlineStr">
        <is>
          <t>ST</t>
        </is>
      </c>
      <c r="O854" t="inlineStr">
        <is>
          <t>ST</t>
        </is>
      </c>
      <c r="P854" t="inlineStr">
        <is>
          <t>ST</t>
        </is>
      </c>
    </row>
    <row r="855">
      <c r="A855" t="inlineStr">
        <is>
          <t>CurrentWorkingView</t>
        </is>
      </c>
      <c r="B855" s="1" t="n">
        <v>4064941156826</v>
      </c>
      <c r="C855" t="inlineStr">
        <is>
          <t>P_US_ALL_OTHERS</t>
        </is>
      </c>
      <c r="D855" t="inlineStr">
        <is>
          <t>Planner BestFit Model</t>
        </is>
      </c>
    </row>
    <row r="856">
      <c r="A856" t="inlineStr">
        <is>
          <t>CurrentWorkingView</t>
        </is>
      </c>
      <c r="B856" s="1" t="n">
        <v>4064941156826</v>
      </c>
      <c r="C856" t="inlineStr">
        <is>
          <t>P_US_ULTA</t>
        </is>
      </c>
      <c r="D856" t="inlineStr">
        <is>
          <t>System FC - Final</t>
        </is>
      </c>
      <c r="E856" t="n">
        <v>660</v>
      </c>
      <c r="F856" t="n">
        <v>252</v>
      </c>
      <c r="G856" t="n">
        <v>917</v>
      </c>
      <c r="H856" t="n">
        <v>3457</v>
      </c>
      <c r="I856" t="n">
        <v>4568</v>
      </c>
      <c r="J856" t="n">
        <v>3548</v>
      </c>
      <c r="K856" t="n">
        <v>3854</v>
      </c>
      <c r="L856" t="n">
        <v>3988</v>
      </c>
      <c r="M856" t="n">
        <v>3795</v>
      </c>
      <c r="N856" t="n">
        <v>3878</v>
      </c>
      <c r="O856" t="n">
        <v>3892</v>
      </c>
      <c r="P856" t="n">
        <v>3856</v>
      </c>
    </row>
    <row r="857">
      <c r="A857" t="inlineStr">
        <is>
          <t>CurrentWorkingView</t>
        </is>
      </c>
      <c r="B857" s="1" t="n">
        <v>4064941156826</v>
      </c>
      <c r="C857" t="inlineStr">
        <is>
          <t>P_US_ULTA</t>
        </is>
      </c>
      <c r="D857" t="inlineStr">
        <is>
          <t>CML Fcst</t>
        </is>
      </c>
      <c r="H857" t="n">
        <v>1423</v>
      </c>
      <c r="I857" t="n">
        <v>484</v>
      </c>
      <c r="J857" t="n">
        <v>518</v>
      </c>
      <c r="K857" t="n">
        <v>416</v>
      </c>
      <c r="L857" t="n">
        <v>616</v>
      </c>
      <c r="M857" t="n">
        <v>868</v>
      </c>
      <c r="N857" t="n">
        <v>703</v>
      </c>
      <c r="O857" t="n">
        <v>186</v>
      </c>
      <c r="P857" t="n">
        <v>858</v>
      </c>
    </row>
    <row r="858">
      <c r="A858" t="inlineStr">
        <is>
          <t>CurrentWorkingView</t>
        </is>
      </c>
      <c r="B858" s="1" t="n">
        <v>4064941156826</v>
      </c>
      <c r="C858" t="inlineStr">
        <is>
          <t>P_US_ULTA</t>
        </is>
      </c>
      <c r="D858" t="inlineStr">
        <is>
          <t>ST Stat Fcst</t>
        </is>
      </c>
      <c r="E858" t="n">
        <v>660</v>
      </c>
      <c r="F858" t="n">
        <v>252</v>
      </c>
      <c r="G858" t="n">
        <v>880</v>
      </c>
      <c r="H858" t="n">
        <v>567</v>
      </c>
      <c r="I858" t="n">
        <v>476</v>
      </c>
      <c r="J858" t="n">
        <v>482</v>
      </c>
      <c r="K858" t="n">
        <v>523</v>
      </c>
      <c r="L858" t="n">
        <v>564</v>
      </c>
      <c r="M858" t="n">
        <v>611</v>
      </c>
      <c r="N858" t="n">
        <v>660</v>
      </c>
      <c r="O858" t="n">
        <v>717</v>
      </c>
      <c r="P858" t="n">
        <v>536</v>
      </c>
    </row>
    <row r="859">
      <c r="A859" t="inlineStr">
        <is>
          <t>CurrentWorkingView</t>
        </is>
      </c>
      <c r="B859" s="1" t="n">
        <v>4064941156826</v>
      </c>
      <c r="C859" t="inlineStr">
        <is>
          <t>P_US_ULTA</t>
        </is>
      </c>
      <c r="D859" t="inlineStr">
        <is>
          <t>LT Stat Fcst</t>
        </is>
      </c>
      <c r="H859" t="n">
        <v>3458</v>
      </c>
      <c r="I859" t="n">
        <v>4568</v>
      </c>
      <c r="J859" t="n">
        <v>3548</v>
      </c>
      <c r="K859" t="n">
        <v>3854</v>
      </c>
      <c r="L859" t="n">
        <v>3988</v>
      </c>
      <c r="M859" t="n">
        <v>3795</v>
      </c>
      <c r="N859" t="n">
        <v>3878</v>
      </c>
      <c r="O859" t="n">
        <v>3892</v>
      </c>
      <c r="P859" t="n">
        <v>3856</v>
      </c>
    </row>
    <row r="860">
      <c r="A860" t="inlineStr">
        <is>
          <t>CurrentWorkingView</t>
        </is>
      </c>
      <c r="B860" s="1" t="n">
        <v>4064941156826</v>
      </c>
      <c r="C860" t="inlineStr">
        <is>
          <t>P_US_ULTA</t>
        </is>
      </c>
      <c r="D860" t="inlineStr">
        <is>
          <t>System BestFit Final</t>
        </is>
      </c>
      <c r="E860" t="inlineStr">
        <is>
          <t>LT</t>
        </is>
      </c>
      <c r="F860" t="inlineStr">
        <is>
          <t>LT</t>
        </is>
      </c>
      <c r="G860" t="inlineStr">
        <is>
          <t>LT</t>
        </is>
      </c>
      <c r="H860" t="inlineStr">
        <is>
          <t>LT</t>
        </is>
      </c>
      <c r="I860" t="inlineStr">
        <is>
          <t>LT</t>
        </is>
      </c>
      <c r="J860" t="inlineStr">
        <is>
          <t>LT</t>
        </is>
      </c>
      <c r="K860" t="inlineStr">
        <is>
          <t>LT</t>
        </is>
      </c>
      <c r="L860" t="inlineStr">
        <is>
          <t>LT</t>
        </is>
      </c>
      <c r="M860" t="inlineStr">
        <is>
          <t>LT</t>
        </is>
      </c>
      <c r="N860" t="inlineStr">
        <is>
          <t>LT</t>
        </is>
      </c>
      <c r="O860" t="inlineStr">
        <is>
          <t>LT</t>
        </is>
      </c>
      <c r="P860" t="inlineStr">
        <is>
          <t>LT</t>
        </is>
      </c>
    </row>
    <row r="861">
      <c r="A861" t="inlineStr">
        <is>
          <t>CurrentWorkingView</t>
        </is>
      </c>
      <c r="B861" s="1" t="n">
        <v>4064941156826</v>
      </c>
      <c r="C861" t="inlineStr">
        <is>
          <t>P_US_ULTA</t>
        </is>
      </c>
      <c r="D861" t="inlineStr">
        <is>
          <t>System Bestfit Model ST</t>
        </is>
      </c>
    </row>
    <row r="862">
      <c r="A862" t="inlineStr">
        <is>
          <t>CurrentWorkingView</t>
        </is>
      </c>
      <c r="B862" s="1" t="n">
        <v>4064941156826</v>
      </c>
      <c r="C862" t="inlineStr">
        <is>
          <t>P_US_ULTA</t>
        </is>
      </c>
      <c r="D862" t="inlineStr">
        <is>
          <t>Planner BestFit Model</t>
        </is>
      </c>
    </row>
    <row r="863">
      <c r="A863" t="inlineStr">
        <is>
          <t>CurrentWorkingView</t>
        </is>
      </c>
      <c r="B863" s="1" t="n">
        <v>4064941176343</v>
      </c>
      <c r="C863" t="inlineStr">
        <is>
          <t>P_US_ALL_OTHERS</t>
        </is>
      </c>
      <c r="D863" t="inlineStr">
        <is>
          <t>System FC - Final</t>
        </is>
      </c>
      <c r="E863" t="n">
        <v>228</v>
      </c>
      <c r="F863" t="n">
        <v>753</v>
      </c>
      <c r="G863" t="n">
        <v>322</v>
      </c>
      <c r="H863" t="n">
        <v>506</v>
      </c>
      <c r="I863" t="n">
        <v>505</v>
      </c>
      <c r="J863" t="n">
        <v>505</v>
      </c>
      <c r="K863" t="n">
        <v>505</v>
      </c>
      <c r="L863" t="n">
        <v>504</v>
      </c>
      <c r="M863" t="n">
        <v>505</v>
      </c>
      <c r="N863" t="n">
        <v>505</v>
      </c>
      <c r="O863" t="n">
        <v>505</v>
      </c>
      <c r="P863" t="n">
        <v>506</v>
      </c>
    </row>
    <row r="864">
      <c r="A864" t="inlineStr">
        <is>
          <t>CurrentWorkingView</t>
        </is>
      </c>
      <c r="B864" s="1" t="n">
        <v>4064941176343</v>
      </c>
      <c r="C864" t="inlineStr">
        <is>
          <t>P_US_ALL_OTHERS</t>
        </is>
      </c>
      <c r="D864" t="inlineStr">
        <is>
          <t>CML Fcst</t>
        </is>
      </c>
      <c r="H864" t="n">
        <v>261</v>
      </c>
      <c r="I864" t="n">
        <v>428</v>
      </c>
      <c r="J864" t="n">
        <v>332</v>
      </c>
      <c r="K864" t="n">
        <v>713</v>
      </c>
      <c r="L864" t="n">
        <v>620</v>
      </c>
      <c r="M864" t="n">
        <v>288</v>
      </c>
      <c r="N864" t="n">
        <v>737</v>
      </c>
      <c r="O864" t="n">
        <v>713</v>
      </c>
      <c r="P864" t="n">
        <v>279</v>
      </c>
    </row>
    <row r="865">
      <c r="A865" t="inlineStr">
        <is>
          <t>CurrentWorkingView</t>
        </is>
      </c>
      <c r="B865" s="1" t="n">
        <v>4064941176343</v>
      </c>
      <c r="C865" t="inlineStr">
        <is>
          <t>P_US_ALL_OTHERS</t>
        </is>
      </c>
      <c r="D865" t="inlineStr">
        <is>
          <t>ST Stat Fcst</t>
        </is>
      </c>
      <c r="E865" t="n">
        <v>228</v>
      </c>
      <c r="F865" t="n">
        <v>753</v>
      </c>
      <c r="G865" t="n">
        <v>243</v>
      </c>
      <c r="H865" t="n">
        <v>443</v>
      </c>
      <c r="I865" t="n">
        <v>442</v>
      </c>
      <c r="J865" t="n">
        <v>443</v>
      </c>
      <c r="K865" t="n">
        <v>443</v>
      </c>
      <c r="L865" t="n">
        <v>444</v>
      </c>
      <c r="M865" t="n">
        <v>443</v>
      </c>
      <c r="N865" t="n">
        <v>442</v>
      </c>
      <c r="O865" t="n">
        <v>443</v>
      </c>
      <c r="P865" t="n">
        <v>442</v>
      </c>
    </row>
    <row r="866">
      <c r="A866" t="inlineStr">
        <is>
          <t>CurrentWorkingView</t>
        </is>
      </c>
      <c r="B866" s="1" t="n">
        <v>4064941176343</v>
      </c>
      <c r="C866" t="inlineStr">
        <is>
          <t>P_US_ALL_OTHERS</t>
        </is>
      </c>
      <c r="D866" t="inlineStr">
        <is>
          <t>LT Stat Fcst</t>
        </is>
      </c>
      <c r="H866" t="n">
        <v>505</v>
      </c>
      <c r="I866" t="n">
        <v>506</v>
      </c>
      <c r="J866" t="n">
        <v>505</v>
      </c>
      <c r="K866" t="n">
        <v>505</v>
      </c>
      <c r="L866" t="n">
        <v>504</v>
      </c>
      <c r="M866" t="n">
        <v>505</v>
      </c>
      <c r="N866" t="n">
        <v>505</v>
      </c>
      <c r="O866" t="n">
        <v>505</v>
      </c>
      <c r="P866" t="n">
        <v>506</v>
      </c>
    </row>
    <row r="867">
      <c r="A867" t="inlineStr">
        <is>
          <t>CurrentWorkingView</t>
        </is>
      </c>
      <c r="B867" s="1" t="n">
        <v>4064941176343</v>
      </c>
      <c r="C867" t="inlineStr">
        <is>
          <t>P_US_ALL_OTHERS</t>
        </is>
      </c>
      <c r="D867" t="inlineStr">
        <is>
          <t>System BestFit Final</t>
        </is>
      </c>
      <c r="E867" t="inlineStr">
        <is>
          <t>LT</t>
        </is>
      </c>
      <c r="F867" t="inlineStr">
        <is>
          <t>LT</t>
        </is>
      </c>
      <c r="G867" t="inlineStr">
        <is>
          <t>LT</t>
        </is>
      </c>
      <c r="H867" t="inlineStr">
        <is>
          <t>LT</t>
        </is>
      </c>
      <c r="I867" t="inlineStr">
        <is>
          <t>LT</t>
        </is>
      </c>
      <c r="J867" t="inlineStr">
        <is>
          <t>LT</t>
        </is>
      </c>
      <c r="K867" t="inlineStr">
        <is>
          <t>LT</t>
        </is>
      </c>
      <c r="L867" t="inlineStr">
        <is>
          <t>LT</t>
        </is>
      </c>
      <c r="M867" t="inlineStr">
        <is>
          <t>LT</t>
        </is>
      </c>
      <c r="N867" t="inlineStr">
        <is>
          <t>LT</t>
        </is>
      </c>
      <c r="O867" t="inlineStr">
        <is>
          <t>LT</t>
        </is>
      </c>
      <c r="P867" t="inlineStr">
        <is>
          <t>LT</t>
        </is>
      </c>
    </row>
    <row r="868">
      <c r="A868" t="inlineStr">
        <is>
          <t>CurrentWorkingView</t>
        </is>
      </c>
      <c r="B868" s="1" t="n">
        <v>4064941176343</v>
      </c>
      <c r="C868" t="inlineStr">
        <is>
          <t>P_US_ALL_OTHERS</t>
        </is>
      </c>
      <c r="D868" t="inlineStr">
        <is>
          <t>System Bestfit Model ST</t>
        </is>
      </c>
    </row>
    <row r="869">
      <c r="A869" t="inlineStr">
        <is>
          <t>CurrentWorkingView</t>
        </is>
      </c>
      <c r="B869" s="1" t="n">
        <v>4064941176343</v>
      </c>
      <c r="C869" t="inlineStr">
        <is>
          <t>P_US_ALL_OTHERS</t>
        </is>
      </c>
      <c r="D869" t="inlineStr">
        <is>
          <t>Planner BestFit Model</t>
        </is>
      </c>
    </row>
    <row r="870">
      <c r="A870" t="inlineStr">
        <is>
          <t>CurrentWorkingView</t>
        </is>
      </c>
      <c r="B870" s="1" t="n">
        <v>4064941176343</v>
      </c>
      <c r="C870" t="inlineStr">
        <is>
          <t>P_US_ULTA</t>
        </is>
      </c>
      <c r="D870" t="inlineStr">
        <is>
          <t>System FC - Final</t>
        </is>
      </c>
      <c r="E870" t="n">
        <v>7056</v>
      </c>
      <c r="F870" t="n">
        <v>2208</v>
      </c>
      <c r="G870" t="n">
        <v>4160</v>
      </c>
      <c r="H870" t="n">
        <v>4487</v>
      </c>
      <c r="I870" t="n">
        <v>4488</v>
      </c>
      <c r="J870" t="n">
        <v>4487</v>
      </c>
      <c r="K870" t="n">
        <v>4486</v>
      </c>
      <c r="L870" t="n">
        <v>4488</v>
      </c>
      <c r="M870" t="n">
        <v>4486</v>
      </c>
      <c r="N870" t="n">
        <v>4487</v>
      </c>
      <c r="O870" t="n">
        <v>4487</v>
      </c>
      <c r="P870" t="n">
        <v>4487</v>
      </c>
    </row>
    <row r="871">
      <c r="A871" t="inlineStr">
        <is>
          <t>CurrentWorkingView</t>
        </is>
      </c>
      <c r="B871" s="1" t="n">
        <v>4064941176343</v>
      </c>
      <c r="C871" t="inlineStr">
        <is>
          <t>P_US_ULTA</t>
        </is>
      </c>
      <c r="D871" t="inlineStr">
        <is>
          <t>CML Fcst</t>
        </is>
      </c>
      <c r="H871" t="n">
        <v>4078</v>
      </c>
      <c r="I871" t="n">
        <v>4166</v>
      </c>
      <c r="J871" t="n">
        <v>4642</v>
      </c>
      <c r="K871" t="n">
        <v>4207</v>
      </c>
      <c r="L871" t="n">
        <v>4892</v>
      </c>
      <c r="M871" t="n">
        <v>7289</v>
      </c>
      <c r="N871" t="n">
        <v>4383</v>
      </c>
      <c r="O871" t="n">
        <v>5510</v>
      </c>
      <c r="P871" t="n">
        <v>3604</v>
      </c>
    </row>
    <row r="872">
      <c r="A872" t="inlineStr">
        <is>
          <t>CurrentWorkingView</t>
        </is>
      </c>
      <c r="B872" s="1" t="n">
        <v>4064941176343</v>
      </c>
      <c r="C872" t="inlineStr">
        <is>
          <t>P_US_ULTA</t>
        </is>
      </c>
      <c r="D872" t="inlineStr">
        <is>
          <t>ST Stat Fcst</t>
        </is>
      </c>
      <c r="E872" t="n">
        <v>7056</v>
      </c>
      <c r="F872" t="n">
        <v>2208</v>
      </c>
      <c r="G872" t="n">
        <v>4160</v>
      </c>
      <c r="H872" t="n">
        <v>4487</v>
      </c>
      <c r="I872" t="n">
        <v>4488</v>
      </c>
      <c r="J872" t="n">
        <v>4487</v>
      </c>
      <c r="K872" t="n">
        <v>4486</v>
      </c>
      <c r="L872" t="n">
        <v>4488</v>
      </c>
      <c r="M872" t="n">
        <v>4486</v>
      </c>
      <c r="N872" t="n">
        <v>4487</v>
      </c>
      <c r="O872" t="n">
        <v>4487</v>
      </c>
      <c r="P872" t="n">
        <v>4487</v>
      </c>
    </row>
    <row r="873">
      <c r="A873" t="inlineStr">
        <is>
          <t>CurrentWorkingView</t>
        </is>
      </c>
      <c r="B873" s="1" t="n">
        <v>4064941176343</v>
      </c>
      <c r="C873" t="inlineStr">
        <is>
          <t>P_US_ULTA</t>
        </is>
      </c>
      <c r="D873" t="inlineStr">
        <is>
          <t>LT Stat Fcst</t>
        </is>
      </c>
      <c r="H873" t="n">
        <v>4809</v>
      </c>
      <c r="I873" t="n">
        <v>4806</v>
      </c>
      <c r="J873" t="n">
        <v>4809</v>
      </c>
      <c r="K873" t="n">
        <v>4809</v>
      </c>
      <c r="L873" t="n">
        <v>4808</v>
      </c>
      <c r="M873" t="n">
        <v>4809</v>
      </c>
      <c r="N873" t="n">
        <v>4805</v>
      </c>
      <c r="O873" t="n">
        <v>4809</v>
      </c>
      <c r="P873" t="n">
        <v>4805</v>
      </c>
    </row>
    <row r="874">
      <c r="A874" t="inlineStr">
        <is>
          <t>CurrentWorkingView</t>
        </is>
      </c>
      <c r="B874" s="1" t="n">
        <v>4064941176343</v>
      </c>
      <c r="C874" t="inlineStr">
        <is>
          <t>P_US_ULTA</t>
        </is>
      </c>
      <c r="D874" t="inlineStr">
        <is>
          <t>System BestFit Final</t>
        </is>
      </c>
      <c r="E874" t="inlineStr">
        <is>
          <t>ST</t>
        </is>
      </c>
      <c r="F874" t="inlineStr">
        <is>
          <t>ST</t>
        </is>
      </c>
      <c r="G874" t="inlineStr">
        <is>
          <t>ST</t>
        </is>
      </c>
      <c r="H874" t="inlineStr">
        <is>
          <t>ST</t>
        </is>
      </c>
      <c r="I874" t="inlineStr">
        <is>
          <t>ST</t>
        </is>
      </c>
      <c r="J874" t="inlineStr">
        <is>
          <t>ST</t>
        </is>
      </c>
      <c r="K874" t="inlineStr">
        <is>
          <t>ST</t>
        </is>
      </c>
      <c r="L874" t="inlineStr">
        <is>
          <t>ST</t>
        </is>
      </c>
      <c r="M874" t="inlineStr">
        <is>
          <t>ST</t>
        </is>
      </c>
      <c r="N874" t="inlineStr">
        <is>
          <t>ST</t>
        </is>
      </c>
      <c r="O874" t="inlineStr">
        <is>
          <t>ST</t>
        </is>
      </c>
      <c r="P874" t="inlineStr">
        <is>
          <t>ST</t>
        </is>
      </c>
    </row>
    <row r="875">
      <c r="A875" t="inlineStr">
        <is>
          <t>CurrentWorkingView</t>
        </is>
      </c>
      <c r="B875" s="1" t="n">
        <v>4064941176343</v>
      </c>
      <c r="C875" t="inlineStr">
        <is>
          <t>P_US_ULTA</t>
        </is>
      </c>
      <c r="D875" t="inlineStr">
        <is>
          <t>System Bestfit Model ST</t>
        </is>
      </c>
      <c r="E875" t="inlineStr">
        <is>
          <t>ST</t>
        </is>
      </c>
      <c r="F875" t="inlineStr">
        <is>
          <t>ST</t>
        </is>
      </c>
      <c r="G875" t="inlineStr">
        <is>
          <t>ST</t>
        </is>
      </c>
      <c r="H875" t="inlineStr">
        <is>
          <t>ST</t>
        </is>
      </c>
      <c r="I875" t="inlineStr">
        <is>
          <t>ST</t>
        </is>
      </c>
      <c r="J875" t="inlineStr">
        <is>
          <t>ST</t>
        </is>
      </c>
      <c r="K875" t="inlineStr">
        <is>
          <t>ST</t>
        </is>
      </c>
      <c r="L875" t="inlineStr">
        <is>
          <t>ST</t>
        </is>
      </c>
      <c r="M875" t="inlineStr">
        <is>
          <t>ST</t>
        </is>
      </c>
      <c r="N875" t="inlineStr">
        <is>
          <t>ST</t>
        </is>
      </c>
      <c r="O875" t="inlineStr">
        <is>
          <t>ST</t>
        </is>
      </c>
      <c r="P875" t="inlineStr">
        <is>
          <t>ST</t>
        </is>
      </c>
    </row>
    <row r="876">
      <c r="A876" t="inlineStr">
        <is>
          <t>CurrentWorkingView</t>
        </is>
      </c>
      <c r="B876" s="1" t="n">
        <v>4064941176343</v>
      </c>
      <c r="C876" t="inlineStr">
        <is>
          <t>P_US_ULTA</t>
        </is>
      </c>
      <c r="D876" t="inlineStr">
        <is>
          <t>Planner BestFit Model</t>
        </is>
      </c>
      <c r="E876" t="inlineStr">
        <is>
          <t>ST</t>
        </is>
      </c>
      <c r="F876" t="inlineStr">
        <is>
          <t>ST</t>
        </is>
      </c>
      <c r="G876" t="inlineStr">
        <is>
          <t>ST</t>
        </is>
      </c>
      <c r="H876" t="inlineStr">
        <is>
          <t>ST</t>
        </is>
      </c>
      <c r="I876" t="inlineStr">
        <is>
          <t>ST</t>
        </is>
      </c>
      <c r="J876" t="inlineStr">
        <is>
          <t>ST</t>
        </is>
      </c>
      <c r="K876" t="inlineStr">
        <is>
          <t>ST</t>
        </is>
      </c>
      <c r="L876" t="inlineStr">
        <is>
          <t>ST</t>
        </is>
      </c>
      <c r="M876" t="inlineStr">
        <is>
          <t>ST</t>
        </is>
      </c>
      <c r="N876" t="inlineStr">
        <is>
          <t>ST</t>
        </is>
      </c>
      <c r="O876" t="inlineStr">
        <is>
          <t>ST</t>
        </is>
      </c>
      <c r="P876" t="inlineStr">
        <is>
          <t>ST</t>
        </is>
      </c>
    </row>
    <row r="877">
      <c r="A877" t="inlineStr">
        <is>
          <t>CurrentWorkingView</t>
        </is>
      </c>
      <c r="B877" s="1" t="n">
        <v>4064941176350</v>
      </c>
      <c r="C877" t="inlineStr">
        <is>
          <t>P_US_ALL_OTHERS</t>
        </is>
      </c>
      <c r="D877" t="inlineStr">
        <is>
          <t>System FC - Final</t>
        </is>
      </c>
      <c r="E877" t="n">
        <v>532</v>
      </c>
      <c r="F877" t="n">
        <v>671</v>
      </c>
      <c r="G877" t="n">
        <v>325</v>
      </c>
      <c r="H877" t="n">
        <v>514</v>
      </c>
      <c r="I877" t="n">
        <v>514</v>
      </c>
      <c r="J877" t="n">
        <v>514</v>
      </c>
      <c r="K877" t="n">
        <v>514</v>
      </c>
      <c r="L877" t="n">
        <v>516</v>
      </c>
      <c r="M877" t="n">
        <v>514</v>
      </c>
      <c r="N877" t="n">
        <v>515</v>
      </c>
      <c r="O877" t="n">
        <v>514</v>
      </c>
      <c r="P877" t="n">
        <v>514</v>
      </c>
    </row>
    <row r="878">
      <c r="A878" t="inlineStr">
        <is>
          <t>CurrentWorkingView</t>
        </is>
      </c>
      <c r="B878" s="1" t="n">
        <v>4064941176350</v>
      </c>
      <c r="C878" t="inlineStr">
        <is>
          <t>P_US_ALL_OTHERS</t>
        </is>
      </c>
      <c r="D878" t="inlineStr">
        <is>
          <t>CML Fcst</t>
        </is>
      </c>
      <c r="H878" t="n">
        <v>284</v>
      </c>
      <c r="I878" t="n">
        <v>356</v>
      </c>
      <c r="J878" t="n">
        <v>381</v>
      </c>
      <c r="K878" t="n">
        <v>757</v>
      </c>
      <c r="L878" t="n">
        <v>556</v>
      </c>
      <c r="M878" t="n">
        <v>341</v>
      </c>
      <c r="N878" t="n">
        <v>938</v>
      </c>
      <c r="O878" t="n">
        <v>691</v>
      </c>
      <c r="P878" t="n">
        <v>283</v>
      </c>
    </row>
    <row r="879">
      <c r="A879" t="inlineStr">
        <is>
          <t>CurrentWorkingView</t>
        </is>
      </c>
      <c r="B879" s="1" t="n">
        <v>4064941176350</v>
      </c>
      <c r="C879" t="inlineStr">
        <is>
          <t>P_US_ALL_OTHERS</t>
        </is>
      </c>
      <c r="D879" t="inlineStr">
        <is>
          <t>ST Stat Fcst</t>
        </is>
      </c>
      <c r="E879" t="n">
        <v>532</v>
      </c>
      <c r="F879" t="n">
        <v>671</v>
      </c>
      <c r="G879" t="n">
        <v>243</v>
      </c>
      <c r="H879" t="n">
        <v>514</v>
      </c>
      <c r="I879" t="n">
        <v>514</v>
      </c>
      <c r="J879" t="n">
        <v>514</v>
      </c>
      <c r="K879" t="n">
        <v>514</v>
      </c>
      <c r="L879" t="n">
        <v>516</v>
      </c>
      <c r="M879" t="n">
        <v>514</v>
      </c>
      <c r="N879" t="n">
        <v>515</v>
      </c>
      <c r="O879" t="n">
        <v>514</v>
      </c>
      <c r="P879" t="n">
        <v>514</v>
      </c>
    </row>
    <row r="880">
      <c r="A880" t="inlineStr">
        <is>
          <t>CurrentWorkingView</t>
        </is>
      </c>
      <c r="B880" s="1" t="n">
        <v>4064941176350</v>
      </c>
      <c r="C880" t="inlineStr">
        <is>
          <t>P_US_ALL_OTHERS</t>
        </is>
      </c>
      <c r="D880" t="inlineStr">
        <is>
          <t>LT Stat Fcst</t>
        </is>
      </c>
      <c r="H880" t="n">
        <v>611</v>
      </c>
      <c r="I880" t="n">
        <v>608</v>
      </c>
      <c r="J880" t="n">
        <v>611</v>
      </c>
      <c r="K880" t="n">
        <v>611</v>
      </c>
      <c r="L880" t="n">
        <v>608</v>
      </c>
      <c r="M880" t="n">
        <v>611</v>
      </c>
      <c r="N880" t="n">
        <v>610</v>
      </c>
      <c r="O880" t="n">
        <v>610</v>
      </c>
      <c r="P880" t="n">
        <v>609</v>
      </c>
    </row>
    <row r="881">
      <c r="A881" t="inlineStr">
        <is>
          <t>CurrentWorkingView</t>
        </is>
      </c>
      <c r="B881" s="1" t="n">
        <v>4064941176350</v>
      </c>
      <c r="C881" t="inlineStr">
        <is>
          <t>P_US_ALL_OTHERS</t>
        </is>
      </c>
      <c r="D881" t="inlineStr">
        <is>
          <t>System BestFit Final</t>
        </is>
      </c>
      <c r="E881" t="inlineStr">
        <is>
          <t>ST</t>
        </is>
      </c>
      <c r="F881" t="inlineStr">
        <is>
          <t>ST</t>
        </is>
      </c>
      <c r="G881" t="inlineStr">
        <is>
          <t>ST</t>
        </is>
      </c>
      <c r="H881" t="inlineStr">
        <is>
          <t>ST</t>
        </is>
      </c>
      <c r="I881" t="inlineStr">
        <is>
          <t>ST</t>
        </is>
      </c>
      <c r="J881" t="inlineStr">
        <is>
          <t>ST</t>
        </is>
      </c>
      <c r="K881" t="inlineStr">
        <is>
          <t>ST</t>
        </is>
      </c>
      <c r="L881" t="inlineStr">
        <is>
          <t>ST</t>
        </is>
      </c>
      <c r="M881" t="inlineStr">
        <is>
          <t>ST</t>
        </is>
      </c>
      <c r="N881" t="inlineStr">
        <is>
          <t>ST</t>
        </is>
      </c>
      <c r="O881" t="inlineStr">
        <is>
          <t>ST</t>
        </is>
      </c>
      <c r="P881" t="inlineStr">
        <is>
          <t>ST</t>
        </is>
      </c>
    </row>
    <row r="882">
      <c r="A882" t="inlineStr">
        <is>
          <t>CurrentWorkingView</t>
        </is>
      </c>
      <c r="B882" s="1" t="n">
        <v>4064941176350</v>
      </c>
      <c r="C882" t="inlineStr">
        <is>
          <t>P_US_ALL_OTHERS</t>
        </is>
      </c>
      <c r="D882" t="inlineStr">
        <is>
          <t>System Bestfit Model ST</t>
        </is>
      </c>
      <c r="E882" t="inlineStr">
        <is>
          <t>ST</t>
        </is>
      </c>
      <c r="F882" t="inlineStr">
        <is>
          <t>ST</t>
        </is>
      </c>
      <c r="G882" t="inlineStr">
        <is>
          <t>ST</t>
        </is>
      </c>
      <c r="H882" t="inlineStr">
        <is>
          <t>ST</t>
        </is>
      </c>
      <c r="I882" t="inlineStr">
        <is>
          <t>ST</t>
        </is>
      </c>
      <c r="J882" t="inlineStr">
        <is>
          <t>ST</t>
        </is>
      </c>
      <c r="K882" t="inlineStr">
        <is>
          <t>ST</t>
        </is>
      </c>
      <c r="L882" t="inlineStr">
        <is>
          <t>ST</t>
        </is>
      </c>
      <c r="M882" t="inlineStr">
        <is>
          <t>ST</t>
        </is>
      </c>
      <c r="N882" t="inlineStr">
        <is>
          <t>ST</t>
        </is>
      </c>
      <c r="O882" t="inlineStr">
        <is>
          <t>ST</t>
        </is>
      </c>
      <c r="P882" t="inlineStr">
        <is>
          <t>ST</t>
        </is>
      </c>
    </row>
    <row r="883">
      <c r="A883" t="inlineStr">
        <is>
          <t>CurrentWorkingView</t>
        </is>
      </c>
      <c r="B883" s="1" t="n">
        <v>4064941176350</v>
      </c>
      <c r="C883" t="inlineStr">
        <is>
          <t>P_US_ALL_OTHERS</t>
        </is>
      </c>
      <c r="D883" t="inlineStr">
        <is>
          <t>Planner BestFit Model</t>
        </is>
      </c>
    </row>
    <row r="884">
      <c r="A884" t="inlineStr">
        <is>
          <t>CurrentWorkingView</t>
        </is>
      </c>
      <c r="B884" s="1" t="n">
        <v>4064941176350</v>
      </c>
      <c r="C884" t="inlineStr">
        <is>
          <t>P_US_ULTA</t>
        </is>
      </c>
      <c r="D884" t="inlineStr">
        <is>
          <t>System FC - Final</t>
        </is>
      </c>
      <c r="E884" t="n">
        <v>6592</v>
      </c>
      <c r="F884" t="n">
        <v>4464</v>
      </c>
      <c r="G884" t="n">
        <v>4925</v>
      </c>
      <c r="H884" t="n">
        <v>6657</v>
      </c>
      <c r="I884" t="n">
        <v>6656</v>
      </c>
      <c r="J884" t="n">
        <v>6657</v>
      </c>
      <c r="K884" t="n">
        <v>6656</v>
      </c>
      <c r="L884" t="n">
        <v>6656</v>
      </c>
      <c r="M884" t="n">
        <v>6656</v>
      </c>
      <c r="N884" t="n">
        <v>6656</v>
      </c>
      <c r="O884" t="n">
        <v>6657</v>
      </c>
      <c r="P884" t="n">
        <v>6656</v>
      </c>
    </row>
    <row r="885">
      <c r="A885" t="inlineStr">
        <is>
          <t>CurrentWorkingView</t>
        </is>
      </c>
      <c r="B885" s="1" t="n">
        <v>4064941176350</v>
      </c>
      <c r="C885" t="inlineStr">
        <is>
          <t>P_US_ULTA</t>
        </is>
      </c>
      <c r="D885" t="inlineStr">
        <is>
          <t>CML Fcst</t>
        </is>
      </c>
      <c r="H885" t="n">
        <v>5076</v>
      </c>
      <c r="I885" t="n">
        <v>6228</v>
      </c>
      <c r="J885" t="n">
        <v>6417</v>
      </c>
      <c r="K885" t="n">
        <v>6010</v>
      </c>
      <c r="L885" t="n">
        <v>7048</v>
      </c>
      <c r="M885" t="n">
        <v>6789</v>
      </c>
      <c r="N885" t="n">
        <v>8225</v>
      </c>
      <c r="O885" t="n">
        <v>6359</v>
      </c>
      <c r="P885" t="n">
        <v>7298</v>
      </c>
    </row>
    <row r="886">
      <c r="A886" t="inlineStr">
        <is>
          <t>CurrentWorkingView</t>
        </is>
      </c>
      <c r="B886" s="1" t="n">
        <v>4064941176350</v>
      </c>
      <c r="C886" t="inlineStr">
        <is>
          <t>P_US_ULTA</t>
        </is>
      </c>
      <c r="D886" t="inlineStr">
        <is>
          <t>ST Stat Fcst</t>
        </is>
      </c>
      <c r="E886" t="n">
        <v>6592</v>
      </c>
      <c r="F886" t="n">
        <v>4464</v>
      </c>
      <c r="G886" t="n">
        <v>4714</v>
      </c>
      <c r="H886" t="n">
        <v>5624</v>
      </c>
      <c r="I886" t="n">
        <v>5302</v>
      </c>
      <c r="J886" t="n">
        <v>5580</v>
      </c>
      <c r="K886" t="n">
        <v>5500</v>
      </c>
      <c r="L886" t="n">
        <v>5460</v>
      </c>
      <c r="M886" t="n">
        <v>5514</v>
      </c>
      <c r="N886" t="n">
        <v>5490</v>
      </c>
      <c r="O886" t="n">
        <v>5487</v>
      </c>
      <c r="P886" t="n">
        <v>5499</v>
      </c>
    </row>
    <row r="887">
      <c r="A887" t="inlineStr">
        <is>
          <t>CurrentWorkingView</t>
        </is>
      </c>
      <c r="B887" s="1" t="n">
        <v>4064941176350</v>
      </c>
      <c r="C887" t="inlineStr">
        <is>
          <t>P_US_ULTA</t>
        </is>
      </c>
      <c r="D887" t="inlineStr">
        <is>
          <t>LT Stat Fcst</t>
        </is>
      </c>
      <c r="H887" t="n">
        <v>6657</v>
      </c>
      <c r="I887" t="n">
        <v>6656</v>
      </c>
      <c r="J887" t="n">
        <v>6657</v>
      </c>
      <c r="K887" t="n">
        <v>6656</v>
      </c>
      <c r="L887" t="n">
        <v>6656</v>
      </c>
      <c r="M887" t="n">
        <v>6656</v>
      </c>
      <c r="N887" t="n">
        <v>6656</v>
      </c>
      <c r="O887" t="n">
        <v>6657</v>
      </c>
      <c r="P887" t="n">
        <v>6656</v>
      </c>
    </row>
    <row r="888">
      <c r="A888" t="inlineStr">
        <is>
          <t>CurrentWorkingView</t>
        </is>
      </c>
      <c r="B888" s="1" t="n">
        <v>4064941176350</v>
      </c>
      <c r="C888" t="inlineStr">
        <is>
          <t>P_US_ULTA</t>
        </is>
      </c>
      <c r="D888" t="inlineStr">
        <is>
          <t>System BestFit Final</t>
        </is>
      </c>
      <c r="E888" t="inlineStr">
        <is>
          <t>LT</t>
        </is>
      </c>
      <c r="F888" t="inlineStr">
        <is>
          <t>LT</t>
        </is>
      </c>
      <c r="G888" t="inlineStr">
        <is>
          <t>LT</t>
        </is>
      </c>
      <c r="H888" t="inlineStr">
        <is>
          <t>LT</t>
        </is>
      </c>
      <c r="I888" t="inlineStr">
        <is>
          <t>LT</t>
        </is>
      </c>
      <c r="J888" t="inlineStr">
        <is>
          <t>LT</t>
        </is>
      </c>
      <c r="K888" t="inlineStr">
        <is>
          <t>LT</t>
        </is>
      </c>
      <c r="L888" t="inlineStr">
        <is>
          <t>LT</t>
        </is>
      </c>
      <c r="M888" t="inlineStr">
        <is>
          <t>LT</t>
        </is>
      </c>
      <c r="N888" t="inlineStr">
        <is>
          <t>LT</t>
        </is>
      </c>
      <c r="O888" t="inlineStr">
        <is>
          <t>LT</t>
        </is>
      </c>
      <c r="P888" t="inlineStr">
        <is>
          <t>LT</t>
        </is>
      </c>
    </row>
    <row r="889">
      <c r="A889" t="inlineStr">
        <is>
          <t>CurrentWorkingView</t>
        </is>
      </c>
      <c r="B889" s="1" t="n">
        <v>4064941176350</v>
      </c>
      <c r="C889" t="inlineStr">
        <is>
          <t>P_US_ULTA</t>
        </is>
      </c>
      <c r="D889" t="inlineStr">
        <is>
          <t>System Bestfit Model ST</t>
        </is>
      </c>
    </row>
    <row r="890">
      <c r="A890" t="inlineStr">
        <is>
          <t>CurrentWorkingView</t>
        </is>
      </c>
      <c r="B890" s="1" t="n">
        <v>4064941176350</v>
      </c>
      <c r="C890" t="inlineStr">
        <is>
          <t>P_US_ULTA</t>
        </is>
      </c>
      <c r="D890" t="inlineStr">
        <is>
          <t>Planner BestFit Model</t>
        </is>
      </c>
      <c r="E890" t="inlineStr">
        <is>
          <t>LT</t>
        </is>
      </c>
      <c r="F890" t="inlineStr">
        <is>
          <t>LT</t>
        </is>
      </c>
      <c r="G890" t="inlineStr">
        <is>
          <t>LT</t>
        </is>
      </c>
      <c r="H890" t="inlineStr">
        <is>
          <t>LT</t>
        </is>
      </c>
      <c r="I890" t="inlineStr">
        <is>
          <t>LT</t>
        </is>
      </c>
      <c r="J890" t="inlineStr">
        <is>
          <t>LT</t>
        </is>
      </c>
      <c r="K890" t="inlineStr">
        <is>
          <t>LT</t>
        </is>
      </c>
      <c r="L890" t="inlineStr">
        <is>
          <t>LT</t>
        </is>
      </c>
      <c r="M890" t="inlineStr">
        <is>
          <t>LT</t>
        </is>
      </c>
      <c r="N890" t="inlineStr">
        <is>
          <t>LT</t>
        </is>
      </c>
      <c r="O890" t="inlineStr">
        <is>
          <t>LT</t>
        </is>
      </c>
      <c r="P890" t="inlineStr">
        <is>
          <t>LT</t>
        </is>
      </c>
    </row>
    <row r="891">
      <c r="A891" t="inlineStr">
        <is>
          <t>CurrentWorkingView</t>
        </is>
      </c>
      <c r="B891" s="1" t="n">
        <v>4064941176374</v>
      </c>
      <c r="C891" t="inlineStr">
        <is>
          <t>P_US_ALL_OTHERS</t>
        </is>
      </c>
      <c r="D891" t="inlineStr">
        <is>
          <t>System FC - Final</t>
        </is>
      </c>
      <c r="E891" t="n">
        <v>179</v>
      </c>
      <c r="F891" t="n">
        <v>331</v>
      </c>
      <c r="G891" t="n">
        <v>99</v>
      </c>
      <c r="H891" t="n">
        <v>333</v>
      </c>
      <c r="I891" t="n">
        <v>288</v>
      </c>
      <c r="J891" t="n">
        <v>257</v>
      </c>
      <c r="K891" t="n">
        <v>434</v>
      </c>
      <c r="L891" t="n">
        <v>316</v>
      </c>
      <c r="M891" t="n">
        <v>191</v>
      </c>
      <c r="N891" t="n">
        <v>381</v>
      </c>
      <c r="O891" t="n">
        <v>465</v>
      </c>
      <c r="P891" t="n">
        <v>150</v>
      </c>
    </row>
    <row r="892">
      <c r="A892" t="inlineStr">
        <is>
          <t>CurrentWorkingView</t>
        </is>
      </c>
      <c r="B892" s="1" t="n">
        <v>4064941176374</v>
      </c>
      <c r="C892" t="inlineStr">
        <is>
          <t>P_US_ALL_OTHERS</t>
        </is>
      </c>
      <c r="D892" t="inlineStr">
        <is>
          <t>CML Fcst</t>
        </is>
      </c>
      <c r="H892" t="n">
        <v>332</v>
      </c>
      <c r="I892" t="n">
        <v>288</v>
      </c>
      <c r="J892" t="n">
        <v>257</v>
      </c>
      <c r="K892" t="n">
        <v>434</v>
      </c>
      <c r="L892" t="n">
        <v>316</v>
      </c>
      <c r="M892" t="n">
        <v>191</v>
      </c>
      <c r="N892" t="n">
        <v>381</v>
      </c>
      <c r="O892" t="n">
        <v>465</v>
      </c>
      <c r="P892" t="n">
        <v>150</v>
      </c>
    </row>
    <row r="893">
      <c r="A893" t="inlineStr">
        <is>
          <t>CurrentWorkingView</t>
        </is>
      </c>
      <c r="B893" s="1" t="n">
        <v>4064941176374</v>
      </c>
      <c r="C893" t="inlineStr">
        <is>
          <t>P_US_ALL_OTHERS</t>
        </is>
      </c>
      <c r="D893" t="inlineStr">
        <is>
          <t>ST Stat Fcst</t>
        </is>
      </c>
      <c r="E893" t="n">
        <v>179</v>
      </c>
      <c r="F893" t="n">
        <v>331</v>
      </c>
      <c r="G893" t="n">
        <v>150</v>
      </c>
      <c r="H893" t="n">
        <v>350</v>
      </c>
      <c r="I893" t="n">
        <v>352</v>
      </c>
      <c r="J893" t="n">
        <v>350</v>
      </c>
      <c r="K893" t="n">
        <v>350</v>
      </c>
      <c r="L893" t="n">
        <v>352</v>
      </c>
      <c r="M893" t="n">
        <v>350</v>
      </c>
      <c r="N893" t="n">
        <v>352</v>
      </c>
      <c r="O893" t="n">
        <v>350</v>
      </c>
      <c r="P893" t="n">
        <v>351</v>
      </c>
    </row>
    <row r="894">
      <c r="A894" t="inlineStr">
        <is>
          <t>CurrentWorkingView</t>
        </is>
      </c>
      <c r="B894" s="1" t="n">
        <v>4064941176374</v>
      </c>
      <c r="C894" t="inlineStr">
        <is>
          <t>P_US_ALL_OTHERS</t>
        </is>
      </c>
      <c r="D894" t="inlineStr">
        <is>
          <t>LT Stat Fcst</t>
        </is>
      </c>
      <c r="H894" t="n">
        <v>344</v>
      </c>
      <c r="I894" t="n">
        <v>344</v>
      </c>
      <c r="J894" t="n">
        <v>344</v>
      </c>
      <c r="K894" t="n">
        <v>345</v>
      </c>
      <c r="L894" t="n">
        <v>348</v>
      </c>
      <c r="M894" t="n">
        <v>345</v>
      </c>
      <c r="N894" t="n">
        <v>344</v>
      </c>
      <c r="O894" t="n">
        <v>345</v>
      </c>
      <c r="P894" t="n">
        <v>344</v>
      </c>
    </row>
    <row r="895">
      <c r="A895" t="inlineStr">
        <is>
          <t>CurrentWorkingView</t>
        </is>
      </c>
      <c r="B895" s="1" t="n">
        <v>4064941176374</v>
      </c>
      <c r="C895" t="inlineStr">
        <is>
          <t>P_US_ALL_OTHERS</t>
        </is>
      </c>
      <c r="D895" t="inlineStr">
        <is>
          <t>System BestFit Final</t>
        </is>
      </c>
      <c r="E895" t="inlineStr">
        <is>
          <t>CML</t>
        </is>
      </c>
      <c r="F895" t="inlineStr">
        <is>
          <t>CML</t>
        </is>
      </c>
      <c r="G895" t="inlineStr">
        <is>
          <t>CML</t>
        </is>
      </c>
      <c r="H895" t="inlineStr">
        <is>
          <t>CML</t>
        </is>
      </c>
      <c r="I895" t="inlineStr">
        <is>
          <t>CML</t>
        </is>
      </c>
      <c r="J895" t="inlineStr">
        <is>
          <t>CML</t>
        </is>
      </c>
      <c r="K895" t="inlineStr">
        <is>
          <t>CML</t>
        </is>
      </c>
      <c r="L895" t="inlineStr">
        <is>
          <t>CML</t>
        </is>
      </c>
      <c r="M895" t="inlineStr">
        <is>
          <t>CML</t>
        </is>
      </c>
      <c r="N895" t="inlineStr">
        <is>
          <t>CML</t>
        </is>
      </c>
      <c r="O895" t="inlineStr">
        <is>
          <t>CML</t>
        </is>
      </c>
      <c r="P895" t="inlineStr">
        <is>
          <t>CML</t>
        </is>
      </c>
    </row>
    <row r="896">
      <c r="A896" t="inlineStr">
        <is>
          <t>CurrentWorkingView</t>
        </is>
      </c>
      <c r="B896" s="1" t="n">
        <v>4064941176374</v>
      </c>
      <c r="C896" t="inlineStr">
        <is>
          <t>P_US_ALL_OTHERS</t>
        </is>
      </c>
      <c r="D896" t="inlineStr">
        <is>
          <t>System Bestfit Model ST</t>
        </is>
      </c>
    </row>
    <row r="897">
      <c r="A897" t="inlineStr">
        <is>
          <t>CurrentWorkingView</t>
        </is>
      </c>
      <c r="B897" s="1" t="n">
        <v>4064941176374</v>
      </c>
      <c r="C897" t="inlineStr">
        <is>
          <t>P_US_ALL_OTHERS</t>
        </is>
      </c>
      <c r="D897" t="inlineStr">
        <is>
          <t>Planner BestFit Model</t>
        </is>
      </c>
    </row>
    <row r="898">
      <c r="A898" t="inlineStr">
        <is>
          <t>CurrentWorkingView</t>
        </is>
      </c>
      <c r="B898" s="1" t="n">
        <v>4064941176374</v>
      </c>
      <c r="C898" t="inlineStr">
        <is>
          <t>P_US_ULTA</t>
        </is>
      </c>
      <c r="D898" t="inlineStr">
        <is>
          <t>System FC - Final</t>
        </is>
      </c>
      <c r="E898" t="n">
        <v>4656</v>
      </c>
      <c r="F898" t="n">
        <v>2448</v>
      </c>
      <c r="G898" t="n">
        <v>1904</v>
      </c>
      <c r="H898" t="n">
        <v>2202</v>
      </c>
      <c r="I898" t="n">
        <v>2199</v>
      </c>
      <c r="J898" t="n">
        <v>2201</v>
      </c>
      <c r="K898" t="n">
        <v>2201</v>
      </c>
      <c r="L898" t="n">
        <v>2200</v>
      </c>
      <c r="M898" t="n">
        <v>2201</v>
      </c>
      <c r="N898" t="n">
        <v>2199</v>
      </c>
      <c r="O898" t="n">
        <v>2201</v>
      </c>
      <c r="P898" t="n">
        <v>2199</v>
      </c>
    </row>
    <row r="899">
      <c r="A899" t="inlineStr">
        <is>
          <t>CurrentWorkingView</t>
        </is>
      </c>
      <c r="B899" s="1" t="n">
        <v>4064941176374</v>
      </c>
      <c r="C899" t="inlineStr">
        <is>
          <t>P_US_ULTA</t>
        </is>
      </c>
      <c r="D899" t="inlineStr">
        <is>
          <t>CML Fcst</t>
        </is>
      </c>
      <c r="H899" t="n">
        <v>1899</v>
      </c>
      <c r="I899" t="n">
        <v>3518</v>
      </c>
      <c r="J899" t="n">
        <v>2826</v>
      </c>
      <c r="K899" t="n">
        <v>2307</v>
      </c>
      <c r="L899" t="n">
        <v>2264</v>
      </c>
      <c r="M899" t="n">
        <v>2440</v>
      </c>
      <c r="N899" t="n">
        <v>2040</v>
      </c>
      <c r="O899" t="n">
        <v>1918</v>
      </c>
      <c r="P899" t="n">
        <v>1427</v>
      </c>
    </row>
    <row r="900">
      <c r="A900" t="inlineStr">
        <is>
          <t>CurrentWorkingView</t>
        </is>
      </c>
      <c r="B900" s="1" t="n">
        <v>4064941176374</v>
      </c>
      <c r="C900" t="inlineStr">
        <is>
          <t>P_US_ULTA</t>
        </is>
      </c>
      <c r="D900" t="inlineStr">
        <is>
          <t>ST Stat Fcst</t>
        </is>
      </c>
      <c r="E900" t="n">
        <v>4656</v>
      </c>
      <c r="F900" t="n">
        <v>2448</v>
      </c>
      <c r="G900" t="n">
        <v>1935</v>
      </c>
      <c r="H900" t="n">
        <v>2091</v>
      </c>
      <c r="I900" t="n">
        <v>2092</v>
      </c>
      <c r="J900" t="n">
        <v>2091</v>
      </c>
      <c r="K900" t="n">
        <v>2090</v>
      </c>
      <c r="L900" t="n">
        <v>2092</v>
      </c>
      <c r="M900" t="n">
        <v>2090</v>
      </c>
      <c r="N900" t="n">
        <v>2092</v>
      </c>
      <c r="O900" t="n">
        <v>2090</v>
      </c>
      <c r="P900" t="n">
        <v>2091</v>
      </c>
    </row>
    <row r="901">
      <c r="A901" t="inlineStr">
        <is>
          <t>CurrentWorkingView</t>
        </is>
      </c>
      <c r="B901" s="1" t="n">
        <v>4064941176374</v>
      </c>
      <c r="C901" t="inlineStr">
        <is>
          <t>P_US_ULTA</t>
        </is>
      </c>
      <c r="D901" t="inlineStr">
        <is>
          <t>LT Stat Fcst</t>
        </is>
      </c>
      <c r="H901" t="n">
        <v>2201</v>
      </c>
      <c r="I901" t="n">
        <v>2198</v>
      </c>
      <c r="J901" t="n">
        <v>2201</v>
      </c>
      <c r="K901" t="n">
        <v>2201</v>
      </c>
      <c r="L901" t="n">
        <v>2200</v>
      </c>
      <c r="M901" t="n">
        <v>2201</v>
      </c>
      <c r="N901" t="n">
        <v>2199</v>
      </c>
      <c r="O901" t="n">
        <v>2201</v>
      </c>
      <c r="P901" t="n">
        <v>2199</v>
      </c>
    </row>
    <row r="902">
      <c r="A902" t="inlineStr">
        <is>
          <t>CurrentWorkingView</t>
        </is>
      </c>
      <c r="B902" s="1" t="n">
        <v>4064941176374</v>
      </c>
      <c r="C902" t="inlineStr">
        <is>
          <t>P_US_ULTA</t>
        </is>
      </c>
      <c r="D902" t="inlineStr">
        <is>
          <t>System BestFit Final</t>
        </is>
      </c>
      <c r="E902" t="inlineStr">
        <is>
          <t>LT</t>
        </is>
      </c>
      <c r="F902" t="inlineStr">
        <is>
          <t>LT</t>
        </is>
      </c>
      <c r="G902" t="inlineStr">
        <is>
          <t>LT</t>
        </is>
      </c>
      <c r="H902" t="inlineStr">
        <is>
          <t>LT</t>
        </is>
      </c>
      <c r="I902" t="inlineStr">
        <is>
          <t>LT</t>
        </is>
      </c>
      <c r="J902" t="inlineStr">
        <is>
          <t>LT</t>
        </is>
      </c>
      <c r="K902" t="inlineStr">
        <is>
          <t>LT</t>
        </is>
      </c>
      <c r="L902" t="inlineStr">
        <is>
          <t>LT</t>
        </is>
      </c>
      <c r="M902" t="inlineStr">
        <is>
          <t>LT</t>
        </is>
      </c>
      <c r="N902" t="inlineStr">
        <is>
          <t>LT</t>
        </is>
      </c>
      <c r="O902" t="inlineStr">
        <is>
          <t>LT</t>
        </is>
      </c>
      <c r="P902" t="inlineStr">
        <is>
          <t>LT</t>
        </is>
      </c>
    </row>
    <row r="903">
      <c r="A903" t="inlineStr">
        <is>
          <t>CurrentWorkingView</t>
        </is>
      </c>
      <c r="B903" s="1" t="n">
        <v>4064941176374</v>
      </c>
      <c r="C903" t="inlineStr">
        <is>
          <t>P_US_ULTA</t>
        </is>
      </c>
      <c r="D903" t="inlineStr">
        <is>
          <t>System Bestfit Model ST</t>
        </is>
      </c>
    </row>
    <row r="904">
      <c r="A904" t="inlineStr">
        <is>
          <t>CurrentWorkingView</t>
        </is>
      </c>
      <c r="B904" s="1" t="n">
        <v>4064941176374</v>
      </c>
      <c r="C904" t="inlineStr">
        <is>
          <t>P_US_ULTA</t>
        </is>
      </c>
      <c r="D904" t="inlineStr">
        <is>
          <t>Planner BestFit Model</t>
        </is>
      </c>
      <c r="E904" t="inlineStr">
        <is>
          <t>LT</t>
        </is>
      </c>
      <c r="F904" t="inlineStr">
        <is>
          <t>LT</t>
        </is>
      </c>
      <c r="G904" t="inlineStr">
        <is>
          <t>LT</t>
        </is>
      </c>
      <c r="H904" t="inlineStr">
        <is>
          <t>LT</t>
        </is>
      </c>
      <c r="I904" t="inlineStr">
        <is>
          <t>LT</t>
        </is>
      </c>
      <c r="J904" t="inlineStr">
        <is>
          <t>LT</t>
        </is>
      </c>
      <c r="K904" t="inlineStr">
        <is>
          <t>LT</t>
        </is>
      </c>
      <c r="L904" t="inlineStr">
        <is>
          <t>LT</t>
        </is>
      </c>
      <c r="M904" t="inlineStr">
        <is>
          <t>LT</t>
        </is>
      </c>
      <c r="N904" t="inlineStr">
        <is>
          <t>LT</t>
        </is>
      </c>
      <c r="O904" t="inlineStr">
        <is>
          <t>LT</t>
        </is>
      </c>
      <c r="P904" t="inlineStr">
        <is>
          <t>LT</t>
        </is>
      </c>
    </row>
    <row r="905">
      <c r="A905" t="inlineStr">
        <is>
          <t>CurrentWorkingView</t>
        </is>
      </c>
      <c r="B905" s="1" t="n">
        <v>4064941176381</v>
      </c>
      <c r="C905" t="inlineStr">
        <is>
          <t>P_US_ALL_OTHERS</t>
        </is>
      </c>
      <c r="D905" t="inlineStr">
        <is>
          <t>System FC - Final</t>
        </is>
      </c>
      <c r="E905" t="n">
        <v>285</v>
      </c>
      <c r="F905" t="n">
        <v>385</v>
      </c>
      <c r="G905" t="n">
        <v>221</v>
      </c>
      <c r="H905" t="n">
        <v>368</v>
      </c>
      <c r="I905" t="n">
        <v>367</v>
      </c>
      <c r="J905" t="n">
        <v>367</v>
      </c>
      <c r="K905" t="n">
        <v>368</v>
      </c>
      <c r="L905" t="n">
        <v>368</v>
      </c>
      <c r="M905" t="n">
        <v>368</v>
      </c>
      <c r="N905" t="n">
        <v>368</v>
      </c>
      <c r="O905" t="n">
        <v>368</v>
      </c>
      <c r="P905" t="n">
        <v>368</v>
      </c>
    </row>
    <row r="906">
      <c r="A906" t="inlineStr">
        <is>
          <t>CurrentWorkingView</t>
        </is>
      </c>
      <c r="B906" s="1" t="n">
        <v>4064941176381</v>
      </c>
      <c r="C906" t="inlineStr">
        <is>
          <t>P_US_ALL_OTHERS</t>
        </is>
      </c>
      <c r="D906" t="inlineStr">
        <is>
          <t>CML Fcst</t>
        </is>
      </c>
      <c r="H906" t="n">
        <v>372</v>
      </c>
      <c r="I906" t="n">
        <v>270</v>
      </c>
      <c r="J906" t="n">
        <v>345</v>
      </c>
      <c r="K906" t="n">
        <v>673</v>
      </c>
      <c r="L906" t="n">
        <v>604</v>
      </c>
      <c r="M906" t="n">
        <v>257</v>
      </c>
      <c r="N906" t="n">
        <v>437</v>
      </c>
      <c r="O906" t="n">
        <v>536</v>
      </c>
      <c r="P906" t="n">
        <v>249</v>
      </c>
    </row>
    <row r="907">
      <c r="A907" t="inlineStr">
        <is>
          <t>CurrentWorkingView</t>
        </is>
      </c>
      <c r="B907" s="1" t="n">
        <v>4064941176381</v>
      </c>
      <c r="C907" t="inlineStr">
        <is>
          <t>P_US_ALL_OTHERS</t>
        </is>
      </c>
      <c r="D907" t="inlineStr">
        <is>
          <t>ST Stat Fcst</t>
        </is>
      </c>
      <c r="E907" t="n">
        <v>285</v>
      </c>
      <c r="F907" t="n">
        <v>385</v>
      </c>
      <c r="G907" t="n">
        <v>161</v>
      </c>
      <c r="H907" t="n">
        <v>367</v>
      </c>
      <c r="I907" t="n">
        <v>368</v>
      </c>
      <c r="J907" t="n">
        <v>367</v>
      </c>
      <c r="K907" t="n">
        <v>368</v>
      </c>
      <c r="L907" t="n">
        <v>368</v>
      </c>
      <c r="M907" t="n">
        <v>368</v>
      </c>
      <c r="N907" t="n">
        <v>368</v>
      </c>
      <c r="O907" t="n">
        <v>368</v>
      </c>
      <c r="P907" t="n">
        <v>368</v>
      </c>
    </row>
    <row r="908">
      <c r="A908" t="inlineStr">
        <is>
          <t>CurrentWorkingView</t>
        </is>
      </c>
      <c r="B908" s="1" t="n">
        <v>4064941176381</v>
      </c>
      <c r="C908" t="inlineStr">
        <is>
          <t>P_US_ALL_OTHERS</t>
        </is>
      </c>
      <c r="D908" t="inlineStr">
        <is>
          <t>LT Stat Fcst</t>
        </is>
      </c>
      <c r="H908" t="n">
        <v>371</v>
      </c>
      <c r="I908" t="n">
        <v>370</v>
      </c>
      <c r="J908" t="n">
        <v>371</v>
      </c>
      <c r="K908" t="n">
        <v>372</v>
      </c>
      <c r="L908" t="n">
        <v>372</v>
      </c>
      <c r="M908" t="n">
        <v>372</v>
      </c>
      <c r="N908" t="n">
        <v>369</v>
      </c>
      <c r="O908" t="n">
        <v>372</v>
      </c>
      <c r="P908" t="n">
        <v>369</v>
      </c>
    </row>
    <row r="909">
      <c r="A909" t="inlineStr">
        <is>
          <t>CurrentWorkingView</t>
        </is>
      </c>
      <c r="B909" s="1" t="n">
        <v>4064941176381</v>
      </c>
      <c r="C909" t="inlineStr">
        <is>
          <t>P_US_ALL_OTHERS</t>
        </is>
      </c>
      <c r="D909" t="inlineStr">
        <is>
          <t>System BestFit Final</t>
        </is>
      </c>
      <c r="E909" t="inlineStr">
        <is>
          <t>ST</t>
        </is>
      </c>
      <c r="F909" t="inlineStr">
        <is>
          <t>ST</t>
        </is>
      </c>
      <c r="G909" t="inlineStr">
        <is>
          <t>ST</t>
        </is>
      </c>
      <c r="H909" t="inlineStr">
        <is>
          <t>ST</t>
        </is>
      </c>
      <c r="I909" t="inlineStr">
        <is>
          <t>ST</t>
        </is>
      </c>
      <c r="J909" t="inlineStr">
        <is>
          <t>ST</t>
        </is>
      </c>
      <c r="K909" t="inlineStr">
        <is>
          <t>ST</t>
        </is>
      </c>
      <c r="L909" t="inlineStr">
        <is>
          <t>ST</t>
        </is>
      </c>
      <c r="M909" t="inlineStr">
        <is>
          <t>ST</t>
        </is>
      </c>
      <c r="N909" t="inlineStr">
        <is>
          <t>ST</t>
        </is>
      </c>
      <c r="O909" t="inlineStr">
        <is>
          <t>ST</t>
        </is>
      </c>
      <c r="P909" t="inlineStr">
        <is>
          <t>ST</t>
        </is>
      </c>
    </row>
    <row r="910">
      <c r="A910" t="inlineStr">
        <is>
          <t>CurrentWorkingView</t>
        </is>
      </c>
      <c r="B910" s="1" t="n">
        <v>4064941176381</v>
      </c>
      <c r="C910" t="inlineStr">
        <is>
          <t>P_US_ALL_OTHERS</t>
        </is>
      </c>
      <c r="D910" t="inlineStr">
        <is>
          <t>System Bestfit Model ST</t>
        </is>
      </c>
      <c r="E910" t="inlineStr">
        <is>
          <t>ST</t>
        </is>
      </c>
      <c r="F910" t="inlineStr">
        <is>
          <t>ST</t>
        </is>
      </c>
      <c r="G910" t="inlineStr">
        <is>
          <t>ST</t>
        </is>
      </c>
      <c r="H910" t="inlineStr">
        <is>
          <t>ST</t>
        </is>
      </c>
      <c r="I910" t="inlineStr">
        <is>
          <t>ST</t>
        </is>
      </c>
      <c r="J910" t="inlineStr">
        <is>
          <t>ST</t>
        </is>
      </c>
      <c r="K910" t="inlineStr">
        <is>
          <t>ST</t>
        </is>
      </c>
      <c r="L910" t="inlineStr">
        <is>
          <t>ST</t>
        </is>
      </c>
      <c r="M910" t="inlineStr">
        <is>
          <t>ST</t>
        </is>
      </c>
      <c r="N910" t="inlineStr">
        <is>
          <t>ST</t>
        </is>
      </c>
      <c r="O910" t="inlineStr">
        <is>
          <t>ST</t>
        </is>
      </c>
      <c r="P910" t="inlineStr">
        <is>
          <t>ST</t>
        </is>
      </c>
    </row>
    <row r="911">
      <c r="A911" t="inlineStr">
        <is>
          <t>CurrentWorkingView</t>
        </is>
      </c>
      <c r="B911" s="1" t="n">
        <v>4064941176381</v>
      </c>
      <c r="C911" t="inlineStr">
        <is>
          <t>P_US_ALL_OTHERS</t>
        </is>
      </c>
      <c r="D911" t="inlineStr">
        <is>
          <t>Planner BestFit Model</t>
        </is>
      </c>
    </row>
    <row r="912">
      <c r="A912" t="inlineStr">
        <is>
          <t>CurrentWorkingView</t>
        </is>
      </c>
      <c r="B912" s="1" t="n">
        <v>4064941176381</v>
      </c>
      <c r="C912" t="inlineStr">
        <is>
          <t>P_US_ULTA</t>
        </is>
      </c>
      <c r="D912" t="inlineStr">
        <is>
          <t>System FC - Final</t>
        </is>
      </c>
      <c r="E912" t="n">
        <v>5280</v>
      </c>
      <c r="F912" t="n">
        <v>3072</v>
      </c>
      <c r="G912" t="n">
        <v>4143</v>
      </c>
      <c r="H912" t="n">
        <v>3746</v>
      </c>
      <c r="I912" t="n">
        <v>3742</v>
      </c>
      <c r="J912" t="n">
        <v>3742</v>
      </c>
      <c r="K912" t="n">
        <v>3742</v>
      </c>
      <c r="L912" t="n">
        <v>3740</v>
      </c>
      <c r="M912" t="n">
        <v>3742</v>
      </c>
      <c r="N912" t="n">
        <v>3742</v>
      </c>
      <c r="O912" t="n">
        <v>3742</v>
      </c>
      <c r="P912" t="n">
        <v>3741</v>
      </c>
    </row>
    <row r="913">
      <c r="A913" t="inlineStr">
        <is>
          <t>CurrentWorkingView</t>
        </is>
      </c>
      <c r="B913" s="1" t="n">
        <v>4064941176381</v>
      </c>
      <c r="C913" t="inlineStr">
        <is>
          <t>P_US_ULTA</t>
        </is>
      </c>
      <c r="D913" t="inlineStr">
        <is>
          <t>CML Fcst</t>
        </is>
      </c>
      <c r="H913" t="n">
        <v>5433</v>
      </c>
      <c r="I913" t="n">
        <v>4114</v>
      </c>
      <c r="J913" t="n">
        <v>4464</v>
      </c>
      <c r="K913" t="n">
        <v>3751</v>
      </c>
      <c r="L913" t="n">
        <v>4112</v>
      </c>
      <c r="M913" t="n">
        <v>5753</v>
      </c>
      <c r="N913" t="n">
        <v>3990</v>
      </c>
      <c r="O913" t="n">
        <v>4185</v>
      </c>
      <c r="P913" t="n">
        <v>3492</v>
      </c>
    </row>
    <row r="914">
      <c r="A914" t="inlineStr">
        <is>
          <t>CurrentWorkingView</t>
        </is>
      </c>
      <c r="B914" s="1" t="n">
        <v>4064941176381</v>
      </c>
      <c r="C914" t="inlineStr">
        <is>
          <t>P_US_ULTA</t>
        </is>
      </c>
      <c r="D914" t="inlineStr">
        <is>
          <t>ST Stat Fcst</t>
        </is>
      </c>
      <c r="E914" t="n">
        <v>5280</v>
      </c>
      <c r="F914" t="n">
        <v>3072</v>
      </c>
      <c r="G914" t="n">
        <v>3506</v>
      </c>
      <c r="H914" t="n">
        <v>3746</v>
      </c>
      <c r="I914" t="n">
        <v>3742</v>
      </c>
      <c r="J914" t="n">
        <v>3742</v>
      </c>
      <c r="K914" t="n">
        <v>3742</v>
      </c>
      <c r="L914" t="n">
        <v>3740</v>
      </c>
      <c r="M914" t="n">
        <v>3742</v>
      </c>
      <c r="N914" t="n">
        <v>3742</v>
      </c>
      <c r="O914" t="n">
        <v>3742</v>
      </c>
      <c r="P914" t="n">
        <v>3741</v>
      </c>
    </row>
    <row r="915">
      <c r="A915" t="inlineStr">
        <is>
          <t>CurrentWorkingView</t>
        </is>
      </c>
      <c r="B915" s="1" t="n">
        <v>4064941176381</v>
      </c>
      <c r="C915" t="inlineStr">
        <is>
          <t>P_US_ULTA</t>
        </is>
      </c>
      <c r="D915" t="inlineStr">
        <is>
          <t>LT Stat Fcst</t>
        </is>
      </c>
      <c r="H915" t="n">
        <v>3966</v>
      </c>
      <c r="I915" t="n">
        <v>3964</v>
      </c>
      <c r="J915" t="n">
        <v>3966</v>
      </c>
      <c r="K915" t="n">
        <v>3967</v>
      </c>
      <c r="L915" t="n">
        <v>3964</v>
      </c>
      <c r="M915" t="n">
        <v>3967</v>
      </c>
      <c r="N915" t="n">
        <v>3965</v>
      </c>
      <c r="O915" t="n">
        <v>3968</v>
      </c>
      <c r="P915" t="n">
        <v>3964</v>
      </c>
    </row>
    <row r="916">
      <c r="A916" t="inlineStr">
        <is>
          <t>CurrentWorkingView</t>
        </is>
      </c>
      <c r="B916" s="1" t="n">
        <v>4064941176381</v>
      </c>
      <c r="C916" t="inlineStr">
        <is>
          <t>P_US_ULTA</t>
        </is>
      </c>
      <c r="D916" t="inlineStr">
        <is>
          <t>System BestFit Final</t>
        </is>
      </c>
      <c r="E916" t="inlineStr">
        <is>
          <t>ST</t>
        </is>
      </c>
      <c r="F916" t="inlineStr">
        <is>
          <t>ST</t>
        </is>
      </c>
      <c r="G916" t="inlineStr">
        <is>
          <t>ST</t>
        </is>
      </c>
      <c r="H916" t="inlineStr">
        <is>
          <t>ST</t>
        </is>
      </c>
      <c r="I916" t="inlineStr">
        <is>
          <t>ST</t>
        </is>
      </c>
      <c r="J916" t="inlineStr">
        <is>
          <t>ST</t>
        </is>
      </c>
      <c r="K916" t="inlineStr">
        <is>
          <t>ST</t>
        </is>
      </c>
      <c r="L916" t="inlineStr">
        <is>
          <t>ST</t>
        </is>
      </c>
      <c r="M916" t="inlineStr">
        <is>
          <t>ST</t>
        </is>
      </c>
      <c r="N916" t="inlineStr">
        <is>
          <t>ST</t>
        </is>
      </c>
      <c r="O916" t="inlineStr">
        <is>
          <t>ST</t>
        </is>
      </c>
      <c r="P916" t="inlineStr">
        <is>
          <t>ST</t>
        </is>
      </c>
    </row>
    <row r="917">
      <c r="A917" t="inlineStr">
        <is>
          <t>CurrentWorkingView</t>
        </is>
      </c>
      <c r="B917" s="1" t="n">
        <v>4064941176381</v>
      </c>
      <c r="C917" t="inlineStr">
        <is>
          <t>P_US_ULTA</t>
        </is>
      </c>
      <c r="D917" t="inlineStr">
        <is>
          <t>System Bestfit Model ST</t>
        </is>
      </c>
      <c r="E917" t="inlineStr">
        <is>
          <t>ST</t>
        </is>
      </c>
      <c r="F917" t="inlineStr">
        <is>
          <t>ST</t>
        </is>
      </c>
      <c r="G917" t="inlineStr">
        <is>
          <t>ST</t>
        </is>
      </c>
      <c r="H917" t="inlineStr">
        <is>
          <t>ST</t>
        </is>
      </c>
      <c r="I917" t="inlineStr">
        <is>
          <t>ST</t>
        </is>
      </c>
      <c r="J917" t="inlineStr">
        <is>
          <t>ST</t>
        </is>
      </c>
      <c r="K917" t="inlineStr">
        <is>
          <t>ST</t>
        </is>
      </c>
      <c r="L917" t="inlineStr">
        <is>
          <t>ST</t>
        </is>
      </c>
      <c r="M917" t="inlineStr">
        <is>
          <t>ST</t>
        </is>
      </c>
      <c r="N917" t="inlineStr">
        <is>
          <t>ST</t>
        </is>
      </c>
      <c r="O917" t="inlineStr">
        <is>
          <t>ST</t>
        </is>
      </c>
      <c r="P917" t="inlineStr">
        <is>
          <t>ST</t>
        </is>
      </c>
    </row>
    <row r="918">
      <c r="A918" t="inlineStr">
        <is>
          <t>CurrentWorkingView</t>
        </is>
      </c>
      <c r="B918" s="1" t="n">
        <v>4064941176381</v>
      </c>
      <c r="C918" t="inlineStr">
        <is>
          <t>P_US_ULTA</t>
        </is>
      </c>
      <c r="D918" t="inlineStr">
        <is>
          <t>Planner BestFit Model</t>
        </is>
      </c>
    </row>
    <row r="919">
      <c r="A919" t="inlineStr">
        <is>
          <t>CurrentWorkingView</t>
        </is>
      </c>
      <c r="B919" s="1" t="n">
        <v>737052339047</v>
      </c>
      <c r="C919" t="inlineStr">
        <is>
          <t>P_US_ALL_OTHERS</t>
        </is>
      </c>
      <c r="D919" t="inlineStr">
        <is>
          <t>System FC - Final</t>
        </is>
      </c>
      <c r="E919" t="n">
        <v>5766</v>
      </c>
      <c r="F919" t="n">
        <v>3484</v>
      </c>
      <c r="G919" t="n">
        <v>2826</v>
      </c>
      <c r="H919" t="n">
        <v>3880</v>
      </c>
      <c r="I919" t="n">
        <v>2987</v>
      </c>
      <c r="J919" t="n">
        <v>3822</v>
      </c>
      <c r="K919" t="n">
        <v>3126</v>
      </c>
      <c r="L919" t="n">
        <v>2748</v>
      </c>
      <c r="M919" t="n">
        <v>3246</v>
      </c>
      <c r="N919" t="n">
        <v>2619</v>
      </c>
      <c r="O919" t="n">
        <v>3370</v>
      </c>
      <c r="P919" t="n">
        <v>2692</v>
      </c>
    </row>
    <row r="920">
      <c r="A920" t="inlineStr">
        <is>
          <t>CurrentWorkingView</t>
        </is>
      </c>
      <c r="B920" s="1" t="n">
        <v>737052339047</v>
      </c>
      <c r="C920" t="inlineStr">
        <is>
          <t>P_US_ALL_OTHERS</t>
        </is>
      </c>
      <c r="D920" t="inlineStr">
        <is>
          <t>CML Fcst</t>
        </is>
      </c>
      <c r="H920" t="n">
        <v>4575</v>
      </c>
      <c r="I920" t="n">
        <v>3588</v>
      </c>
      <c r="J920" t="n">
        <v>3219</v>
      </c>
      <c r="K920" t="n">
        <v>1289</v>
      </c>
      <c r="L920" t="n">
        <v>2020</v>
      </c>
      <c r="M920" t="n">
        <v>3397</v>
      </c>
      <c r="N920" t="n">
        <v>2348</v>
      </c>
      <c r="O920" t="n">
        <v>2228</v>
      </c>
      <c r="P920" t="n">
        <v>2297</v>
      </c>
    </row>
    <row r="921">
      <c r="A921" t="inlineStr">
        <is>
          <t>CurrentWorkingView</t>
        </is>
      </c>
      <c r="B921" s="1" t="n">
        <v>737052339047</v>
      </c>
      <c r="C921" t="inlineStr">
        <is>
          <t>P_US_ALL_OTHERS</t>
        </is>
      </c>
      <c r="D921" t="inlineStr">
        <is>
          <t>ST Stat Fcst</t>
        </is>
      </c>
      <c r="E921" t="n">
        <v>5766</v>
      </c>
      <c r="F921" t="n">
        <v>3484</v>
      </c>
      <c r="G921" t="n">
        <v>2826</v>
      </c>
      <c r="H921" t="n">
        <v>3880</v>
      </c>
      <c r="I921" t="n">
        <v>2988</v>
      </c>
      <c r="J921" t="n">
        <v>3822</v>
      </c>
      <c r="K921" t="n">
        <v>3126</v>
      </c>
      <c r="L921" t="n">
        <v>2748</v>
      </c>
      <c r="M921" t="n">
        <v>3246</v>
      </c>
      <c r="N921" t="n">
        <v>2619</v>
      </c>
      <c r="O921" t="n">
        <v>3370</v>
      </c>
      <c r="P921" t="n">
        <v>2692</v>
      </c>
    </row>
    <row r="922">
      <c r="A922" t="inlineStr">
        <is>
          <t>CurrentWorkingView</t>
        </is>
      </c>
      <c r="B922" s="1" t="n">
        <v>737052339047</v>
      </c>
      <c r="C922" t="inlineStr">
        <is>
          <t>P_US_ALL_OTHERS</t>
        </is>
      </c>
      <c r="D922" t="inlineStr">
        <is>
          <t>LT Stat Fcst</t>
        </is>
      </c>
      <c r="H922" t="n">
        <v>4712</v>
      </c>
      <c r="I922" t="n">
        <v>4136</v>
      </c>
      <c r="J922" t="n">
        <v>5957</v>
      </c>
      <c r="K922" t="n">
        <v>3543</v>
      </c>
      <c r="L922" t="n">
        <v>4022</v>
      </c>
      <c r="M922" t="n">
        <v>5569</v>
      </c>
      <c r="N922" t="n">
        <v>2516</v>
      </c>
      <c r="O922" t="n">
        <v>4565</v>
      </c>
      <c r="P922" t="n">
        <v>2297</v>
      </c>
    </row>
    <row r="923">
      <c r="A923" t="inlineStr">
        <is>
          <t>CurrentWorkingView</t>
        </is>
      </c>
      <c r="B923" s="1" t="n">
        <v>737052339047</v>
      </c>
      <c r="C923" t="inlineStr">
        <is>
          <t>P_US_ALL_OTHERS</t>
        </is>
      </c>
      <c r="D923" t="inlineStr">
        <is>
          <t>System BestFit Final</t>
        </is>
      </c>
      <c r="E923" t="inlineStr">
        <is>
          <t>ST</t>
        </is>
      </c>
      <c r="F923" t="inlineStr">
        <is>
          <t>ST</t>
        </is>
      </c>
      <c r="G923" t="inlineStr">
        <is>
          <t>ST</t>
        </is>
      </c>
      <c r="H923" t="inlineStr">
        <is>
          <t>ST</t>
        </is>
      </c>
      <c r="I923" t="inlineStr">
        <is>
          <t>ST</t>
        </is>
      </c>
      <c r="J923" t="inlineStr">
        <is>
          <t>ST</t>
        </is>
      </c>
      <c r="K923" t="inlineStr">
        <is>
          <t>ST</t>
        </is>
      </c>
      <c r="L923" t="inlineStr">
        <is>
          <t>ST</t>
        </is>
      </c>
      <c r="M923" t="inlineStr">
        <is>
          <t>ST</t>
        </is>
      </c>
      <c r="N923" t="inlineStr">
        <is>
          <t>ST</t>
        </is>
      </c>
      <c r="O923" t="inlineStr">
        <is>
          <t>ST</t>
        </is>
      </c>
      <c r="P923" t="inlineStr">
        <is>
          <t>ST</t>
        </is>
      </c>
    </row>
    <row r="924">
      <c r="A924" t="inlineStr">
        <is>
          <t>CurrentWorkingView</t>
        </is>
      </c>
      <c r="B924" s="1" t="n">
        <v>737052339047</v>
      </c>
      <c r="C924" t="inlineStr">
        <is>
          <t>P_US_ALL_OTHERS</t>
        </is>
      </c>
      <c r="D924" t="inlineStr">
        <is>
          <t>System Bestfit Model ST</t>
        </is>
      </c>
      <c r="E924" t="inlineStr">
        <is>
          <t>ST</t>
        </is>
      </c>
      <c r="F924" t="inlineStr">
        <is>
          <t>ST</t>
        </is>
      </c>
      <c r="G924" t="inlineStr">
        <is>
          <t>ST</t>
        </is>
      </c>
      <c r="H924" t="inlineStr">
        <is>
          <t>ST</t>
        </is>
      </c>
      <c r="I924" t="inlineStr">
        <is>
          <t>ST</t>
        </is>
      </c>
      <c r="J924" t="inlineStr">
        <is>
          <t>ST</t>
        </is>
      </c>
      <c r="K924" t="inlineStr">
        <is>
          <t>ST</t>
        </is>
      </c>
      <c r="L924" t="inlineStr">
        <is>
          <t>ST</t>
        </is>
      </c>
      <c r="M924" t="inlineStr">
        <is>
          <t>ST</t>
        </is>
      </c>
      <c r="N924" t="inlineStr">
        <is>
          <t>ST</t>
        </is>
      </c>
      <c r="O924" t="inlineStr">
        <is>
          <t>ST</t>
        </is>
      </c>
      <c r="P924" t="inlineStr">
        <is>
          <t>ST</t>
        </is>
      </c>
    </row>
    <row r="925">
      <c r="A925" t="inlineStr">
        <is>
          <t>CurrentWorkingView</t>
        </is>
      </c>
      <c r="B925" s="1" t="n">
        <v>737052339047</v>
      </c>
      <c r="C925" t="inlineStr">
        <is>
          <t>P_US_ALL_OTHERS</t>
        </is>
      </c>
      <c r="D925" t="inlineStr">
        <is>
          <t>Planner BestFit Model</t>
        </is>
      </c>
      <c r="E925" t="inlineStr">
        <is>
          <t>ST</t>
        </is>
      </c>
      <c r="F925" t="inlineStr">
        <is>
          <t>ST</t>
        </is>
      </c>
      <c r="G925" t="inlineStr">
        <is>
          <t>ST</t>
        </is>
      </c>
      <c r="H925" t="inlineStr">
        <is>
          <t>ST</t>
        </is>
      </c>
      <c r="I925" t="inlineStr">
        <is>
          <t>ST</t>
        </is>
      </c>
      <c r="J925" t="inlineStr">
        <is>
          <t>ST</t>
        </is>
      </c>
      <c r="K925" t="inlineStr">
        <is>
          <t>ST</t>
        </is>
      </c>
      <c r="L925" t="inlineStr">
        <is>
          <t>ST</t>
        </is>
      </c>
      <c r="M925" t="inlineStr">
        <is>
          <t>ST</t>
        </is>
      </c>
      <c r="N925" t="inlineStr">
        <is>
          <t>ST</t>
        </is>
      </c>
      <c r="O925" t="inlineStr">
        <is>
          <t>ST</t>
        </is>
      </c>
      <c r="P925" t="inlineStr">
        <is>
          <t>ST</t>
        </is>
      </c>
    </row>
    <row r="926">
      <c r="A926" t="inlineStr">
        <is>
          <t>CurrentWorkingView</t>
        </is>
      </c>
      <c r="B926" s="1" t="n">
        <v>737052339047</v>
      </c>
      <c r="C926" t="inlineStr">
        <is>
          <t>P_US_ULTA</t>
        </is>
      </c>
      <c r="D926" t="inlineStr">
        <is>
          <t>System FC - Final</t>
        </is>
      </c>
      <c r="E926" t="n">
        <v>264</v>
      </c>
      <c r="F926" t="n">
        <v>864</v>
      </c>
      <c r="G926" t="n">
        <v>3774</v>
      </c>
      <c r="H926" t="n">
        <v>807</v>
      </c>
      <c r="I926" t="n">
        <v>1902</v>
      </c>
      <c r="J926" t="n">
        <v>2095</v>
      </c>
      <c r="K926" t="n">
        <v>1151</v>
      </c>
      <c r="L926" t="n">
        <v>2152</v>
      </c>
      <c r="M926" t="n">
        <v>1466</v>
      </c>
      <c r="N926" t="n">
        <v>750</v>
      </c>
      <c r="O926" t="n">
        <v>3135</v>
      </c>
      <c r="P926" t="n">
        <v>810</v>
      </c>
    </row>
    <row r="927">
      <c r="A927" t="inlineStr">
        <is>
          <t>CurrentWorkingView</t>
        </is>
      </c>
      <c r="B927" s="1" t="n">
        <v>737052339047</v>
      </c>
      <c r="C927" t="inlineStr">
        <is>
          <t>P_US_ULTA</t>
        </is>
      </c>
      <c r="D927" t="inlineStr">
        <is>
          <t>CML Fcst</t>
        </is>
      </c>
      <c r="H927" t="n">
        <v>443</v>
      </c>
      <c r="I927" t="n">
        <v>948</v>
      </c>
      <c r="J927" t="n">
        <v>1014</v>
      </c>
      <c r="K927" t="n">
        <v>970</v>
      </c>
      <c r="L927" t="n">
        <v>764</v>
      </c>
      <c r="M927" t="n">
        <v>1072</v>
      </c>
      <c r="N927" t="n">
        <v>567</v>
      </c>
      <c r="O927" t="n">
        <v>1709</v>
      </c>
      <c r="P927" t="n">
        <v>561</v>
      </c>
    </row>
    <row r="928">
      <c r="A928" t="inlineStr">
        <is>
          <t>CurrentWorkingView</t>
        </is>
      </c>
      <c r="B928" s="1" t="n">
        <v>737052339047</v>
      </c>
      <c r="C928" t="inlineStr">
        <is>
          <t>P_US_ULTA</t>
        </is>
      </c>
      <c r="D928" t="inlineStr">
        <is>
          <t>ST Stat Fcst</t>
        </is>
      </c>
      <c r="E928" t="n">
        <v>264</v>
      </c>
      <c r="F928" t="n">
        <v>864</v>
      </c>
      <c r="G928" t="n">
        <v>3086</v>
      </c>
      <c r="H928" t="n">
        <v>806</v>
      </c>
      <c r="I928" t="n">
        <v>1902</v>
      </c>
      <c r="J928" t="n">
        <v>2095</v>
      </c>
      <c r="K928" t="n">
        <v>1151</v>
      </c>
      <c r="L928" t="n">
        <v>2152</v>
      </c>
      <c r="M928" t="n">
        <v>1466</v>
      </c>
      <c r="N928" t="n">
        <v>750</v>
      </c>
      <c r="O928" t="n">
        <v>3135</v>
      </c>
      <c r="P928" t="n">
        <v>810</v>
      </c>
    </row>
    <row r="929">
      <c r="A929" t="inlineStr">
        <is>
          <t>CurrentWorkingView</t>
        </is>
      </c>
      <c r="B929" s="1" t="n">
        <v>737052339047</v>
      </c>
      <c r="C929" t="inlineStr">
        <is>
          <t>P_US_ULTA</t>
        </is>
      </c>
      <c r="D929" t="inlineStr">
        <is>
          <t>LT Stat Fcst</t>
        </is>
      </c>
      <c r="H929" t="n">
        <v>1701</v>
      </c>
      <c r="I929" t="n">
        <v>1492</v>
      </c>
      <c r="J929" t="n">
        <v>2151</v>
      </c>
      <c r="K929" t="n">
        <v>1282</v>
      </c>
      <c r="L929" t="n">
        <v>1451</v>
      </c>
      <c r="M929" t="n">
        <v>2010</v>
      </c>
      <c r="N929" t="n">
        <v>908</v>
      </c>
      <c r="O929" t="n">
        <v>1646</v>
      </c>
      <c r="P929" t="n">
        <v>831</v>
      </c>
    </row>
    <row r="930">
      <c r="A930" t="inlineStr">
        <is>
          <t>CurrentWorkingView</t>
        </is>
      </c>
      <c r="B930" s="1" t="n">
        <v>737052339047</v>
      </c>
      <c r="C930" t="inlineStr">
        <is>
          <t>P_US_ULTA</t>
        </is>
      </c>
      <c r="D930" t="inlineStr">
        <is>
          <t>System BestFit Final</t>
        </is>
      </c>
      <c r="E930" t="inlineStr">
        <is>
          <t>ST</t>
        </is>
      </c>
      <c r="F930" t="inlineStr">
        <is>
          <t>ST</t>
        </is>
      </c>
      <c r="G930" t="inlineStr">
        <is>
          <t>ST</t>
        </is>
      </c>
      <c r="H930" t="inlineStr">
        <is>
          <t>ST</t>
        </is>
      </c>
      <c r="I930" t="inlineStr">
        <is>
          <t>ST</t>
        </is>
      </c>
      <c r="J930" t="inlineStr">
        <is>
          <t>ST</t>
        </is>
      </c>
      <c r="K930" t="inlineStr">
        <is>
          <t>ST</t>
        </is>
      </c>
      <c r="L930" t="inlineStr">
        <is>
          <t>ST</t>
        </is>
      </c>
      <c r="M930" t="inlineStr">
        <is>
          <t>ST</t>
        </is>
      </c>
      <c r="N930" t="inlineStr">
        <is>
          <t>ST</t>
        </is>
      </c>
      <c r="O930" t="inlineStr">
        <is>
          <t>ST</t>
        </is>
      </c>
      <c r="P930" t="inlineStr">
        <is>
          <t>ST</t>
        </is>
      </c>
    </row>
    <row r="931">
      <c r="A931" t="inlineStr">
        <is>
          <t>CurrentWorkingView</t>
        </is>
      </c>
      <c r="B931" s="1" t="n">
        <v>737052339047</v>
      </c>
      <c r="C931" t="inlineStr">
        <is>
          <t>P_US_ULTA</t>
        </is>
      </c>
      <c r="D931" t="inlineStr">
        <is>
          <t>System Bestfit Model ST</t>
        </is>
      </c>
      <c r="E931" t="inlineStr">
        <is>
          <t>ST</t>
        </is>
      </c>
      <c r="F931" t="inlineStr">
        <is>
          <t>ST</t>
        </is>
      </c>
      <c r="G931" t="inlineStr">
        <is>
          <t>ST</t>
        </is>
      </c>
      <c r="H931" t="inlineStr">
        <is>
          <t>ST</t>
        </is>
      </c>
      <c r="I931" t="inlineStr">
        <is>
          <t>ST</t>
        </is>
      </c>
      <c r="J931" t="inlineStr">
        <is>
          <t>ST</t>
        </is>
      </c>
      <c r="K931" t="inlineStr">
        <is>
          <t>ST</t>
        </is>
      </c>
      <c r="L931" t="inlineStr">
        <is>
          <t>ST</t>
        </is>
      </c>
      <c r="M931" t="inlineStr">
        <is>
          <t>ST</t>
        </is>
      </c>
      <c r="N931" t="inlineStr">
        <is>
          <t>ST</t>
        </is>
      </c>
      <c r="O931" t="inlineStr">
        <is>
          <t>ST</t>
        </is>
      </c>
      <c r="P931" t="inlineStr">
        <is>
          <t>ST</t>
        </is>
      </c>
    </row>
    <row r="932">
      <c r="A932" t="inlineStr">
        <is>
          <t>CurrentWorkingView</t>
        </is>
      </c>
      <c r="B932" s="1" t="n">
        <v>737052339047</v>
      </c>
      <c r="C932" t="inlineStr">
        <is>
          <t>P_US_ULTA</t>
        </is>
      </c>
      <c r="D932" t="inlineStr">
        <is>
          <t>Planner BestFit Model</t>
        </is>
      </c>
      <c r="E932" t="inlineStr">
        <is>
          <t>ST</t>
        </is>
      </c>
      <c r="F932" t="inlineStr">
        <is>
          <t>ST</t>
        </is>
      </c>
      <c r="G932" t="inlineStr">
        <is>
          <t>ST</t>
        </is>
      </c>
      <c r="H932" t="inlineStr">
        <is>
          <t>ST</t>
        </is>
      </c>
      <c r="I932" t="inlineStr">
        <is>
          <t>ST</t>
        </is>
      </c>
      <c r="J932" t="inlineStr">
        <is>
          <t>ST</t>
        </is>
      </c>
      <c r="K932" t="inlineStr">
        <is>
          <t>ST</t>
        </is>
      </c>
      <c r="L932" t="inlineStr">
        <is>
          <t>ST</t>
        </is>
      </c>
      <c r="M932" t="inlineStr">
        <is>
          <t>ST</t>
        </is>
      </c>
      <c r="N932" t="inlineStr">
        <is>
          <t>ST</t>
        </is>
      </c>
      <c r="O932" t="inlineStr">
        <is>
          <t>ST</t>
        </is>
      </c>
      <c r="P932" t="inlineStr">
        <is>
          <t>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93"/>
  <sheetViews>
    <sheetView tabSelected="1" workbookViewId="0">
      <selection activeCell="A1" sqref="A1:A1048576"/>
    </sheetView>
  </sheetViews>
  <sheetFormatPr baseColWidth="8" defaultRowHeight="14.5"/>
  <cols>
    <col width="16.453125" bestFit="1" customWidth="1" style="1" min="1" max="1"/>
  </cols>
  <sheetData>
    <row r="1">
      <c r="A1" s="1" t="inlineStr">
        <is>
          <t>ST Stat Item</t>
        </is>
      </c>
      <c r="B1" t="inlineStr">
        <is>
          <t>Stat Item Description</t>
        </is>
      </c>
      <c r="C1" t="inlineStr">
        <is>
          <t>ST Stat Account</t>
        </is>
      </c>
      <c r="D1" t="inlineStr">
        <is>
          <t>Data</t>
        </is>
      </c>
      <c r="E1" t="inlineStr">
        <is>
          <t>2026.M07</t>
        </is>
      </c>
      <c r="F1" t="inlineStr">
        <is>
          <t>2026.M08</t>
        </is>
      </c>
      <c r="G1" t="inlineStr">
        <is>
          <t>2026.M09</t>
        </is>
      </c>
      <c r="H1" t="inlineStr">
        <is>
          <t>2026.M10</t>
        </is>
      </c>
      <c r="I1" t="inlineStr">
        <is>
          <t>2026.M11</t>
        </is>
      </c>
      <c r="J1" t="inlineStr">
        <is>
          <t>2026.M12</t>
        </is>
      </c>
      <c r="K1" t="inlineStr">
        <is>
          <t>2027.M01</t>
        </is>
      </c>
      <c r="L1" t="inlineStr">
        <is>
          <t>2027.M02</t>
        </is>
      </c>
      <c r="M1" t="inlineStr">
        <is>
          <t>2027.M03</t>
        </is>
      </c>
      <c r="N1" t="inlineStr">
        <is>
          <t>2027.M04</t>
        </is>
      </c>
      <c r="O1" t="inlineStr">
        <is>
          <t>2027.M05</t>
        </is>
      </c>
      <c r="P1" t="inlineStr">
        <is>
          <t>2027.M06</t>
        </is>
      </c>
    </row>
    <row r="2">
      <c r="A2" s="1" t="n">
        <v>3614229382112</v>
      </c>
      <c r="B2" t="inlineStr">
        <is>
          <t>GG PH P EDP 50 ML IV</t>
        </is>
      </c>
      <c r="C2" t="inlineStr">
        <is>
          <t>P_US_ALL_OTHERS</t>
        </is>
      </c>
      <c r="D2" t="inlineStr">
        <is>
          <t>Stat Fcst L1</t>
        </is>
      </c>
      <c r="E2" t="n">
        <v>2385.99992889165</v>
      </c>
      <c r="F2" t="n">
        <v>616.999981611967</v>
      </c>
      <c r="G2" t="n">
        <v>887</v>
      </c>
      <c r="H2" t="n">
        <v>2609</v>
      </c>
      <c r="I2" t="n">
        <v>922</v>
      </c>
      <c r="J2" t="n">
        <v>673</v>
      </c>
      <c r="K2" t="n">
        <v>695</v>
      </c>
      <c r="L2" t="n">
        <v>1392</v>
      </c>
      <c r="M2" t="n">
        <v>1280</v>
      </c>
      <c r="N2" t="n">
        <v>758</v>
      </c>
      <c r="O2" t="n">
        <v>1315</v>
      </c>
      <c r="P2" t="n">
        <v>716</v>
      </c>
    </row>
    <row r="3">
      <c r="A3" s="1" t="n">
        <v>3614229382112</v>
      </c>
      <c r="B3" t="inlineStr">
        <is>
          <t>GG PH P EDP 50 ML IV</t>
        </is>
      </c>
      <c r="C3" t="inlineStr">
        <is>
          <t>P_US_ALL_OTHERS</t>
        </is>
      </c>
      <c r="D3" t="inlineStr">
        <is>
          <t>Stat Fcst AR-NNET</t>
        </is>
      </c>
    </row>
    <row r="4">
      <c r="A4" s="1" t="n">
        <v>3614229382112</v>
      </c>
      <c r="B4" t="inlineStr">
        <is>
          <t>GG PH P EDP 50 ML IV</t>
        </is>
      </c>
      <c r="C4" t="inlineStr">
        <is>
          <t>P_US_ALL_OTHERS</t>
        </is>
      </c>
      <c r="D4" t="inlineStr">
        <is>
          <t>Stat Fcst Auto ARIMA</t>
        </is>
      </c>
    </row>
    <row r="5">
      <c r="A5" s="1" t="n">
        <v>3614229382112</v>
      </c>
      <c r="B5" t="inlineStr">
        <is>
          <t>GG PH P EDP 50 ML IV</t>
        </is>
      </c>
      <c r="C5" t="inlineStr">
        <is>
          <t>P_US_ALL_OTHERS</t>
        </is>
      </c>
      <c r="D5" t="inlineStr">
        <is>
          <t>Stat Fcst Croston</t>
        </is>
      </c>
    </row>
    <row r="6">
      <c r="A6" s="1" t="n">
        <v>3614229382112</v>
      </c>
      <c r="B6" t="inlineStr">
        <is>
          <t>GG PH P EDP 50 ML IV</t>
        </is>
      </c>
      <c r="C6" t="inlineStr">
        <is>
          <t>P_US_ALL_OTHERS</t>
        </is>
      </c>
      <c r="D6" t="inlineStr">
        <is>
          <t>Stat Fcst DES</t>
        </is>
      </c>
    </row>
    <row r="7">
      <c r="A7" s="1" t="n">
        <v>3614229382112</v>
      </c>
      <c r="B7" t="inlineStr">
        <is>
          <t>GG PH P EDP 50 ML IV</t>
        </is>
      </c>
      <c r="C7" t="inlineStr">
        <is>
          <t>P_US_ALL_OTHERS</t>
        </is>
      </c>
      <c r="D7" t="inlineStr">
        <is>
          <t>Stat Fcst ETS</t>
        </is>
      </c>
    </row>
    <row r="8">
      <c r="A8" s="1" t="n">
        <v>3614229382112</v>
      </c>
      <c r="B8" t="inlineStr">
        <is>
          <t>GG PH P EDP 50 ML IV</t>
        </is>
      </c>
      <c r="C8" t="inlineStr">
        <is>
          <t>P_US_ALL_OTHERS</t>
        </is>
      </c>
      <c r="D8" t="inlineStr">
        <is>
          <t>Stat Fcst Moving Average</t>
        </is>
      </c>
    </row>
    <row r="9">
      <c r="A9" s="1" t="n">
        <v>3614229382112</v>
      </c>
      <c r="B9" t="inlineStr">
        <is>
          <t>GG PH P EDP 50 ML IV</t>
        </is>
      </c>
      <c r="C9" t="inlineStr">
        <is>
          <t>P_US_ALL_OTHERS</t>
        </is>
      </c>
      <c r="D9" t="inlineStr">
        <is>
          <t>Stat Fcst Naive Random Walk</t>
        </is>
      </c>
    </row>
    <row r="10">
      <c r="A10" s="1" t="n">
        <v>3614229382112</v>
      </c>
      <c r="B10" t="inlineStr">
        <is>
          <t>GG PH P EDP 50 ML IV</t>
        </is>
      </c>
      <c r="C10" t="inlineStr">
        <is>
          <t>P_US_ALL_OTHERS</t>
        </is>
      </c>
      <c r="D10" t="inlineStr">
        <is>
          <t>Stat Fcst Prophet</t>
        </is>
      </c>
    </row>
    <row r="11">
      <c r="A11" s="1" t="n">
        <v>3614229382112</v>
      </c>
      <c r="B11" t="inlineStr">
        <is>
          <t>GG PH P EDP 50 ML IV</t>
        </is>
      </c>
      <c r="C11" t="inlineStr">
        <is>
          <t>P_US_ALL_OTHERS</t>
        </is>
      </c>
      <c r="D11" t="inlineStr">
        <is>
          <t>Stat Fcst sARIMA</t>
        </is>
      </c>
    </row>
    <row r="12">
      <c r="A12" s="1" t="n">
        <v>3614229382112</v>
      </c>
      <c r="B12" t="inlineStr">
        <is>
          <t>GG PH P EDP 50 ML IV</t>
        </is>
      </c>
      <c r="C12" t="inlineStr">
        <is>
          <t>P_US_ALL_OTHERS</t>
        </is>
      </c>
      <c r="D12" t="inlineStr">
        <is>
          <t>Stat Fcst Seasonal Naive YoY</t>
        </is>
      </c>
    </row>
    <row r="13">
      <c r="A13" s="1" t="n">
        <v>3614229382112</v>
      </c>
      <c r="B13" t="inlineStr">
        <is>
          <t>GG PH P EDP 50 ML IV</t>
        </is>
      </c>
      <c r="C13" t="inlineStr">
        <is>
          <t>P_US_ALL_OTHERS</t>
        </is>
      </c>
      <c r="D13" t="inlineStr">
        <is>
          <t>Stat Fcst SES</t>
        </is>
      </c>
    </row>
    <row r="14">
      <c r="A14" s="1" t="n">
        <v>3614229382112</v>
      </c>
      <c r="B14" t="inlineStr">
        <is>
          <t>GG PH P EDP 50 ML IV</t>
        </is>
      </c>
      <c r="C14" t="inlineStr">
        <is>
          <t>P_US_ALL_OTHERS</t>
        </is>
      </c>
      <c r="D14" t="inlineStr">
        <is>
          <t>Stat Fcst STLF</t>
        </is>
      </c>
      <c r="E14" t="n">
        <v>1662.49837146569</v>
      </c>
      <c r="F14" t="n">
        <v>1797.46255704585</v>
      </c>
      <c r="G14" t="n">
        <v>5151.85516632171</v>
      </c>
      <c r="H14" t="n">
        <v>3766.94007604925</v>
      </c>
      <c r="I14" t="n">
        <v>2201.91350917014</v>
      </c>
      <c r="J14" t="n">
        <v>3871.87930475368</v>
      </c>
      <c r="K14" t="n">
        <v>2288.11282131998</v>
      </c>
      <c r="L14" t="n">
        <v>3197.10292625394</v>
      </c>
      <c r="M14" t="n">
        <v>4902.16859128444</v>
      </c>
      <c r="N14" t="n">
        <v>4972.25650741695</v>
      </c>
      <c r="O14" t="n">
        <v>3840.12645976621</v>
      </c>
      <c r="P14" t="n">
        <v>4974.42343674963</v>
      </c>
    </row>
    <row r="15">
      <c r="A15" s="1" t="n">
        <v>3614229382112</v>
      </c>
      <c r="B15" t="inlineStr">
        <is>
          <t>GG PH P EDP 50 ML IV</t>
        </is>
      </c>
      <c r="C15" t="inlineStr">
        <is>
          <t>P_US_ALL_OTHERS</t>
        </is>
      </c>
      <c r="D15" t="inlineStr">
        <is>
          <t>Stat Fcst TBATS</t>
        </is>
      </c>
    </row>
    <row r="16">
      <c r="A16" s="1" t="n">
        <v>3614229382112</v>
      </c>
      <c r="B16" t="inlineStr">
        <is>
          <t>GG PH P EDP 50 ML IV</t>
        </is>
      </c>
      <c r="C16" t="inlineStr">
        <is>
          <t>P_US_ALL_OTHERS</t>
        </is>
      </c>
      <c r="D16" t="inlineStr">
        <is>
          <t>Stat Fcst TES</t>
        </is>
      </c>
      <c r="E16" t="n">
        <v>962.958901944426</v>
      </c>
      <c r="F16" t="n">
        <v>1054.91202753837</v>
      </c>
      <c r="G16" t="n">
        <v>2612.81994873323</v>
      </c>
      <c r="H16" t="n">
        <v>2608.72779850213</v>
      </c>
      <c r="I16" t="n">
        <v>921.501934725218</v>
      </c>
      <c r="J16" t="n">
        <v>672.395780594711</v>
      </c>
      <c r="K16" t="n">
        <v>694.9114595164179</v>
      </c>
      <c r="L16" t="n">
        <v>1390.9559954198</v>
      </c>
      <c r="M16" t="n">
        <v>1281.01999314224</v>
      </c>
      <c r="N16" t="n">
        <v>756.5404447932</v>
      </c>
      <c r="O16" t="n">
        <v>1315.6624698136</v>
      </c>
      <c r="P16" t="n">
        <v>715.012157995975</v>
      </c>
    </row>
    <row r="17">
      <c r="A17" s="1" t="n">
        <v>3614229382112</v>
      </c>
      <c r="B17" t="inlineStr">
        <is>
          <t>GG PH P EDP 50 ML IV</t>
        </is>
      </c>
      <c r="C17" t="inlineStr">
        <is>
          <t>P_US_ALL_OTHERS</t>
        </is>
      </c>
      <c r="D17" t="inlineStr">
        <is>
          <t>Stat Fcst Theta</t>
        </is>
      </c>
    </row>
    <row r="18">
      <c r="A18" s="1" t="n">
        <v>3614229382112</v>
      </c>
      <c r="B18" t="inlineStr">
        <is>
          <t>GG PH P EDP 50 ML IV</t>
        </is>
      </c>
      <c r="C18" t="inlineStr">
        <is>
          <t>P_US_ALL_OTHERS</t>
        </is>
      </c>
      <c r="D18" t="inlineStr">
        <is>
          <t>System ML Fcst L1</t>
        </is>
      </c>
    </row>
    <row r="19">
      <c r="A19" s="1" t="n">
        <v>3614229382112</v>
      </c>
      <c r="B19" t="inlineStr">
        <is>
          <t>GG PH P EDP 50 ML IV</t>
        </is>
      </c>
      <c r="C19" t="inlineStr">
        <is>
          <t>P_US_ALL_OTHERS</t>
        </is>
      </c>
      <c r="D19" t="inlineStr">
        <is>
          <t>Stat Fcst Simple Snaive</t>
        </is>
      </c>
      <c r="E19" t="n">
        <v>2452.9999268949</v>
      </c>
      <c r="F19" t="n">
        <v>2259.11992779016</v>
      </c>
      <c r="G19" t="n">
        <v>1587.33334515988</v>
      </c>
      <c r="H19" t="n">
        <v>906.333306322495</v>
      </c>
      <c r="I19" t="n">
        <v>1323.00000985711</v>
      </c>
      <c r="J19" t="n">
        <v>1075.3333012859</v>
      </c>
      <c r="K19" t="n">
        <v>1655.99995064735</v>
      </c>
      <c r="L19" t="n">
        <v>1877.74674479166</v>
      </c>
      <c r="M19" t="n">
        <v>1516.66654008627</v>
      </c>
      <c r="N19" t="n">
        <v>1186.66668434937</v>
      </c>
      <c r="O19" t="n">
        <v>751.333290596803</v>
      </c>
      <c r="P19" t="n">
        <v>1284.66667623817</v>
      </c>
    </row>
    <row r="20">
      <c r="A20" s="1" t="n">
        <v>3614229382112</v>
      </c>
      <c r="B20" t="inlineStr">
        <is>
          <t>GG PH P EDP 50 ML IV</t>
        </is>
      </c>
      <c r="C20" t="inlineStr">
        <is>
          <t>P_US_ALL_OTHERS</t>
        </is>
      </c>
      <c r="D20" t="inlineStr">
        <is>
          <t>Stat Fcst Simple AOA</t>
        </is>
      </c>
    </row>
    <row r="21">
      <c r="A21" s="1" t="n">
        <v>3614229382112</v>
      </c>
      <c r="B21" t="inlineStr">
        <is>
          <t>GG PH P EDP 50 ML IV</t>
        </is>
      </c>
      <c r="C21" t="inlineStr">
        <is>
          <t>P_US_ALL_OTHERS</t>
        </is>
      </c>
      <c r="D21" t="inlineStr">
        <is>
          <t>Stat Fcst Weighted Snaive</t>
        </is>
      </c>
    </row>
    <row r="22">
      <c r="A22" s="1" t="n">
        <v>3614229382112</v>
      </c>
      <c r="B22" t="inlineStr">
        <is>
          <t>GG PH P EDP 50 ML IV</t>
        </is>
      </c>
      <c r="C22" t="inlineStr">
        <is>
          <t>P_US_ALL_OTHERS</t>
        </is>
      </c>
      <c r="D22" t="inlineStr">
        <is>
          <t>Stat Fcst Weighted AOA</t>
        </is>
      </c>
    </row>
    <row r="23">
      <c r="A23" s="1" t="n">
        <v>3614229382112</v>
      </c>
      <c r="B23" t="inlineStr">
        <is>
          <t>GG PH P EDP 50 ML IV</t>
        </is>
      </c>
      <c r="C23" t="inlineStr">
        <is>
          <t>P_US_ALL_OTHERS</t>
        </is>
      </c>
      <c r="D23" t="inlineStr">
        <is>
          <t>Stat Fcst Growth Snaive</t>
        </is>
      </c>
    </row>
    <row r="24">
      <c r="A24" s="1" t="n">
        <v>3614229382112</v>
      </c>
      <c r="B24" t="inlineStr">
        <is>
          <t>GG PH P EDP 50 ML IV</t>
        </is>
      </c>
      <c r="C24" t="inlineStr">
        <is>
          <t>P_US_ALL_OTHERS</t>
        </is>
      </c>
      <c r="D24" t="inlineStr">
        <is>
          <t>Stat Fcst Growth AOA</t>
        </is>
      </c>
    </row>
    <row r="25">
      <c r="A25" s="1" t="n">
        <v>3614229382112</v>
      </c>
      <c r="B25" t="inlineStr">
        <is>
          <t>GG PH P EDP 50 ML IV</t>
        </is>
      </c>
      <c r="C25" t="inlineStr">
        <is>
          <t>P_US_ALL_OTHERS</t>
        </is>
      </c>
      <c r="D25" t="inlineStr">
        <is>
          <t>System Stat Fcst Bestfit</t>
        </is>
      </c>
      <c r="H25" t="n">
        <v>2608.72770545697</v>
      </c>
      <c r="I25" t="n">
        <v>921.501959990724</v>
      </c>
      <c r="J25" t="n">
        <v>672.39573191417</v>
      </c>
      <c r="K25" t="n">
        <v>694.911478313461</v>
      </c>
      <c r="L25" t="n">
        <v>1390.9560546875</v>
      </c>
      <c r="M25" t="n">
        <v>1281.01998135387</v>
      </c>
      <c r="N25" t="n">
        <v>756.540477581925</v>
      </c>
      <c r="O25" t="n">
        <v>1315.66243637614</v>
      </c>
      <c r="P25" t="n">
        <v>715.012151323349</v>
      </c>
    </row>
    <row r="26">
      <c r="A26" s="1" t="n">
        <v>3614229382112</v>
      </c>
      <c r="B26" t="inlineStr">
        <is>
          <t>GG PH P EDP 50 ML IV</t>
        </is>
      </c>
      <c r="C26" t="inlineStr">
        <is>
          <t>P_US_ULTA</t>
        </is>
      </c>
      <c r="D26" t="inlineStr">
        <is>
          <t>Stat Fcst L1</t>
        </is>
      </c>
      <c r="E26" t="n">
        <v>165.999995052814</v>
      </c>
      <c r="F26" t="n">
        <v>330.999990135431</v>
      </c>
      <c r="G26" t="n">
        <v>570</v>
      </c>
      <c r="H26" t="n">
        <v>0</v>
      </c>
      <c r="I26" t="n">
        <v>248</v>
      </c>
      <c r="J26" t="n">
        <v>177</v>
      </c>
      <c r="K26" t="n">
        <v>40</v>
      </c>
      <c r="L26" t="n">
        <v>852</v>
      </c>
      <c r="M26" t="n">
        <v>487</v>
      </c>
      <c r="N26" t="n">
        <v>55</v>
      </c>
      <c r="O26" t="n">
        <v>376</v>
      </c>
      <c r="P26" t="n">
        <v>540</v>
      </c>
    </row>
    <row r="27">
      <c r="A27" s="1" t="n">
        <v>3614229382112</v>
      </c>
      <c r="B27" t="inlineStr">
        <is>
          <t>GG PH P EDP 50 ML IV</t>
        </is>
      </c>
      <c r="C27" t="inlineStr">
        <is>
          <t>P_US_ULTA</t>
        </is>
      </c>
      <c r="D27" t="inlineStr">
        <is>
          <t>Stat Fcst AR-NNET</t>
        </is>
      </c>
    </row>
    <row r="28">
      <c r="A28" s="1" t="n">
        <v>3614229382112</v>
      </c>
      <c r="B28" t="inlineStr">
        <is>
          <t>GG PH P EDP 50 ML IV</t>
        </is>
      </c>
      <c r="C28" t="inlineStr">
        <is>
          <t>P_US_ULTA</t>
        </is>
      </c>
      <c r="D28" t="inlineStr">
        <is>
          <t>Stat Fcst Auto ARIMA</t>
        </is>
      </c>
    </row>
    <row r="29">
      <c r="A29" s="1" t="n">
        <v>3614229382112</v>
      </c>
      <c r="B29" t="inlineStr">
        <is>
          <t>GG PH P EDP 50 ML IV</t>
        </is>
      </c>
      <c r="C29" t="inlineStr">
        <is>
          <t>P_US_ULTA</t>
        </is>
      </c>
      <c r="D29" t="inlineStr">
        <is>
          <t>Stat Fcst Croston</t>
        </is>
      </c>
    </row>
    <row r="30">
      <c r="A30" s="1" t="n">
        <v>3614229382112</v>
      </c>
      <c r="B30" t="inlineStr">
        <is>
          <t>GG PH P EDP 50 ML IV</t>
        </is>
      </c>
      <c r="C30" t="inlineStr">
        <is>
          <t>P_US_ULTA</t>
        </is>
      </c>
      <c r="D30" t="inlineStr">
        <is>
          <t>Stat Fcst DES</t>
        </is>
      </c>
    </row>
    <row r="31">
      <c r="A31" s="1" t="n">
        <v>3614229382112</v>
      </c>
      <c r="B31" t="inlineStr">
        <is>
          <t>GG PH P EDP 50 ML IV</t>
        </is>
      </c>
      <c r="C31" t="inlineStr">
        <is>
          <t>P_US_ULTA</t>
        </is>
      </c>
      <c r="D31" t="inlineStr">
        <is>
          <t>Stat Fcst ETS</t>
        </is>
      </c>
    </row>
    <row r="32">
      <c r="A32" s="1" t="n">
        <v>3614229382112</v>
      </c>
      <c r="B32" t="inlineStr">
        <is>
          <t>GG PH P EDP 50 ML IV</t>
        </is>
      </c>
      <c r="C32" t="inlineStr">
        <is>
          <t>P_US_ULTA</t>
        </is>
      </c>
      <c r="D32" t="inlineStr">
        <is>
          <t>Stat Fcst Moving Average</t>
        </is>
      </c>
    </row>
    <row r="33">
      <c r="A33" s="1" t="n">
        <v>3614229382112</v>
      </c>
      <c r="B33" t="inlineStr">
        <is>
          <t>GG PH P EDP 50 ML IV</t>
        </is>
      </c>
      <c r="C33" t="inlineStr">
        <is>
          <t>P_US_ULTA</t>
        </is>
      </c>
      <c r="D33" t="inlineStr">
        <is>
          <t>Stat Fcst Naive Random Walk</t>
        </is>
      </c>
    </row>
    <row r="34">
      <c r="A34" s="1" t="n">
        <v>3614229382112</v>
      </c>
      <c r="B34" t="inlineStr">
        <is>
          <t>GG PH P EDP 50 ML IV</t>
        </is>
      </c>
      <c r="C34" t="inlineStr">
        <is>
          <t>P_US_ULTA</t>
        </is>
      </c>
      <c r="D34" t="inlineStr">
        <is>
          <t>Stat Fcst Prophet</t>
        </is>
      </c>
    </row>
    <row r="35">
      <c r="A35" s="1" t="n">
        <v>3614229382112</v>
      </c>
      <c r="B35" t="inlineStr">
        <is>
          <t>GG PH P EDP 50 ML IV</t>
        </is>
      </c>
      <c r="C35" t="inlineStr">
        <is>
          <t>P_US_ULTA</t>
        </is>
      </c>
      <c r="D35" t="inlineStr">
        <is>
          <t>Stat Fcst sARIMA</t>
        </is>
      </c>
    </row>
    <row r="36">
      <c r="A36" s="1" t="n">
        <v>3614229382112</v>
      </c>
      <c r="B36" t="inlineStr">
        <is>
          <t>GG PH P EDP 50 ML IV</t>
        </is>
      </c>
      <c r="C36" t="inlineStr">
        <is>
          <t>P_US_ULTA</t>
        </is>
      </c>
      <c r="D36" t="inlineStr">
        <is>
          <t>Stat Fcst Seasonal Naive YoY</t>
        </is>
      </c>
    </row>
    <row r="37">
      <c r="A37" s="1" t="n">
        <v>3614229382112</v>
      </c>
      <c r="B37" t="inlineStr">
        <is>
          <t>GG PH P EDP 50 ML IV</t>
        </is>
      </c>
      <c r="C37" t="inlineStr">
        <is>
          <t>P_US_ULTA</t>
        </is>
      </c>
      <c r="D37" t="inlineStr">
        <is>
          <t>Stat Fcst SES</t>
        </is>
      </c>
    </row>
    <row r="38">
      <c r="A38" s="1" t="n">
        <v>3614229382112</v>
      </c>
      <c r="B38" t="inlineStr">
        <is>
          <t>GG PH P EDP 50 ML IV</t>
        </is>
      </c>
      <c r="C38" t="inlineStr">
        <is>
          <t>P_US_ULTA</t>
        </is>
      </c>
      <c r="D38" t="inlineStr">
        <is>
          <t>Stat Fcst STLF</t>
        </is>
      </c>
      <c r="E38" t="n">
        <v>144.254863689859</v>
      </c>
      <c r="F38" t="n">
        <v>723.204952364605</v>
      </c>
      <c r="G38" t="n">
        <v>439.564493298091</v>
      </c>
      <c r="H38" t="n">
        <v>9.448586007723611</v>
      </c>
      <c r="I38" t="n">
        <v>788.564029566635</v>
      </c>
      <c r="J38" t="n">
        <v>562.521668982039</v>
      </c>
      <c r="K38" t="n">
        <v>0</v>
      </c>
      <c r="L38" t="n">
        <v>118.399481513633</v>
      </c>
      <c r="M38" t="n">
        <v>0</v>
      </c>
      <c r="N38" t="n">
        <v>245.149720700228</v>
      </c>
      <c r="O38" t="n">
        <v>667.548756467598</v>
      </c>
      <c r="P38" t="n">
        <v>335.748303618044</v>
      </c>
    </row>
    <row r="39">
      <c r="A39" s="1" t="n">
        <v>3614229382112</v>
      </c>
      <c r="B39" t="inlineStr">
        <is>
          <t>GG PH P EDP 50 ML IV</t>
        </is>
      </c>
      <c r="C39" t="inlineStr">
        <is>
          <t>P_US_ULTA</t>
        </is>
      </c>
      <c r="D39" t="inlineStr">
        <is>
          <t>Stat Fcst TBATS</t>
        </is>
      </c>
    </row>
    <row r="40">
      <c r="A40" s="1" t="n">
        <v>3614229382112</v>
      </c>
      <c r="B40" t="inlineStr">
        <is>
          <t>GG PH P EDP 50 ML IV</t>
        </is>
      </c>
      <c r="C40" t="inlineStr">
        <is>
          <t>P_US_ULTA</t>
        </is>
      </c>
      <c r="D40" t="inlineStr">
        <is>
          <t>Stat Fcst TES</t>
        </is>
      </c>
      <c r="E40" t="n">
        <v>141.793520423631</v>
      </c>
      <c r="F40" t="n">
        <v>652.424365135437</v>
      </c>
      <c r="G40" t="n">
        <v>507.831199907448</v>
      </c>
      <c r="H40" t="n">
        <v>0</v>
      </c>
      <c r="I40" t="n">
        <v>248.722685694305</v>
      </c>
      <c r="J40" t="n">
        <v>177.247422143402</v>
      </c>
      <c r="K40" t="n">
        <v>41.6748206912608</v>
      </c>
      <c r="L40" t="n">
        <v>852.2678777725509</v>
      </c>
      <c r="M40" t="n">
        <v>486.661458305783</v>
      </c>
      <c r="N40" t="n">
        <v>54.4034257190407</v>
      </c>
      <c r="O40" t="n">
        <v>374.827786804753</v>
      </c>
      <c r="P40" t="n">
        <v>541.416779200234</v>
      </c>
    </row>
    <row r="41">
      <c r="A41" s="1" t="n">
        <v>3614229382112</v>
      </c>
      <c r="B41" t="inlineStr">
        <is>
          <t>GG PH P EDP 50 ML IV</t>
        </is>
      </c>
      <c r="C41" t="inlineStr">
        <is>
          <t>P_US_ULTA</t>
        </is>
      </c>
      <c r="D41" t="inlineStr">
        <is>
          <t>Stat Fcst Theta</t>
        </is>
      </c>
    </row>
    <row r="42">
      <c r="A42" s="1" t="n">
        <v>3614229382112</v>
      </c>
      <c r="B42" t="inlineStr">
        <is>
          <t>GG PH P EDP 50 ML IV</t>
        </is>
      </c>
      <c r="C42" t="inlineStr">
        <is>
          <t>P_US_ULTA</t>
        </is>
      </c>
      <c r="D42" t="inlineStr">
        <is>
          <t>System ML Fcst L1</t>
        </is>
      </c>
    </row>
    <row r="43">
      <c r="A43" s="1" t="n">
        <v>3614229382112</v>
      </c>
      <c r="B43" t="inlineStr">
        <is>
          <t>GG PH P EDP 50 ML IV</t>
        </is>
      </c>
      <c r="C43" t="inlineStr">
        <is>
          <t>P_US_ULTA</t>
        </is>
      </c>
      <c r="D43" t="inlineStr">
        <is>
          <t>Stat Fcst Simple Snaive</t>
        </is>
      </c>
      <c r="E43" t="n">
        <v>88.9999894797804</v>
      </c>
      <c r="F43" t="n">
        <v>381.499988153576</v>
      </c>
      <c r="G43" t="n">
        <v>1191.48365145537</v>
      </c>
      <c r="H43" t="n">
        <v>109.999995450178</v>
      </c>
      <c r="I43" t="n">
        <v>759.00000565499</v>
      </c>
      <c r="J43" t="n">
        <v>364.333322475353</v>
      </c>
      <c r="K43" t="n">
        <v>205.333327213923</v>
      </c>
      <c r="L43" t="n">
        <v>1050.15030924479</v>
      </c>
      <c r="M43" t="n">
        <v>813.816905881456</v>
      </c>
      <c r="N43" t="n">
        <v>223.333336661259</v>
      </c>
      <c r="O43" t="n">
        <v>450.666653235753</v>
      </c>
      <c r="P43" t="n">
        <v>219.333334967494</v>
      </c>
    </row>
    <row r="44">
      <c r="A44" s="1" t="n">
        <v>3614229382112</v>
      </c>
      <c r="B44" t="inlineStr">
        <is>
          <t>GG PH P EDP 50 ML IV</t>
        </is>
      </c>
      <c r="C44" t="inlineStr">
        <is>
          <t>P_US_ULTA</t>
        </is>
      </c>
      <c r="D44" t="inlineStr">
        <is>
          <t>Stat Fcst Simple AOA</t>
        </is>
      </c>
    </row>
    <row r="45">
      <c r="A45" s="1" t="n">
        <v>3614229382112</v>
      </c>
      <c r="B45" t="inlineStr">
        <is>
          <t>GG PH P EDP 50 ML IV</t>
        </is>
      </c>
      <c r="C45" t="inlineStr">
        <is>
          <t>P_US_ULTA</t>
        </is>
      </c>
      <c r="D45" t="inlineStr">
        <is>
          <t>Stat Fcst Weighted Snaive</t>
        </is>
      </c>
    </row>
    <row r="46">
      <c r="A46" s="1" t="n">
        <v>3614229382112</v>
      </c>
      <c r="B46" t="inlineStr">
        <is>
          <t>GG PH P EDP 50 ML IV</t>
        </is>
      </c>
      <c r="C46" t="inlineStr">
        <is>
          <t>P_US_ULTA</t>
        </is>
      </c>
      <c r="D46" t="inlineStr">
        <is>
          <t>Stat Fcst Weighted AOA</t>
        </is>
      </c>
    </row>
    <row r="47">
      <c r="A47" s="1" t="n">
        <v>3614229382112</v>
      </c>
      <c r="B47" t="inlineStr">
        <is>
          <t>GG PH P EDP 50 ML IV</t>
        </is>
      </c>
      <c r="C47" t="inlineStr">
        <is>
          <t>P_US_ULTA</t>
        </is>
      </c>
      <c r="D47" t="inlineStr">
        <is>
          <t>Stat Fcst Growth Snaive</t>
        </is>
      </c>
    </row>
    <row r="48">
      <c r="A48" s="1" t="n">
        <v>3614229382112</v>
      </c>
      <c r="B48" t="inlineStr">
        <is>
          <t>GG PH P EDP 50 ML IV</t>
        </is>
      </c>
      <c r="C48" t="inlineStr">
        <is>
          <t>P_US_ULTA</t>
        </is>
      </c>
      <c r="D48" t="inlineStr">
        <is>
          <t>Stat Fcst Growth AOA</t>
        </is>
      </c>
    </row>
    <row r="49">
      <c r="A49" s="1" t="n">
        <v>3614229382112</v>
      </c>
      <c r="B49" t="inlineStr">
        <is>
          <t>GG PH P EDP 50 ML IV</t>
        </is>
      </c>
      <c r="C49" t="inlineStr">
        <is>
          <t>P_US_ULTA</t>
        </is>
      </c>
      <c r="D49" t="inlineStr">
        <is>
          <t>System Stat Fcst Bestfit</t>
        </is>
      </c>
      <c r="H49" t="n">
        <v>0</v>
      </c>
      <c r="I49" t="n">
        <v>248.722688620706</v>
      </c>
      <c r="J49" t="n">
        <v>177.247431241052</v>
      </c>
      <c r="K49" t="n">
        <v>41.6748187042826</v>
      </c>
      <c r="L49" t="n">
        <v>852.267883300781</v>
      </c>
      <c r="M49" t="n">
        <v>486.661454002217</v>
      </c>
      <c r="N49" t="n">
        <v>54.4034279346976</v>
      </c>
      <c r="O49" t="n">
        <v>374.827778135902</v>
      </c>
      <c r="P49" t="n">
        <v>541.416752080744</v>
      </c>
    </row>
    <row r="50">
      <c r="A50" s="1" t="n">
        <v>3614229382129</v>
      </c>
      <c r="B50" t="inlineStr">
        <is>
          <t>GG PH P EDP 90 ML IV</t>
        </is>
      </c>
      <c r="C50" t="inlineStr">
        <is>
          <t>P_US_ALL_OTHERS</t>
        </is>
      </c>
      <c r="D50" t="inlineStr">
        <is>
          <t>Stat Fcst L1</t>
        </is>
      </c>
      <c r="E50" t="n">
        <v>3671.99989056587</v>
      </c>
      <c r="F50" t="n">
        <v>2127.99993658065</v>
      </c>
      <c r="G50" t="n">
        <v>3082</v>
      </c>
      <c r="H50" t="n">
        <v>3455</v>
      </c>
      <c r="I50" t="n">
        <v>1722</v>
      </c>
      <c r="J50" t="n">
        <v>2914</v>
      </c>
      <c r="K50" t="n">
        <v>1063</v>
      </c>
      <c r="L50" t="n">
        <v>1044</v>
      </c>
      <c r="M50" t="n">
        <v>992</v>
      </c>
      <c r="N50" t="n">
        <v>1325</v>
      </c>
      <c r="O50" t="n">
        <v>2825</v>
      </c>
      <c r="P50" t="n">
        <v>2250</v>
      </c>
    </row>
    <row r="51">
      <c r="A51" s="1" t="n">
        <v>3614229382129</v>
      </c>
      <c r="B51" t="inlineStr">
        <is>
          <t>GG PH P EDP 90 ML IV</t>
        </is>
      </c>
      <c r="C51" t="inlineStr">
        <is>
          <t>P_US_ALL_OTHERS</t>
        </is>
      </c>
      <c r="D51" t="inlineStr">
        <is>
          <t>Stat Fcst AR-NNET</t>
        </is>
      </c>
    </row>
    <row r="52">
      <c r="A52" s="1" t="n">
        <v>3614229382129</v>
      </c>
      <c r="B52" t="inlineStr">
        <is>
          <t>GG PH P EDP 90 ML IV</t>
        </is>
      </c>
      <c r="C52" t="inlineStr">
        <is>
          <t>P_US_ALL_OTHERS</t>
        </is>
      </c>
      <c r="D52" t="inlineStr">
        <is>
          <t>Stat Fcst Auto ARIMA</t>
        </is>
      </c>
    </row>
    <row r="53">
      <c r="A53" s="1" t="n">
        <v>3614229382129</v>
      </c>
      <c r="B53" t="inlineStr">
        <is>
          <t>GG PH P EDP 90 ML IV</t>
        </is>
      </c>
      <c r="C53" t="inlineStr">
        <is>
          <t>P_US_ALL_OTHERS</t>
        </is>
      </c>
      <c r="D53" t="inlineStr">
        <is>
          <t>Stat Fcst Croston</t>
        </is>
      </c>
    </row>
    <row r="54">
      <c r="A54" s="1" t="n">
        <v>3614229382129</v>
      </c>
      <c r="B54" t="inlineStr">
        <is>
          <t>GG PH P EDP 90 ML IV</t>
        </is>
      </c>
      <c r="C54" t="inlineStr">
        <is>
          <t>P_US_ALL_OTHERS</t>
        </is>
      </c>
      <c r="D54" t="inlineStr">
        <is>
          <t>Stat Fcst DES</t>
        </is>
      </c>
    </row>
    <row r="55">
      <c r="A55" s="1" t="n">
        <v>3614229382129</v>
      </c>
      <c r="B55" t="inlineStr">
        <is>
          <t>GG PH P EDP 90 ML IV</t>
        </is>
      </c>
      <c r="C55" t="inlineStr">
        <is>
          <t>P_US_ALL_OTHERS</t>
        </is>
      </c>
      <c r="D55" t="inlineStr">
        <is>
          <t>Stat Fcst ETS</t>
        </is>
      </c>
    </row>
    <row r="56">
      <c r="A56" s="1" t="n">
        <v>3614229382129</v>
      </c>
      <c r="B56" t="inlineStr">
        <is>
          <t>GG PH P EDP 90 ML IV</t>
        </is>
      </c>
      <c r="C56" t="inlineStr">
        <is>
          <t>P_US_ALL_OTHERS</t>
        </is>
      </c>
      <c r="D56" t="inlineStr">
        <is>
          <t>Stat Fcst Moving Average</t>
        </is>
      </c>
    </row>
    <row r="57">
      <c r="A57" s="1" t="n">
        <v>3614229382129</v>
      </c>
      <c r="B57" t="inlineStr">
        <is>
          <t>GG PH P EDP 90 ML IV</t>
        </is>
      </c>
      <c r="C57" t="inlineStr">
        <is>
          <t>P_US_ALL_OTHERS</t>
        </is>
      </c>
      <c r="D57" t="inlineStr">
        <is>
          <t>Stat Fcst Naive Random Walk</t>
        </is>
      </c>
    </row>
    <row r="58">
      <c r="A58" s="1" t="n">
        <v>3614229382129</v>
      </c>
      <c r="B58" t="inlineStr">
        <is>
          <t>GG PH P EDP 90 ML IV</t>
        </is>
      </c>
      <c r="C58" t="inlineStr">
        <is>
          <t>P_US_ALL_OTHERS</t>
        </is>
      </c>
      <c r="D58" t="inlineStr">
        <is>
          <t>Stat Fcst Prophet</t>
        </is>
      </c>
    </row>
    <row r="59">
      <c r="A59" s="1" t="n">
        <v>3614229382129</v>
      </c>
      <c r="B59" t="inlineStr">
        <is>
          <t>GG PH P EDP 90 ML IV</t>
        </is>
      </c>
      <c r="C59" t="inlineStr">
        <is>
          <t>P_US_ALL_OTHERS</t>
        </is>
      </c>
      <c r="D59" t="inlineStr">
        <is>
          <t>Stat Fcst sARIMA</t>
        </is>
      </c>
    </row>
    <row r="60">
      <c r="A60" s="1" t="n">
        <v>3614229382129</v>
      </c>
      <c r="B60" t="inlineStr">
        <is>
          <t>GG PH P EDP 90 ML IV</t>
        </is>
      </c>
      <c r="C60" t="inlineStr">
        <is>
          <t>P_US_ALL_OTHERS</t>
        </is>
      </c>
      <c r="D60" t="inlineStr">
        <is>
          <t>Stat Fcst Seasonal Naive YoY</t>
        </is>
      </c>
    </row>
    <row r="61">
      <c r="A61" s="1" t="n">
        <v>3614229382129</v>
      </c>
      <c r="B61" t="inlineStr">
        <is>
          <t>GG PH P EDP 90 ML IV</t>
        </is>
      </c>
      <c r="C61" t="inlineStr">
        <is>
          <t>P_US_ALL_OTHERS</t>
        </is>
      </c>
      <c r="D61" t="inlineStr">
        <is>
          <t>Stat Fcst SES</t>
        </is>
      </c>
    </row>
    <row r="62">
      <c r="A62" s="1" t="n">
        <v>3614229382129</v>
      </c>
      <c r="B62" t="inlineStr">
        <is>
          <t>GG PH P EDP 90 ML IV</t>
        </is>
      </c>
      <c r="C62" t="inlineStr">
        <is>
          <t>P_US_ALL_OTHERS</t>
        </is>
      </c>
      <c r="D62" t="inlineStr">
        <is>
          <t>Stat Fcst STLF</t>
        </is>
      </c>
      <c r="E62" t="n">
        <v>3152.12141645277</v>
      </c>
      <c r="F62" t="n">
        <v>3850.13299627622</v>
      </c>
      <c r="G62" t="n">
        <v>3337.00741860339</v>
      </c>
      <c r="H62" t="n">
        <v>3184.28202436514</v>
      </c>
      <c r="I62" t="n">
        <v>2545.05875230773</v>
      </c>
      <c r="J62" t="n">
        <v>4366.85416575335</v>
      </c>
      <c r="K62" t="n">
        <v>1164.24303964171</v>
      </c>
      <c r="L62" t="n">
        <v>994</v>
      </c>
      <c r="M62" t="n">
        <v>2544.80693863537</v>
      </c>
      <c r="N62" t="n">
        <v>1862.17212463438</v>
      </c>
      <c r="O62" t="n">
        <v>1869.4675441181</v>
      </c>
      <c r="P62" t="n">
        <v>2208.67800571609</v>
      </c>
    </row>
    <row r="63">
      <c r="A63" s="1" t="n">
        <v>3614229382129</v>
      </c>
      <c r="B63" t="inlineStr">
        <is>
          <t>GG PH P EDP 90 ML IV</t>
        </is>
      </c>
      <c r="C63" t="inlineStr">
        <is>
          <t>P_US_ALL_OTHERS</t>
        </is>
      </c>
      <c r="D63" t="inlineStr">
        <is>
          <t>Stat Fcst TBATS</t>
        </is>
      </c>
    </row>
    <row r="64">
      <c r="A64" s="1" t="n">
        <v>3614229382129</v>
      </c>
      <c r="B64" t="inlineStr">
        <is>
          <t>GG PH P EDP 90 ML IV</t>
        </is>
      </c>
      <c r="C64" t="inlineStr">
        <is>
          <t>P_US_ALL_OTHERS</t>
        </is>
      </c>
      <c r="D64" t="inlineStr">
        <is>
          <t>Stat Fcst TES</t>
        </is>
      </c>
      <c r="E64" t="n">
        <v>3394.00450946085</v>
      </c>
      <c r="F64" t="n">
        <v>3675.23856390305</v>
      </c>
      <c r="G64" t="n">
        <v>3698.71287938887</v>
      </c>
      <c r="H64" t="n">
        <v>3456.2167520603</v>
      </c>
      <c r="I64" t="n">
        <v>1722.7767124138</v>
      </c>
      <c r="J64" t="n">
        <v>2915.62265492356</v>
      </c>
      <c r="K64" t="n">
        <v>1064.61159031498</v>
      </c>
      <c r="L64" t="n">
        <v>1042.91883054576</v>
      </c>
      <c r="M64" t="n">
        <v>993.999970376491</v>
      </c>
      <c r="N64" t="n">
        <v>1325.8670792436</v>
      </c>
      <c r="O64" t="n">
        <v>2825.62775839119</v>
      </c>
      <c r="P64" t="n">
        <v>2248.91183810614</v>
      </c>
    </row>
    <row r="65">
      <c r="A65" s="1" t="n">
        <v>3614229382129</v>
      </c>
      <c r="B65" t="inlineStr">
        <is>
          <t>GG PH P EDP 90 ML IV</t>
        </is>
      </c>
      <c r="C65" t="inlineStr">
        <is>
          <t>P_US_ALL_OTHERS</t>
        </is>
      </c>
      <c r="D65" t="inlineStr">
        <is>
          <t>Stat Fcst Theta</t>
        </is>
      </c>
    </row>
    <row r="66">
      <c r="A66" s="1" t="n">
        <v>3614229382129</v>
      </c>
      <c r="B66" t="inlineStr">
        <is>
          <t>GG PH P EDP 90 ML IV</t>
        </is>
      </c>
      <c r="C66" t="inlineStr">
        <is>
          <t>P_US_ALL_OTHERS</t>
        </is>
      </c>
      <c r="D66" t="inlineStr">
        <is>
          <t>System ML Fcst L1</t>
        </is>
      </c>
    </row>
    <row r="67">
      <c r="A67" s="1" t="n">
        <v>3614229382129</v>
      </c>
      <c r="B67" t="inlineStr">
        <is>
          <t>GG PH P EDP 90 ML IV</t>
        </is>
      </c>
      <c r="C67" t="inlineStr">
        <is>
          <t>P_US_ALL_OTHERS</t>
        </is>
      </c>
      <c r="D67" t="inlineStr">
        <is>
          <t>Stat Fcst Simple Snaive</t>
        </is>
      </c>
      <c r="E67" t="n">
        <v>4505.99962157011</v>
      </c>
      <c r="F67" t="n">
        <v>4653.49986131489</v>
      </c>
      <c r="G67" t="n">
        <v>4373.47985029329</v>
      </c>
      <c r="H67" t="n">
        <v>4288.99987217783</v>
      </c>
      <c r="I67" t="n">
        <v>3586.66669338941</v>
      </c>
      <c r="J67" t="n">
        <v>3304.66636472941</v>
      </c>
      <c r="K67" t="n">
        <v>2654.99992087483</v>
      </c>
      <c r="L67" t="n">
        <v>2150</v>
      </c>
      <c r="M67" t="n">
        <v>2490.66659243901</v>
      </c>
      <c r="N67" t="n">
        <v>2126.66677973667</v>
      </c>
      <c r="O67" t="n">
        <v>3487.66656272609</v>
      </c>
      <c r="P67" t="n">
        <v>2241.33335003256</v>
      </c>
    </row>
    <row r="68">
      <c r="A68" s="1" t="n">
        <v>3614229382129</v>
      </c>
      <c r="B68" t="inlineStr">
        <is>
          <t>GG PH P EDP 90 ML IV</t>
        </is>
      </c>
      <c r="C68" t="inlineStr">
        <is>
          <t>P_US_ALL_OTHERS</t>
        </is>
      </c>
      <c r="D68" t="inlineStr">
        <is>
          <t>Stat Fcst Simple AOA</t>
        </is>
      </c>
    </row>
    <row r="69">
      <c r="A69" s="1" t="n">
        <v>3614229382129</v>
      </c>
      <c r="B69" t="inlineStr">
        <is>
          <t>GG PH P EDP 90 ML IV</t>
        </is>
      </c>
      <c r="C69" t="inlineStr">
        <is>
          <t>P_US_ALL_OTHERS</t>
        </is>
      </c>
      <c r="D69" t="inlineStr">
        <is>
          <t>Stat Fcst Weighted Snaive</t>
        </is>
      </c>
    </row>
    <row r="70">
      <c r="A70" s="1" t="n">
        <v>3614229382129</v>
      </c>
      <c r="B70" t="inlineStr">
        <is>
          <t>GG PH P EDP 90 ML IV</t>
        </is>
      </c>
      <c r="C70" t="inlineStr">
        <is>
          <t>P_US_ALL_OTHERS</t>
        </is>
      </c>
      <c r="D70" t="inlineStr">
        <is>
          <t>Stat Fcst Weighted AOA</t>
        </is>
      </c>
    </row>
    <row r="71">
      <c r="A71" s="1" t="n">
        <v>3614229382129</v>
      </c>
      <c r="B71" t="inlineStr">
        <is>
          <t>GG PH P EDP 90 ML IV</t>
        </is>
      </c>
      <c r="C71" t="inlineStr">
        <is>
          <t>P_US_ALL_OTHERS</t>
        </is>
      </c>
      <c r="D71" t="inlineStr">
        <is>
          <t>Stat Fcst Growth Snaive</t>
        </is>
      </c>
    </row>
    <row r="72">
      <c r="A72" s="1" t="n">
        <v>3614229382129</v>
      </c>
      <c r="B72" t="inlineStr">
        <is>
          <t>GG PH P EDP 90 ML IV</t>
        </is>
      </c>
      <c r="C72" t="inlineStr">
        <is>
          <t>P_US_ALL_OTHERS</t>
        </is>
      </c>
      <c r="D72" t="inlineStr">
        <is>
          <t>Stat Fcst Growth AOA</t>
        </is>
      </c>
    </row>
    <row r="73">
      <c r="A73" s="1" t="n">
        <v>3614229382129</v>
      </c>
      <c r="B73" t="inlineStr">
        <is>
          <t>GG PH P EDP 90 ML IV</t>
        </is>
      </c>
      <c r="C73" t="inlineStr">
        <is>
          <t>P_US_ALL_OTHERS</t>
        </is>
      </c>
      <c r="D73" t="inlineStr">
        <is>
          <t>System Stat Fcst Bestfit</t>
        </is>
      </c>
      <c r="H73" t="n">
        <v>3456.21669387171</v>
      </c>
      <c r="I73" t="n">
        <v>1722.77674623412</v>
      </c>
      <c r="J73" t="n">
        <v>2915.62247170142</v>
      </c>
      <c r="K73" t="n">
        <v>1064.61154053772</v>
      </c>
      <c r="L73" t="n">
        <v>1042.91882324218</v>
      </c>
      <c r="M73" t="n">
        <v>993.999909341337</v>
      </c>
      <c r="N73" t="n">
        <v>1325.86708518664</v>
      </c>
      <c r="O73" t="n">
        <v>2825.6276013366</v>
      </c>
      <c r="P73" t="n">
        <v>2248.91188199007</v>
      </c>
    </row>
    <row r="74">
      <c r="A74" s="1" t="n">
        <v>3614229382129</v>
      </c>
      <c r="B74" t="inlineStr">
        <is>
          <t>GG PH P EDP 90 ML IV</t>
        </is>
      </c>
      <c r="C74" t="inlineStr">
        <is>
          <t>P_US_ULTA</t>
        </is>
      </c>
      <c r="D74" t="inlineStr">
        <is>
          <t>Stat Fcst L1</t>
        </is>
      </c>
      <c r="E74" t="n">
        <v>470.999985963106</v>
      </c>
      <c r="F74" t="n">
        <v>607.999981880188</v>
      </c>
      <c r="G74" t="n">
        <v>3082</v>
      </c>
      <c r="H74" t="n">
        <v>558</v>
      </c>
      <c r="I74" t="n">
        <v>1474</v>
      </c>
      <c r="J74" t="n">
        <v>1661</v>
      </c>
      <c r="K74" t="n">
        <v>731</v>
      </c>
      <c r="L74" t="n">
        <v>1344</v>
      </c>
      <c r="M74" t="n">
        <v>1789</v>
      </c>
      <c r="N74" t="n">
        <v>608</v>
      </c>
      <c r="O74" t="n">
        <v>2507</v>
      </c>
      <c r="P74" t="n">
        <v>703</v>
      </c>
    </row>
    <row r="75">
      <c r="A75" s="1" t="n">
        <v>3614229382129</v>
      </c>
      <c r="B75" t="inlineStr">
        <is>
          <t>GG PH P EDP 90 ML IV</t>
        </is>
      </c>
      <c r="C75" t="inlineStr">
        <is>
          <t>P_US_ULTA</t>
        </is>
      </c>
      <c r="D75" t="inlineStr">
        <is>
          <t>Stat Fcst AR-NNET</t>
        </is>
      </c>
    </row>
    <row r="76">
      <c r="A76" s="1" t="n">
        <v>3614229382129</v>
      </c>
      <c r="B76" t="inlineStr">
        <is>
          <t>GG PH P EDP 90 ML IV</t>
        </is>
      </c>
      <c r="C76" t="inlineStr">
        <is>
          <t>P_US_ULTA</t>
        </is>
      </c>
      <c r="D76" t="inlineStr">
        <is>
          <t>Stat Fcst Auto ARIMA</t>
        </is>
      </c>
    </row>
    <row r="77">
      <c r="A77" s="1" t="n">
        <v>3614229382129</v>
      </c>
      <c r="B77" t="inlineStr">
        <is>
          <t>GG PH P EDP 90 ML IV</t>
        </is>
      </c>
      <c r="C77" t="inlineStr">
        <is>
          <t>P_US_ULTA</t>
        </is>
      </c>
      <c r="D77" t="inlineStr">
        <is>
          <t>Stat Fcst Croston</t>
        </is>
      </c>
    </row>
    <row r="78">
      <c r="A78" s="1" t="n">
        <v>3614229382129</v>
      </c>
      <c r="B78" t="inlineStr">
        <is>
          <t>GG PH P EDP 90 ML IV</t>
        </is>
      </c>
      <c r="C78" t="inlineStr">
        <is>
          <t>P_US_ULTA</t>
        </is>
      </c>
      <c r="D78" t="inlineStr">
        <is>
          <t>Stat Fcst DES</t>
        </is>
      </c>
    </row>
    <row r="79">
      <c r="A79" s="1" t="n">
        <v>3614229382129</v>
      </c>
      <c r="B79" t="inlineStr">
        <is>
          <t>GG PH P EDP 90 ML IV</t>
        </is>
      </c>
      <c r="C79" t="inlineStr">
        <is>
          <t>P_US_ULTA</t>
        </is>
      </c>
      <c r="D79" t="inlineStr">
        <is>
          <t>Stat Fcst ETS</t>
        </is>
      </c>
    </row>
    <row r="80">
      <c r="A80" s="1" t="n">
        <v>3614229382129</v>
      </c>
      <c r="B80" t="inlineStr">
        <is>
          <t>GG PH P EDP 90 ML IV</t>
        </is>
      </c>
      <c r="C80" t="inlineStr">
        <is>
          <t>P_US_ULTA</t>
        </is>
      </c>
      <c r="D80" t="inlineStr">
        <is>
          <t>Stat Fcst Moving Average</t>
        </is>
      </c>
    </row>
    <row r="81">
      <c r="A81" s="1" t="n">
        <v>3614229382129</v>
      </c>
      <c r="B81" t="inlineStr">
        <is>
          <t>GG PH P EDP 90 ML IV</t>
        </is>
      </c>
      <c r="C81" t="inlineStr">
        <is>
          <t>P_US_ULTA</t>
        </is>
      </c>
      <c r="D81" t="inlineStr">
        <is>
          <t>Stat Fcst Naive Random Walk</t>
        </is>
      </c>
    </row>
    <row r="82">
      <c r="A82" s="1" t="n">
        <v>3614229382129</v>
      </c>
      <c r="B82" t="inlineStr">
        <is>
          <t>GG PH P EDP 90 ML IV</t>
        </is>
      </c>
      <c r="C82" t="inlineStr">
        <is>
          <t>P_US_ULTA</t>
        </is>
      </c>
      <c r="D82" t="inlineStr">
        <is>
          <t>Stat Fcst Prophet</t>
        </is>
      </c>
    </row>
    <row r="83">
      <c r="A83" s="1" t="n">
        <v>3614229382129</v>
      </c>
      <c r="B83" t="inlineStr">
        <is>
          <t>GG PH P EDP 90 ML IV</t>
        </is>
      </c>
      <c r="C83" t="inlineStr">
        <is>
          <t>P_US_ULTA</t>
        </is>
      </c>
      <c r="D83" t="inlineStr">
        <is>
          <t>Stat Fcst sARIMA</t>
        </is>
      </c>
    </row>
    <row r="84">
      <c r="A84" s="1" t="n">
        <v>3614229382129</v>
      </c>
      <c r="B84" t="inlineStr">
        <is>
          <t>GG PH P EDP 90 ML IV</t>
        </is>
      </c>
      <c r="C84" t="inlineStr">
        <is>
          <t>P_US_ULTA</t>
        </is>
      </c>
      <c r="D84" t="inlineStr">
        <is>
          <t>Stat Fcst Seasonal Naive YoY</t>
        </is>
      </c>
    </row>
    <row r="85">
      <c r="A85" s="1" t="n">
        <v>3614229382129</v>
      </c>
      <c r="B85" t="inlineStr">
        <is>
          <t>GG PH P EDP 90 ML IV</t>
        </is>
      </c>
      <c r="C85" t="inlineStr">
        <is>
          <t>P_US_ULTA</t>
        </is>
      </c>
      <c r="D85" t="inlineStr">
        <is>
          <t>Stat Fcst SES</t>
        </is>
      </c>
    </row>
    <row r="86">
      <c r="A86" s="1" t="n">
        <v>3614229382129</v>
      </c>
      <c r="B86" t="inlineStr">
        <is>
          <t>GG PH P EDP 90 ML IV</t>
        </is>
      </c>
      <c r="C86" t="inlineStr">
        <is>
          <t>P_US_ULTA</t>
        </is>
      </c>
      <c r="D86" t="inlineStr">
        <is>
          <t>Stat Fcst STLF</t>
        </is>
      </c>
      <c r="E86" t="n">
        <v>51.2861946924226</v>
      </c>
      <c r="F86" t="n">
        <v>1813.42920856468</v>
      </c>
      <c r="G86" t="n">
        <v>4437.26308706823</v>
      </c>
      <c r="H86" t="n">
        <v>1237.73692255096</v>
      </c>
      <c r="I86" t="n">
        <v>2131.84775267606</v>
      </c>
      <c r="J86" t="n">
        <v>2182.05471604095</v>
      </c>
      <c r="K86" t="n">
        <v>1560.89750770208</v>
      </c>
      <c r="L86" t="n">
        <v>263.657241836833</v>
      </c>
      <c r="M86" t="n">
        <v>897.292200133521</v>
      </c>
      <c r="N86" t="n">
        <v>521.222100753739</v>
      </c>
      <c r="O86" t="n">
        <v>2950.85515642546</v>
      </c>
      <c r="P86" t="n">
        <v>313.376688691879</v>
      </c>
    </row>
    <row r="87">
      <c r="A87" s="1" t="n">
        <v>3614229382129</v>
      </c>
      <c r="B87" t="inlineStr">
        <is>
          <t>GG PH P EDP 90 ML IV</t>
        </is>
      </c>
      <c r="C87" t="inlineStr">
        <is>
          <t>P_US_ULTA</t>
        </is>
      </c>
      <c r="D87" t="inlineStr">
        <is>
          <t>Stat Fcst TBATS</t>
        </is>
      </c>
    </row>
    <row r="88">
      <c r="A88" s="1" t="n">
        <v>3614229382129</v>
      </c>
      <c r="B88" t="inlineStr">
        <is>
          <t>GG PH P EDP 90 ML IV</t>
        </is>
      </c>
      <c r="C88" t="inlineStr">
        <is>
          <t>P_US_ULTA</t>
        </is>
      </c>
      <c r="D88" t="inlineStr">
        <is>
          <t>Stat Fcst TES</t>
        </is>
      </c>
      <c r="E88" t="n">
        <v>438.594449430332</v>
      </c>
      <c r="F88" t="n">
        <v>2272.27768636278</v>
      </c>
      <c r="G88" t="n">
        <v>2424.18069209839</v>
      </c>
      <c r="H88" t="n">
        <v>454.499250737128</v>
      </c>
      <c r="I88" t="n">
        <v>1249.45068448448</v>
      </c>
      <c r="J88" t="n">
        <v>1769.24325354986</v>
      </c>
      <c r="K88" t="n">
        <v>723.843956400408</v>
      </c>
      <c r="L88" t="n">
        <v>1318.42801029244</v>
      </c>
      <c r="M88" t="n">
        <v>1109.52682183322</v>
      </c>
      <c r="N88" t="n">
        <v>598.189946044964</v>
      </c>
      <c r="O88" t="n">
        <v>2328.26411277004</v>
      </c>
      <c r="P88" t="n">
        <v>909.146152307918</v>
      </c>
    </row>
    <row r="89">
      <c r="A89" s="1" t="n">
        <v>3614229382129</v>
      </c>
      <c r="B89" t="inlineStr">
        <is>
          <t>GG PH P EDP 90 ML IV</t>
        </is>
      </c>
      <c r="C89" t="inlineStr">
        <is>
          <t>P_US_ULTA</t>
        </is>
      </c>
      <c r="D89" t="inlineStr">
        <is>
          <t>Stat Fcst Theta</t>
        </is>
      </c>
    </row>
    <row r="90">
      <c r="A90" s="1" t="n">
        <v>3614229382129</v>
      </c>
      <c r="B90" t="inlineStr">
        <is>
          <t>GG PH P EDP 90 ML IV</t>
        </is>
      </c>
      <c r="C90" t="inlineStr">
        <is>
          <t>P_US_ULTA</t>
        </is>
      </c>
      <c r="D90" t="inlineStr">
        <is>
          <t>System ML Fcst L1</t>
        </is>
      </c>
    </row>
    <row r="91">
      <c r="A91" s="1" t="n">
        <v>3614229382129</v>
      </c>
      <c r="B91" t="inlineStr">
        <is>
          <t>GG PH P EDP 90 ML IV</t>
        </is>
      </c>
      <c r="C91" t="inlineStr">
        <is>
          <t>P_US_ULTA</t>
        </is>
      </c>
      <c r="D91" t="inlineStr">
        <is>
          <t>Stat Fcst Simple Snaive</t>
        </is>
      </c>
      <c r="E91" t="n">
        <v>519.999984502792</v>
      </c>
      <c r="F91" t="n">
        <v>1227.49996341764</v>
      </c>
      <c r="G91" t="n">
        <v>3083.00002297014</v>
      </c>
      <c r="H91" t="n">
        <v>559.999973138173</v>
      </c>
      <c r="I91" t="n">
        <v>1475.33334432542</v>
      </c>
      <c r="J91" t="n">
        <v>1661.66653576493</v>
      </c>
      <c r="K91" t="n">
        <v>728.999968101581</v>
      </c>
      <c r="L91" t="n">
        <v>1343.015625</v>
      </c>
      <c r="M91" t="n">
        <v>1788.66659301519</v>
      </c>
      <c r="N91" t="n">
        <v>606.666696051756</v>
      </c>
      <c r="O91" t="n">
        <v>2507.33325860897</v>
      </c>
      <c r="P91" t="n">
        <v>703.000005237758</v>
      </c>
    </row>
    <row r="92">
      <c r="A92" s="1" t="n">
        <v>3614229382129</v>
      </c>
      <c r="B92" t="inlineStr">
        <is>
          <t>GG PH P EDP 90 ML IV</t>
        </is>
      </c>
      <c r="C92" t="inlineStr">
        <is>
          <t>P_US_ULTA</t>
        </is>
      </c>
      <c r="D92" t="inlineStr">
        <is>
          <t>Stat Fcst Simple AOA</t>
        </is>
      </c>
    </row>
    <row r="93">
      <c r="A93" s="1" t="n">
        <v>3614229382129</v>
      </c>
      <c r="B93" t="inlineStr">
        <is>
          <t>GG PH P EDP 90 ML IV</t>
        </is>
      </c>
      <c r="C93" t="inlineStr">
        <is>
          <t>P_US_ULTA</t>
        </is>
      </c>
      <c r="D93" t="inlineStr">
        <is>
          <t>Stat Fcst Weighted Snaive</t>
        </is>
      </c>
    </row>
    <row r="94">
      <c r="A94" s="1" t="n">
        <v>3614229382129</v>
      </c>
      <c r="B94" t="inlineStr">
        <is>
          <t>GG PH P EDP 90 ML IV</t>
        </is>
      </c>
      <c r="C94" t="inlineStr">
        <is>
          <t>P_US_ULTA</t>
        </is>
      </c>
      <c r="D94" t="inlineStr">
        <is>
          <t>Stat Fcst Weighted AOA</t>
        </is>
      </c>
    </row>
    <row r="95">
      <c r="A95" s="1" t="n">
        <v>3614229382129</v>
      </c>
      <c r="B95" t="inlineStr">
        <is>
          <t>GG PH P EDP 90 ML IV</t>
        </is>
      </c>
      <c r="C95" t="inlineStr">
        <is>
          <t>P_US_ULTA</t>
        </is>
      </c>
      <c r="D95" t="inlineStr">
        <is>
          <t>Stat Fcst Growth Snaive</t>
        </is>
      </c>
    </row>
    <row r="96">
      <c r="A96" s="1" t="n">
        <v>3614229382129</v>
      </c>
      <c r="B96" t="inlineStr">
        <is>
          <t>GG PH P EDP 90 ML IV</t>
        </is>
      </c>
      <c r="C96" t="inlineStr">
        <is>
          <t>P_US_ULTA</t>
        </is>
      </c>
      <c r="D96" t="inlineStr">
        <is>
          <t>Stat Fcst Growth AOA</t>
        </is>
      </c>
    </row>
    <row r="97">
      <c r="A97" s="1" t="n">
        <v>3614229382129</v>
      </c>
      <c r="B97" t="inlineStr">
        <is>
          <t>GG PH P EDP 90 ML IV</t>
        </is>
      </c>
      <c r="C97" t="inlineStr">
        <is>
          <t>P_US_ULTA</t>
        </is>
      </c>
      <c r="D97" t="inlineStr">
        <is>
          <t>System Stat Fcst Bestfit</t>
        </is>
      </c>
      <c r="H97" t="n">
        <v>559.999983310699</v>
      </c>
      <c r="I97" t="n">
        <v>1475.33338501552</v>
      </c>
      <c r="J97" t="n">
        <v>1661.66645438472</v>
      </c>
      <c r="K97" t="n">
        <v>728.999978274107</v>
      </c>
      <c r="L97" t="n">
        <v>1343.015625</v>
      </c>
      <c r="M97" t="n">
        <v>1788.66657267014</v>
      </c>
      <c r="N97" t="n">
        <v>606.666696051756</v>
      </c>
      <c r="O97" t="n">
        <v>2507.33317722877</v>
      </c>
      <c r="P97" t="n">
        <v>703.000005237758</v>
      </c>
    </row>
    <row r="98">
      <c r="A98" s="1" t="n">
        <v>3616301794639</v>
      </c>
      <c r="B98" t="inlineStr">
        <is>
          <t>GG PF EDP 90 ML INTENSE IV</t>
        </is>
      </c>
      <c r="C98" t="inlineStr">
        <is>
          <t>P_US_ALL_OTHERS</t>
        </is>
      </c>
      <c r="D98" t="inlineStr">
        <is>
          <t>Stat Fcst L1</t>
        </is>
      </c>
      <c r="E98" t="n">
        <v>52.9999984204769</v>
      </c>
      <c r="F98" t="n">
        <v>89.9999973177909</v>
      </c>
      <c r="G98" t="n">
        <v>972</v>
      </c>
      <c r="H98" t="n">
        <v>1307</v>
      </c>
      <c r="I98" t="n">
        <v>960</v>
      </c>
      <c r="J98" t="n">
        <v>753</v>
      </c>
      <c r="K98" t="n">
        <v>385</v>
      </c>
      <c r="L98" t="n">
        <v>812</v>
      </c>
      <c r="M98" t="n">
        <v>332</v>
      </c>
      <c r="N98" t="n">
        <v>540</v>
      </c>
      <c r="O98" t="n">
        <v>376</v>
      </c>
      <c r="P98" t="n">
        <v>382</v>
      </c>
    </row>
    <row r="99">
      <c r="A99" s="1" t="n">
        <v>3616301794639</v>
      </c>
      <c r="B99" t="inlineStr">
        <is>
          <t>GG PF EDP 90 ML INTENSE IV</t>
        </is>
      </c>
      <c r="C99" t="inlineStr">
        <is>
          <t>P_US_ALL_OTHERS</t>
        </is>
      </c>
      <c r="D99" t="inlineStr">
        <is>
          <t>Stat Fcst AR-NNET</t>
        </is>
      </c>
    </row>
    <row r="100">
      <c r="A100" s="1" t="n">
        <v>3616301794639</v>
      </c>
      <c r="B100" t="inlineStr">
        <is>
          <t>GG PF EDP 90 ML INTENSE IV</t>
        </is>
      </c>
      <c r="C100" t="inlineStr">
        <is>
          <t>P_US_ALL_OTHERS</t>
        </is>
      </c>
      <c r="D100" t="inlineStr">
        <is>
          <t>Stat Fcst Auto ARIMA</t>
        </is>
      </c>
    </row>
    <row r="101">
      <c r="A101" s="1" t="n">
        <v>3616301794639</v>
      </c>
      <c r="B101" t="inlineStr">
        <is>
          <t>GG PF EDP 90 ML INTENSE IV</t>
        </is>
      </c>
      <c r="C101" t="inlineStr">
        <is>
          <t>P_US_ALL_OTHERS</t>
        </is>
      </c>
      <c r="D101" t="inlineStr">
        <is>
          <t>Stat Fcst Croston</t>
        </is>
      </c>
    </row>
    <row r="102">
      <c r="A102" s="1" t="n">
        <v>3616301794639</v>
      </c>
      <c r="B102" t="inlineStr">
        <is>
          <t>GG PF EDP 90 ML INTENSE IV</t>
        </is>
      </c>
      <c r="C102" t="inlineStr">
        <is>
          <t>P_US_ALL_OTHERS</t>
        </is>
      </c>
      <c r="D102" t="inlineStr">
        <is>
          <t>Stat Fcst DES</t>
        </is>
      </c>
    </row>
    <row r="103">
      <c r="A103" s="1" t="n">
        <v>3616301794639</v>
      </c>
      <c r="B103" t="inlineStr">
        <is>
          <t>GG PF EDP 90 ML INTENSE IV</t>
        </is>
      </c>
      <c r="C103" t="inlineStr">
        <is>
          <t>P_US_ALL_OTHERS</t>
        </is>
      </c>
      <c r="D103" t="inlineStr">
        <is>
          <t>Stat Fcst ETS</t>
        </is>
      </c>
    </row>
    <row r="104">
      <c r="A104" s="1" t="n">
        <v>3616301794639</v>
      </c>
      <c r="B104" t="inlineStr">
        <is>
          <t>GG PF EDP 90 ML INTENSE IV</t>
        </is>
      </c>
      <c r="C104" t="inlineStr">
        <is>
          <t>P_US_ALL_OTHERS</t>
        </is>
      </c>
      <c r="D104" t="inlineStr">
        <is>
          <t>Stat Fcst Moving Average</t>
        </is>
      </c>
    </row>
    <row r="105">
      <c r="A105" s="1" t="n">
        <v>3616301794639</v>
      </c>
      <c r="B105" t="inlineStr">
        <is>
          <t>GG PF EDP 90 ML INTENSE IV</t>
        </is>
      </c>
      <c r="C105" t="inlineStr">
        <is>
          <t>P_US_ALL_OTHERS</t>
        </is>
      </c>
      <c r="D105" t="inlineStr">
        <is>
          <t>Stat Fcst Naive Random Walk</t>
        </is>
      </c>
    </row>
    <row r="106">
      <c r="A106" s="1" t="n">
        <v>3616301794639</v>
      </c>
      <c r="B106" t="inlineStr">
        <is>
          <t>GG PF EDP 90 ML INTENSE IV</t>
        </is>
      </c>
      <c r="C106" t="inlineStr">
        <is>
          <t>P_US_ALL_OTHERS</t>
        </is>
      </c>
      <c r="D106" t="inlineStr">
        <is>
          <t>Stat Fcst Prophet</t>
        </is>
      </c>
    </row>
    <row r="107">
      <c r="A107" s="1" t="n">
        <v>3616301794639</v>
      </c>
      <c r="B107" t="inlineStr">
        <is>
          <t>GG PF EDP 90 ML INTENSE IV</t>
        </is>
      </c>
      <c r="C107" t="inlineStr">
        <is>
          <t>P_US_ALL_OTHERS</t>
        </is>
      </c>
      <c r="D107" t="inlineStr">
        <is>
          <t>Stat Fcst sARIMA</t>
        </is>
      </c>
    </row>
    <row r="108">
      <c r="A108" s="1" t="n">
        <v>3616301794639</v>
      </c>
      <c r="B108" t="inlineStr">
        <is>
          <t>GG PF EDP 90 ML INTENSE IV</t>
        </is>
      </c>
      <c r="C108" t="inlineStr">
        <is>
          <t>P_US_ALL_OTHERS</t>
        </is>
      </c>
      <c r="D108" t="inlineStr">
        <is>
          <t>Stat Fcst Seasonal Naive YoY</t>
        </is>
      </c>
    </row>
    <row r="109">
      <c r="A109" s="1" t="n">
        <v>3616301794639</v>
      </c>
      <c r="B109" t="inlineStr">
        <is>
          <t>GG PF EDP 90 ML INTENSE IV</t>
        </is>
      </c>
      <c r="C109" t="inlineStr">
        <is>
          <t>P_US_ALL_OTHERS</t>
        </is>
      </c>
      <c r="D109" t="inlineStr">
        <is>
          <t>Stat Fcst SES</t>
        </is>
      </c>
    </row>
    <row r="110">
      <c r="A110" s="1" t="n">
        <v>3616301794639</v>
      </c>
      <c r="B110" t="inlineStr">
        <is>
          <t>GG PF EDP 90 ML INTENSE IV</t>
        </is>
      </c>
      <c r="C110" t="inlineStr">
        <is>
          <t>P_US_ALL_OTHERS</t>
        </is>
      </c>
      <c r="D110" t="inlineStr">
        <is>
          <t>Stat Fcst STLF</t>
        </is>
      </c>
      <c r="E110" t="n">
        <v>882.488063320358</v>
      </c>
      <c r="F110" t="n">
        <v>0</v>
      </c>
      <c r="G110" t="n">
        <v>89.35175151710359</v>
      </c>
      <c r="H110" t="n">
        <v>1011.75551453403</v>
      </c>
      <c r="I110" t="n">
        <v>774.000198591607</v>
      </c>
      <c r="J110" t="n">
        <v>156.109130313934</v>
      </c>
      <c r="K110" t="n">
        <v>0</v>
      </c>
      <c r="L110" t="n">
        <v>86.2276542003795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3616301794639</v>
      </c>
      <c r="B111" t="inlineStr">
        <is>
          <t>GG PF EDP 90 ML INTENSE IV</t>
        </is>
      </c>
      <c r="C111" t="inlineStr">
        <is>
          <t>P_US_ALL_OTHERS</t>
        </is>
      </c>
      <c r="D111" t="inlineStr">
        <is>
          <t>Stat Fcst TBATS</t>
        </is>
      </c>
    </row>
    <row r="112">
      <c r="A112" s="1" t="n">
        <v>3616301794639</v>
      </c>
      <c r="B112" t="inlineStr">
        <is>
          <t>GG PF EDP 90 ML INTENSE IV</t>
        </is>
      </c>
      <c r="C112" t="inlineStr">
        <is>
          <t>P_US_ALL_OTHERS</t>
        </is>
      </c>
      <c r="D112" t="inlineStr">
        <is>
          <t>Stat Fcst TES</t>
        </is>
      </c>
      <c r="E112" t="n">
        <v>858.951497921163</v>
      </c>
      <c r="F112" t="n">
        <v>396.665920744728</v>
      </c>
      <c r="G112" t="n">
        <v>178.909653228068</v>
      </c>
      <c r="H112" t="n">
        <v>597.150264066088</v>
      </c>
      <c r="I112" t="n">
        <v>189.141999133246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3616301794639</v>
      </c>
      <c r="B113" t="inlineStr">
        <is>
          <t>GG PF EDP 90 ML INTENSE IV</t>
        </is>
      </c>
      <c r="C113" t="inlineStr">
        <is>
          <t>P_US_ALL_OTHERS</t>
        </is>
      </c>
      <c r="D113" t="inlineStr">
        <is>
          <t>Stat Fcst Theta</t>
        </is>
      </c>
    </row>
    <row r="114">
      <c r="A114" s="1" t="n">
        <v>3616301794639</v>
      </c>
      <c r="B114" t="inlineStr">
        <is>
          <t>GG PF EDP 90 ML INTENSE IV</t>
        </is>
      </c>
      <c r="C114" t="inlineStr">
        <is>
          <t>P_US_ALL_OTHERS</t>
        </is>
      </c>
      <c r="D114" t="inlineStr">
        <is>
          <t>System ML Fcst L1</t>
        </is>
      </c>
    </row>
    <row r="115">
      <c r="A115" s="1" t="n">
        <v>3616301794639</v>
      </c>
      <c r="B115" t="inlineStr">
        <is>
          <t>GG PF EDP 90 ML INTENSE IV</t>
        </is>
      </c>
      <c r="C115" t="inlineStr">
        <is>
          <t>P_US_ALL_OTHERS</t>
        </is>
      </c>
      <c r="D115" t="inlineStr">
        <is>
          <t>Stat Fcst Simple Snaive</t>
        </is>
      </c>
      <c r="E115" t="n">
        <v>1136.99996611475</v>
      </c>
      <c r="F115" t="n">
        <v>692.499918326737</v>
      </c>
      <c r="G115" t="n">
        <v>956.819098925732</v>
      </c>
      <c r="H115" t="n">
        <v>1305.99992038806</v>
      </c>
      <c r="I115" t="n">
        <v>961.000007160008</v>
      </c>
      <c r="J115" t="n">
        <v>752.333310912052</v>
      </c>
      <c r="K115" t="n">
        <v>385.333316763242</v>
      </c>
      <c r="L115" t="n">
        <v>810.6666666666659</v>
      </c>
      <c r="M115" t="n">
        <v>333.333302974701</v>
      </c>
      <c r="N115" t="n">
        <v>540.6666747232269</v>
      </c>
      <c r="O115" t="n">
        <v>374.333320905764</v>
      </c>
      <c r="P115" t="n">
        <v>383.333337460955</v>
      </c>
    </row>
    <row r="116">
      <c r="A116" s="1" t="n">
        <v>3616301794639</v>
      </c>
      <c r="B116" t="inlineStr">
        <is>
          <t>GG PF EDP 90 ML INTENSE IV</t>
        </is>
      </c>
      <c r="C116" t="inlineStr">
        <is>
          <t>P_US_ALL_OTHERS</t>
        </is>
      </c>
      <c r="D116" t="inlineStr">
        <is>
          <t>Stat Fcst Simple AOA</t>
        </is>
      </c>
    </row>
    <row r="117">
      <c r="A117" s="1" t="n">
        <v>3616301794639</v>
      </c>
      <c r="B117" t="inlineStr">
        <is>
          <t>GG PF EDP 90 ML INTENSE IV</t>
        </is>
      </c>
      <c r="C117" t="inlineStr">
        <is>
          <t>P_US_ALL_OTHERS</t>
        </is>
      </c>
      <c r="D117" t="inlineStr">
        <is>
          <t>Stat Fcst Weighted Snaive</t>
        </is>
      </c>
    </row>
    <row r="118">
      <c r="A118" s="1" t="n">
        <v>3616301794639</v>
      </c>
      <c r="B118" t="inlineStr">
        <is>
          <t>GG PF EDP 90 ML INTENSE IV</t>
        </is>
      </c>
      <c r="C118" t="inlineStr">
        <is>
          <t>P_US_ALL_OTHERS</t>
        </is>
      </c>
      <c r="D118" t="inlineStr">
        <is>
          <t>Stat Fcst Weighted AOA</t>
        </is>
      </c>
    </row>
    <row r="119">
      <c r="A119" s="1" t="n">
        <v>3616301794639</v>
      </c>
      <c r="B119" t="inlineStr">
        <is>
          <t>GG PF EDP 90 ML INTENSE IV</t>
        </is>
      </c>
      <c r="C119" t="inlineStr">
        <is>
          <t>P_US_ALL_OTHERS</t>
        </is>
      </c>
      <c r="D119" t="inlineStr">
        <is>
          <t>Stat Fcst Growth Snaive</t>
        </is>
      </c>
    </row>
    <row r="120">
      <c r="A120" s="1" t="n">
        <v>3616301794639</v>
      </c>
      <c r="B120" t="inlineStr">
        <is>
          <t>GG PF EDP 90 ML INTENSE IV</t>
        </is>
      </c>
      <c r="C120" t="inlineStr">
        <is>
          <t>P_US_ALL_OTHERS</t>
        </is>
      </c>
      <c r="D120" t="inlineStr">
        <is>
          <t>Stat Fcst Growth AOA</t>
        </is>
      </c>
    </row>
    <row r="121">
      <c r="A121" s="1" t="n">
        <v>3616301794639</v>
      </c>
      <c r="B121" t="inlineStr">
        <is>
          <t>GG PF EDP 90 ML INTENSE IV</t>
        </is>
      </c>
      <c r="C121" t="inlineStr">
        <is>
          <t>P_US_ALL_OTHERS</t>
        </is>
      </c>
      <c r="D121" t="inlineStr">
        <is>
          <t>System Stat Fcst Bestfit</t>
        </is>
      </c>
      <c r="H121" t="n">
        <v>1305.99983900785</v>
      </c>
      <c r="I121" t="n">
        <v>961.000007160008</v>
      </c>
      <c r="J121" t="n">
        <v>752.333290567001</v>
      </c>
      <c r="K121" t="n">
        <v>385.333301504453</v>
      </c>
      <c r="L121" t="n">
        <v>810.666687011718</v>
      </c>
      <c r="M121" t="n">
        <v>333.333303054174</v>
      </c>
      <c r="N121" t="n">
        <v>540.66669506828</v>
      </c>
      <c r="O121" t="n">
        <v>374.333301832279</v>
      </c>
      <c r="P121" t="n">
        <v>383.333346361915</v>
      </c>
    </row>
    <row r="122">
      <c r="A122" s="1" t="n">
        <v>3616301794639</v>
      </c>
      <c r="B122" t="inlineStr">
        <is>
          <t>GG PF EDP 90 ML INTENSE IV</t>
        </is>
      </c>
      <c r="C122" t="inlineStr">
        <is>
          <t>P_US_ULTA</t>
        </is>
      </c>
      <c r="D122" t="inlineStr">
        <is>
          <t>Stat Fcst L1</t>
        </is>
      </c>
      <c r="E122" t="n">
        <v>88.99999734759329</v>
      </c>
      <c r="F122" t="n">
        <v>97.99999707937241</v>
      </c>
      <c r="G122" t="n">
        <v>252</v>
      </c>
      <c r="H122" t="n">
        <v>239</v>
      </c>
      <c r="I122" t="n">
        <v>176</v>
      </c>
      <c r="J122" t="n">
        <v>164</v>
      </c>
      <c r="K122" t="n">
        <v>177</v>
      </c>
      <c r="L122" t="n">
        <v>196</v>
      </c>
      <c r="M122" t="n">
        <v>190</v>
      </c>
      <c r="N122" t="n">
        <v>180</v>
      </c>
      <c r="O122" t="n">
        <v>182</v>
      </c>
      <c r="P122" t="n">
        <v>185</v>
      </c>
    </row>
    <row r="123">
      <c r="A123" s="1" t="n">
        <v>3616301794639</v>
      </c>
      <c r="B123" t="inlineStr">
        <is>
          <t>GG PF EDP 90 ML INTENSE IV</t>
        </is>
      </c>
      <c r="C123" t="inlineStr">
        <is>
          <t>P_US_ULTA</t>
        </is>
      </c>
      <c r="D123" t="inlineStr">
        <is>
          <t>Stat Fcst AR-NNET</t>
        </is>
      </c>
    </row>
    <row r="124">
      <c r="A124" s="1" t="n">
        <v>3616301794639</v>
      </c>
      <c r="B124" t="inlineStr">
        <is>
          <t>GG PF EDP 90 ML INTENSE IV</t>
        </is>
      </c>
      <c r="C124" t="inlineStr">
        <is>
          <t>P_US_ULTA</t>
        </is>
      </c>
      <c r="D124" t="inlineStr">
        <is>
          <t>Stat Fcst Auto ARIMA</t>
        </is>
      </c>
    </row>
    <row r="125">
      <c r="A125" s="1" t="n">
        <v>3616301794639</v>
      </c>
      <c r="B125" t="inlineStr">
        <is>
          <t>GG PF EDP 90 ML INTENSE IV</t>
        </is>
      </c>
      <c r="C125" t="inlineStr">
        <is>
          <t>P_US_ULTA</t>
        </is>
      </c>
      <c r="D125" t="inlineStr">
        <is>
          <t>Stat Fcst Croston</t>
        </is>
      </c>
    </row>
    <row r="126">
      <c r="A126" s="1" t="n">
        <v>3616301794639</v>
      </c>
      <c r="B126" t="inlineStr">
        <is>
          <t>GG PF EDP 90 ML INTENSE IV</t>
        </is>
      </c>
      <c r="C126" t="inlineStr">
        <is>
          <t>P_US_ULTA</t>
        </is>
      </c>
      <c r="D126" t="inlineStr">
        <is>
          <t>Stat Fcst DES</t>
        </is>
      </c>
      <c r="E126" t="n">
        <v>126.86117269133</v>
      </c>
      <c r="F126" t="n">
        <v>125.83713690354</v>
      </c>
      <c r="G126" t="n">
        <v>165.201343584602</v>
      </c>
      <c r="H126" t="n">
        <v>164.780434659612</v>
      </c>
      <c r="I126" t="n">
        <v>164.415104454553</v>
      </c>
      <c r="J126" t="n">
        <v>164.097992709767</v>
      </c>
      <c r="K126" t="n">
        <v>163.822750512698</v>
      </c>
      <c r="L126" t="n">
        <v>163.583849918196</v>
      </c>
      <c r="M126" t="n">
        <v>163.376479224656</v>
      </c>
      <c r="N126" t="n">
        <v>163.196496573948</v>
      </c>
      <c r="O126" t="n">
        <v>163.040261116235</v>
      </c>
      <c r="P126" t="n">
        <v>162.904663840363</v>
      </c>
    </row>
    <row r="127">
      <c r="A127" s="1" t="n">
        <v>3616301794639</v>
      </c>
      <c r="B127" t="inlineStr">
        <is>
          <t>GG PF EDP 90 ML INTENSE IV</t>
        </is>
      </c>
      <c r="C127" t="inlineStr">
        <is>
          <t>P_US_ULTA</t>
        </is>
      </c>
      <c r="D127" t="inlineStr">
        <is>
          <t>Stat Fcst ETS</t>
        </is>
      </c>
    </row>
    <row r="128">
      <c r="A128" s="1" t="n">
        <v>3616301794639</v>
      </c>
      <c r="B128" t="inlineStr">
        <is>
          <t>GG PF EDP 90 ML INTENSE IV</t>
        </is>
      </c>
      <c r="C128" t="inlineStr">
        <is>
          <t>P_US_ULTA</t>
        </is>
      </c>
      <c r="D128" t="inlineStr">
        <is>
          <t>Stat Fcst Moving Average</t>
        </is>
      </c>
      <c r="E128" t="n">
        <v>242.149992783367</v>
      </c>
      <c r="F128" t="n">
        <v>248.579992591738</v>
      </c>
      <c r="G128" t="n">
        <v>219.200001633167</v>
      </c>
      <c r="H128" t="n">
        <v>238.039992905855</v>
      </c>
      <c r="I128" t="n">
        <v>174.650001301243</v>
      </c>
      <c r="J128" t="n">
        <v>163.779995118975</v>
      </c>
      <c r="K128" t="n">
        <v>178.72999467343</v>
      </c>
      <c r="L128" t="n">
        <v>194.88</v>
      </c>
      <c r="M128" t="n">
        <v>190.019994336962</v>
      </c>
      <c r="N128" t="n">
        <v>180.410002688318</v>
      </c>
      <c r="O128" t="n">
        <v>181.55999458909</v>
      </c>
      <c r="P128" t="n">
        <v>185.120001379251</v>
      </c>
    </row>
    <row r="129">
      <c r="A129" s="1" t="n">
        <v>3616301794639</v>
      </c>
      <c r="B129" t="inlineStr">
        <is>
          <t>GG PF EDP 90 ML INTENSE IV</t>
        </is>
      </c>
      <c r="C129" t="inlineStr">
        <is>
          <t>P_US_ULTA</t>
        </is>
      </c>
      <c r="D129" t="inlineStr">
        <is>
          <t>Stat Fcst Naive Random Walk</t>
        </is>
      </c>
    </row>
    <row r="130">
      <c r="A130" s="1" t="n">
        <v>3616301794639</v>
      </c>
      <c r="B130" t="inlineStr">
        <is>
          <t>GG PF EDP 90 ML INTENSE IV</t>
        </is>
      </c>
      <c r="C130" t="inlineStr">
        <is>
          <t>P_US_ULTA</t>
        </is>
      </c>
      <c r="D130" t="inlineStr">
        <is>
          <t>Stat Fcst Prophet</t>
        </is>
      </c>
    </row>
    <row r="131">
      <c r="A131" s="1" t="n">
        <v>3616301794639</v>
      </c>
      <c r="B131" t="inlineStr">
        <is>
          <t>GG PF EDP 90 ML INTENSE IV</t>
        </is>
      </c>
      <c r="C131" t="inlineStr">
        <is>
          <t>P_US_ULTA</t>
        </is>
      </c>
      <c r="D131" t="inlineStr">
        <is>
          <t>Stat Fcst sARIMA</t>
        </is>
      </c>
    </row>
    <row r="132">
      <c r="A132" s="1" t="n">
        <v>3616301794639</v>
      </c>
      <c r="B132" t="inlineStr">
        <is>
          <t>GG PF EDP 90 ML INTENSE IV</t>
        </is>
      </c>
      <c r="C132" t="inlineStr">
        <is>
          <t>P_US_ULTA</t>
        </is>
      </c>
      <c r="D132" t="inlineStr">
        <is>
          <t>Stat Fcst Seasonal Naive YoY</t>
        </is>
      </c>
    </row>
    <row r="133">
      <c r="A133" s="1" t="n">
        <v>3616301794639</v>
      </c>
      <c r="B133" t="inlineStr">
        <is>
          <t>GG PF EDP 90 ML INTENSE IV</t>
        </is>
      </c>
      <c r="C133" t="inlineStr">
        <is>
          <t>P_US_ULTA</t>
        </is>
      </c>
      <c r="D133" t="inlineStr">
        <is>
          <t>Stat Fcst SES</t>
        </is>
      </c>
    </row>
    <row r="134">
      <c r="A134" s="1" t="n">
        <v>3616301794639</v>
      </c>
      <c r="B134" t="inlineStr">
        <is>
          <t>GG PF EDP 90 ML INTENSE IV</t>
        </is>
      </c>
      <c r="C134" t="inlineStr">
        <is>
          <t>P_US_ULTA</t>
        </is>
      </c>
      <c r="D134" t="inlineStr">
        <is>
          <t>Stat Fcst STLF</t>
        </is>
      </c>
      <c r="E134" t="n">
        <v>61.3499441624634</v>
      </c>
      <c r="F134" t="n">
        <v>0</v>
      </c>
      <c r="G134" t="n">
        <v>133.964778360014</v>
      </c>
      <c r="H134" t="n">
        <v>1132.8849286389</v>
      </c>
      <c r="I134" t="n">
        <v>152.619640277745</v>
      </c>
      <c r="J134" t="n">
        <v>259.49503819136</v>
      </c>
      <c r="K134" t="n">
        <v>315.907929878824</v>
      </c>
      <c r="L134" t="n">
        <v>278.083585285873</v>
      </c>
      <c r="M134" t="n">
        <v>221.301193682999</v>
      </c>
      <c r="N134" t="n">
        <v>74.3316785417037</v>
      </c>
      <c r="O134" t="n">
        <v>534.871110788246</v>
      </c>
      <c r="P134" t="n">
        <v>234.19898477302</v>
      </c>
    </row>
    <row r="135">
      <c r="A135" s="1" t="n">
        <v>3616301794639</v>
      </c>
      <c r="B135" t="inlineStr">
        <is>
          <t>GG PF EDP 90 ML INTENSE IV</t>
        </is>
      </c>
      <c r="C135" t="inlineStr">
        <is>
          <t>P_US_ULTA</t>
        </is>
      </c>
      <c r="D135" t="inlineStr">
        <is>
          <t>Stat Fcst TBATS</t>
        </is>
      </c>
    </row>
    <row r="136">
      <c r="A136" s="1" t="n">
        <v>3616301794639</v>
      </c>
      <c r="B136" t="inlineStr">
        <is>
          <t>GG PF EDP 90 ML INTENSE IV</t>
        </is>
      </c>
      <c r="C136" t="inlineStr">
        <is>
          <t>P_US_ULTA</t>
        </is>
      </c>
      <c r="D136" t="inlineStr">
        <is>
          <t>Stat Fcst TES</t>
        </is>
      </c>
    </row>
    <row r="137">
      <c r="A137" s="1" t="n">
        <v>3616301794639</v>
      </c>
      <c r="B137" t="inlineStr">
        <is>
          <t>GG PF EDP 90 ML INTENSE IV</t>
        </is>
      </c>
      <c r="C137" t="inlineStr">
        <is>
          <t>P_US_ULTA</t>
        </is>
      </c>
      <c r="D137" t="inlineStr">
        <is>
          <t>Stat Fcst Theta</t>
        </is>
      </c>
    </row>
    <row r="138">
      <c r="A138" s="1" t="n">
        <v>3616301794639</v>
      </c>
      <c r="B138" t="inlineStr">
        <is>
          <t>GG PF EDP 90 ML INTENSE IV</t>
        </is>
      </c>
      <c r="C138" t="inlineStr">
        <is>
          <t>P_US_ULTA</t>
        </is>
      </c>
      <c r="D138" t="inlineStr">
        <is>
          <t>System ML Fcst L1</t>
        </is>
      </c>
    </row>
    <row r="139">
      <c r="A139" s="1" t="n">
        <v>3616301794639</v>
      </c>
      <c r="B139" t="inlineStr">
        <is>
          <t>GG PF EDP 90 ML INTENSE IV</t>
        </is>
      </c>
      <c r="C139" t="inlineStr">
        <is>
          <t>P_US_ULTA</t>
        </is>
      </c>
      <c r="D139" t="inlineStr">
        <is>
          <t>Stat Fcst Simple Snaive</t>
        </is>
      </c>
    </row>
    <row r="140">
      <c r="A140" s="1" t="n">
        <v>3616301794639</v>
      </c>
      <c r="B140" t="inlineStr">
        <is>
          <t>GG PF EDP 90 ML INTENSE IV</t>
        </is>
      </c>
      <c r="C140" t="inlineStr">
        <is>
          <t>P_US_ULTA</t>
        </is>
      </c>
      <c r="D140" t="inlineStr">
        <is>
          <t>Stat Fcst Simple AOA</t>
        </is>
      </c>
    </row>
    <row r="141">
      <c r="A141" s="1" t="n">
        <v>3616301794639</v>
      </c>
      <c r="B141" t="inlineStr">
        <is>
          <t>GG PF EDP 90 ML INTENSE IV</t>
        </is>
      </c>
      <c r="C141" t="inlineStr">
        <is>
          <t>P_US_ULTA</t>
        </is>
      </c>
      <c r="D141" t="inlineStr">
        <is>
          <t>Stat Fcst Weighted Snaive</t>
        </is>
      </c>
    </row>
    <row r="142">
      <c r="A142" s="1" t="n">
        <v>3616301794639</v>
      </c>
      <c r="B142" t="inlineStr">
        <is>
          <t>GG PF EDP 90 ML INTENSE IV</t>
        </is>
      </c>
      <c r="C142" t="inlineStr">
        <is>
          <t>P_US_ULTA</t>
        </is>
      </c>
      <c r="D142" t="inlineStr">
        <is>
          <t>Stat Fcst Weighted AOA</t>
        </is>
      </c>
      <c r="E142" t="n">
        <v>51.4999936968089</v>
      </c>
      <c r="F142" t="n">
        <v>15.499999538064</v>
      </c>
      <c r="G142" t="n">
        <v>43.0000003203749</v>
      </c>
      <c r="H142" t="n">
        <v>593.2855848882911</v>
      </c>
      <c r="I142" t="n">
        <v>206.000001534819</v>
      </c>
      <c r="J142" t="n">
        <v>164.333318263292</v>
      </c>
      <c r="K142" t="n">
        <v>73.9999977946281</v>
      </c>
      <c r="L142" t="n">
        <v>629.285603841145</v>
      </c>
      <c r="M142" t="n">
        <v>520.61892038726</v>
      </c>
      <c r="N142" t="n">
        <v>461.333340207735</v>
      </c>
      <c r="O142" t="n">
        <v>184.99999448657</v>
      </c>
      <c r="P142" t="n">
        <v>79.3333339244127</v>
      </c>
    </row>
    <row r="143">
      <c r="A143" s="1" t="n">
        <v>3616301794639</v>
      </c>
      <c r="B143" t="inlineStr">
        <is>
          <t>GG PF EDP 90 ML INTENSE IV</t>
        </is>
      </c>
      <c r="C143" t="inlineStr">
        <is>
          <t>P_US_ULTA</t>
        </is>
      </c>
      <c r="D143" t="inlineStr">
        <is>
          <t>Stat Fcst Growth Snaive</t>
        </is>
      </c>
    </row>
    <row r="144">
      <c r="A144" s="1" t="n">
        <v>3616301794639</v>
      </c>
      <c r="B144" t="inlineStr">
        <is>
          <t>GG PF EDP 90 ML INTENSE IV</t>
        </is>
      </c>
      <c r="C144" t="inlineStr">
        <is>
          <t>P_US_ULTA</t>
        </is>
      </c>
      <c r="D144" t="inlineStr">
        <is>
          <t>Stat Fcst Growth AOA</t>
        </is>
      </c>
    </row>
    <row r="145">
      <c r="A145" s="1" t="n">
        <v>3616301794639</v>
      </c>
      <c r="B145" t="inlineStr">
        <is>
          <t>GG PF EDP 90 ML INTENSE IV</t>
        </is>
      </c>
      <c r="C145" t="inlineStr">
        <is>
          <t>P_US_ULTA</t>
        </is>
      </c>
      <c r="D145" t="inlineStr">
        <is>
          <t>System Stat Fcst Bestfit</t>
        </is>
      </c>
      <c r="H145" t="n">
        <v>238.039986191988</v>
      </c>
      <c r="I145" t="n">
        <v>174.650010456517</v>
      </c>
      <c r="J145" t="n">
        <v>163.779993898272</v>
      </c>
      <c r="K145" t="n">
        <v>178.72999040097</v>
      </c>
      <c r="L145" t="n">
        <v>194.880004882812</v>
      </c>
      <c r="M145" t="n">
        <v>190.019998609423</v>
      </c>
      <c r="N145" t="n">
        <v>180.410006350427</v>
      </c>
      <c r="O145" t="n">
        <v>181.559992147684</v>
      </c>
      <c r="P145" t="n">
        <v>185.120011755228</v>
      </c>
    </row>
    <row r="146">
      <c r="A146" s="1" t="n">
        <v>3616301976141</v>
      </c>
      <c r="B146" t="inlineStr">
        <is>
          <t>GG PF21 EDT NS 90 ML IV</t>
        </is>
      </c>
      <c r="C146" t="inlineStr">
        <is>
          <t>P_US_ALL_OTHERS</t>
        </is>
      </c>
      <c r="D146" t="inlineStr">
        <is>
          <t>Stat Fcst L1</t>
        </is>
      </c>
      <c r="E146" t="n">
        <v>851.999974608421</v>
      </c>
      <c r="F146" t="n">
        <v>2270.99993231892</v>
      </c>
      <c r="G146" t="n">
        <v>3047</v>
      </c>
      <c r="H146" t="n">
        <v>1036</v>
      </c>
      <c r="I146" t="n">
        <v>492</v>
      </c>
      <c r="J146" t="n">
        <v>1080</v>
      </c>
      <c r="K146" t="n">
        <v>567</v>
      </c>
      <c r="L146" t="n">
        <v>1236</v>
      </c>
      <c r="M146" t="n">
        <v>429</v>
      </c>
      <c r="N146" t="n">
        <v>634</v>
      </c>
      <c r="O146" t="n">
        <v>1001</v>
      </c>
      <c r="P146" t="n">
        <v>746</v>
      </c>
    </row>
    <row r="147">
      <c r="A147" s="1" t="n">
        <v>3616301976141</v>
      </c>
      <c r="B147" t="inlineStr">
        <is>
          <t>GG PF21 EDT NS 90 ML IV</t>
        </is>
      </c>
      <c r="C147" t="inlineStr">
        <is>
          <t>P_US_ALL_OTHERS</t>
        </is>
      </c>
      <c r="D147" t="inlineStr">
        <is>
          <t>Stat Fcst AR-NNET</t>
        </is>
      </c>
    </row>
    <row r="148">
      <c r="A148" s="1" t="n">
        <v>3616301976141</v>
      </c>
      <c r="B148" t="inlineStr">
        <is>
          <t>GG PF21 EDT NS 90 ML IV</t>
        </is>
      </c>
      <c r="C148" t="inlineStr">
        <is>
          <t>P_US_ALL_OTHERS</t>
        </is>
      </c>
      <c r="D148" t="inlineStr">
        <is>
          <t>Stat Fcst Auto ARIMA</t>
        </is>
      </c>
    </row>
    <row r="149">
      <c r="A149" s="1" t="n">
        <v>3616301976141</v>
      </c>
      <c r="B149" t="inlineStr">
        <is>
          <t>GG PF21 EDT NS 90 ML IV</t>
        </is>
      </c>
      <c r="C149" t="inlineStr">
        <is>
          <t>P_US_ALL_OTHERS</t>
        </is>
      </c>
      <c r="D149" t="inlineStr">
        <is>
          <t>Stat Fcst Croston</t>
        </is>
      </c>
    </row>
    <row r="150">
      <c r="A150" s="1" t="n">
        <v>3616301976141</v>
      </c>
      <c r="B150" t="inlineStr">
        <is>
          <t>GG PF21 EDT NS 90 ML IV</t>
        </is>
      </c>
      <c r="C150" t="inlineStr">
        <is>
          <t>P_US_ALL_OTHERS</t>
        </is>
      </c>
      <c r="D150" t="inlineStr">
        <is>
          <t>Stat Fcst DES</t>
        </is>
      </c>
    </row>
    <row r="151">
      <c r="A151" s="1" t="n">
        <v>3616301976141</v>
      </c>
      <c r="B151" t="inlineStr">
        <is>
          <t>GG PF21 EDT NS 90 ML IV</t>
        </is>
      </c>
      <c r="C151" t="inlineStr">
        <is>
          <t>P_US_ALL_OTHERS</t>
        </is>
      </c>
      <c r="D151" t="inlineStr">
        <is>
          <t>Stat Fcst ETS</t>
        </is>
      </c>
    </row>
    <row r="152">
      <c r="A152" s="1" t="n">
        <v>3616301976141</v>
      </c>
      <c r="B152" t="inlineStr">
        <is>
          <t>GG PF21 EDT NS 90 ML IV</t>
        </is>
      </c>
      <c r="C152" t="inlineStr">
        <is>
          <t>P_US_ALL_OTHERS</t>
        </is>
      </c>
      <c r="D152" t="inlineStr">
        <is>
          <t>Stat Fcst Moving Average</t>
        </is>
      </c>
    </row>
    <row r="153">
      <c r="A153" s="1" t="n">
        <v>3616301976141</v>
      </c>
      <c r="B153" t="inlineStr">
        <is>
          <t>GG PF21 EDT NS 90 ML IV</t>
        </is>
      </c>
      <c r="C153" t="inlineStr">
        <is>
          <t>P_US_ALL_OTHERS</t>
        </is>
      </c>
      <c r="D153" t="inlineStr">
        <is>
          <t>Stat Fcst Naive Random Walk</t>
        </is>
      </c>
    </row>
    <row r="154">
      <c r="A154" s="1" t="n">
        <v>3616301976141</v>
      </c>
      <c r="B154" t="inlineStr">
        <is>
          <t>GG PF21 EDT NS 90 ML IV</t>
        </is>
      </c>
      <c r="C154" t="inlineStr">
        <is>
          <t>P_US_ALL_OTHERS</t>
        </is>
      </c>
      <c r="D154" t="inlineStr">
        <is>
          <t>Stat Fcst Prophet</t>
        </is>
      </c>
    </row>
    <row r="155">
      <c r="A155" s="1" t="n">
        <v>3616301976141</v>
      </c>
      <c r="B155" t="inlineStr">
        <is>
          <t>GG PF21 EDT NS 90 ML IV</t>
        </is>
      </c>
      <c r="C155" t="inlineStr">
        <is>
          <t>P_US_ALL_OTHERS</t>
        </is>
      </c>
      <c r="D155" t="inlineStr">
        <is>
          <t>Stat Fcst sARIMA</t>
        </is>
      </c>
    </row>
    <row r="156">
      <c r="A156" s="1" t="n">
        <v>3616301976141</v>
      </c>
      <c r="B156" t="inlineStr">
        <is>
          <t>GG PF21 EDT NS 90 ML IV</t>
        </is>
      </c>
      <c r="C156" t="inlineStr">
        <is>
          <t>P_US_ALL_OTHERS</t>
        </is>
      </c>
      <c r="D156" t="inlineStr">
        <is>
          <t>Stat Fcst Seasonal Naive YoY</t>
        </is>
      </c>
    </row>
    <row r="157">
      <c r="A157" s="1" t="n">
        <v>3616301976141</v>
      </c>
      <c r="B157" t="inlineStr">
        <is>
          <t>GG PF21 EDT NS 90 ML IV</t>
        </is>
      </c>
      <c r="C157" t="inlineStr">
        <is>
          <t>P_US_ALL_OTHERS</t>
        </is>
      </c>
      <c r="D157" t="inlineStr">
        <is>
          <t>Stat Fcst SES</t>
        </is>
      </c>
    </row>
    <row r="158">
      <c r="A158" s="1" t="n">
        <v>3616301976141</v>
      </c>
      <c r="B158" t="inlineStr">
        <is>
          <t>GG PF21 EDT NS 90 ML IV</t>
        </is>
      </c>
      <c r="C158" t="inlineStr">
        <is>
          <t>P_US_ALL_OTHERS</t>
        </is>
      </c>
      <c r="D158" t="inlineStr">
        <is>
          <t>Stat Fcst STLF</t>
        </is>
      </c>
      <c r="E158" t="n">
        <v>928.865375827414</v>
      </c>
      <c r="F158" t="n">
        <v>742.524647351996</v>
      </c>
      <c r="G158" t="n">
        <v>2863.05916067578</v>
      </c>
      <c r="H158" t="n">
        <v>1034.98356543463</v>
      </c>
      <c r="I158" t="n">
        <v>494.803536534665</v>
      </c>
      <c r="J158" t="n">
        <v>1079.64857937061</v>
      </c>
      <c r="K158" t="n">
        <v>568.895975738001</v>
      </c>
      <c r="L158" t="n">
        <v>1237.58168540827</v>
      </c>
      <c r="M158" t="n">
        <v>427.705166252543</v>
      </c>
      <c r="N158" t="n">
        <v>633.099849160121</v>
      </c>
      <c r="O158" t="n">
        <v>1000.03890429173</v>
      </c>
      <c r="P158" t="n">
        <v>745.7121375809199</v>
      </c>
    </row>
    <row r="159">
      <c r="A159" s="1" t="n">
        <v>3616301976141</v>
      </c>
      <c r="B159" t="inlineStr">
        <is>
          <t>GG PF21 EDT NS 90 ML IV</t>
        </is>
      </c>
      <c r="C159" t="inlineStr">
        <is>
          <t>P_US_ALL_OTHERS</t>
        </is>
      </c>
      <c r="D159" t="inlineStr">
        <is>
          <t>Stat Fcst TBATS</t>
        </is>
      </c>
    </row>
    <row r="160">
      <c r="A160" s="1" t="n">
        <v>3616301976141</v>
      </c>
      <c r="B160" t="inlineStr">
        <is>
          <t>GG PF21 EDT NS 90 ML IV</t>
        </is>
      </c>
      <c r="C160" t="inlineStr">
        <is>
          <t>P_US_ALL_OTHERS</t>
        </is>
      </c>
      <c r="D160" t="inlineStr">
        <is>
          <t>Stat Fcst TES</t>
        </is>
      </c>
      <c r="E160" t="n">
        <v>982.656893963785</v>
      </c>
      <c r="F160" t="n">
        <v>1918.44264386188</v>
      </c>
      <c r="G160" t="n">
        <v>2473.87269123567</v>
      </c>
      <c r="H160" t="n">
        <v>1348.25951542059</v>
      </c>
      <c r="I160" t="n">
        <v>633.880971880229</v>
      </c>
      <c r="J160" t="n">
        <v>961.394736253574</v>
      </c>
      <c r="K160" t="n">
        <v>1172.20510173062</v>
      </c>
      <c r="L160" t="n">
        <v>1152.69040119506</v>
      </c>
      <c r="M160" t="n">
        <v>893.950450699098</v>
      </c>
      <c r="N160" t="n">
        <v>966.471250980297</v>
      </c>
      <c r="O160" t="n">
        <v>1014.5568759329</v>
      </c>
      <c r="P160" t="n">
        <v>840.316318605784</v>
      </c>
    </row>
    <row r="161">
      <c r="A161" s="1" t="n">
        <v>3616301976141</v>
      </c>
      <c r="B161" t="inlineStr">
        <is>
          <t>GG PF21 EDT NS 90 ML IV</t>
        </is>
      </c>
      <c r="C161" t="inlineStr">
        <is>
          <t>P_US_ALL_OTHERS</t>
        </is>
      </c>
      <c r="D161" t="inlineStr">
        <is>
          <t>Stat Fcst Theta</t>
        </is>
      </c>
    </row>
    <row r="162">
      <c r="A162" s="1" t="n">
        <v>3616301976141</v>
      </c>
      <c r="B162" t="inlineStr">
        <is>
          <t>GG PF21 EDT NS 90 ML IV</t>
        </is>
      </c>
      <c r="C162" t="inlineStr">
        <is>
          <t>P_US_ALL_OTHERS</t>
        </is>
      </c>
      <c r="D162" t="inlineStr">
        <is>
          <t>System ML Fcst L1</t>
        </is>
      </c>
    </row>
    <row r="163">
      <c r="A163" s="1" t="n">
        <v>3616301976141</v>
      </c>
      <c r="B163" t="inlineStr">
        <is>
          <t>GG PF21 EDT NS 90 ML IV</t>
        </is>
      </c>
      <c r="C163" t="inlineStr">
        <is>
          <t>P_US_ALL_OTHERS</t>
        </is>
      </c>
      <c r="D163" t="inlineStr">
        <is>
          <t>Stat Fcst Simple Snaive</t>
        </is>
      </c>
      <c r="E163" t="n">
        <v>1990.99981859326</v>
      </c>
      <c r="F163" t="n">
        <v>2096.49993751943</v>
      </c>
      <c r="G163" t="n">
        <v>3238.66359834867</v>
      </c>
      <c r="H163" t="n">
        <v>1847.6666116019</v>
      </c>
      <c r="I163" t="n">
        <v>821.333339452743</v>
      </c>
      <c r="J163" t="n">
        <v>1496.33326839407</v>
      </c>
      <c r="K163" t="n">
        <v>1778.66661365826</v>
      </c>
      <c r="L163" t="n">
        <v>1891.33333333333</v>
      </c>
      <c r="M163" t="n">
        <v>1062.9999581476</v>
      </c>
      <c r="N163" t="n">
        <v>1398.33335417012</v>
      </c>
      <c r="O163" t="n">
        <v>1198.99996426701</v>
      </c>
      <c r="P163" t="n">
        <v>1373.00005091975</v>
      </c>
    </row>
    <row r="164">
      <c r="A164" s="1" t="n">
        <v>3616301976141</v>
      </c>
      <c r="B164" t="inlineStr">
        <is>
          <t>GG PF21 EDT NS 90 ML IV</t>
        </is>
      </c>
      <c r="C164" t="inlineStr">
        <is>
          <t>P_US_ALL_OTHERS</t>
        </is>
      </c>
      <c r="D164" t="inlineStr">
        <is>
          <t>Stat Fcst Simple AOA</t>
        </is>
      </c>
    </row>
    <row r="165">
      <c r="A165" s="1" t="n">
        <v>3616301976141</v>
      </c>
      <c r="B165" t="inlineStr">
        <is>
          <t>GG PF21 EDT NS 90 ML IV</t>
        </is>
      </c>
      <c r="C165" t="inlineStr">
        <is>
          <t>P_US_ALL_OTHERS</t>
        </is>
      </c>
      <c r="D165" t="inlineStr">
        <is>
          <t>Stat Fcst Weighted Snaive</t>
        </is>
      </c>
    </row>
    <row r="166">
      <c r="A166" s="1" t="n">
        <v>3616301976141</v>
      </c>
      <c r="B166" t="inlineStr">
        <is>
          <t>GG PF21 EDT NS 90 ML IV</t>
        </is>
      </c>
      <c r="C166" t="inlineStr">
        <is>
          <t>P_US_ALL_OTHERS</t>
        </is>
      </c>
      <c r="D166" t="inlineStr">
        <is>
          <t>Stat Fcst Weighted AOA</t>
        </is>
      </c>
    </row>
    <row r="167">
      <c r="A167" s="1" t="n">
        <v>3616301976141</v>
      </c>
      <c r="B167" t="inlineStr">
        <is>
          <t>GG PF21 EDT NS 90 ML IV</t>
        </is>
      </c>
      <c r="C167" t="inlineStr">
        <is>
          <t>P_US_ALL_OTHERS</t>
        </is>
      </c>
      <c r="D167" t="inlineStr">
        <is>
          <t>Stat Fcst Growth Snaive</t>
        </is>
      </c>
    </row>
    <row r="168">
      <c r="A168" s="1" t="n">
        <v>3616301976141</v>
      </c>
      <c r="B168" t="inlineStr">
        <is>
          <t>GG PF21 EDT NS 90 ML IV</t>
        </is>
      </c>
      <c r="C168" t="inlineStr">
        <is>
          <t>P_US_ALL_OTHERS</t>
        </is>
      </c>
      <c r="D168" t="inlineStr">
        <is>
          <t>Stat Fcst Growth AOA</t>
        </is>
      </c>
    </row>
    <row r="169">
      <c r="A169" s="1" t="n">
        <v>3616301976141</v>
      </c>
      <c r="B169" t="inlineStr">
        <is>
          <t>GG PF21 EDT NS 90 ML IV</t>
        </is>
      </c>
      <c r="C169" t="inlineStr">
        <is>
          <t>P_US_ALL_OTHERS</t>
        </is>
      </c>
      <c r="D169" t="inlineStr">
        <is>
          <t>System Stat Fcst Bestfit</t>
        </is>
      </c>
      <c r="H169" t="n">
        <v>1034.9834896629</v>
      </c>
      <c r="I169" t="n">
        <v>494.803531518604</v>
      </c>
      <c r="J169" t="n">
        <v>1079.64852739427</v>
      </c>
      <c r="K169" t="n">
        <v>568.895979139328</v>
      </c>
      <c r="L169" t="n">
        <v>1237.58166503906</v>
      </c>
      <c r="M169" t="n">
        <v>427.705126413549</v>
      </c>
      <c r="N169" t="n">
        <v>633.099862949548</v>
      </c>
      <c r="O169" t="n">
        <v>1000.03884959105</v>
      </c>
      <c r="P169" t="n">
        <v>745.712163759113</v>
      </c>
    </row>
    <row r="170">
      <c r="A170" s="1" t="n">
        <v>3616301976141</v>
      </c>
      <c r="B170" t="inlineStr">
        <is>
          <t>GG PF21 EDT NS 90 ML IV</t>
        </is>
      </c>
      <c r="C170" t="inlineStr">
        <is>
          <t>P_US_ULTA</t>
        </is>
      </c>
      <c r="D170" t="inlineStr">
        <is>
          <t>Stat Fcst L1</t>
        </is>
      </c>
      <c r="E170" t="n">
        <v>113.999996602535</v>
      </c>
      <c r="F170" t="n">
        <v>230.999993115663</v>
      </c>
      <c r="G170" t="n">
        <v>1363</v>
      </c>
      <c r="H170" t="n">
        <v>678</v>
      </c>
      <c r="I170" t="n">
        <v>638</v>
      </c>
      <c r="J170" t="n">
        <v>1186</v>
      </c>
      <c r="K170" t="n">
        <v>456</v>
      </c>
      <c r="L170" t="n">
        <v>596</v>
      </c>
      <c r="M170" t="n">
        <v>934</v>
      </c>
      <c r="N170" t="n">
        <v>415</v>
      </c>
      <c r="O170" t="n">
        <v>368</v>
      </c>
      <c r="P170" t="n">
        <v>197</v>
      </c>
    </row>
    <row r="171">
      <c r="A171" s="1" t="n">
        <v>3616301976141</v>
      </c>
      <c r="B171" t="inlineStr">
        <is>
          <t>GG PF21 EDT NS 90 ML IV</t>
        </is>
      </c>
      <c r="C171" t="inlineStr">
        <is>
          <t>P_US_ULTA</t>
        </is>
      </c>
      <c r="D171" t="inlineStr">
        <is>
          <t>Stat Fcst AR-NNET</t>
        </is>
      </c>
    </row>
    <row r="172">
      <c r="A172" s="1" t="n">
        <v>3616301976141</v>
      </c>
      <c r="B172" t="inlineStr">
        <is>
          <t>GG PF21 EDT NS 90 ML IV</t>
        </is>
      </c>
      <c r="C172" t="inlineStr">
        <is>
          <t>P_US_ULTA</t>
        </is>
      </c>
      <c r="D172" t="inlineStr">
        <is>
          <t>Stat Fcst Auto ARIMA</t>
        </is>
      </c>
    </row>
    <row r="173">
      <c r="A173" s="1" t="n">
        <v>3616301976141</v>
      </c>
      <c r="B173" t="inlineStr">
        <is>
          <t>GG PF21 EDT NS 90 ML IV</t>
        </is>
      </c>
      <c r="C173" t="inlineStr">
        <is>
          <t>P_US_ULTA</t>
        </is>
      </c>
      <c r="D173" t="inlineStr">
        <is>
          <t>Stat Fcst Croston</t>
        </is>
      </c>
    </row>
    <row r="174">
      <c r="A174" s="1" t="n">
        <v>3616301976141</v>
      </c>
      <c r="B174" t="inlineStr">
        <is>
          <t>GG PF21 EDT NS 90 ML IV</t>
        </is>
      </c>
      <c r="C174" t="inlineStr">
        <is>
          <t>P_US_ULTA</t>
        </is>
      </c>
      <c r="D174" t="inlineStr">
        <is>
          <t>Stat Fcst DES</t>
        </is>
      </c>
    </row>
    <row r="175">
      <c r="A175" s="1" t="n">
        <v>3616301976141</v>
      </c>
      <c r="B175" t="inlineStr">
        <is>
          <t>GG PF21 EDT NS 90 ML IV</t>
        </is>
      </c>
      <c r="C175" t="inlineStr">
        <is>
          <t>P_US_ULTA</t>
        </is>
      </c>
      <c r="D175" t="inlineStr">
        <is>
          <t>Stat Fcst ETS</t>
        </is>
      </c>
    </row>
    <row r="176">
      <c r="A176" s="1" t="n">
        <v>3616301976141</v>
      </c>
      <c r="B176" t="inlineStr">
        <is>
          <t>GG PF21 EDT NS 90 ML IV</t>
        </is>
      </c>
      <c r="C176" t="inlineStr">
        <is>
          <t>P_US_ULTA</t>
        </is>
      </c>
      <c r="D176" t="inlineStr">
        <is>
          <t>Stat Fcst Moving Average</t>
        </is>
      </c>
    </row>
    <row r="177">
      <c r="A177" s="1" t="n">
        <v>3616301976141</v>
      </c>
      <c r="B177" t="inlineStr">
        <is>
          <t>GG PF21 EDT NS 90 ML IV</t>
        </is>
      </c>
      <c r="C177" t="inlineStr">
        <is>
          <t>P_US_ULTA</t>
        </is>
      </c>
      <c r="D177" t="inlineStr">
        <is>
          <t>Stat Fcst Naive Random Walk</t>
        </is>
      </c>
    </row>
    <row r="178">
      <c r="A178" s="1" t="n">
        <v>3616301976141</v>
      </c>
      <c r="B178" t="inlineStr">
        <is>
          <t>GG PF21 EDT NS 90 ML IV</t>
        </is>
      </c>
      <c r="C178" t="inlineStr">
        <is>
          <t>P_US_ULTA</t>
        </is>
      </c>
      <c r="D178" t="inlineStr">
        <is>
          <t>Stat Fcst Prophet</t>
        </is>
      </c>
    </row>
    <row r="179">
      <c r="A179" s="1" t="n">
        <v>3616301976141</v>
      </c>
      <c r="B179" t="inlineStr">
        <is>
          <t>GG PF21 EDT NS 90 ML IV</t>
        </is>
      </c>
      <c r="C179" t="inlineStr">
        <is>
          <t>P_US_ULTA</t>
        </is>
      </c>
      <c r="D179" t="inlineStr">
        <is>
          <t>Stat Fcst sARIMA</t>
        </is>
      </c>
    </row>
    <row r="180">
      <c r="A180" s="1" t="n">
        <v>3616301976141</v>
      </c>
      <c r="B180" t="inlineStr">
        <is>
          <t>GG PF21 EDT NS 90 ML IV</t>
        </is>
      </c>
      <c r="C180" t="inlineStr">
        <is>
          <t>P_US_ULTA</t>
        </is>
      </c>
      <c r="D180" t="inlineStr">
        <is>
          <t>Stat Fcst Seasonal Naive YoY</t>
        </is>
      </c>
    </row>
    <row r="181">
      <c r="A181" s="1" t="n">
        <v>3616301976141</v>
      </c>
      <c r="B181" t="inlineStr">
        <is>
          <t>GG PF21 EDT NS 90 ML IV</t>
        </is>
      </c>
      <c r="C181" t="inlineStr">
        <is>
          <t>P_US_ULTA</t>
        </is>
      </c>
      <c r="D181" t="inlineStr">
        <is>
          <t>Stat Fcst SES</t>
        </is>
      </c>
    </row>
    <row r="182">
      <c r="A182" s="1" t="n">
        <v>3616301976141</v>
      </c>
      <c r="B182" t="inlineStr">
        <is>
          <t>GG PF21 EDT NS 90 ML IV</t>
        </is>
      </c>
      <c r="C182" t="inlineStr">
        <is>
          <t>P_US_ULTA</t>
        </is>
      </c>
      <c r="D182" t="inlineStr">
        <is>
          <t>Stat Fcst STLF</t>
        </is>
      </c>
      <c r="E182" t="n">
        <v>160.604083164868</v>
      </c>
      <c r="F182" t="n">
        <v>694.186523003298</v>
      </c>
      <c r="G182" t="n">
        <v>1282.13459471231</v>
      </c>
      <c r="H182" t="n">
        <v>123.403182878156</v>
      </c>
      <c r="I182" t="n">
        <v>351.323548295197</v>
      </c>
      <c r="J182" t="n">
        <v>303.006071027568</v>
      </c>
      <c r="K182" t="n">
        <v>785.990854830058</v>
      </c>
      <c r="L182" t="n">
        <v>0</v>
      </c>
      <c r="M182" t="n">
        <v>308.855927836366</v>
      </c>
      <c r="N182" t="n">
        <v>235.671489018106</v>
      </c>
      <c r="O182" t="n">
        <v>593.656412179414</v>
      </c>
      <c r="P182" t="n">
        <v>162.941007686628</v>
      </c>
    </row>
    <row r="183">
      <c r="A183" s="1" t="n">
        <v>3616301976141</v>
      </c>
      <c r="B183" t="inlineStr">
        <is>
          <t>GG PF21 EDT NS 90 ML IV</t>
        </is>
      </c>
      <c r="C183" t="inlineStr">
        <is>
          <t>P_US_ULTA</t>
        </is>
      </c>
      <c r="D183" t="inlineStr">
        <is>
          <t>Stat Fcst TBATS</t>
        </is>
      </c>
    </row>
    <row r="184">
      <c r="A184" s="1" t="n">
        <v>3616301976141</v>
      </c>
      <c r="B184" t="inlineStr">
        <is>
          <t>GG PF21 EDT NS 90 ML IV</t>
        </is>
      </c>
      <c r="C184" t="inlineStr">
        <is>
          <t>P_US_ULTA</t>
        </is>
      </c>
      <c r="D184" t="inlineStr">
        <is>
          <t>Stat Fcst TES</t>
        </is>
      </c>
      <c r="E184" t="n">
        <v>565.349471541422</v>
      </c>
      <c r="F184" t="n">
        <v>1008.52314904499</v>
      </c>
      <c r="G184" t="n">
        <v>899.923931445869</v>
      </c>
      <c r="H184" t="n">
        <v>272.986648098028</v>
      </c>
      <c r="I184" t="n">
        <v>255.314587494191</v>
      </c>
      <c r="J184" t="n">
        <v>499.089715692065</v>
      </c>
      <c r="K184" t="n">
        <v>292.017767767868</v>
      </c>
      <c r="L184" t="n">
        <v>381.993135855289</v>
      </c>
      <c r="M184" t="n">
        <v>420.425658536811</v>
      </c>
      <c r="N184" t="n">
        <v>276.326560360922</v>
      </c>
      <c r="O184" t="n">
        <v>427.243604306463</v>
      </c>
      <c r="P184" t="n">
        <v>186.055102343132</v>
      </c>
    </row>
    <row r="185">
      <c r="A185" s="1" t="n">
        <v>3616301976141</v>
      </c>
      <c r="B185" t="inlineStr">
        <is>
          <t>GG PF21 EDT NS 90 ML IV</t>
        </is>
      </c>
      <c r="C185" t="inlineStr">
        <is>
          <t>P_US_ULTA</t>
        </is>
      </c>
      <c r="D185" t="inlineStr">
        <is>
          <t>Stat Fcst Theta</t>
        </is>
      </c>
    </row>
    <row r="186">
      <c r="A186" s="1" t="n">
        <v>3616301976141</v>
      </c>
      <c r="B186" t="inlineStr">
        <is>
          <t>GG PF21 EDT NS 90 ML IV</t>
        </is>
      </c>
      <c r="C186" t="inlineStr">
        <is>
          <t>P_US_ULTA</t>
        </is>
      </c>
      <c r="D186" t="inlineStr">
        <is>
          <t>System ML Fcst L1</t>
        </is>
      </c>
    </row>
    <row r="187">
      <c r="A187" s="1" t="n">
        <v>3616301976141</v>
      </c>
      <c r="B187" t="inlineStr">
        <is>
          <t>GG PF21 EDT NS 90 ML IV</t>
        </is>
      </c>
      <c r="C187" t="inlineStr">
        <is>
          <t>P_US_ULTA</t>
        </is>
      </c>
      <c r="D187" t="inlineStr">
        <is>
          <t>Stat Fcst Simple Snaive</t>
        </is>
      </c>
      <c r="E187" t="n">
        <v>332.999990075826</v>
      </c>
      <c r="F187" t="n">
        <v>659.999980330467</v>
      </c>
      <c r="G187" t="n">
        <v>1363.66667682677</v>
      </c>
      <c r="H187" t="n">
        <v>678.999979764223</v>
      </c>
      <c r="I187" t="n">
        <v>637.000004746019</v>
      </c>
      <c r="J187" t="n">
        <v>1185.29639208426</v>
      </c>
      <c r="K187" t="n">
        <v>456.999966035287</v>
      </c>
      <c r="L187" t="n">
        <v>597</v>
      </c>
      <c r="M187" t="n">
        <v>934.296369047073</v>
      </c>
      <c r="N187" t="n">
        <v>415.000006183981</v>
      </c>
      <c r="O187" t="n">
        <v>365.99998909235</v>
      </c>
      <c r="P187" t="n">
        <v>195.000001452863</v>
      </c>
    </row>
    <row r="188">
      <c r="A188" s="1" t="n">
        <v>3616301976141</v>
      </c>
      <c r="B188" t="inlineStr">
        <is>
          <t>GG PF21 EDT NS 90 ML IV</t>
        </is>
      </c>
      <c r="C188" t="inlineStr">
        <is>
          <t>P_US_ULTA</t>
        </is>
      </c>
      <c r="D188" t="inlineStr">
        <is>
          <t>Stat Fcst Simple AOA</t>
        </is>
      </c>
    </row>
    <row r="189">
      <c r="A189" s="1" t="n">
        <v>3616301976141</v>
      </c>
      <c r="B189" t="inlineStr">
        <is>
          <t>GG PF21 EDT NS 90 ML IV</t>
        </is>
      </c>
      <c r="C189" t="inlineStr">
        <is>
          <t>P_US_ULTA</t>
        </is>
      </c>
      <c r="D189" t="inlineStr">
        <is>
          <t>Stat Fcst Weighted Snaive</t>
        </is>
      </c>
    </row>
    <row r="190">
      <c r="A190" s="1" t="n">
        <v>3616301976141</v>
      </c>
      <c r="B190" t="inlineStr">
        <is>
          <t>GG PF21 EDT NS 90 ML IV</t>
        </is>
      </c>
      <c r="C190" t="inlineStr">
        <is>
          <t>P_US_ULTA</t>
        </is>
      </c>
      <c r="D190" t="inlineStr">
        <is>
          <t>Stat Fcst Weighted AOA</t>
        </is>
      </c>
    </row>
    <row r="191">
      <c r="A191" s="1" t="n">
        <v>3616301976141</v>
      </c>
      <c r="B191" t="inlineStr">
        <is>
          <t>GG PF21 EDT NS 90 ML IV</t>
        </is>
      </c>
      <c r="C191" t="inlineStr">
        <is>
          <t>P_US_ULTA</t>
        </is>
      </c>
      <c r="D191" t="inlineStr">
        <is>
          <t>Stat Fcst Growth Snaive</t>
        </is>
      </c>
    </row>
    <row r="192">
      <c r="A192" s="1" t="n">
        <v>3616301976141</v>
      </c>
      <c r="B192" t="inlineStr">
        <is>
          <t>GG PF21 EDT NS 90 ML IV</t>
        </is>
      </c>
      <c r="C192" t="inlineStr">
        <is>
          <t>P_US_ULTA</t>
        </is>
      </c>
      <c r="D192" t="inlineStr">
        <is>
          <t>Stat Fcst Growth AOA</t>
        </is>
      </c>
    </row>
    <row r="193">
      <c r="A193" s="1" t="n">
        <v>3616301976141</v>
      </c>
      <c r="B193" t="inlineStr">
        <is>
          <t>GG PF21 EDT NS 90 ML IV</t>
        </is>
      </c>
      <c r="C193" t="inlineStr">
        <is>
          <t>P_US_ULTA</t>
        </is>
      </c>
      <c r="D193" t="inlineStr">
        <is>
          <t>System Stat Fcst Bestfit</t>
        </is>
      </c>
      <c r="H193" t="n">
        <v>678.999979764223</v>
      </c>
      <c r="I193" t="n">
        <v>637.000004746019</v>
      </c>
      <c r="J193" t="n">
        <v>1185.29635139416</v>
      </c>
      <c r="K193" t="n">
        <v>456.999955862761</v>
      </c>
      <c r="L193" t="n">
        <v>597</v>
      </c>
      <c r="M193" t="n">
        <v>934.296358874547</v>
      </c>
      <c r="N193" t="n">
        <v>415.000006183981</v>
      </c>
      <c r="O193" t="n">
        <v>365.999958574772</v>
      </c>
      <c r="P193" t="n">
        <v>195.000001452863</v>
      </c>
    </row>
    <row r="194">
      <c r="A194" s="1" t="n">
        <v>3616302033683</v>
      </c>
      <c r="B194" t="inlineStr">
        <is>
          <t>GUCCI GUILT H DEOSTK 75 ML VP IV</t>
        </is>
      </c>
      <c r="C194" t="inlineStr">
        <is>
          <t>P_US_ALL_OTHERS</t>
        </is>
      </c>
      <c r="D194" t="inlineStr">
        <is>
          <t>Stat Fcst L1</t>
        </is>
      </c>
      <c r="E194" t="n">
        <v>385.999988496303</v>
      </c>
      <c r="F194" t="n">
        <v>616.870949745178</v>
      </c>
      <c r="G194" t="n">
        <v>463</v>
      </c>
      <c r="H194" t="n">
        <v>403</v>
      </c>
      <c r="I194" t="n">
        <v>408</v>
      </c>
      <c r="J194" t="n">
        <v>456</v>
      </c>
      <c r="K194" t="n">
        <v>470</v>
      </c>
      <c r="L194" t="n">
        <v>440</v>
      </c>
      <c r="M194" t="n">
        <v>438</v>
      </c>
      <c r="N194" t="n">
        <v>442</v>
      </c>
      <c r="O194" t="n">
        <v>452</v>
      </c>
      <c r="P194" t="n">
        <v>450</v>
      </c>
    </row>
    <row r="195">
      <c r="A195" s="1" t="n">
        <v>3616302033683</v>
      </c>
      <c r="B195" t="inlineStr">
        <is>
          <t>GUCCI GUILT H DEOSTK 75 ML VP IV</t>
        </is>
      </c>
      <c r="C195" t="inlineStr">
        <is>
          <t>P_US_ALL_OTHERS</t>
        </is>
      </c>
      <c r="D195" t="inlineStr">
        <is>
          <t>Stat Fcst AR-NNET</t>
        </is>
      </c>
    </row>
    <row r="196">
      <c r="A196" s="1" t="n">
        <v>3616302033683</v>
      </c>
      <c r="B196" t="inlineStr">
        <is>
          <t>GUCCI GUILT H DEOSTK 75 ML VP IV</t>
        </is>
      </c>
      <c r="C196" t="inlineStr">
        <is>
          <t>P_US_ALL_OTHERS</t>
        </is>
      </c>
      <c r="D196" t="inlineStr">
        <is>
          <t>Stat Fcst Auto ARIMA</t>
        </is>
      </c>
    </row>
    <row r="197">
      <c r="A197" s="1" t="n">
        <v>3616302033683</v>
      </c>
      <c r="B197" t="inlineStr">
        <is>
          <t>GUCCI GUILT H DEOSTK 75 ML VP IV</t>
        </is>
      </c>
      <c r="C197" t="inlineStr">
        <is>
          <t>P_US_ALL_OTHERS</t>
        </is>
      </c>
      <c r="D197" t="inlineStr">
        <is>
          <t>Stat Fcst Croston</t>
        </is>
      </c>
    </row>
    <row r="198">
      <c r="A198" s="1" t="n">
        <v>3616302033683</v>
      </c>
      <c r="B198" t="inlineStr">
        <is>
          <t>GUCCI GUILT H DEOSTK 75 ML VP IV</t>
        </is>
      </c>
      <c r="C198" t="inlineStr">
        <is>
          <t>P_US_ALL_OTHERS</t>
        </is>
      </c>
      <c r="D198" t="inlineStr">
        <is>
          <t>Stat Fcst DES</t>
        </is>
      </c>
      <c r="E198" t="n">
        <v>352.031157772137</v>
      </c>
      <c r="F198" t="n">
        <v>352.001684404979</v>
      </c>
      <c r="G198" t="n">
        <v>424.696201834149</v>
      </c>
      <c r="H198" t="n">
        <v>424.641135695556</v>
      </c>
      <c r="I198" t="n">
        <v>424.595367192204</v>
      </c>
      <c r="J198" t="n">
        <v>424.557273410388</v>
      </c>
      <c r="K198" t="n">
        <v>424.52560467862</v>
      </c>
      <c r="L198" t="n">
        <v>424.49927903699</v>
      </c>
      <c r="M198" t="n">
        <v>424.477361319845</v>
      </c>
      <c r="N198" t="n">
        <v>424.459162260336</v>
      </c>
      <c r="O198" t="n">
        <v>424.443991686677</v>
      </c>
      <c r="P198" t="n">
        <v>424.431406196216</v>
      </c>
    </row>
    <row r="199">
      <c r="A199" s="1" t="n">
        <v>3616302033683</v>
      </c>
      <c r="B199" t="inlineStr">
        <is>
          <t>GUCCI GUILT H DEOSTK 75 ML VP IV</t>
        </is>
      </c>
      <c r="C199" t="inlineStr">
        <is>
          <t>P_US_ALL_OTHERS</t>
        </is>
      </c>
      <c r="D199" t="inlineStr">
        <is>
          <t>Stat Fcst ETS</t>
        </is>
      </c>
    </row>
    <row r="200">
      <c r="A200" s="1" t="n">
        <v>3616302033683</v>
      </c>
      <c r="B200" t="inlineStr">
        <is>
          <t>GUCCI GUILT H DEOSTK 75 ML VP IV</t>
        </is>
      </c>
      <c r="C200" t="inlineStr">
        <is>
          <t>P_US_ALL_OTHERS</t>
        </is>
      </c>
      <c r="D200" t="inlineStr">
        <is>
          <t>Stat Fcst Moving Average</t>
        </is>
      </c>
      <c r="E200" t="n">
        <v>399.819988084435</v>
      </c>
      <c r="F200" t="n">
        <v>348.979989599585</v>
      </c>
      <c r="G200" t="n">
        <v>461.400003437697</v>
      </c>
      <c r="H200" t="n">
        <v>405.079987927675</v>
      </c>
      <c r="I200" t="n">
        <v>408.700003045052</v>
      </c>
      <c r="J200" t="n">
        <v>457.039986379146</v>
      </c>
      <c r="K200" t="n">
        <v>471.239985955953</v>
      </c>
      <c r="L200" t="n">
        <v>440.69</v>
      </c>
      <c r="M200" t="n">
        <v>436.549986989796</v>
      </c>
      <c r="N200" t="n">
        <v>442.84000659883</v>
      </c>
      <c r="O200" t="n">
        <v>449.669986598789</v>
      </c>
      <c r="P200" t="n">
        <v>448.20000333935</v>
      </c>
    </row>
    <row r="201">
      <c r="A201" s="1" t="n">
        <v>3616302033683</v>
      </c>
      <c r="B201" t="inlineStr">
        <is>
          <t>GUCCI GUILT H DEOSTK 75 ML VP IV</t>
        </is>
      </c>
      <c r="C201" t="inlineStr">
        <is>
          <t>P_US_ALL_OTHERS</t>
        </is>
      </c>
      <c r="D201" t="inlineStr">
        <is>
          <t>Stat Fcst Naive Random Walk</t>
        </is>
      </c>
    </row>
    <row r="202">
      <c r="A202" s="1" t="n">
        <v>3616302033683</v>
      </c>
      <c r="B202" t="inlineStr">
        <is>
          <t>GUCCI GUILT H DEOSTK 75 ML VP IV</t>
        </is>
      </c>
      <c r="C202" t="inlineStr">
        <is>
          <t>P_US_ALL_OTHERS</t>
        </is>
      </c>
      <c r="D202" t="inlineStr">
        <is>
          <t>Stat Fcst Prophet</t>
        </is>
      </c>
    </row>
    <row r="203">
      <c r="A203" s="1" t="n">
        <v>3616302033683</v>
      </c>
      <c r="B203" t="inlineStr">
        <is>
          <t>GUCCI GUILT H DEOSTK 75 ML VP IV</t>
        </is>
      </c>
      <c r="C203" t="inlineStr">
        <is>
          <t>P_US_ALL_OTHERS</t>
        </is>
      </c>
      <c r="D203" t="inlineStr">
        <is>
          <t>Stat Fcst sARIMA</t>
        </is>
      </c>
    </row>
    <row r="204">
      <c r="A204" s="1" t="n">
        <v>3616302033683</v>
      </c>
      <c r="B204" t="inlineStr">
        <is>
          <t>GUCCI GUILT H DEOSTK 75 ML VP IV</t>
        </is>
      </c>
      <c r="C204" t="inlineStr">
        <is>
          <t>P_US_ALL_OTHERS</t>
        </is>
      </c>
      <c r="D204" t="inlineStr">
        <is>
          <t>Stat Fcst Seasonal Naive YoY</t>
        </is>
      </c>
    </row>
    <row r="205">
      <c r="A205" s="1" t="n">
        <v>3616302033683</v>
      </c>
      <c r="B205" t="inlineStr">
        <is>
          <t>GUCCI GUILT H DEOSTK 75 ML VP IV</t>
        </is>
      </c>
      <c r="C205" t="inlineStr">
        <is>
          <t>P_US_ALL_OTHERS</t>
        </is>
      </c>
      <c r="D205" t="inlineStr">
        <is>
          <t>Stat Fcst SES</t>
        </is>
      </c>
    </row>
    <row r="206">
      <c r="A206" s="1" t="n">
        <v>3616302033683</v>
      </c>
      <c r="B206" t="inlineStr">
        <is>
          <t>GUCCI GUILT H DEOSTK 75 ML VP IV</t>
        </is>
      </c>
      <c r="C206" t="inlineStr">
        <is>
          <t>P_US_ALL_OTHERS</t>
        </is>
      </c>
      <c r="D206" t="inlineStr">
        <is>
          <t>Stat Fcst STLF</t>
        </is>
      </c>
      <c r="E206" t="n">
        <v>122.900881923445</v>
      </c>
      <c r="F206" t="n">
        <v>811.904005926953</v>
      </c>
      <c r="G206" t="n">
        <v>865.374158664035</v>
      </c>
      <c r="H206" t="n">
        <v>669.855791485916</v>
      </c>
      <c r="I206" t="n">
        <v>156.847808165223</v>
      </c>
      <c r="J206" t="n">
        <v>528.967730572803</v>
      </c>
      <c r="K206" t="n">
        <v>49.1512709311668</v>
      </c>
      <c r="L206" t="n">
        <v>697.90144917358</v>
      </c>
      <c r="M206" t="n">
        <v>1381.53322040028</v>
      </c>
      <c r="N206" t="n">
        <v>624.139217873553</v>
      </c>
      <c r="O206" t="n">
        <v>538.463615529912</v>
      </c>
      <c r="P206" t="n">
        <v>270.452361233574</v>
      </c>
    </row>
    <row r="207">
      <c r="A207" s="1" t="n">
        <v>3616302033683</v>
      </c>
      <c r="B207" t="inlineStr">
        <is>
          <t>GUCCI GUILT H DEOSTK 75 ML VP IV</t>
        </is>
      </c>
      <c r="C207" t="inlineStr">
        <is>
          <t>P_US_ALL_OTHERS</t>
        </is>
      </c>
      <c r="D207" t="inlineStr">
        <is>
          <t>Stat Fcst TBATS</t>
        </is>
      </c>
    </row>
    <row r="208">
      <c r="A208" s="1" t="n">
        <v>3616302033683</v>
      </c>
      <c r="B208" t="inlineStr">
        <is>
          <t>GUCCI GUILT H DEOSTK 75 ML VP IV</t>
        </is>
      </c>
      <c r="C208" t="inlineStr">
        <is>
          <t>P_US_ALL_OTHERS</t>
        </is>
      </c>
      <c r="D208" t="inlineStr">
        <is>
          <t>Stat Fcst TES</t>
        </is>
      </c>
    </row>
    <row r="209">
      <c r="A209" s="1" t="n">
        <v>3616302033683</v>
      </c>
      <c r="B209" t="inlineStr">
        <is>
          <t>GUCCI GUILT H DEOSTK 75 ML VP IV</t>
        </is>
      </c>
      <c r="C209" t="inlineStr">
        <is>
          <t>P_US_ALL_OTHERS</t>
        </is>
      </c>
      <c r="D209" t="inlineStr">
        <is>
          <t>Stat Fcst Theta</t>
        </is>
      </c>
    </row>
    <row r="210">
      <c r="A210" s="1" t="n">
        <v>3616302033683</v>
      </c>
      <c r="B210" t="inlineStr">
        <is>
          <t>GUCCI GUILT H DEOSTK 75 ML VP IV</t>
        </is>
      </c>
      <c r="C210" t="inlineStr">
        <is>
          <t>P_US_ALL_OTHERS</t>
        </is>
      </c>
      <c r="D210" t="inlineStr">
        <is>
          <t>System ML Fcst L1</t>
        </is>
      </c>
    </row>
    <row r="211">
      <c r="A211" s="1" t="n">
        <v>3616302033683</v>
      </c>
      <c r="B211" t="inlineStr">
        <is>
          <t>GUCCI GUILT H DEOSTK 75 ML VP IV</t>
        </is>
      </c>
      <c r="C211" t="inlineStr">
        <is>
          <t>P_US_ALL_OTHERS</t>
        </is>
      </c>
      <c r="D211" t="inlineStr">
        <is>
          <t>Stat Fcst Simple Snaive</t>
        </is>
      </c>
    </row>
    <row r="212">
      <c r="A212" s="1" t="n">
        <v>3616302033683</v>
      </c>
      <c r="B212" t="inlineStr">
        <is>
          <t>GUCCI GUILT H DEOSTK 75 ML VP IV</t>
        </is>
      </c>
      <c r="C212" t="inlineStr">
        <is>
          <t>P_US_ALL_OTHERS</t>
        </is>
      </c>
      <c r="D212" t="inlineStr">
        <is>
          <t>Stat Fcst Simple AOA</t>
        </is>
      </c>
    </row>
    <row r="213">
      <c r="A213" s="1" t="n">
        <v>3616302033683</v>
      </c>
      <c r="B213" t="inlineStr">
        <is>
          <t>GUCCI GUILT H DEOSTK 75 ML VP IV</t>
        </is>
      </c>
      <c r="C213" t="inlineStr">
        <is>
          <t>P_US_ALL_OTHERS</t>
        </is>
      </c>
      <c r="D213" t="inlineStr">
        <is>
          <t>Stat Fcst Weighted Snaive</t>
        </is>
      </c>
    </row>
    <row r="214">
      <c r="A214" s="1" t="n">
        <v>3616302033683</v>
      </c>
      <c r="B214" t="inlineStr">
        <is>
          <t>GUCCI GUILT H DEOSTK 75 ML VP IV</t>
        </is>
      </c>
      <c r="C214" t="inlineStr">
        <is>
          <t>P_US_ALL_OTHERS</t>
        </is>
      </c>
      <c r="D214" t="inlineStr">
        <is>
          <t>Stat Fcst Weighted AOA</t>
        </is>
      </c>
      <c r="E214" t="n">
        <v>64.49999807775021</v>
      </c>
      <c r="F214" t="n">
        <v>562.499952718616</v>
      </c>
      <c r="G214" t="n">
        <v>601.000004477798</v>
      </c>
      <c r="H214" t="n">
        <v>855.999974489212</v>
      </c>
      <c r="I214" t="n">
        <v>552.333337448537</v>
      </c>
      <c r="J214" t="n">
        <v>314.33332396547</v>
      </c>
      <c r="K214" t="n">
        <v>18.9999981621901</v>
      </c>
      <c r="L214" t="n">
        <v>359</v>
      </c>
      <c r="M214" t="n">
        <v>639.4813041841589</v>
      </c>
      <c r="N214" t="n">
        <v>362.666672070821</v>
      </c>
      <c r="O214" t="n">
        <v>542.999963472287</v>
      </c>
      <c r="P214" t="n">
        <v>244.666668489575</v>
      </c>
    </row>
    <row r="215">
      <c r="A215" s="1" t="n">
        <v>3616302033683</v>
      </c>
      <c r="B215" t="inlineStr">
        <is>
          <t>GUCCI GUILT H DEOSTK 75 ML VP IV</t>
        </is>
      </c>
      <c r="C215" t="inlineStr">
        <is>
          <t>P_US_ALL_OTHERS</t>
        </is>
      </c>
      <c r="D215" t="inlineStr">
        <is>
          <t>Stat Fcst Growth Snaive</t>
        </is>
      </c>
    </row>
    <row r="216">
      <c r="A216" s="1" t="n">
        <v>3616302033683</v>
      </c>
      <c r="B216" t="inlineStr">
        <is>
          <t>GUCCI GUILT H DEOSTK 75 ML VP IV</t>
        </is>
      </c>
      <c r="C216" t="inlineStr">
        <is>
          <t>P_US_ALL_OTHERS</t>
        </is>
      </c>
      <c r="D216" t="inlineStr">
        <is>
          <t>Stat Fcst Growth AOA</t>
        </is>
      </c>
    </row>
    <row r="217">
      <c r="A217" s="1" t="n">
        <v>3616302033683</v>
      </c>
      <c r="B217" t="inlineStr">
        <is>
          <t>GUCCI GUILT H DEOSTK 75 ML VP IV</t>
        </is>
      </c>
      <c r="C217" t="inlineStr">
        <is>
          <t>P_US_ALL_OTHERS</t>
        </is>
      </c>
      <c r="D217" t="inlineStr">
        <is>
          <t>System Stat Fcst Bestfit</t>
        </is>
      </c>
      <c r="H217" t="n">
        <v>405.079974499941</v>
      </c>
      <c r="I217" t="n">
        <v>408.700015252083</v>
      </c>
      <c r="J217" t="n">
        <v>457.039964406491</v>
      </c>
      <c r="K217" t="n">
        <v>471.239976190328</v>
      </c>
      <c r="L217" t="n">
        <v>440.690002441406</v>
      </c>
      <c r="M217" t="n">
        <v>436.549974782765</v>
      </c>
      <c r="N217" t="n">
        <v>442.84000293672</v>
      </c>
      <c r="O217" t="n">
        <v>449.669969508946</v>
      </c>
      <c r="P217" t="n">
        <v>448.200015546381</v>
      </c>
    </row>
    <row r="218">
      <c r="A218" s="1" t="n">
        <v>3616302039357</v>
      </c>
      <c r="B218" t="inlineStr">
        <is>
          <t>GUCCI FL GG EDP 10 ML PENSPRAY IV</t>
        </is>
      </c>
      <c r="C218" t="inlineStr">
        <is>
          <t>P_US_ALL_OTHERS</t>
        </is>
      </c>
      <c r="D218" t="inlineStr">
        <is>
          <t>Stat Fcst L1</t>
        </is>
      </c>
      <c r="E218" t="n">
        <v>10552.999685496</v>
      </c>
      <c r="F218" t="n">
        <v>9711.483582615851</v>
      </c>
      <c r="G218" t="n">
        <v>5709</v>
      </c>
      <c r="H218" t="n">
        <v>1519</v>
      </c>
      <c r="I218" t="n">
        <v>1518</v>
      </c>
      <c r="J218" t="n">
        <v>11630</v>
      </c>
      <c r="K218" t="n">
        <v>1519</v>
      </c>
      <c r="L218" t="n">
        <v>1520</v>
      </c>
      <c r="M218" t="n">
        <v>9623</v>
      </c>
      <c r="N218" t="n">
        <v>1517</v>
      </c>
      <c r="O218" t="n">
        <v>8286</v>
      </c>
      <c r="P218" t="n">
        <v>9035</v>
      </c>
    </row>
    <row r="219">
      <c r="A219" s="1" t="n">
        <v>3616302039357</v>
      </c>
      <c r="B219" t="inlineStr">
        <is>
          <t>GUCCI FL GG EDP 10 ML PENSPRAY IV</t>
        </is>
      </c>
      <c r="C219" t="inlineStr">
        <is>
          <t>P_US_ALL_OTHERS</t>
        </is>
      </c>
      <c r="D219" t="inlineStr">
        <is>
          <t>Stat Fcst AR-NNET</t>
        </is>
      </c>
    </row>
    <row r="220">
      <c r="A220" s="1" t="n">
        <v>3616302039357</v>
      </c>
      <c r="B220" t="inlineStr">
        <is>
          <t>GUCCI FL GG EDP 10 ML PENSPRAY IV</t>
        </is>
      </c>
      <c r="C220" t="inlineStr">
        <is>
          <t>P_US_ALL_OTHERS</t>
        </is>
      </c>
      <c r="D220" t="inlineStr">
        <is>
          <t>Stat Fcst Auto ARIMA</t>
        </is>
      </c>
    </row>
    <row r="221">
      <c r="A221" s="1" t="n">
        <v>3616302039357</v>
      </c>
      <c r="B221" t="inlineStr">
        <is>
          <t>GUCCI FL GG EDP 10 ML PENSPRAY IV</t>
        </is>
      </c>
      <c r="C221" t="inlineStr">
        <is>
          <t>P_US_ALL_OTHERS</t>
        </is>
      </c>
      <c r="D221" t="inlineStr">
        <is>
          <t>Stat Fcst Croston</t>
        </is>
      </c>
    </row>
    <row r="222">
      <c r="A222" s="1" t="n">
        <v>3616302039357</v>
      </c>
      <c r="B222" t="inlineStr">
        <is>
          <t>GUCCI FL GG EDP 10 ML PENSPRAY IV</t>
        </is>
      </c>
      <c r="C222" t="inlineStr">
        <is>
          <t>P_US_ALL_OTHERS</t>
        </is>
      </c>
      <c r="D222" t="inlineStr">
        <is>
          <t>Stat Fcst DES</t>
        </is>
      </c>
      <c r="E222" t="n">
        <v>12549.8620972907</v>
      </c>
      <c r="F222" t="n">
        <v>12584.8261894466</v>
      </c>
      <c r="G222" t="n">
        <v>11313.0102890872</v>
      </c>
      <c r="H222" t="n">
        <v>11325.8494769992</v>
      </c>
      <c r="I222" t="n">
        <v>11337.5040663357</v>
      </c>
      <c r="J222" t="n">
        <v>11348.081816905</v>
      </c>
      <c r="K222" t="n">
        <v>11357.6833390554</v>
      </c>
      <c r="L222" t="n">
        <v>11366.3987203946</v>
      </c>
      <c r="M222" t="n">
        <v>11374.3087906688</v>
      </c>
      <c r="N222" t="n">
        <v>11381.4893642946</v>
      </c>
      <c r="O222" t="n">
        <v>11388.0060066242</v>
      </c>
      <c r="P222" t="n">
        <v>11393.9218733128</v>
      </c>
    </row>
    <row r="223">
      <c r="A223" s="1" t="n">
        <v>3616302039357</v>
      </c>
      <c r="B223" t="inlineStr">
        <is>
          <t>GUCCI FL GG EDP 10 ML PENSPRAY IV</t>
        </is>
      </c>
      <c r="C223" t="inlineStr">
        <is>
          <t>P_US_ALL_OTHERS</t>
        </is>
      </c>
      <c r="D223" t="inlineStr">
        <is>
          <t>Stat Fcst ETS</t>
        </is>
      </c>
    </row>
    <row r="224">
      <c r="A224" s="1" t="n">
        <v>3616302039357</v>
      </c>
      <c r="B224" t="inlineStr">
        <is>
          <t>GUCCI FL GG EDP 10 ML PENSPRAY IV</t>
        </is>
      </c>
      <c r="C224" t="inlineStr">
        <is>
          <t>P_US_ALL_OTHERS</t>
        </is>
      </c>
      <c r="D224" t="inlineStr">
        <is>
          <t>Stat Fcst Moving Average</t>
        </is>
      </c>
    </row>
    <row r="225">
      <c r="A225" s="1" t="n">
        <v>3616302039357</v>
      </c>
      <c r="B225" t="inlineStr">
        <is>
          <t>GUCCI FL GG EDP 10 ML PENSPRAY IV</t>
        </is>
      </c>
      <c r="C225" t="inlineStr">
        <is>
          <t>P_US_ALL_OTHERS</t>
        </is>
      </c>
      <c r="D225" t="inlineStr">
        <is>
          <t>Stat Fcst Naive Random Walk</t>
        </is>
      </c>
    </row>
    <row r="226">
      <c r="A226" s="1" t="n">
        <v>3616302039357</v>
      </c>
      <c r="B226" t="inlineStr">
        <is>
          <t>GUCCI FL GG EDP 10 ML PENSPRAY IV</t>
        </is>
      </c>
      <c r="C226" t="inlineStr">
        <is>
          <t>P_US_ALL_OTHERS</t>
        </is>
      </c>
      <c r="D226" t="inlineStr">
        <is>
          <t>Stat Fcst Prophet</t>
        </is>
      </c>
    </row>
    <row r="227">
      <c r="A227" s="1" t="n">
        <v>3616302039357</v>
      </c>
      <c r="B227" t="inlineStr">
        <is>
          <t>GUCCI FL GG EDP 10 ML PENSPRAY IV</t>
        </is>
      </c>
      <c r="C227" t="inlineStr">
        <is>
          <t>P_US_ALL_OTHERS</t>
        </is>
      </c>
      <c r="D227" t="inlineStr">
        <is>
          <t>Stat Fcst sARIMA</t>
        </is>
      </c>
    </row>
    <row r="228">
      <c r="A228" s="1" t="n">
        <v>3616302039357</v>
      </c>
      <c r="B228" t="inlineStr">
        <is>
          <t>GUCCI FL GG EDP 10 ML PENSPRAY IV</t>
        </is>
      </c>
      <c r="C228" t="inlineStr">
        <is>
          <t>P_US_ALL_OTHERS</t>
        </is>
      </c>
      <c r="D228" t="inlineStr">
        <is>
          <t>Stat Fcst Seasonal Naive YoY</t>
        </is>
      </c>
    </row>
    <row r="229">
      <c r="A229" s="1" t="n">
        <v>3616302039357</v>
      </c>
      <c r="B229" t="inlineStr">
        <is>
          <t>GUCCI FL GG EDP 10 ML PENSPRAY IV</t>
        </is>
      </c>
      <c r="C229" t="inlineStr">
        <is>
          <t>P_US_ALL_OTHERS</t>
        </is>
      </c>
      <c r="D229" t="inlineStr">
        <is>
          <t>Stat Fcst SES</t>
        </is>
      </c>
    </row>
    <row r="230">
      <c r="A230" s="1" t="n">
        <v>3616302039357</v>
      </c>
      <c r="B230" t="inlineStr">
        <is>
          <t>GUCCI FL GG EDP 10 ML PENSPRAY IV</t>
        </is>
      </c>
      <c r="C230" t="inlineStr">
        <is>
          <t>P_US_ALL_OTHERS</t>
        </is>
      </c>
      <c r="D230" t="inlineStr">
        <is>
          <t>Stat Fcst STLF</t>
        </is>
      </c>
      <c r="E230" t="n">
        <v>30211.1027531411</v>
      </c>
      <c r="F230" t="n">
        <v>12389.9362660878</v>
      </c>
      <c r="G230" t="n">
        <v>9535.487390372769</v>
      </c>
      <c r="H230" t="n">
        <v>1517.99995476007</v>
      </c>
      <c r="I230" t="n">
        <v>1518.00001130998</v>
      </c>
      <c r="J230" t="n">
        <v>11629.0745605152</v>
      </c>
      <c r="K230" t="n">
        <v>1517.99995476007</v>
      </c>
      <c r="L230" t="n">
        <v>1518</v>
      </c>
      <c r="M230" t="n">
        <v>9621.460381254279</v>
      </c>
      <c r="N230" t="n">
        <v>1518.00002261996</v>
      </c>
      <c r="O230" t="n">
        <v>8287.30201190663</v>
      </c>
      <c r="P230" t="n">
        <v>9035.11355443771</v>
      </c>
    </row>
    <row r="231">
      <c r="A231" s="1" t="n">
        <v>3616302039357</v>
      </c>
      <c r="B231" t="inlineStr">
        <is>
          <t>GUCCI FL GG EDP 10 ML PENSPRAY IV</t>
        </is>
      </c>
      <c r="C231" t="inlineStr">
        <is>
          <t>P_US_ALL_OTHERS</t>
        </is>
      </c>
      <c r="D231" t="inlineStr">
        <is>
          <t>Stat Fcst TBATS</t>
        </is>
      </c>
    </row>
    <row r="232">
      <c r="A232" s="1" t="n">
        <v>3616302039357</v>
      </c>
      <c r="B232" t="inlineStr">
        <is>
          <t>GUCCI FL GG EDP 10 ML PENSPRAY IV</t>
        </is>
      </c>
      <c r="C232" t="inlineStr">
        <is>
          <t>P_US_ALL_OTHERS</t>
        </is>
      </c>
      <c r="D232" t="inlineStr">
        <is>
          <t>Stat Fcst TES</t>
        </is>
      </c>
    </row>
    <row r="233">
      <c r="A233" s="1" t="n">
        <v>3616302039357</v>
      </c>
      <c r="B233" t="inlineStr">
        <is>
          <t>GUCCI FL GG EDP 10 ML PENSPRAY IV</t>
        </is>
      </c>
      <c r="C233" t="inlineStr">
        <is>
          <t>P_US_ALL_OTHERS</t>
        </is>
      </c>
      <c r="D233" t="inlineStr">
        <is>
          <t>Stat Fcst Theta</t>
        </is>
      </c>
    </row>
    <row r="234">
      <c r="A234" s="1" t="n">
        <v>3616302039357</v>
      </c>
      <c r="B234" t="inlineStr">
        <is>
          <t>GUCCI FL GG EDP 10 ML PENSPRAY IV</t>
        </is>
      </c>
      <c r="C234" t="inlineStr">
        <is>
          <t>P_US_ALL_OTHERS</t>
        </is>
      </c>
      <c r="D234" t="inlineStr">
        <is>
          <t>System ML Fcst L1</t>
        </is>
      </c>
    </row>
    <row r="235">
      <c r="A235" s="1" t="n">
        <v>3616302039357</v>
      </c>
      <c r="B235" t="inlineStr">
        <is>
          <t>GUCCI FL GG EDP 10 ML PENSPRAY IV</t>
        </is>
      </c>
      <c r="C235" t="inlineStr">
        <is>
          <t>P_US_ALL_OTHERS</t>
        </is>
      </c>
      <c r="D235" t="inlineStr">
        <is>
          <t>Stat Fcst Simple Snaive</t>
        </is>
      </c>
      <c r="E235" t="n">
        <v>18848.999438256</v>
      </c>
      <c r="F235" t="n">
        <v>17112.1528103305</v>
      </c>
      <c r="G235" t="n">
        <v>16058.0001196414</v>
      </c>
      <c r="H235" t="n">
        <v>5986.99965881308</v>
      </c>
      <c r="I235" t="n">
        <v>3026.00002254545</v>
      </c>
      <c r="J235" t="n">
        <v>9889.666371931629</v>
      </c>
      <c r="K235" t="n">
        <v>5858.66649206479</v>
      </c>
      <c r="L235" t="n">
        <v>3414.66666666666</v>
      </c>
      <c r="M235" t="n">
        <v>9611.33304689328</v>
      </c>
      <c r="N235" t="n">
        <v>9192.33347030977</v>
      </c>
      <c r="O235" t="n">
        <v>13424.66610382</v>
      </c>
      <c r="P235" t="n">
        <v>18060.0001345574</v>
      </c>
    </row>
    <row r="236">
      <c r="A236" s="1" t="n">
        <v>3616302039357</v>
      </c>
      <c r="B236" t="inlineStr">
        <is>
          <t>GUCCI FL GG EDP 10 ML PENSPRAY IV</t>
        </is>
      </c>
      <c r="C236" t="inlineStr">
        <is>
          <t>P_US_ALL_OTHERS</t>
        </is>
      </c>
      <c r="D236" t="inlineStr">
        <is>
          <t>Stat Fcst Simple AOA</t>
        </is>
      </c>
    </row>
    <row r="237">
      <c r="A237" s="1" t="n">
        <v>3616302039357</v>
      </c>
      <c r="B237" t="inlineStr">
        <is>
          <t>GUCCI FL GG EDP 10 ML PENSPRAY IV</t>
        </is>
      </c>
      <c r="C237" t="inlineStr">
        <is>
          <t>P_US_ALL_OTHERS</t>
        </is>
      </c>
      <c r="D237" t="inlineStr">
        <is>
          <t>Stat Fcst Weighted Snaive</t>
        </is>
      </c>
    </row>
    <row r="238">
      <c r="A238" s="1" t="n">
        <v>3616302039357</v>
      </c>
      <c r="B238" t="inlineStr">
        <is>
          <t>GUCCI FL GG EDP 10 ML PENSPRAY IV</t>
        </is>
      </c>
      <c r="C238" t="inlineStr">
        <is>
          <t>P_US_ALL_OTHERS</t>
        </is>
      </c>
      <c r="D238" t="inlineStr">
        <is>
          <t>Stat Fcst Weighted AOA</t>
        </is>
      </c>
      <c r="E238" t="n">
        <v>18848.999438256</v>
      </c>
      <c r="F238" t="n">
        <v>17112.1528103305</v>
      </c>
      <c r="G238" t="n">
        <v>16058.0001196414</v>
      </c>
      <c r="H238" t="n">
        <v>5986.99965881308</v>
      </c>
      <c r="I238" t="n">
        <v>3026.00002254545</v>
      </c>
      <c r="J238" t="n">
        <v>9889.666371931629</v>
      </c>
      <c r="K238" t="n">
        <v>5858.66649206479</v>
      </c>
      <c r="L238" t="n">
        <v>3414.66666666666</v>
      </c>
      <c r="M238" t="n">
        <v>9611.33304689328</v>
      </c>
      <c r="N238" t="n">
        <v>9192.33347030977</v>
      </c>
      <c r="O238" t="n">
        <v>13424.66610382</v>
      </c>
      <c r="P238" t="n">
        <v>18060.0001345574</v>
      </c>
    </row>
    <row r="239">
      <c r="A239" s="1" t="n">
        <v>3616302039357</v>
      </c>
      <c r="B239" t="inlineStr">
        <is>
          <t>GUCCI FL GG EDP 10 ML PENSPRAY IV</t>
        </is>
      </c>
      <c r="C239" t="inlineStr">
        <is>
          <t>P_US_ALL_OTHERS</t>
        </is>
      </c>
      <c r="D239" t="inlineStr">
        <is>
          <t>Stat Fcst Growth Snaive</t>
        </is>
      </c>
    </row>
    <row r="240">
      <c r="A240" s="1" t="n">
        <v>3616302039357</v>
      </c>
      <c r="B240" t="inlineStr">
        <is>
          <t>GUCCI FL GG EDP 10 ML PENSPRAY IV</t>
        </is>
      </c>
      <c r="C240" t="inlineStr">
        <is>
          <t>P_US_ALL_OTHERS</t>
        </is>
      </c>
      <c r="D240" t="inlineStr">
        <is>
          <t>Stat Fcst Growth AOA</t>
        </is>
      </c>
    </row>
    <row r="241">
      <c r="A241" s="1" t="n">
        <v>3616302039357</v>
      </c>
      <c r="B241" t="inlineStr">
        <is>
          <t>GUCCI FL GG EDP 10 ML PENSPRAY IV</t>
        </is>
      </c>
      <c r="C241" t="inlineStr">
        <is>
          <t>P_US_ALL_OTHERS</t>
        </is>
      </c>
      <c r="D241" t="inlineStr">
        <is>
          <t>System Stat Fcst Bestfit</t>
        </is>
      </c>
      <c r="H241" t="n">
        <v>1517.99995476007</v>
      </c>
      <c r="I241" t="n">
        <v>1518.00001130998</v>
      </c>
      <c r="J241" t="n">
        <v>11629.074848739</v>
      </c>
      <c r="K241" t="n">
        <v>1517.99983268976</v>
      </c>
      <c r="L241" t="n">
        <v>1518</v>
      </c>
      <c r="M241" t="n">
        <v>9621.460650758119</v>
      </c>
      <c r="N241" t="n">
        <v>1518.00002261996</v>
      </c>
      <c r="O241" t="n">
        <v>8287.301510831659</v>
      </c>
      <c r="P241" t="n">
        <v>9035.11334856684</v>
      </c>
    </row>
    <row r="242">
      <c r="A242" s="1" t="n">
        <v>3616302039357</v>
      </c>
      <c r="B242" t="inlineStr">
        <is>
          <t>GUCCI FL GG EDP 10 ML PENSPRAY IV</t>
        </is>
      </c>
      <c r="C242" t="inlineStr">
        <is>
          <t>P_US_ULTA</t>
        </is>
      </c>
      <c r="D242" t="inlineStr">
        <is>
          <t>Stat Fcst L1</t>
        </is>
      </c>
      <c r="E242" t="n">
        <v>4214.99987438321</v>
      </c>
      <c r="F242" t="n">
        <v>5699.64499735832</v>
      </c>
      <c r="G242" t="n">
        <v>13281</v>
      </c>
      <c r="H242" t="n">
        <v>9526</v>
      </c>
      <c r="I242" t="n">
        <v>2156</v>
      </c>
      <c r="J242" t="n">
        <v>735</v>
      </c>
      <c r="K242" t="n">
        <v>332</v>
      </c>
      <c r="L242" t="n">
        <v>4508</v>
      </c>
      <c r="M242" t="n">
        <v>7095</v>
      </c>
      <c r="N242" t="n">
        <v>3403</v>
      </c>
      <c r="O242" t="n">
        <v>2759</v>
      </c>
      <c r="P242" t="n">
        <v>3977</v>
      </c>
    </row>
    <row r="243">
      <c r="A243" s="1" t="n">
        <v>3616302039357</v>
      </c>
      <c r="B243" t="inlineStr">
        <is>
          <t>GUCCI FL GG EDP 10 ML PENSPRAY IV</t>
        </is>
      </c>
      <c r="C243" t="inlineStr">
        <is>
          <t>P_US_ULTA</t>
        </is>
      </c>
      <c r="D243" t="inlineStr">
        <is>
          <t>Stat Fcst AR-NNET</t>
        </is>
      </c>
    </row>
    <row r="244">
      <c r="A244" s="1" t="n">
        <v>3616302039357</v>
      </c>
      <c r="B244" t="inlineStr">
        <is>
          <t>GUCCI FL GG EDP 10 ML PENSPRAY IV</t>
        </is>
      </c>
      <c r="C244" t="inlineStr">
        <is>
          <t>P_US_ULTA</t>
        </is>
      </c>
      <c r="D244" t="inlineStr">
        <is>
          <t>Stat Fcst Auto ARIMA</t>
        </is>
      </c>
    </row>
    <row r="245">
      <c r="A245" s="1" t="n">
        <v>3616302039357</v>
      </c>
      <c r="B245" t="inlineStr">
        <is>
          <t>GUCCI FL GG EDP 10 ML PENSPRAY IV</t>
        </is>
      </c>
      <c r="C245" t="inlineStr">
        <is>
          <t>P_US_ULTA</t>
        </is>
      </c>
      <c r="D245" t="inlineStr">
        <is>
          <t>Stat Fcst Croston</t>
        </is>
      </c>
    </row>
    <row r="246">
      <c r="A246" s="1" t="n">
        <v>3616302039357</v>
      </c>
      <c r="B246" t="inlineStr">
        <is>
          <t>GUCCI FL GG EDP 10 ML PENSPRAY IV</t>
        </is>
      </c>
      <c r="C246" t="inlineStr">
        <is>
          <t>P_US_ULTA</t>
        </is>
      </c>
      <c r="D246" t="inlineStr">
        <is>
          <t>Stat Fcst DES</t>
        </is>
      </c>
      <c r="E246" t="n">
        <v>3921.09906495998</v>
      </c>
      <c r="F246" t="n">
        <v>3869.38423312698</v>
      </c>
      <c r="G246" t="n">
        <v>3841.13893172852</v>
      </c>
      <c r="H246" t="n">
        <v>3794.65072056146</v>
      </c>
      <c r="I246" t="n">
        <v>3750.48719560818</v>
      </c>
      <c r="J246" t="n">
        <v>3708.53157445532</v>
      </c>
      <c r="K246" t="n">
        <v>3668.67386709082</v>
      </c>
      <c r="L246" t="n">
        <v>3630.80915330108</v>
      </c>
      <c r="M246" t="n">
        <v>3594.83746419807</v>
      </c>
      <c r="N246" t="n">
        <v>3560.66462152053</v>
      </c>
      <c r="O246" t="n">
        <v>3528.20011058736</v>
      </c>
      <c r="P246" t="n">
        <v>3497.35910670303</v>
      </c>
    </row>
    <row r="247">
      <c r="A247" s="1" t="n">
        <v>3616302039357</v>
      </c>
      <c r="B247" t="inlineStr">
        <is>
          <t>GUCCI FL GG EDP 10 ML PENSPRAY IV</t>
        </is>
      </c>
      <c r="C247" t="inlineStr">
        <is>
          <t>P_US_ULTA</t>
        </is>
      </c>
      <c r="D247" t="inlineStr">
        <is>
          <t>Stat Fcst ETS</t>
        </is>
      </c>
    </row>
    <row r="248">
      <c r="A248" s="1" t="n">
        <v>3616302039357</v>
      </c>
      <c r="B248" t="inlineStr">
        <is>
          <t>GUCCI FL GG EDP 10 ML PENSPRAY IV</t>
        </is>
      </c>
      <c r="C248" t="inlineStr">
        <is>
          <t>P_US_ULTA</t>
        </is>
      </c>
      <c r="D248" t="inlineStr">
        <is>
          <t>Stat Fcst Moving Average</t>
        </is>
      </c>
    </row>
    <row r="249">
      <c r="A249" s="1" t="n">
        <v>3616302039357</v>
      </c>
      <c r="B249" t="inlineStr">
        <is>
          <t>GUCCI FL GG EDP 10 ML PENSPRAY IV</t>
        </is>
      </c>
      <c r="C249" t="inlineStr">
        <is>
          <t>P_US_ULTA</t>
        </is>
      </c>
      <c r="D249" t="inlineStr">
        <is>
          <t>Stat Fcst Naive Random Walk</t>
        </is>
      </c>
    </row>
    <row r="250">
      <c r="A250" s="1" t="n">
        <v>3616302039357</v>
      </c>
      <c r="B250" t="inlineStr">
        <is>
          <t>GUCCI FL GG EDP 10 ML PENSPRAY IV</t>
        </is>
      </c>
      <c r="C250" t="inlineStr">
        <is>
          <t>P_US_ULTA</t>
        </is>
      </c>
      <c r="D250" t="inlineStr">
        <is>
          <t>Stat Fcst Prophet</t>
        </is>
      </c>
    </row>
    <row r="251">
      <c r="A251" s="1" t="n">
        <v>3616302039357</v>
      </c>
      <c r="B251" t="inlineStr">
        <is>
          <t>GUCCI FL GG EDP 10 ML PENSPRAY IV</t>
        </is>
      </c>
      <c r="C251" t="inlineStr">
        <is>
          <t>P_US_ULTA</t>
        </is>
      </c>
      <c r="D251" t="inlineStr">
        <is>
          <t>Stat Fcst sARIMA</t>
        </is>
      </c>
    </row>
    <row r="252">
      <c r="A252" s="1" t="n">
        <v>3616302039357</v>
      </c>
      <c r="B252" t="inlineStr">
        <is>
          <t>GUCCI FL GG EDP 10 ML PENSPRAY IV</t>
        </is>
      </c>
      <c r="C252" t="inlineStr">
        <is>
          <t>P_US_ULTA</t>
        </is>
      </c>
      <c r="D252" t="inlineStr">
        <is>
          <t>Stat Fcst Seasonal Naive YoY</t>
        </is>
      </c>
    </row>
    <row r="253">
      <c r="A253" s="1" t="n">
        <v>3616302039357</v>
      </c>
      <c r="B253" t="inlineStr">
        <is>
          <t>GUCCI FL GG EDP 10 ML PENSPRAY IV</t>
        </is>
      </c>
      <c r="C253" t="inlineStr">
        <is>
          <t>P_US_ULTA</t>
        </is>
      </c>
      <c r="D253" t="inlineStr">
        <is>
          <t>Stat Fcst SES</t>
        </is>
      </c>
    </row>
    <row r="254">
      <c r="A254" s="1" t="n">
        <v>3616302039357</v>
      </c>
      <c r="B254" t="inlineStr">
        <is>
          <t>GUCCI FL GG EDP 10 ML PENSPRAY IV</t>
        </is>
      </c>
      <c r="C254" t="inlineStr">
        <is>
          <t>P_US_ULTA</t>
        </is>
      </c>
      <c r="D254" t="inlineStr">
        <is>
          <t>Stat Fcst STLF</t>
        </is>
      </c>
      <c r="E254" t="n">
        <v>67.99999797344201</v>
      </c>
      <c r="F254" t="n">
        <v>9899.29947529821</v>
      </c>
      <c r="G254" t="n">
        <v>14207.0118065563</v>
      </c>
      <c r="H254" t="n">
        <v>3951.75571119686</v>
      </c>
      <c r="I254" t="n">
        <v>68.0000005066394</v>
      </c>
      <c r="J254" t="n">
        <v>67.99999797344201</v>
      </c>
      <c r="K254" t="n">
        <v>67.99999797344201</v>
      </c>
      <c r="L254" t="n">
        <v>374.869791303473</v>
      </c>
      <c r="M254" t="n">
        <v>5110.25486156899</v>
      </c>
      <c r="N254" t="n">
        <v>1843.45515209922</v>
      </c>
      <c r="O254" t="n">
        <v>347.214676605402</v>
      </c>
      <c r="P254" t="n">
        <v>2810.89606948307</v>
      </c>
    </row>
    <row r="255">
      <c r="A255" s="1" t="n">
        <v>3616302039357</v>
      </c>
      <c r="B255" t="inlineStr">
        <is>
          <t>GUCCI FL GG EDP 10 ML PENSPRAY IV</t>
        </is>
      </c>
      <c r="C255" t="inlineStr">
        <is>
          <t>P_US_ULTA</t>
        </is>
      </c>
      <c r="D255" t="inlineStr">
        <is>
          <t>Stat Fcst TBATS</t>
        </is>
      </c>
    </row>
    <row r="256">
      <c r="A256" s="1" t="n">
        <v>3616302039357</v>
      </c>
      <c r="B256" t="inlineStr">
        <is>
          <t>GUCCI FL GG EDP 10 ML PENSPRAY IV</t>
        </is>
      </c>
      <c r="C256" t="inlineStr">
        <is>
          <t>P_US_ULTA</t>
        </is>
      </c>
      <c r="D256" t="inlineStr">
        <is>
          <t>Stat Fcst TES</t>
        </is>
      </c>
    </row>
    <row r="257">
      <c r="A257" s="1" t="n">
        <v>3616302039357</v>
      </c>
      <c r="B257" t="inlineStr">
        <is>
          <t>GUCCI FL GG EDP 10 ML PENSPRAY IV</t>
        </is>
      </c>
      <c r="C257" t="inlineStr">
        <is>
          <t>P_US_ULTA</t>
        </is>
      </c>
      <c r="D257" t="inlineStr">
        <is>
          <t>Stat Fcst Theta</t>
        </is>
      </c>
    </row>
    <row r="258">
      <c r="A258" s="1" t="n">
        <v>3616302039357</v>
      </c>
      <c r="B258" t="inlineStr">
        <is>
          <t>GUCCI FL GG EDP 10 ML PENSPRAY IV</t>
        </is>
      </c>
      <c r="C258" t="inlineStr">
        <is>
          <t>P_US_ULTA</t>
        </is>
      </c>
      <c r="D258" t="inlineStr">
        <is>
          <t>System ML Fcst L1</t>
        </is>
      </c>
    </row>
    <row r="259">
      <c r="A259" s="1" t="n">
        <v>3616302039357</v>
      </c>
      <c r="B259" t="inlineStr">
        <is>
          <t>GUCCI FL GG EDP 10 ML PENSPRAY IV</t>
        </is>
      </c>
      <c r="C259" t="inlineStr">
        <is>
          <t>P_US_ULTA</t>
        </is>
      </c>
      <c r="D259" t="inlineStr">
        <is>
          <t>Stat Fcst Simple Snaive</t>
        </is>
      </c>
    </row>
    <row r="260">
      <c r="A260" s="1" t="n">
        <v>3616302039357</v>
      </c>
      <c r="B260" t="inlineStr">
        <is>
          <t>GUCCI FL GG EDP 10 ML PENSPRAY IV</t>
        </is>
      </c>
      <c r="C260" t="inlineStr">
        <is>
          <t>P_US_ULTA</t>
        </is>
      </c>
      <c r="D260" t="inlineStr">
        <is>
          <t>Stat Fcst Simple AOA</t>
        </is>
      </c>
    </row>
    <row r="261">
      <c r="A261" s="1" t="n">
        <v>3616302039357</v>
      </c>
      <c r="B261" t="inlineStr">
        <is>
          <t>GUCCI FL GG EDP 10 ML PENSPRAY IV</t>
        </is>
      </c>
      <c r="C261" t="inlineStr">
        <is>
          <t>P_US_ULTA</t>
        </is>
      </c>
      <c r="D261" t="inlineStr">
        <is>
          <t>Stat Fcst Weighted Snaive</t>
        </is>
      </c>
      <c r="E261" t="n">
        <v>3495.74965167791</v>
      </c>
      <c r="F261" t="n">
        <v>10484.4996875375</v>
      </c>
      <c r="G261" t="n">
        <v>13282.4445976598</v>
      </c>
      <c r="H261" t="n">
        <v>9526.569892952401</v>
      </c>
      <c r="I261" t="n">
        <v>2157.55557163059</v>
      </c>
      <c r="J261" t="n">
        <v>736.22220028109</v>
      </c>
      <c r="K261" t="n">
        <v>331.777761108345</v>
      </c>
      <c r="L261" t="n">
        <v>4508.55555555555</v>
      </c>
      <c r="M261" t="n">
        <v>7096.11089963052</v>
      </c>
      <c r="N261" t="n">
        <v>3402.77782848311</v>
      </c>
      <c r="O261" t="n">
        <v>2757.66651666495</v>
      </c>
      <c r="P261" t="n">
        <v>3975.88905414525</v>
      </c>
    </row>
    <row r="262">
      <c r="A262" s="1" t="n">
        <v>3616302039357</v>
      </c>
      <c r="B262" t="inlineStr">
        <is>
          <t>GUCCI FL GG EDP 10 ML PENSPRAY IV</t>
        </is>
      </c>
      <c r="C262" t="inlineStr">
        <is>
          <t>P_US_ULTA</t>
        </is>
      </c>
      <c r="D262" t="inlineStr">
        <is>
          <t>Stat Fcst Weighted AOA</t>
        </is>
      </c>
      <c r="E262" t="n">
        <v>5459.49934901298</v>
      </c>
      <c r="F262" t="n">
        <v>8746.999739319081</v>
      </c>
      <c r="G262" t="n">
        <v>11229.3335797588</v>
      </c>
      <c r="H262" t="n">
        <v>12525.0438161777</v>
      </c>
      <c r="I262" t="n">
        <v>3696.66669420897</v>
      </c>
      <c r="J262" t="n">
        <v>1252.66662933429</v>
      </c>
      <c r="K262" t="n">
        <v>458.666632652283</v>
      </c>
      <c r="L262" t="n">
        <v>6848.33333333333</v>
      </c>
      <c r="M262" t="n">
        <v>8039.66642706592</v>
      </c>
      <c r="N262" t="n">
        <v>3833.66672379275</v>
      </c>
      <c r="O262" t="n">
        <v>4171.6665016512</v>
      </c>
      <c r="P262" t="n">
        <v>4411.00011424472</v>
      </c>
    </row>
    <row r="263">
      <c r="A263" s="1" t="n">
        <v>3616302039357</v>
      </c>
      <c r="B263" t="inlineStr">
        <is>
          <t>GUCCI FL GG EDP 10 ML PENSPRAY IV</t>
        </is>
      </c>
      <c r="C263" t="inlineStr">
        <is>
          <t>P_US_ULTA</t>
        </is>
      </c>
      <c r="D263" t="inlineStr">
        <is>
          <t>Stat Fcst Growth Snaive</t>
        </is>
      </c>
    </row>
    <row r="264">
      <c r="A264" s="1" t="n">
        <v>3616302039357</v>
      </c>
      <c r="B264" t="inlineStr">
        <is>
          <t>GUCCI FL GG EDP 10 ML PENSPRAY IV</t>
        </is>
      </c>
      <c r="C264" t="inlineStr">
        <is>
          <t>P_US_ULTA</t>
        </is>
      </c>
      <c r="D264" t="inlineStr">
        <is>
          <t>Stat Fcst Growth AOA</t>
        </is>
      </c>
    </row>
    <row r="265">
      <c r="A265" s="1" t="n">
        <v>3616302039357</v>
      </c>
      <c r="B265" t="inlineStr">
        <is>
          <t>GUCCI FL GG EDP 10 ML PENSPRAY IV</t>
        </is>
      </c>
      <c r="C265" t="inlineStr">
        <is>
          <t>P_US_ULTA</t>
        </is>
      </c>
      <c r="D265" t="inlineStr">
        <is>
          <t>System Stat Fcst Bestfit</t>
        </is>
      </c>
      <c r="H265" t="n">
        <v>9526.57002858608</v>
      </c>
      <c r="I265" t="n">
        <v>2157.55568013754</v>
      </c>
      <c r="J265" t="n">
        <v>736.222207062774</v>
      </c>
      <c r="K265" t="n">
        <v>331.777761108345</v>
      </c>
      <c r="L265" t="n">
        <v>4508.5556640625</v>
      </c>
      <c r="M265" t="n">
        <v>7096.11062836316</v>
      </c>
      <c r="N265" t="n">
        <v>3402.77788273659</v>
      </c>
      <c r="O265" t="n">
        <v>2757.66642172138</v>
      </c>
      <c r="P265" t="n">
        <v>3975.88918977893</v>
      </c>
    </row>
    <row r="266">
      <c r="A266" s="1" t="n">
        <v>3616302039548</v>
      </c>
      <c r="B266" t="inlineStr">
        <is>
          <t>GG PF21 EDT NS 10 ML IV</t>
        </is>
      </c>
      <c r="C266" t="inlineStr">
        <is>
          <t>P_US_ALL_OTHERS</t>
        </is>
      </c>
      <c r="D266" t="inlineStr">
        <is>
          <t>Stat Fcst L1</t>
        </is>
      </c>
      <c r="E266" t="n">
        <v>382.99998858571</v>
      </c>
      <c r="F266" t="n">
        <v>635.8064335584641</v>
      </c>
      <c r="G266" t="n">
        <v>702</v>
      </c>
      <c r="H266" t="n">
        <v>4946</v>
      </c>
      <c r="I266" t="n">
        <v>288</v>
      </c>
      <c r="J266" t="n">
        <v>2590</v>
      </c>
      <c r="K266" t="n">
        <v>66</v>
      </c>
      <c r="L266" t="n">
        <v>68</v>
      </c>
      <c r="M266" t="n">
        <v>115</v>
      </c>
      <c r="N266" t="n">
        <v>68</v>
      </c>
      <c r="O266" t="n">
        <v>407</v>
      </c>
      <c r="P266" t="n">
        <v>68</v>
      </c>
    </row>
    <row r="267">
      <c r="A267" s="1" t="n">
        <v>3616302039548</v>
      </c>
      <c r="B267" t="inlineStr">
        <is>
          <t>GG PF21 EDT NS 10 ML IV</t>
        </is>
      </c>
      <c r="C267" t="inlineStr">
        <is>
          <t>P_US_ALL_OTHERS</t>
        </is>
      </c>
      <c r="D267" t="inlineStr">
        <is>
          <t>Stat Fcst AR-NNET</t>
        </is>
      </c>
    </row>
    <row r="268">
      <c r="A268" s="1" t="n">
        <v>3616302039548</v>
      </c>
      <c r="B268" t="inlineStr">
        <is>
          <t>GG PF21 EDT NS 10 ML IV</t>
        </is>
      </c>
      <c r="C268" t="inlineStr">
        <is>
          <t>P_US_ALL_OTHERS</t>
        </is>
      </c>
      <c r="D268" t="inlineStr">
        <is>
          <t>Stat Fcst Auto ARIMA</t>
        </is>
      </c>
    </row>
    <row r="269">
      <c r="A269" s="1" t="n">
        <v>3616302039548</v>
      </c>
      <c r="B269" t="inlineStr">
        <is>
          <t>GG PF21 EDT NS 10 ML IV</t>
        </is>
      </c>
      <c r="C269" t="inlineStr">
        <is>
          <t>P_US_ALL_OTHERS</t>
        </is>
      </c>
      <c r="D269" t="inlineStr">
        <is>
          <t>Stat Fcst Croston</t>
        </is>
      </c>
    </row>
    <row r="270">
      <c r="A270" s="1" t="n">
        <v>3616302039548</v>
      </c>
      <c r="B270" t="inlineStr">
        <is>
          <t>GG PF21 EDT NS 10 ML IV</t>
        </is>
      </c>
      <c r="C270" t="inlineStr">
        <is>
          <t>P_US_ALL_OTHERS</t>
        </is>
      </c>
      <c r="D270" t="inlineStr">
        <is>
          <t>Stat Fcst DES</t>
        </is>
      </c>
    </row>
    <row r="271">
      <c r="A271" s="1" t="n">
        <v>3616302039548</v>
      </c>
      <c r="B271" t="inlineStr">
        <is>
          <t>GG PF21 EDT NS 10 ML IV</t>
        </is>
      </c>
      <c r="C271" t="inlineStr">
        <is>
          <t>P_US_ALL_OTHERS</t>
        </is>
      </c>
      <c r="D271" t="inlineStr">
        <is>
          <t>Stat Fcst ETS</t>
        </is>
      </c>
    </row>
    <row r="272">
      <c r="A272" s="1" t="n">
        <v>3616302039548</v>
      </c>
      <c r="B272" t="inlineStr">
        <is>
          <t>GG PF21 EDT NS 10 ML IV</t>
        </is>
      </c>
      <c r="C272" t="inlineStr">
        <is>
          <t>P_US_ALL_OTHERS</t>
        </is>
      </c>
      <c r="D272" t="inlineStr">
        <is>
          <t>Stat Fcst Moving Average</t>
        </is>
      </c>
    </row>
    <row r="273">
      <c r="A273" s="1" t="n">
        <v>3616302039548</v>
      </c>
      <c r="B273" t="inlineStr">
        <is>
          <t>GG PF21 EDT NS 10 ML IV</t>
        </is>
      </c>
      <c r="C273" t="inlineStr">
        <is>
          <t>P_US_ALL_OTHERS</t>
        </is>
      </c>
      <c r="D273" t="inlineStr">
        <is>
          <t>Stat Fcst Naive Random Walk</t>
        </is>
      </c>
    </row>
    <row r="274">
      <c r="A274" s="1" t="n">
        <v>3616302039548</v>
      </c>
      <c r="B274" t="inlineStr">
        <is>
          <t>GG PF21 EDT NS 10 ML IV</t>
        </is>
      </c>
      <c r="C274" t="inlineStr">
        <is>
          <t>P_US_ALL_OTHERS</t>
        </is>
      </c>
      <c r="D274" t="inlineStr">
        <is>
          <t>Stat Fcst Prophet</t>
        </is>
      </c>
    </row>
    <row r="275">
      <c r="A275" s="1" t="n">
        <v>3616302039548</v>
      </c>
      <c r="B275" t="inlineStr">
        <is>
          <t>GG PF21 EDT NS 10 ML IV</t>
        </is>
      </c>
      <c r="C275" t="inlineStr">
        <is>
          <t>P_US_ALL_OTHERS</t>
        </is>
      </c>
      <c r="D275" t="inlineStr">
        <is>
          <t>Stat Fcst sARIMA</t>
        </is>
      </c>
    </row>
    <row r="276">
      <c r="A276" s="1" t="n">
        <v>3616302039548</v>
      </c>
      <c r="B276" t="inlineStr">
        <is>
          <t>GG PF21 EDT NS 10 ML IV</t>
        </is>
      </c>
      <c r="C276" t="inlineStr">
        <is>
          <t>P_US_ALL_OTHERS</t>
        </is>
      </c>
      <c r="D276" t="inlineStr">
        <is>
          <t>Stat Fcst Seasonal Naive YoY</t>
        </is>
      </c>
    </row>
    <row r="277">
      <c r="A277" s="1" t="n">
        <v>3616302039548</v>
      </c>
      <c r="B277" t="inlineStr">
        <is>
          <t>GG PF21 EDT NS 10 ML IV</t>
        </is>
      </c>
      <c r="C277" t="inlineStr">
        <is>
          <t>P_US_ALL_OTHERS</t>
        </is>
      </c>
      <c r="D277" t="inlineStr">
        <is>
          <t>Stat Fcst SES</t>
        </is>
      </c>
    </row>
    <row r="278">
      <c r="A278" s="1" t="n">
        <v>3616302039548</v>
      </c>
      <c r="B278" t="inlineStr">
        <is>
          <t>GG PF21 EDT NS 10 ML IV</t>
        </is>
      </c>
      <c r="C278" t="inlineStr">
        <is>
          <t>P_US_ALL_OTHERS</t>
        </is>
      </c>
      <c r="D278" t="inlineStr">
        <is>
          <t>Stat Fcst STLF</t>
        </is>
      </c>
      <c r="E278" t="n">
        <v>959.166274672383</v>
      </c>
      <c r="F278" t="n">
        <v>66.9999980032444</v>
      </c>
      <c r="G278" t="n">
        <v>67.0000004991889</v>
      </c>
      <c r="H278" t="n">
        <v>66.9999980032444</v>
      </c>
      <c r="I278" t="n">
        <v>489.3188074145</v>
      </c>
      <c r="J278" t="n">
        <v>66.9999980032444</v>
      </c>
      <c r="K278" t="n">
        <v>66.9999980032444</v>
      </c>
      <c r="L278" t="n">
        <v>67</v>
      </c>
      <c r="M278" t="n">
        <v>1009.20542666674</v>
      </c>
      <c r="N278" t="n">
        <v>67.0000009983778</v>
      </c>
      <c r="O278" t="n">
        <v>66.9999980032444</v>
      </c>
      <c r="P278" t="n">
        <v>1136.98078099853</v>
      </c>
    </row>
    <row r="279">
      <c r="A279" s="1" t="n">
        <v>3616302039548</v>
      </c>
      <c r="B279" t="inlineStr">
        <is>
          <t>GG PF21 EDT NS 10 ML IV</t>
        </is>
      </c>
      <c r="C279" t="inlineStr">
        <is>
          <t>P_US_ALL_OTHERS</t>
        </is>
      </c>
      <c r="D279" t="inlineStr">
        <is>
          <t>Stat Fcst TBATS</t>
        </is>
      </c>
    </row>
    <row r="280">
      <c r="A280" s="1" t="n">
        <v>3616302039548</v>
      </c>
      <c r="B280" t="inlineStr">
        <is>
          <t>GG PF21 EDT NS 10 ML IV</t>
        </is>
      </c>
      <c r="C280" t="inlineStr">
        <is>
          <t>P_US_ALL_OTHERS</t>
        </is>
      </c>
      <c r="D280" t="inlineStr">
        <is>
          <t>Stat Fcst TES</t>
        </is>
      </c>
      <c r="E280" t="n">
        <v>1052.80856339863</v>
      </c>
      <c r="F280" t="n">
        <v>66.9999980032444</v>
      </c>
      <c r="G280" t="n">
        <v>2710.64217279143</v>
      </c>
      <c r="H280" t="n">
        <v>4945.70064567692</v>
      </c>
      <c r="I280" t="n">
        <v>286.896678460762</v>
      </c>
      <c r="J280" t="n">
        <v>2589.18190958906</v>
      </c>
      <c r="K280" t="n">
        <v>66.9999980032444</v>
      </c>
      <c r="L280" t="n">
        <v>67</v>
      </c>
      <c r="M280" t="n">
        <v>115.733170104032</v>
      </c>
      <c r="N280" t="n">
        <v>67.0000009983778</v>
      </c>
      <c r="O280" t="n">
        <v>409.025341422463</v>
      </c>
      <c r="P280" t="n">
        <v>67.0000004991889</v>
      </c>
    </row>
    <row r="281">
      <c r="A281" s="1" t="n">
        <v>3616302039548</v>
      </c>
      <c r="B281" t="inlineStr">
        <is>
          <t>GG PF21 EDT NS 10 ML IV</t>
        </is>
      </c>
      <c r="C281" t="inlineStr">
        <is>
          <t>P_US_ALL_OTHERS</t>
        </is>
      </c>
      <c r="D281" t="inlineStr">
        <is>
          <t>Stat Fcst Theta</t>
        </is>
      </c>
    </row>
    <row r="282">
      <c r="A282" s="1" t="n">
        <v>3616302039548</v>
      </c>
      <c r="B282" t="inlineStr">
        <is>
          <t>GG PF21 EDT NS 10 ML IV</t>
        </is>
      </c>
      <c r="C282" t="inlineStr">
        <is>
          <t>P_US_ALL_OTHERS</t>
        </is>
      </c>
      <c r="D282" t="inlineStr">
        <is>
          <t>System ML Fcst L1</t>
        </is>
      </c>
    </row>
    <row r="283">
      <c r="A283" s="1" t="n">
        <v>3616302039548</v>
      </c>
      <c r="B283" t="inlineStr">
        <is>
          <t>GG PF21 EDT NS 10 ML IV</t>
        </is>
      </c>
      <c r="C283" t="inlineStr">
        <is>
          <t>P_US_ALL_OTHERS</t>
        </is>
      </c>
      <c r="D283" t="inlineStr">
        <is>
          <t>Stat Fcst Simple Snaive</t>
        </is>
      </c>
      <c r="E283" t="n">
        <v>6999.99979138374</v>
      </c>
      <c r="F283" t="n">
        <v>3996.49988089501</v>
      </c>
      <c r="G283" t="n">
        <v>4776.0003611048</v>
      </c>
      <c r="H283" t="n">
        <v>3875.66264491291</v>
      </c>
      <c r="I283" t="n">
        <v>1014.00000755488</v>
      </c>
      <c r="J283" t="n">
        <v>4169.32930282763</v>
      </c>
      <c r="K283" t="n">
        <v>1159.66662193338</v>
      </c>
      <c r="L283" t="n">
        <v>1220.33333333333</v>
      </c>
      <c r="M283" t="n">
        <v>1991.99994063377</v>
      </c>
      <c r="N283" t="n">
        <v>713.000010624527</v>
      </c>
      <c r="O283" t="n">
        <v>3301.66640550892</v>
      </c>
      <c r="P283" t="n">
        <v>1531.66667807847</v>
      </c>
    </row>
    <row r="284">
      <c r="A284" s="1" t="n">
        <v>3616302039548</v>
      </c>
      <c r="B284" t="inlineStr">
        <is>
          <t>GG PF21 EDT NS 10 ML IV</t>
        </is>
      </c>
      <c r="C284" t="inlineStr">
        <is>
          <t>P_US_ALL_OTHERS</t>
        </is>
      </c>
      <c r="D284" t="inlineStr">
        <is>
          <t>Stat Fcst Simple AOA</t>
        </is>
      </c>
    </row>
    <row r="285">
      <c r="A285" s="1" t="n">
        <v>3616302039548</v>
      </c>
      <c r="B285" t="inlineStr">
        <is>
          <t>GG PF21 EDT NS 10 ML IV</t>
        </is>
      </c>
      <c r="C285" t="inlineStr">
        <is>
          <t>P_US_ALL_OTHERS</t>
        </is>
      </c>
      <c r="D285" t="inlineStr">
        <is>
          <t>Stat Fcst Weighted Snaive</t>
        </is>
      </c>
      <c r="E285" t="n">
        <v>5499.99983608722</v>
      </c>
      <c r="F285" t="n">
        <v>2169.74993533641</v>
      </c>
      <c r="G285" t="n">
        <v>2690.000128549</v>
      </c>
      <c r="H285" t="n">
        <v>1659.22087069025</v>
      </c>
      <c r="I285" t="n">
        <v>758.444450095295</v>
      </c>
      <c r="J285" t="n">
        <v>1986.66530537609</v>
      </c>
      <c r="K285" t="n">
        <v>811.888847738505</v>
      </c>
      <c r="L285" t="n">
        <v>638.555555555555</v>
      </c>
      <c r="M285" t="n">
        <v>1810.66661270459</v>
      </c>
      <c r="N285" t="n">
        <v>450.333340043822</v>
      </c>
      <c r="O285" t="n">
        <v>1971.66655365295</v>
      </c>
      <c r="P285" t="n">
        <v>1581.22223400324</v>
      </c>
    </row>
    <row r="286">
      <c r="A286" s="1" t="n">
        <v>3616302039548</v>
      </c>
      <c r="B286" t="inlineStr">
        <is>
          <t>GG PF21 EDT NS 10 ML IV</t>
        </is>
      </c>
      <c r="C286" t="inlineStr">
        <is>
          <t>P_US_ALL_OTHERS</t>
        </is>
      </c>
      <c r="D286" t="inlineStr">
        <is>
          <t>Stat Fcst Weighted AOA</t>
        </is>
      </c>
    </row>
    <row r="287">
      <c r="A287" s="1" t="n">
        <v>3616302039548</v>
      </c>
      <c r="B287" t="inlineStr">
        <is>
          <t>GG PF21 EDT NS 10 ML IV</t>
        </is>
      </c>
      <c r="C287" t="inlineStr">
        <is>
          <t>P_US_ALL_OTHERS</t>
        </is>
      </c>
      <c r="D287" t="inlineStr">
        <is>
          <t>Stat Fcst Growth Snaive</t>
        </is>
      </c>
    </row>
    <row r="288">
      <c r="A288" s="1" t="n">
        <v>3616302039548</v>
      </c>
      <c r="B288" t="inlineStr">
        <is>
          <t>GG PF21 EDT NS 10 ML IV</t>
        </is>
      </c>
      <c r="C288" t="inlineStr">
        <is>
          <t>P_US_ALL_OTHERS</t>
        </is>
      </c>
      <c r="D288" t="inlineStr">
        <is>
          <t>Stat Fcst Growth AOA</t>
        </is>
      </c>
    </row>
    <row r="289">
      <c r="A289" s="1" t="n">
        <v>3616302039548</v>
      </c>
      <c r="B289" t="inlineStr">
        <is>
          <t>GG PF21 EDT NS 10 ML IV</t>
        </is>
      </c>
      <c r="C289" t="inlineStr">
        <is>
          <t>P_US_ALL_OTHERS</t>
        </is>
      </c>
      <c r="D289" t="inlineStr">
        <is>
          <t>System Stat Fcst Bestfit</t>
        </is>
      </c>
      <c r="H289" t="n">
        <v>4945.70053620038</v>
      </c>
      <c r="I289" t="n">
        <v>286.896669618015</v>
      </c>
      <c r="J289" t="n">
        <v>2589.18180760199</v>
      </c>
      <c r="K289" t="n">
        <v>66.9999980032444</v>
      </c>
      <c r="L289" t="n">
        <v>67</v>
      </c>
      <c r="M289" t="n">
        <v>115.733166106546</v>
      </c>
      <c r="N289" t="n">
        <v>67.0000009983778</v>
      </c>
      <c r="O289" t="n">
        <v>409.025317399939</v>
      </c>
      <c r="P289" t="n">
        <v>67.0000004991889</v>
      </c>
    </row>
    <row r="290">
      <c r="A290" s="1" t="n">
        <v>3616302039548</v>
      </c>
      <c r="B290" t="inlineStr">
        <is>
          <t>GG PF21 EDT NS 10 ML IV</t>
        </is>
      </c>
      <c r="C290" t="inlineStr">
        <is>
          <t>P_US_ULTA</t>
        </is>
      </c>
      <c r="D290" t="inlineStr">
        <is>
          <t>Stat Fcst L1</t>
        </is>
      </c>
      <c r="E290" t="n">
        <v>412.99998769164</v>
      </c>
      <c r="F290" t="n">
        <v>2005.7741343379</v>
      </c>
      <c r="G290" t="n">
        <v>1492</v>
      </c>
      <c r="H290" t="n">
        <v>554</v>
      </c>
      <c r="I290" t="n">
        <v>972</v>
      </c>
      <c r="J290" t="n">
        <v>438</v>
      </c>
      <c r="K290" t="n">
        <v>602</v>
      </c>
      <c r="L290" t="n">
        <v>1960</v>
      </c>
      <c r="M290" t="n">
        <v>1785</v>
      </c>
      <c r="N290" t="n">
        <v>875</v>
      </c>
      <c r="O290" t="n">
        <v>252</v>
      </c>
      <c r="P290" t="n">
        <v>570</v>
      </c>
    </row>
    <row r="291">
      <c r="A291" s="1" t="n">
        <v>3616302039548</v>
      </c>
      <c r="B291" t="inlineStr">
        <is>
          <t>GG PF21 EDT NS 10 ML IV</t>
        </is>
      </c>
      <c r="C291" t="inlineStr">
        <is>
          <t>P_US_ULTA</t>
        </is>
      </c>
      <c r="D291" t="inlineStr">
        <is>
          <t>Stat Fcst AR-NNET</t>
        </is>
      </c>
    </row>
    <row r="292">
      <c r="A292" s="1" t="n">
        <v>3616302039548</v>
      </c>
      <c r="B292" t="inlineStr">
        <is>
          <t>GG PF21 EDT NS 10 ML IV</t>
        </is>
      </c>
      <c r="C292" t="inlineStr">
        <is>
          <t>P_US_ULTA</t>
        </is>
      </c>
      <c r="D292" t="inlineStr">
        <is>
          <t>Stat Fcst Auto ARIMA</t>
        </is>
      </c>
    </row>
    <row r="293">
      <c r="A293" s="1" t="n">
        <v>3616302039548</v>
      </c>
      <c r="B293" t="inlineStr">
        <is>
          <t>GG PF21 EDT NS 10 ML IV</t>
        </is>
      </c>
      <c r="C293" t="inlineStr">
        <is>
          <t>P_US_ULTA</t>
        </is>
      </c>
      <c r="D293" t="inlineStr">
        <is>
          <t>Stat Fcst Croston</t>
        </is>
      </c>
    </row>
    <row r="294">
      <c r="A294" s="1" t="n">
        <v>3616302039548</v>
      </c>
      <c r="B294" t="inlineStr">
        <is>
          <t>GG PF21 EDT NS 10 ML IV</t>
        </is>
      </c>
      <c r="C294" t="inlineStr">
        <is>
          <t>P_US_ULTA</t>
        </is>
      </c>
      <c r="D294" t="inlineStr">
        <is>
          <t>Stat Fcst DES</t>
        </is>
      </c>
    </row>
    <row r="295">
      <c r="A295" s="1" t="n">
        <v>3616302039548</v>
      </c>
      <c r="B295" t="inlineStr">
        <is>
          <t>GG PF21 EDT NS 10 ML IV</t>
        </is>
      </c>
      <c r="C295" t="inlineStr">
        <is>
          <t>P_US_ULTA</t>
        </is>
      </c>
      <c r="D295" t="inlineStr">
        <is>
          <t>Stat Fcst ETS</t>
        </is>
      </c>
    </row>
    <row r="296">
      <c r="A296" s="1" t="n">
        <v>3616302039548</v>
      </c>
      <c r="B296" t="inlineStr">
        <is>
          <t>GG PF21 EDT NS 10 ML IV</t>
        </is>
      </c>
      <c r="C296" t="inlineStr">
        <is>
          <t>P_US_ULTA</t>
        </is>
      </c>
      <c r="D296" t="inlineStr">
        <is>
          <t>Stat Fcst Moving Average</t>
        </is>
      </c>
    </row>
    <row r="297">
      <c r="A297" s="1" t="n">
        <v>3616302039548</v>
      </c>
      <c r="B297" t="inlineStr">
        <is>
          <t>GG PF21 EDT NS 10 ML IV</t>
        </is>
      </c>
      <c r="C297" t="inlineStr">
        <is>
          <t>P_US_ULTA</t>
        </is>
      </c>
      <c r="D297" t="inlineStr">
        <is>
          <t>Stat Fcst Naive Random Walk</t>
        </is>
      </c>
    </row>
    <row r="298">
      <c r="A298" s="1" t="n">
        <v>3616302039548</v>
      </c>
      <c r="B298" t="inlineStr">
        <is>
          <t>GG PF21 EDT NS 10 ML IV</t>
        </is>
      </c>
      <c r="C298" t="inlineStr">
        <is>
          <t>P_US_ULTA</t>
        </is>
      </c>
      <c r="D298" t="inlineStr">
        <is>
          <t>Stat Fcst Prophet</t>
        </is>
      </c>
    </row>
    <row r="299">
      <c r="A299" s="1" t="n">
        <v>3616302039548</v>
      </c>
      <c r="B299" t="inlineStr">
        <is>
          <t>GG PF21 EDT NS 10 ML IV</t>
        </is>
      </c>
      <c r="C299" t="inlineStr">
        <is>
          <t>P_US_ULTA</t>
        </is>
      </c>
      <c r="D299" t="inlineStr">
        <is>
          <t>Stat Fcst sARIMA</t>
        </is>
      </c>
    </row>
    <row r="300">
      <c r="A300" s="1" t="n">
        <v>3616302039548</v>
      </c>
      <c r="B300" t="inlineStr">
        <is>
          <t>GG PF21 EDT NS 10 ML IV</t>
        </is>
      </c>
      <c r="C300" t="inlineStr">
        <is>
          <t>P_US_ULTA</t>
        </is>
      </c>
      <c r="D300" t="inlineStr">
        <is>
          <t>Stat Fcst Seasonal Naive YoY</t>
        </is>
      </c>
    </row>
    <row r="301">
      <c r="A301" s="1" t="n">
        <v>3616302039548</v>
      </c>
      <c r="B301" t="inlineStr">
        <is>
          <t>GG PF21 EDT NS 10 ML IV</t>
        </is>
      </c>
      <c r="C301" t="inlineStr">
        <is>
          <t>P_US_ULTA</t>
        </is>
      </c>
      <c r="D301" t="inlineStr">
        <is>
          <t>Stat Fcst SES</t>
        </is>
      </c>
    </row>
    <row r="302">
      <c r="A302" s="1" t="n">
        <v>3616302039548</v>
      </c>
      <c r="B302" t="inlineStr">
        <is>
          <t>GG PF21 EDT NS 10 ML IV</t>
        </is>
      </c>
      <c r="C302" t="inlineStr">
        <is>
          <t>P_US_ULTA</t>
        </is>
      </c>
      <c r="D302" t="inlineStr">
        <is>
          <t>Stat Fcst STLF</t>
        </is>
      </c>
      <c r="E302" t="n">
        <v>26.9999991953372</v>
      </c>
      <c r="F302" t="n">
        <v>3137.19152437925</v>
      </c>
      <c r="G302" t="n">
        <v>3441.31436347836</v>
      </c>
      <c r="H302" t="n">
        <v>26.9999991953372</v>
      </c>
      <c r="I302" t="n">
        <v>349.347340169957</v>
      </c>
      <c r="J302" t="n">
        <v>474.359885984036</v>
      </c>
      <c r="K302" t="n">
        <v>511.290092861265</v>
      </c>
      <c r="L302" t="n">
        <v>1489.90553035554</v>
      </c>
      <c r="M302" t="n">
        <v>1600.34560755623</v>
      </c>
      <c r="N302" t="n">
        <v>619.05801468035</v>
      </c>
      <c r="O302" t="n">
        <v>26.9999991953372</v>
      </c>
      <c r="P302" t="n">
        <v>27.0000002011656</v>
      </c>
    </row>
    <row r="303">
      <c r="A303" s="1" t="n">
        <v>3616302039548</v>
      </c>
      <c r="B303" t="inlineStr">
        <is>
          <t>GG PF21 EDT NS 10 ML IV</t>
        </is>
      </c>
      <c r="C303" t="inlineStr">
        <is>
          <t>P_US_ULTA</t>
        </is>
      </c>
      <c r="D303" t="inlineStr">
        <is>
          <t>Stat Fcst TBATS</t>
        </is>
      </c>
    </row>
    <row r="304">
      <c r="A304" s="1" t="n">
        <v>3616302039548</v>
      </c>
      <c r="B304" t="inlineStr">
        <is>
          <t>GG PF21 EDT NS 10 ML IV</t>
        </is>
      </c>
      <c r="C304" t="inlineStr">
        <is>
          <t>P_US_ULTA</t>
        </is>
      </c>
      <c r="D304" t="inlineStr">
        <is>
          <t>Stat Fcst TES</t>
        </is>
      </c>
      <c r="E304" t="n">
        <v>26.9999991953372</v>
      </c>
      <c r="F304" t="n">
        <v>2323.096403362</v>
      </c>
      <c r="G304" t="n">
        <v>1860.77517258532</v>
      </c>
      <c r="H304" t="n">
        <v>555.267631553123</v>
      </c>
      <c r="I304" t="n">
        <v>973.336860260346</v>
      </c>
      <c r="J304" t="n">
        <v>437.555321912755</v>
      </c>
      <c r="K304" t="n">
        <v>603.1805928438069</v>
      </c>
      <c r="L304" t="n">
        <v>1958.75949545458</v>
      </c>
      <c r="M304" t="n">
        <v>1784.50356045634</v>
      </c>
      <c r="N304" t="n">
        <v>875.16547869815</v>
      </c>
      <c r="O304" t="n">
        <v>253.887149667942</v>
      </c>
      <c r="P304" t="n">
        <v>569.9826614567791</v>
      </c>
    </row>
    <row r="305">
      <c r="A305" s="1" t="n">
        <v>3616302039548</v>
      </c>
      <c r="B305" t="inlineStr">
        <is>
          <t>GG PF21 EDT NS 10 ML IV</t>
        </is>
      </c>
      <c r="C305" t="inlineStr">
        <is>
          <t>P_US_ULTA</t>
        </is>
      </c>
      <c r="D305" t="inlineStr">
        <is>
          <t>Stat Fcst Theta</t>
        </is>
      </c>
    </row>
    <row r="306">
      <c r="A306" s="1" t="n">
        <v>3616302039548</v>
      </c>
      <c r="B306" t="inlineStr">
        <is>
          <t>GG PF21 EDT NS 10 ML IV</t>
        </is>
      </c>
      <c r="C306" t="inlineStr">
        <is>
          <t>P_US_ULTA</t>
        </is>
      </c>
      <c r="D306" t="inlineStr">
        <is>
          <t>System ML Fcst L1</t>
        </is>
      </c>
    </row>
    <row r="307">
      <c r="A307" s="1" t="n">
        <v>3616302039548</v>
      </c>
      <c r="B307" t="inlineStr">
        <is>
          <t>GG PF21 EDT NS 10 ML IV</t>
        </is>
      </c>
      <c r="C307" t="inlineStr">
        <is>
          <t>P_US_ULTA</t>
        </is>
      </c>
      <c r="D307" t="inlineStr">
        <is>
          <t>Stat Fcst Simple Snaive</t>
        </is>
      </c>
      <c r="E307" t="n">
        <v>1141.99996596574</v>
      </c>
      <c r="F307" t="n">
        <v>1746.99994793534</v>
      </c>
      <c r="G307" t="n">
        <v>2875.06300970213</v>
      </c>
      <c r="H307" t="n">
        <v>1906.33327652017</v>
      </c>
      <c r="I307" t="n">
        <v>2020.6666817218</v>
      </c>
      <c r="J307" t="n">
        <v>1217.99991283814</v>
      </c>
      <c r="K307" t="n">
        <v>303.333324293295</v>
      </c>
      <c r="L307" t="n">
        <v>3262.06298828125</v>
      </c>
      <c r="M307" t="n">
        <v>2252.66655884186</v>
      </c>
      <c r="N307" t="n">
        <v>2274.00003388524</v>
      </c>
      <c r="O307" t="n">
        <v>907.333296120167</v>
      </c>
      <c r="P307" t="n">
        <v>1261.00000939518</v>
      </c>
    </row>
    <row r="308">
      <c r="A308" s="1" t="n">
        <v>3616302039548</v>
      </c>
      <c r="B308" t="inlineStr">
        <is>
          <t>GG PF21 EDT NS 10 ML IV</t>
        </is>
      </c>
      <c r="C308" t="inlineStr">
        <is>
          <t>P_US_ULTA</t>
        </is>
      </c>
      <c r="D308" t="inlineStr">
        <is>
          <t>Stat Fcst Simple AOA</t>
        </is>
      </c>
    </row>
    <row r="309">
      <c r="A309" s="1" t="n">
        <v>3616302039548</v>
      </c>
      <c r="B309" t="inlineStr">
        <is>
          <t>GG PF21 EDT NS 10 ML IV</t>
        </is>
      </c>
      <c r="C309" t="inlineStr">
        <is>
          <t>P_US_ULTA</t>
        </is>
      </c>
      <c r="D309" t="inlineStr">
        <is>
          <t>Stat Fcst Weighted Snaive</t>
        </is>
      </c>
    </row>
    <row r="310">
      <c r="A310" s="1" t="n">
        <v>3616302039548</v>
      </c>
      <c r="B310" t="inlineStr">
        <is>
          <t>GG PF21 EDT NS 10 ML IV</t>
        </is>
      </c>
      <c r="C310" t="inlineStr">
        <is>
          <t>P_US_ULTA</t>
        </is>
      </c>
      <c r="D310" t="inlineStr">
        <is>
          <t>Stat Fcst Weighted AOA</t>
        </is>
      </c>
    </row>
    <row r="311">
      <c r="A311" s="1" t="n">
        <v>3616302039548</v>
      </c>
      <c r="B311" t="inlineStr">
        <is>
          <t>GG PF21 EDT NS 10 ML IV</t>
        </is>
      </c>
      <c r="C311" t="inlineStr">
        <is>
          <t>P_US_ULTA</t>
        </is>
      </c>
      <c r="D311" t="inlineStr">
        <is>
          <t>Stat Fcst Growth Snaive</t>
        </is>
      </c>
    </row>
    <row r="312">
      <c r="A312" s="1" t="n">
        <v>3616302039548</v>
      </c>
      <c r="B312" t="inlineStr">
        <is>
          <t>GG PF21 EDT NS 10 ML IV</t>
        </is>
      </c>
      <c r="C312" t="inlineStr">
        <is>
          <t>P_US_ULTA</t>
        </is>
      </c>
      <c r="D312" t="inlineStr">
        <is>
          <t>Stat Fcst Growth AOA</t>
        </is>
      </c>
    </row>
    <row r="313">
      <c r="A313" s="1" t="n">
        <v>3616302039548</v>
      </c>
      <c r="B313" t="inlineStr">
        <is>
          <t>GG PF21 EDT NS 10 ML IV</t>
        </is>
      </c>
      <c r="C313" t="inlineStr">
        <is>
          <t>P_US_ULTA</t>
        </is>
      </c>
      <c r="D313" t="inlineStr">
        <is>
          <t>System Stat Fcst Bestfit</t>
        </is>
      </c>
      <c r="H313" t="n">
        <v>555.2676226118911</v>
      </c>
      <c r="I313" t="n">
        <v>973.336921314425</v>
      </c>
      <c r="J313" t="n">
        <v>437.555315328975</v>
      </c>
      <c r="K313" t="n">
        <v>603.180585051161</v>
      </c>
      <c r="L313" t="n">
        <v>1958.75952148437</v>
      </c>
      <c r="M313" t="n">
        <v>1784.50348685671</v>
      </c>
      <c r="N313" t="n">
        <v>875.165479349575</v>
      </c>
      <c r="O313" t="n">
        <v>253.887138429667</v>
      </c>
      <c r="P313" t="n">
        <v>569.982670262326</v>
      </c>
    </row>
    <row r="314">
      <c r="A314" s="1" t="n">
        <v>3616302514298</v>
      </c>
      <c r="B314" t="inlineStr">
        <is>
          <t>GUCCI BM EDT NS 100 ML RG IV</t>
        </is>
      </c>
      <c r="C314" t="inlineStr">
        <is>
          <t>P_US_ALL_OTHERS</t>
        </is>
      </c>
      <c r="D314" t="inlineStr">
        <is>
          <t>Stat Fcst L1</t>
        </is>
      </c>
      <c r="E314" t="n">
        <v>2255.74260855487</v>
      </c>
      <c r="F314" t="n">
        <v>1222.99996355175</v>
      </c>
      <c r="G314" t="n">
        <v>1128</v>
      </c>
      <c r="H314" t="n">
        <v>1187</v>
      </c>
      <c r="I314" t="n">
        <v>798</v>
      </c>
      <c r="J314" t="n">
        <v>1032</v>
      </c>
      <c r="K314" t="n">
        <v>647</v>
      </c>
      <c r="L314" t="n">
        <v>732</v>
      </c>
      <c r="M314" t="n">
        <v>965</v>
      </c>
      <c r="N314" t="n">
        <v>895</v>
      </c>
      <c r="O314" t="n">
        <v>686</v>
      </c>
      <c r="P314" t="n">
        <v>287</v>
      </c>
    </row>
    <row r="315">
      <c r="A315" s="1" t="n">
        <v>3616302514298</v>
      </c>
      <c r="B315" t="inlineStr">
        <is>
          <t>GUCCI BM EDT NS 100 ML RG IV</t>
        </is>
      </c>
      <c r="C315" t="inlineStr">
        <is>
          <t>P_US_ALL_OTHERS</t>
        </is>
      </c>
      <c r="D315" t="inlineStr">
        <is>
          <t>Stat Fcst AR-NNET</t>
        </is>
      </c>
    </row>
    <row r="316">
      <c r="A316" s="1" t="n">
        <v>3616302514298</v>
      </c>
      <c r="B316" t="inlineStr">
        <is>
          <t>GUCCI BM EDT NS 100 ML RG IV</t>
        </is>
      </c>
      <c r="C316" t="inlineStr">
        <is>
          <t>P_US_ALL_OTHERS</t>
        </is>
      </c>
      <c r="D316" t="inlineStr">
        <is>
          <t>Stat Fcst Auto ARIMA</t>
        </is>
      </c>
    </row>
    <row r="317">
      <c r="A317" s="1" t="n">
        <v>3616302514298</v>
      </c>
      <c r="B317" t="inlineStr">
        <is>
          <t>GUCCI BM EDT NS 100 ML RG IV</t>
        </is>
      </c>
      <c r="C317" t="inlineStr">
        <is>
          <t>P_US_ALL_OTHERS</t>
        </is>
      </c>
      <c r="D317" t="inlineStr">
        <is>
          <t>Stat Fcst Croston</t>
        </is>
      </c>
    </row>
    <row r="318">
      <c r="A318" s="1" t="n">
        <v>3616302514298</v>
      </c>
      <c r="B318" t="inlineStr">
        <is>
          <t>GUCCI BM EDT NS 100 ML RG IV</t>
        </is>
      </c>
      <c r="C318" t="inlineStr">
        <is>
          <t>P_US_ALL_OTHERS</t>
        </is>
      </c>
      <c r="D318" t="inlineStr">
        <is>
          <t>Stat Fcst DES</t>
        </is>
      </c>
      <c r="E318" t="n">
        <v>713.537801830856</v>
      </c>
      <c r="F318" t="n">
        <v>711.357231433291</v>
      </c>
      <c r="G318" t="n">
        <v>825.606148263127</v>
      </c>
      <c r="H318" t="n">
        <v>824.666776067394</v>
      </c>
      <c r="I318" t="n">
        <v>823.835600628689</v>
      </c>
      <c r="J318" t="n">
        <v>823.10005077597</v>
      </c>
      <c r="K318" t="n">
        <v>822.449203267179</v>
      </c>
      <c r="L318" t="n">
        <v>821.873304656086</v>
      </c>
      <c r="M318" t="n">
        <v>821.363656297787</v>
      </c>
      <c r="N318" t="n">
        <v>820.912736120892</v>
      </c>
      <c r="O318" t="n">
        <v>820.513655899477</v>
      </c>
      <c r="P318" t="n">
        <v>820.160580107561</v>
      </c>
    </row>
    <row r="319">
      <c r="A319" s="1" t="n">
        <v>3616302514298</v>
      </c>
      <c r="B319" t="inlineStr">
        <is>
          <t>GUCCI BM EDT NS 100 ML RG IV</t>
        </is>
      </c>
      <c r="C319" t="inlineStr">
        <is>
          <t>P_US_ALL_OTHERS</t>
        </is>
      </c>
      <c r="D319" t="inlineStr">
        <is>
          <t>Stat Fcst ETS</t>
        </is>
      </c>
    </row>
    <row r="320">
      <c r="A320" s="1" t="n">
        <v>3616302514298</v>
      </c>
      <c r="B320" t="inlineStr">
        <is>
          <t>GUCCI BM EDT NS 100 ML RG IV</t>
        </is>
      </c>
      <c r="C320" t="inlineStr">
        <is>
          <t>P_US_ALL_OTHERS</t>
        </is>
      </c>
      <c r="D320" t="inlineStr">
        <is>
          <t>Stat Fcst Moving Average</t>
        </is>
      </c>
      <c r="E320" t="n">
        <v>665.119980177879</v>
      </c>
      <c r="F320" t="n">
        <v>735.3399780851601</v>
      </c>
      <c r="G320" t="n">
        <v>1178.1500087779</v>
      </c>
      <c r="H320" t="n">
        <v>1082.37996774256</v>
      </c>
      <c r="I320" t="n">
        <v>1177.65000877417</v>
      </c>
      <c r="J320" t="n">
        <v>1383.37995877206</v>
      </c>
      <c r="K320" t="n">
        <v>1208.90996397167</v>
      </c>
      <c r="L320" t="n">
        <v>1206.09</v>
      </c>
      <c r="M320" t="n">
        <v>1211.67996388912</v>
      </c>
      <c r="N320" t="n">
        <v>1237.54001844078</v>
      </c>
      <c r="O320" t="n">
        <v>1249.5199627614</v>
      </c>
      <c r="P320" t="n">
        <v>1222.75000911019</v>
      </c>
    </row>
    <row r="321">
      <c r="A321" s="1" t="n">
        <v>3616302514298</v>
      </c>
      <c r="B321" t="inlineStr">
        <is>
          <t>GUCCI BM EDT NS 100 ML RG IV</t>
        </is>
      </c>
      <c r="C321" t="inlineStr">
        <is>
          <t>P_US_ALL_OTHERS</t>
        </is>
      </c>
      <c r="D321" t="inlineStr">
        <is>
          <t>Stat Fcst Naive Random Walk</t>
        </is>
      </c>
    </row>
    <row r="322">
      <c r="A322" s="1" t="n">
        <v>3616302514298</v>
      </c>
      <c r="B322" t="inlineStr">
        <is>
          <t>GUCCI BM EDT NS 100 ML RG IV</t>
        </is>
      </c>
      <c r="C322" t="inlineStr">
        <is>
          <t>P_US_ALL_OTHERS</t>
        </is>
      </c>
      <c r="D322" t="inlineStr">
        <is>
          <t>Stat Fcst Prophet</t>
        </is>
      </c>
    </row>
    <row r="323">
      <c r="A323" s="1" t="n">
        <v>3616302514298</v>
      </c>
      <c r="B323" t="inlineStr">
        <is>
          <t>GUCCI BM EDT NS 100 ML RG IV</t>
        </is>
      </c>
      <c r="C323" t="inlineStr">
        <is>
          <t>P_US_ALL_OTHERS</t>
        </is>
      </c>
      <c r="D323" t="inlineStr">
        <is>
          <t>Stat Fcst sARIMA</t>
        </is>
      </c>
    </row>
    <row r="324">
      <c r="A324" s="1" t="n">
        <v>3616302514298</v>
      </c>
      <c r="B324" t="inlineStr">
        <is>
          <t>GUCCI BM EDT NS 100 ML RG IV</t>
        </is>
      </c>
      <c r="C324" t="inlineStr">
        <is>
          <t>P_US_ALL_OTHERS</t>
        </is>
      </c>
      <c r="D324" t="inlineStr">
        <is>
          <t>Stat Fcst Seasonal Naive YoY</t>
        </is>
      </c>
    </row>
    <row r="325">
      <c r="A325" s="1" t="n">
        <v>3616302514298</v>
      </c>
      <c r="B325" t="inlineStr">
        <is>
          <t>GUCCI BM EDT NS 100 ML RG IV</t>
        </is>
      </c>
      <c r="C325" t="inlineStr">
        <is>
          <t>P_US_ALL_OTHERS</t>
        </is>
      </c>
      <c r="D325" t="inlineStr">
        <is>
          <t>Stat Fcst SES</t>
        </is>
      </c>
    </row>
    <row r="326">
      <c r="A326" s="1" t="n">
        <v>3616302514298</v>
      </c>
      <c r="B326" t="inlineStr">
        <is>
          <t>GUCCI BM EDT NS 100 ML RG IV</t>
        </is>
      </c>
      <c r="C326" t="inlineStr">
        <is>
          <t>P_US_ALL_OTHERS</t>
        </is>
      </c>
      <c r="D326" t="inlineStr">
        <is>
          <t>Stat Fcst STLF</t>
        </is>
      </c>
      <c r="E326" t="n">
        <v>2504.74589224683</v>
      </c>
      <c r="F326" t="n">
        <v>188.930157845575</v>
      </c>
      <c r="G326" t="n">
        <v>546.653445394513</v>
      </c>
      <c r="H326" t="n">
        <v>1458.47178863906</v>
      </c>
      <c r="I326" t="n">
        <v>456.425296943094</v>
      </c>
      <c r="J326" t="n">
        <v>703.731074217379</v>
      </c>
      <c r="K326" t="n">
        <v>810.839203201631</v>
      </c>
      <c r="L326" t="n">
        <v>35</v>
      </c>
      <c r="M326" t="n">
        <v>823.735743282693</v>
      </c>
      <c r="N326" t="n">
        <v>1256.53874740032</v>
      </c>
      <c r="O326" t="n">
        <v>657.393093042986</v>
      </c>
      <c r="P326" t="n">
        <v>172.813095569258</v>
      </c>
    </row>
    <row r="327">
      <c r="A327" s="1" t="n">
        <v>3616302514298</v>
      </c>
      <c r="B327" t="inlineStr">
        <is>
          <t>GUCCI BM EDT NS 100 ML RG IV</t>
        </is>
      </c>
      <c r="C327" t="inlineStr">
        <is>
          <t>P_US_ALL_OTHERS</t>
        </is>
      </c>
      <c r="D327" t="inlineStr">
        <is>
          <t>Stat Fcst TBATS</t>
        </is>
      </c>
    </row>
    <row r="328">
      <c r="A328" s="1" t="n">
        <v>3616302514298</v>
      </c>
      <c r="B328" t="inlineStr">
        <is>
          <t>GUCCI BM EDT NS 100 ML RG IV</t>
        </is>
      </c>
      <c r="C328" t="inlineStr">
        <is>
          <t>P_US_ALL_OTHERS</t>
        </is>
      </c>
      <c r="D328" t="inlineStr">
        <is>
          <t>Stat Fcst TES</t>
        </is>
      </c>
    </row>
    <row r="329">
      <c r="A329" s="1" t="n">
        <v>3616302514298</v>
      </c>
      <c r="B329" t="inlineStr">
        <is>
          <t>GUCCI BM EDT NS 100 ML RG IV</t>
        </is>
      </c>
      <c r="C329" t="inlineStr">
        <is>
          <t>P_US_ALL_OTHERS</t>
        </is>
      </c>
      <c r="D329" t="inlineStr">
        <is>
          <t>Stat Fcst Theta</t>
        </is>
      </c>
    </row>
    <row r="330">
      <c r="A330" s="1" t="n">
        <v>3616302514298</v>
      </c>
      <c r="B330" t="inlineStr">
        <is>
          <t>GUCCI BM EDT NS 100 ML RG IV</t>
        </is>
      </c>
      <c r="C330" t="inlineStr">
        <is>
          <t>P_US_ALL_OTHERS</t>
        </is>
      </c>
      <c r="D330" t="inlineStr">
        <is>
          <t>System ML Fcst L1</t>
        </is>
      </c>
    </row>
    <row r="331">
      <c r="A331" s="1" t="n">
        <v>3616302514298</v>
      </c>
      <c r="B331" t="inlineStr">
        <is>
          <t>GUCCI BM EDT NS 100 ML RG IV</t>
        </is>
      </c>
      <c r="C331" t="inlineStr">
        <is>
          <t>P_US_ALL_OTHERS</t>
        </is>
      </c>
      <c r="D331" t="inlineStr">
        <is>
          <t>Stat Fcst Simple Snaive</t>
        </is>
      </c>
      <c r="E331" t="n">
        <v>2052.99993881583</v>
      </c>
      <c r="F331" t="n">
        <v>617.499981597065</v>
      </c>
      <c r="G331" t="n">
        <v>1129.0000084117</v>
      </c>
      <c r="H331" t="n">
        <v>1186.99991884827</v>
      </c>
      <c r="I331" t="n">
        <v>795.666672594845</v>
      </c>
      <c r="J331" t="n">
        <v>1033.66663586099</v>
      </c>
      <c r="K331" t="n">
        <v>648.666626989842</v>
      </c>
      <c r="L331" t="n">
        <v>733</v>
      </c>
      <c r="M331" t="n">
        <v>963.333294451237</v>
      </c>
      <c r="N331" t="n">
        <v>894.666700343291</v>
      </c>
      <c r="O331" t="n">
        <v>687.6666054825</v>
      </c>
      <c r="P331" t="n">
        <v>285.000002123415</v>
      </c>
    </row>
    <row r="332">
      <c r="A332" s="1" t="n">
        <v>3616302514298</v>
      </c>
      <c r="B332" t="inlineStr">
        <is>
          <t>GUCCI BM EDT NS 100 ML RG IV</t>
        </is>
      </c>
      <c r="C332" t="inlineStr">
        <is>
          <t>P_US_ALL_OTHERS</t>
        </is>
      </c>
      <c r="D332" t="inlineStr">
        <is>
          <t>Stat Fcst Simple AOA</t>
        </is>
      </c>
    </row>
    <row r="333">
      <c r="A333" s="1" t="n">
        <v>3616302514298</v>
      </c>
      <c r="B333" t="inlineStr">
        <is>
          <t>GUCCI BM EDT NS 100 ML RG IV</t>
        </is>
      </c>
      <c r="C333" t="inlineStr">
        <is>
          <t>P_US_ALL_OTHERS</t>
        </is>
      </c>
      <c r="D333" t="inlineStr">
        <is>
          <t>Stat Fcst Weighted Snaive</t>
        </is>
      </c>
    </row>
    <row r="334">
      <c r="A334" s="1" t="n">
        <v>3616302514298</v>
      </c>
      <c r="B334" t="inlineStr">
        <is>
          <t>GUCCI BM EDT NS 100 ML RG IV</t>
        </is>
      </c>
      <c r="C334" t="inlineStr">
        <is>
          <t>P_US_ALL_OTHERS</t>
        </is>
      </c>
      <c r="D334" t="inlineStr">
        <is>
          <t>Stat Fcst Weighted AOA</t>
        </is>
      </c>
      <c r="E334" t="n">
        <v>2052.99993881583</v>
      </c>
      <c r="F334" t="n">
        <v>617.499981597065</v>
      </c>
      <c r="G334" t="n">
        <v>1129.0000084117</v>
      </c>
      <c r="H334" t="n">
        <v>1186.99991884827</v>
      </c>
      <c r="I334" t="n">
        <v>795.666672594845</v>
      </c>
      <c r="J334" t="n">
        <v>1033.66663586099</v>
      </c>
      <c r="K334" t="n">
        <v>648.666626989842</v>
      </c>
      <c r="L334" t="n">
        <v>733</v>
      </c>
      <c r="M334" t="n">
        <v>963.333294451237</v>
      </c>
      <c r="N334" t="n">
        <v>894.666700343291</v>
      </c>
      <c r="O334" t="n">
        <v>687.6666054825</v>
      </c>
      <c r="P334" t="n">
        <v>285.000002123415</v>
      </c>
    </row>
    <row r="335">
      <c r="A335" s="1" t="n">
        <v>3616302514298</v>
      </c>
      <c r="B335" t="inlineStr">
        <is>
          <t>GUCCI BM EDT NS 100 ML RG IV</t>
        </is>
      </c>
      <c r="C335" t="inlineStr">
        <is>
          <t>P_US_ALL_OTHERS</t>
        </is>
      </c>
      <c r="D335" t="inlineStr">
        <is>
          <t>Stat Fcst Growth Snaive</t>
        </is>
      </c>
    </row>
    <row r="336">
      <c r="A336" s="1" t="n">
        <v>3616302514298</v>
      </c>
      <c r="B336" t="inlineStr">
        <is>
          <t>GUCCI BM EDT NS 100 ML RG IV</t>
        </is>
      </c>
      <c r="C336" t="inlineStr">
        <is>
          <t>P_US_ALL_OTHERS</t>
        </is>
      </c>
      <c r="D336" t="inlineStr">
        <is>
          <t>Stat Fcst Growth AOA</t>
        </is>
      </c>
    </row>
    <row r="337">
      <c r="A337" s="1" t="n">
        <v>3616302514298</v>
      </c>
      <c r="B337" t="inlineStr">
        <is>
          <t>GUCCI BM EDT NS 100 ML RG IV</t>
        </is>
      </c>
      <c r="C337" t="inlineStr">
        <is>
          <t>P_US_ALL_OTHERS</t>
        </is>
      </c>
      <c r="D337" t="inlineStr">
        <is>
          <t>System Stat Fcst Bestfit</t>
        </is>
      </c>
      <c r="H337" t="n">
        <v>1186.99984255433</v>
      </c>
      <c r="I337" t="n">
        <v>795.666692939897</v>
      </c>
      <c r="J337" t="n">
        <v>1033.66659517089</v>
      </c>
      <c r="K337" t="n">
        <v>648.66660664479</v>
      </c>
      <c r="L337" t="n">
        <v>733</v>
      </c>
      <c r="M337" t="n">
        <v>963.3332232435559</v>
      </c>
      <c r="N337" t="n">
        <v>894.666700343291</v>
      </c>
      <c r="O337" t="n">
        <v>687.6666054825</v>
      </c>
      <c r="P337" t="n">
        <v>285.000002123415</v>
      </c>
    </row>
    <row r="338">
      <c r="A338" s="1" t="n">
        <v>3616302514298</v>
      </c>
      <c r="B338" t="inlineStr">
        <is>
          <t>GUCCI BM EDT NS 100 ML RG IV</t>
        </is>
      </c>
      <c r="C338" t="inlineStr">
        <is>
          <t>P_US_ULTA</t>
        </is>
      </c>
      <c r="D338" t="inlineStr">
        <is>
          <t>Stat Fcst L1</t>
        </is>
      </c>
      <c r="E338" t="n">
        <v>56.9999983012676</v>
      </c>
      <c r="F338" t="n">
        <v>223.999993324279</v>
      </c>
      <c r="G338" t="n">
        <v>454</v>
      </c>
      <c r="H338" t="n">
        <v>1550</v>
      </c>
      <c r="I338" t="n">
        <v>2254</v>
      </c>
      <c r="J338" t="n">
        <v>1231</v>
      </c>
      <c r="K338" t="n">
        <v>2161</v>
      </c>
      <c r="L338" t="n">
        <v>2464</v>
      </c>
      <c r="M338" t="n">
        <v>1523</v>
      </c>
      <c r="N338" t="n">
        <v>695</v>
      </c>
      <c r="O338" t="n">
        <v>1391</v>
      </c>
      <c r="P338" t="n">
        <v>625</v>
      </c>
    </row>
    <row r="339">
      <c r="A339" s="1" t="n">
        <v>3616302514298</v>
      </c>
      <c r="B339" t="inlineStr">
        <is>
          <t>GUCCI BM EDT NS 100 ML RG IV</t>
        </is>
      </c>
      <c r="C339" t="inlineStr">
        <is>
          <t>P_US_ULTA</t>
        </is>
      </c>
      <c r="D339" t="inlineStr">
        <is>
          <t>Stat Fcst AR-NNET</t>
        </is>
      </c>
    </row>
    <row r="340">
      <c r="A340" s="1" t="n">
        <v>3616302514298</v>
      </c>
      <c r="B340" t="inlineStr">
        <is>
          <t>GUCCI BM EDT NS 100 ML RG IV</t>
        </is>
      </c>
      <c r="C340" t="inlineStr">
        <is>
          <t>P_US_ULTA</t>
        </is>
      </c>
      <c r="D340" t="inlineStr">
        <is>
          <t>Stat Fcst Auto ARIMA</t>
        </is>
      </c>
    </row>
    <row r="341">
      <c r="A341" s="1" t="n">
        <v>3616302514298</v>
      </c>
      <c r="B341" t="inlineStr">
        <is>
          <t>GUCCI BM EDT NS 100 ML RG IV</t>
        </is>
      </c>
      <c r="C341" t="inlineStr">
        <is>
          <t>P_US_ULTA</t>
        </is>
      </c>
      <c r="D341" t="inlineStr">
        <is>
          <t>Stat Fcst Croston</t>
        </is>
      </c>
    </row>
    <row r="342">
      <c r="A342" s="1" t="n">
        <v>3616302514298</v>
      </c>
      <c r="B342" t="inlineStr">
        <is>
          <t>GUCCI BM EDT NS 100 ML RG IV</t>
        </is>
      </c>
      <c r="C342" t="inlineStr">
        <is>
          <t>P_US_ULTA</t>
        </is>
      </c>
      <c r="D342" t="inlineStr">
        <is>
          <t>Stat Fcst DES</t>
        </is>
      </c>
    </row>
    <row r="343">
      <c r="A343" s="1" t="n">
        <v>3616302514298</v>
      </c>
      <c r="B343" t="inlineStr">
        <is>
          <t>GUCCI BM EDT NS 100 ML RG IV</t>
        </is>
      </c>
      <c r="C343" t="inlineStr">
        <is>
          <t>P_US_ULTA</t>
        </is>
      </c>
      <c r="D343" t="inlineStr">
        <is>
          <t>Stat Fcst ETS</t>
        </is>
      </c>
    </row>
    <row r="344">
      <c r="A344" s="1" t="n">
        <v>3616302514298</v>
      </c>
      <c r="B344" t="inlineStr">
        <is>
          <t>GUCCI BM EDT NS 100 ML RG IV</t>
        </is>
      </c>
      <c r="C344" t="inlineStr">
        <is>
          <t>P_US_ULTA</t>
        </is>
      </c>
      <c r="D344" t="inlineStr">
        <is>
          <t>Stat Fcst Moving Average</t>
        </is>
      </c>
    </row>
    <row r="345">
      <c r="A345" s="1" t="n">
        <v>3616302514298</v>
      </c>
      <c r="B345" t="inlineStr">
        <is>
          <t>GUCCI BM EDT NS 100 ML RG IV</t>
        </is>
      </c>
      <c r="C345" t="inlineStr">
        <is>
          <t>P_US_ULTA</t>
        </is>
      </c>
      <c r="D345" t="inlineStr">
        <is>
          <t>Stat Fcst Naive Random Walk</t>
        </is>
      </c>
    </row>
    <row r="346">
      <c r="A346" s="1" t="n">
        <v>3616302514298</v>
      </c>
      <c r="B346" t="inlineStr">
        <is>
          <t>GUCCI BM EDT NS 100 ML RG IV</t>
        </is>
      </c>
      <c r="C346" t="inlineStr">
        <is>
          <t>P_US_ULTA</t>
        </is>
      </c>
      <c r="D346" t="inlineStr">
        <is>
          <t>Stat Fcst Prophet</t>
        </is>
      </c>
    </row>
    <row r="347">
      <c r="A347" s="1" t="n">
        <v>3616302514298</v>
      </c>
      <c r="B347" t="inlineStr">
        <is>
          <t>GUCCI BM EDT NS 100 ML RG IV</t>
        </is>
      </c>
      <c r="C347" t="inlineStr">
        <is>
          <t>P_US_ULTA</t>
        </is>
      </c>
      <c r="D347" t="inlineStr">
        <is>
          <t>Stat Fcst sARIMA</t>
        </is>
      </c>
    </row>
    <row r="348">
      <c r="A348" s="1" t="n">
        <v>3616302514298</v>
      </c>
      <c r="B348" t="inlineStr">
        <is>
          <t>GUCCI BM EDT NS 100 ML RG IV</t>
        </is>
      </c>
      <c r="C348" t="inlineStr">
        <is>
          <t>P_US_ULTA</t>
        </is>
      </c>
      <c r="D348" t="inlineStr">
        <is>
          <t>Stat Fcst Seasonal Naive YoY</t>
        </is>
      </c>
    </row>
    <row r="349">
      <c r="A349" s="1" t="n">
        <v>3616302514298</v>
      </c>
      <c r="B349" t="inlineStr">
        <is>
          <t>GUCCI BM EDT NS 100 ML RG IV</t>
        </is>
      </c>
      <c r="C349" t="inlineStr">
        <is>
          <t>P_US_ULTA</t>
        </is>
      </c>
      <c r="D349" t="inlineStr">
        <is>
          <t>Stat Fcst SES</t>
        </is>
      </c>
    </row>
    <row r="350">
      <c r="A350" s="1" t="n">
        <v>3616302514298</v>
      </c>
      <c r="B350" t="inlineStr">
        <is>
          <t>GUCCI BM EDT NS 100 ML RG IV</t>
        </is>
      </c>
      <c r="C350" t="inlineStr">
        <is>
          <t>P_US_ULTA</t>
        </is>
      </c>
      <c r="D350" t="inlineStr">
        <is>
          <t>Stat Fcst STLF</t>
        </is>
      </c>
      <c r="E350" t="n">
        <v>1521.59555292915</v>
      </c>
      <c r="F350" t="n">
        <v>1578.2443975154</v>
      </c>
      <c r="G350" t="n">
        <v>485.768018530659</v>
      </c>
      <c r="H350" t="n">
        <v>1551.72449244899</v>
      </c>
      <c r="I350" t="n">
        <v>2255.74436968378</v>
      </c>
      <c r="J350" t="n">
        <v>1231.9103196955</v>
      </c>
      <c r="K350" t="n">
        <v>2162.42477142596</v>
      </c>
      <c r="L350" t="n">
        <v>2462.7254069065</v>
      </c>
      <c r="M350" t="n">
        <v>1521.30002940639</v>
      </c>
      <c r="N350" t="n">
        <v>695.584479635493</v>
      </c>
      <c r="O350" t="n">
        <v>1390.53129967351</v>
      </c>
      <c r="P350" t="n">
        <v>623.643964231171</v>
      </c>
    </row>
    <row r="351">
      <c r="A351" s="1" t="n">
        <v>3616302514298</v>
      </c>
      <c r="B351" t="inlineStr">
        <is>
          <t>GUCCI BM EDT NS 100 ML RG IV</t>
        </is>
      </c>
      <c r="C351" t="inlineStr">
        <is>
          <t>P_US_ULTA</t>
        </is>
      </c>
      <c r="D351" t="inlineStr">
        <is>
          <t>Stat Fcst TBATS</t>
        </is>
      </c>
    </row>
    <row r="352">
      <c r="A352" s="1" t="n">
        <v>3616302514298</v>
      </c>
      <c r="B352" t="inlineStr">
        <is>
          <t>GUCCI BM EDT NS 100 ML RG IV</t>
        </is>
      </c>
      <c r="C352" t="inlineStr">
        <is>
          <t>P_US_ULTA</t>
        </is>
      </c>
      <c r="D352" t="inlineStr">
        <is>
          <t>Stat Fcst TES</t>
        </is>
      </c>
      <c r="E352" t="n">
        <v>667.2993102991491</v>
      </c>
      <c r="F352" t="n">
        <v>702.711823492087</v>
      </c>
      <c r="G352" t="n">
        <v>292.963980884727</v>
      </c>
      <c r="H352" t="n">
        <v>458.238864977919</v>
      </c>
      <c r="I352" t="n">
        <v>636.337506081092</v>
      </c>
      <c r="J352" t="n">
        <v>566.456034656401</v>
      </c>
      <c r="K352" t="n">
        <v>569.51298293422</v>
      </c>
      <c r="L352" t="n">
        <v>1322.53266887463</v>
      </c>
      <c r="M352" t="n">
        <v>1168.22132617724</v>
      </c>
      <c r="N352" t="n">
        <v>395.4438598245</v>
      </c>
      <c r="O352" t="n">
        <v>625.614263859743</v>
      </c>
      <c r="P352" t="n">
        <v>461.007934955335</v>
      </c>
    </row>
    <row r="353">
      <c r="A353" s="1" t="n">
        <v>3616302514298</v>
      </c>
      <c r="B353" t="inlineStr">
        <is>
          <t>GUCCI BM EDT NS 100 ML RG IV</t>
        </is>
      </c>
      <c r="C353" t="inlineStr">
        <is>
          <t>P_US_ULTA</t>
        </is>
      </c>
      <c r="D353" t="inlineStr">
        <is>
          <t>Stat Fcst Theta</t>
        </is>
      </c>
    </row>
    <row r="354">
      <c r="A354" s="1" t="n">
        <v>3616302514298</v>
      </c>
      <c r="B354" t="inlineStr">
        <is>
          <t>GUCCI BM EDT NS 100 ML RG IV</t>
        </is>
      </c>
      <c r="C354" t="inlineStr">
        <is>
          <t>P_US_ULTA</t>
        </is>
      </c>
      <c r="D354" t="inlineStr">
        <is>
          <t>System ML Fcst L1</t>
        </is>
      </c>
    </row>
    <row r="355">
      <c r="A355" s="1" t="n">
        <v>3616302514298</v>
      </c>
      <c r="B355" t="inlineStr">
        <is>
          <t>GUCCI BM EDT NS 100 ML RG IV</t>
        </is>
      </c>
      <c r="C355" t="inlineStr">
        <is>
          <t>P_US_ULTA</t>
        </is>
      </c>
      <c r="D355" t="inlineStr">
        <is>
          <t>Stat Fcst Simple Snaive</t>
        </is>
      </c>
      <c r="E355" t="n">
        <v>283.499991551041</v>
      </c>
      <c r="F355" t="n">
        <v>122.999996334314</v>
      </c>
      <c r="G355" t="n">
        <v>731.333338782191</v>
      </c>
      <c r="H355" t="n">
        <v>577.3333161274591</v>
      </c>
      <c r="I355" t="n">
        <v>769.000005729496</v>
      </c>
      <c r="J355" t="n">
        <v>471.666652609904</v>
      </c>
      <c r="K355" t="n">
        <v>684.33331293861</v>
      </c>
      <c r="L355" t="n">
        <v>805</v>
      </c>
      <c r="M355" t="n">
        <v>1479.99995589256</v>
      </c>
      <c r="N355" t="n">
        <v>146.000002175569</v>
      </c>
      <c r="O355" t="n">
        <v>768.999977082014</v>
      </c>
      <c r="P355" t="n">
        <v>217.666668288409</v>
      </c>
    </row>
    <row r="356">
      <c r="A356" s="1" t="n">
        <v>3616302514298</v>
      </c>
      <c r="B356" t="inlineStr">
        <is>
          <t>GUCCI BM EDT NS 100 ML RG IV</t>
        </is>
      </c>
      <c r="C356" t="inlineStr">
        <is>
          <t>P_US_ULTA</t>
        </is>
      </c>
      <c r="D356" t="inlineStr">
        <is>
          <t>Stat Fcst Simple AOA</t>
        </is>
      </c>
    </row>
    <row r="357">
      <c r="A357" s="1" t="n">
        <v>3616302514298</v>
      </c>
      <c r="B357" t="inlineStr">
        <is>
          <t>GUCCI BM EDT NS 100 ML RG IV</t>
        </is>
      </c>
      <c r="C357" t="inlineStr">
        <is>
          <t>P_US_ULTA</t>
        </is>
      </c>
      <c r="D357" t="inlineStr">
        <is>
          <t>Stat Fcst Weighted Snaive</t>
        </is>
      </c>
    </row>
    <row r="358">
      <c r="A358" s="1" t="n">
        <v>3616302514298</v>
      </c>
      <c r="B358" t="inlineStr">
        <is>
          <t>GUCCI BM EDT NS 100 ML RG IV</t>
        </is>
      </c>
      <c r="C358" t="inlineStr">
        <is>
          <t>P_US_ULTA</t>
        </is>
      </c>
      <c r="D358" t="inlineStr">
        <is>
          <t>Stat Fcst Weighted AOA</t>
        </is>
      </c>
    </row>
    <row r="359">
      <c r="A359" s="1" t="n">
        <v>3616302514298</v>
      </c>
      <c r="B359" t="inlineStr">
        <is>
          <t>GUCCI BM EDT NS 100 ML RG IV</t>
        </is>
      </c>
      <c r="C359" t="inlineStr">
        <is>
          <t>P_US_ULTA</t>
        </is>
      </c>
      <c r="D359" t="inlineStr">
        <is>
          <t>Stat Fcst Growth Snaive</t>
        </is>
      </c>
    </row>
    <row r="360">
      <c r="A360" s="1" t="n">
        <v>3616302514298</v>
      </c>
      <c r="B360" t="inlineStr">
        <is>
          <t>GUCCI BM EDT NS 100 ML RG IV</t>
        </is>
      </c>
      <c r="C360" t="inlineStr">
        <is>
          <t>P_US_ULTA</t>
        </is>
      </c>
      <c r="D360" t="inlineStr">
        <is>
          <t>Stat Fcst Growth AOA</t>
        </is>
      </c>
    </row>
    <row r="361">
      <c r="A361" s="1" t="n">
        <v>3616302514298</v>
      </c>
      <c r="B361" t="inlineStr">
        <is>
          <t>GUCCI BM EDT NS 100 ML RG IV</t>
        </is>
      </c>
      <c r="C361" t="inlineStr">
        <is>
          <t>P_US_ULTA</t>
        </is>
      </c>
      <c r="D361" t="inlineStr">
        <is>
          <t>System Stat Fcst Bestfit</t>
        </is>
      </c>
      <c r="H361" t="n">
        <v>1551.72444105969</v>
      </c>
      <c r="I361" t="n">
        <v>2255.74440157223</v>
      </c>
      <c r="J361" t="n">
        <v>1231.91036367683</v>
      </c>
      <c r="K361" t="n">
        <v>2162.42474024221</v>
      </c>
      <c r="L361" t="n">
        <v>2462.72534179687</v>
      </c>
      <c r="M361" t="n">
        <v>1521.29988141954</v>
      </c>
      <c r="N361" t="n">
        <v>695.584483021266</v>
      </c>
      <c r="O361" t="n">
        <v>1390.53120855893</v>
      </c>
      <c r="P361" t="n">
        <v>623.643925544946</v>
      </c>
    </row>
    <row r="362">
      <c r="A362" s="1" t="n">
        <v>3616302968534</v>
      </c>
      <c r="B362" t="inlineStr">
        <is>
          <t>GUCCI FL G JSM EDP 50 ML IV</t>
        </is>
      </c>
      <c r="C362" t="inlineStr">
        <is>
          <t>P_US_ALL_OTHERS</t>
        </is>
      </c>
      <c r="D362" t="inlineStr">
        <is>
          <t>Stat Fcst L1</t>
        </is>
      </c>
      <c r="E362" t="n">
        <v>1169.99996513128</v>
      </c>
      <c r="F362" t="n">
        <v>423.999987363815</v>
      </c>
      <c r="G362" t="n">
        <v>1093</v>
      </c>
      <c r="H362" t="n">
        <v>659</v>
      </c>
      <c r="I362" t="n">
        <v>258</v>
      </c>
      <c r="J362" t="n">
        <v>327</v>
      </c>
      <c r="K362" t="n">
        <v>651</v>
      </c>
      <c r="L362" t="n">
        <v>316</v>
      </c>
      <c r="M362" t="n">
        <v>394</v>
      </c>
      <c r="N362" t="n">
        <v>365</v>
      </c>
      <c r="O362" t="n">
        <v>226</v>
      </c>
      <c r="P362" t="n">
        <v>197</v>
      </c>
    </row>
    <row r="363">
      <c r="A363" s="1" t="n">
        <v>3616302968534</v>
      </c>
      <c r="B363" t="inlineStr">
        <is>
          <t>GUCCI FL G JSM EDP 50 ML IV</t>
        </is>
      </c>
      <c r="C363" t="inlineStr">
        <is>
          <t>P_US_ALL_OTHERS</t>
        </is>
      </c>
      <c r="D363" t="inlineStr">
        <is>
          <t>Stat Fcst AR-NNET</t>
        </is>
      </c>
    </row>
    <row r="364">
      <c r="A364" s="1" t="n">
        <v>3616302968534</v>
      </c>
      <c r="B364" t="inlineStr">
        <is>
          <t>GUCCI FL G JSM EDP 50 ML IV</t>
        </is>
      </c>
      <c r="C364" t="inlineStr">
        <is>
          <t>P_US_ALL_OTHERS</t>
        </is>
      </c>
      <c r="D364" t="inlineStr">
        <is>
          <t>Stat Fcst Auto ARIMA</t>
        </is>
      </c>
    </row>
    <row r="365">
      <c r="A365" s="1" t="n">
        <v>3616302968534</v>
      </c>
      <c r="B365" t="inlineStr">
        <is>
          <t>GUCCI FL G JSM EDP 50 ML IV</t>
        </is>
      </c>
      <c r="C365" t="inlineStr">
        <is>
          <t>P_US_ALL_OTHERS</t>
        </is>
      </c>
      <c r="D365" t="inlineStr">
        <is>
          <t>Stat Fcst Croston</t>
        </is>
      </c>
    </row>
    <row r="366">
      <c r="A366" s="1" t="n">
        <v>3616302968534</v>
      </c>
      <c r="B366" t="inlineStr">
        <is>
          <t>GUCCI FL G JSM EDP 50 ML IV</t>
        </is>
      </c>
      <c r="C366" t="inlineStr">
        <is>
          <t>P_US_ALL_OTHERS</t>
        </is>
      </c>
      <c r="D366" t="inlineStr">
        <is>
          <t>Stat Fcst DES</t>
        </is>
      </c>
    </row>
    <row r="367">
      <c r="A367" s="1" t="n">
        <v>3616302968534</v>
      </c>
      <c r="B367" t="inlineStr">
        <is>
          <t>GUCCI FL G JSM EDP 50 ML IV</t>
        </is>
      </c>
      <c r="C367" t="inlineStr">
        <is>
          <t>P_US_ALL_OTHERS</t>
        </is>
      </c>
      <c r="D367" t="inlineStr">
        <is>
          <t>Stat Fcst ETS</t>
        </is>
      </c>
    </row>
    <row r="368">
      <c r="A368" s="1" t="n">
        <v>3616302968534</v>
      </c>
      <c r="B368" t="inlineStr">
        <is>
          <t>GUCCI FL G JSM EDP 50 ML IV</t>
        </is>
      </c>
      <c r="C368" t="inlineStr">
        <is>
          <t>P_US_ALL_OTHERS</t>
        </is>
      </c>
      <c r="D368" t="inlineStr">
        <is>
          <t>Stat Fcst Moving Average</t>
        </is>
      </c>
    </row>
    <row r="369">
      <c r="A369" s="1" t="n">
        <v>3616302968534</v>
      </c>
      <c r="B369" t="inlineStr">
        <is>
          <t>GUCCI FL G JSM EDP 50 ML IV</t>
        </is>
      </c>
      <c r="C369" t="inlineStr">
        <is>
          <t>P_US_ALL_OTHERS</t>
        </is>
      </c>
      <c r="D369" t="inlineStr">
        <is>
          <t>Stat Fcst Naive Random Walk</t>
        </is>
      </c>
    </row>
    <row r="370">
      <c r="A370" s="1" t="n">
        <v>3616302968534</v>
      </c>
      <c r="B370" t="inlineStr">
        <is>
          <t>GUCCI FL G JSM EDP 50 ML IV</t>
        </is>
      </c>
      <c r="C370" t="inlineStr">
        <is>
          <t>P_US_ALL_OTHERS</t>
        </is>
      </c>
      <c r="D370" t="inlineStr">
        <is>
          <t>Stat Fcst Prophet</t>
        </is>
      </c>
    </row>
    <row r="371">
      <c r="A371" s="1" t="n">
        <v>3616302968534</v>
      </c>
      <c r="B371" t="inlineStr">
        <is>
          <t>GUCCI FL G JSM EDP 50 ML IV</t>
        </is>
      </c>
      <c r="C371" t="inlineStr">
        <is>
          <t>P_US_ALL_OTHERS</t>
        </is>
      </c>
      <c r="D371" t="inlineStr">
        <is>
          <t>Stat Fcst sARIMA</t>
        </is>
      </c>
    </row>
    <row r="372">
      <c r="A372" s="1" t="n">
        <v>3616302968534</v>
      </c>
      <c r="B372" t="inlineStr">
        <is>
          <t>GUCCI FL G JSM EDP 50 ML IV</t>
        </is>
      </c>
      <c r="C372" t="inlineStr">
        <is>
          <t>P_US_ALL_OTHERS</t>
        </is>
      </c>
      <c r="D372" t="inlineStr">
        <is>
          <t>Stat Fcst Seasonal Naive YoY</t>
        </is>
      </c>
    </row>
    <row r="373">
      <c r="A373" s="1" t="n">
        <v>3616302968534</v>
      </c>
      <c r="B373" t="inlineStr">
        <is>
          <t>GUCCI FL G JSM EDP 50 ML IV</t>
        </is>
      </c>
      <c r="C373" t="inlineStr">
        <is>
          <t>P_US_ALL_OTHERS</t>
        </is>
      </c>
      <c r="D373" t="inlineStr">
        <is>
          <t>Stat Fcst SES</t>
        </is>
      </c>
    </row>
    <row r="374">
      <c r="A374" s="1" t="n">
        <v>3616302968534</v>
      </c>
      <c r="B374" t="inlineStr">
        <is>
          <t>GUCCI FL G JSM EDP 50 ML IV</t>
        </is>
      </c>
      <c r="C374" t="inlineStr">
        <is>
          <t>P_US_ALL_OTHERS</t>
        </is>
      </c>
      <c r="D374" t="inlineStr">
        <is>
          <t>Stat Fcst STLF</t>
        </is>
      </c>
      <c r="E374" t="n">
        <v>1468.05837517982</v>
      </c>
      <c r="F374" t="n">
        <v>992.8449797269039</v>
      </c>
      <c r="G374" t="n">
        <v>1595.16933099288</v>
      </c>
      <c r="H374" t="n">
        <v>550.994233654954</v>
      </c>
      <c r="I374" t="n">
        <v>93.6135438204231</v>
      </c>
      <c r="J374" t="n">
        <v>24.8206065932737</v>
      </c>
      <c r="K374" t="n">
        <v>1018.24570538661</v>
      </c>
      <c r="L374" t="n">
        <v>267.9749342812</v>
      </c>
      <c r="M374" t="n">
        <v>468.151790143341</v>
      </c>
      <c r="N374" t="n">
        <v>258.435004370231</v>
      </c>
      <c r="O374" t="n">
        <v>344.933893051402</v>
      </c>
      <c r="P374" t="n">
        <v>252.35513008406</v>
      </c>
    </row>
    <row r="375">
      <c r="A375" s="1" t="n">
        <v>3616302968534</v>
      </c>
      <c r="B375" t="inlineStr">
        <is>
          <t>GUCCI FL G JSM EDP 50 ML IV</t>
        </is>
      </c>
      <c r="C375" t="inlineStr">
        <is>
          <t>P_US_ALL_OTHERS</t>
        </is>
      </c>
      <c r="D375" t="inlineStr">
        <is>
          <t>Stat Fcst TBATS</t>
        </is>
      </c>
    </row>
    <row r="376">
      <c r="A376" s="1" t="n">
        <v>3616302968534</v>
      </c>
      <c r="B376" t="inlineStr">
        <is>
          <t>GUCCI FL G JSM EDP 50 ML IV</t>
        </is>
      </c>
      <c r="C376" t="inlineStr">
        <is>
          <t>P_US_ALL_OTHERS</t>
        </is>
      </c>
      <c r="D376" t="inlineStr">
        <is>
          <t>Stat Fcst TES</t>
        </is>
      </c>
      <c r="E376" t="n">
        <v>653.283138568901</v>
      </c>
      <c r="F376" t="n">
        <v>1109.53405315383</v>
      </c>
      <c r="G376" t="n">
        <v>1095.08153262484</v>
      </c>
      <c r="H376" t="n">
        <v>658.73949229934</v>
      </c>
      <c r="I376" t="n">
        <v>257.607737770375</v>
      </c>
      <c r="J376" t="n">
        <v>325.846095414627</v>
      </c>
      <c r="K376" t="n">
        <v>652.037350050777</v>
      </c>
      <c r="L376" t="n">
        <v>317.130040889648</v>
      </c>
      <c r="M376" t="n">
        <v>394.858202788943</v>
      </c>
      <c r="N376" t="n">
        <v>364.9836376666</v>
      </c>
      <c r="O376" t="n">
        <v>225.389540031115</v>
      </c>
      <c r="P376" t="n">
        <v>195.454436414511</v>
      </c>
    </row>
    <row r="377">
      <c r="A377" s="1" t="n">
        <v>3616302968534</v>
      </c>
      <c r="B377" t="inlineStr">
        <is>
          <t>GUCCI FL G JSM EDP 50 ML IV</t>
        </is>
      </c>
      <c r="C377" t="inlineStr">
        <is>
          <t>P_US_ALL_OTHERS</t>
        </is>
      </c>
      <c r="D377" t="inlineStr">
        <is>
          <t>Stat Fcst Theta</t>
        </is>
      </c>
    </row>
    <row r="378">
      <c r="A378" s="1" t="n">
        <v>3616302968534</v>
      </c>
      <c r="B378" t="inlineStr">
        <is>
          <t>GUCCI FL G JSM EDP 50 ML IV</t>
        </is>
      </c>
      <c r="C378" t="inlineStr">
        <is>
          <t>P_US_ALL_OTHERS</t>
        </is>
      </c>
      <c r="D378" t="inlineStr">
        <is>
          <t>System ML Fcst L1</t>
        </is>
      </c>
    </row>
    <row r="379">
      <c r="A379" s="1" t="n">
        <v>3616302968534</v>
      </c>
      <c r="B379" t="inlineStr">
        <is>
          <t>GUCCI FL G JSM EDP 50 ML IV</t>
        </is>
      </c>
      <c r="C379" t="inlineStr">
        <is>
          <t>P_US_ALL_OTHERS</t>
        </is>
      </c>
      <c r="D379" t="inlineStr">
        <is>
          <t>Stat Fcst Simple Snaive</t>
        </is>
      </c>
      <c r="E379" t="n">
        <v>1223.4999025017</v>
      </c>
      <c r="F379" t="n">
        <v>1042.05386298734</v>
      </c>
      <c r="G379" t="n">
        <v>1154.33336227883</v>
      </c>
      <c r="H379" t="n">
        <v>522.9999844133851</v>
      </c>
      <c r="I379" t="n">
        <v>442.666690309842</v>
      </c>
      <c r="J379" t="n">
        <v>641.666637053092</v>
      </c>
      <c r="K379" t="n">
        <v>969.369228719594</v>
      </c>
      <c r="L379" t="n">
        <v>392.333333333333</v>
      </c>
      <c r="M379" t="n">
        <v>584.333315918843</v>
      </c>
      <c r="N379" t="n">
        <v>278.000004142522</v>
      </c>
      <c r="O379" t="n">
        <v>285.333324829737</v>
      </c>
      <c r="P379" t="n">
        <v>285.333335459232</v>
      </c>
    </row>
    <row r="380">
      <c r="A380" s="1" t="n">
        <v>3616302968534</v>
      </c>
      <c r="B380" t="inlineStr">
        <is>
          <t>GUCCI FL G JSM EDP 50 ML IV</t>
        </is>
      </c>
      <c r="C380" t="inlineStr">
        <is>
          <t>P_US_ALL_OTHERS</t>
        </is>
      </c>
      <c r="D380" t="inlineStr">
        <is>
          <t>Stat Fcst Simple AOA</t>
        </is>
      </c>
    </row>
    <row r="381">
      <c r="A381" s="1" t="n">
        <v>3616302968534</v>
      </c>
      <c r="B381" t="inlineStr">
        <is>
          <t>GUCCI FL G JSM EDP 50 ML IV</t>
        </is>
      </c>
      <c r="C381" t="inlineStr">
        <is>
          <t>P_US_ALL_OTHERS</t>
        </is>
      </c>
      <c r="D381" t="inlineStr">
        <is>
          <t>Stat Fcst Weighted Snaive</t>
        </is>
      </c>
    </row>
    <row r="382">
      <c r="A382" s="1" t="n">
        <v>3616302968534</v>
      </c>
      <c r="B382" t="inlineStr">
        <is>
          <t>GUCCI FL G JSM EDP 50 ML IV</t>
        </is>
      </c>
      <c r="C382" t="inlineStr">
        <is>
          <t>P_US_ALL_OTHERS</t>
        </is>
      </c>
      <c r="D382" t="inlineStr">
        <is>
          <t>Stat Fcst Weighted AOA</t>
        </is>
      </c>
    </row>
    <row r="383">
      <c r="A383" s="1" t="n">
        <v>3616302968534</v>
      </c>
      <c r="B383" t="inlineStr">
        <is>
          <t>GUCCI FL G JSM EDP 50 ML IV</t>
        </is>
      </c>
      <c r="C383" t="inlineStr">
        <is>
          <t>P_US_ALL_OTHERS</t>
        </is>
      </c>
      <c r="D383" t="inlineStr">
        <is>
          <t>Stat Fcst Growth Snaive</t>
        </is>
      </c>
    </row>
    <row r="384">
      <c r="A384" s="1" t="n">
        <v>3616302968534</v>
      </c>
      <c r="B384" t="inlineStr">
        <is>
          <t>GUCCI FL G JSM EDP 50 ML IV</t>
        </is>
      </c>
      <c r="C384" t="inlineStr">
        <is>
          <t>P_US_ALL_OTHERS</t>
        </is>
      </c>
      <c r="D384" t="inlineStr">
        <is>
          <t>Stat Fcst Growth AOA</t>
        </is>
      </c>
    </row>
    <row r="385">
      <c r="A385" s="1" t="n">
        <v>3616302968534</v>
      </c>
      <c r="B385" t="inlineStr">
        <is>
          <t>GUCCI FL G JSM EDP 50 ML IV</t>
        </is>
      </c>
      <c r="C385" t="inlineStr">
        <is>
          <t>P_US_ALL_OTHERS</t>
        </is>
      </c>
      <c r="D385" t="inlineStr">
        <is>
          <t>System Stat Fcst Bestfit</t>
        </is>
      </c>
      <c r="H385" t="n">
        <v>658.739482321158</v>
      </c>
      <c r="I385" t="n">
        <v>257.607728970108</v>
      </c>
      <c r="J385" t="n">
        <v>325.846090142545</v>
      </c>
      <c r="K385" t="n">
        <v>652.037334083397</v>
      </c>
      <c r="L385" t="n">
        <v>317.13003540039</v>
      </c>
      <c r="M385" t="n">
        <v>394.858203564339</v>
      </c>
      <c r="N385" t="n">
        <v>364.983648016805</v>
      </c>
      <c r="O385" t="n">
        <v>225.389534908844</v>
      </c>
      <c r="P385" t="n">
        <v>195.454438712108</v>
      </c>
    </row>
    <row r="386">
      <c r="A386" s="1" t="n">
        <v>3616302968534</v>
      </c>
      <c r="B386" t="inlineStr">
        <is>
          <t>GUCCI FL G JSM EDP 50 ML IV</t>
        </is>
      </c>
      <c r="C386" t="inlineStr">
        <is>
          <t>P_US_ULTA</t>
        </is>
      </c>
      <c r="D386" t="inlineStr">
        <is>
          <t>Stat Fcst L1</t>
        </is>
      </c>
      <c r="E386" t="n">
        <v>0.9999999701976769</v>
      </c>
      <c r="F386" t="n">
        <v>0</v>
      </c>
      <c r="G386" t="n">
        <v>69</v>
      </c>
      <c r="H386" t="n">
        <v>270</v>
      </c>
      <c r="I386" t="n">
        <v>304</v>
      </c>
      <c r="J386" t="n">
        <v>359</v>
      </c>
      <c r="K386" t="n">
        <v>0</v>
      </c>
      <c r="L386" t="n">
        <v>148</v>
      </c>
      <c r="M386" t="n">
        <v>66</v>
      </c>
      <c r="N386" t="n">
        <v>0</v>
      </c>
      <c r="O386" t="n">
        <v>252</v>
      </c>
      <c r="P386" t="n">
        <v>133</v>
      </c>
    </row>
    <row r="387">
      <c r="A387" s="1" t="n">
        <v>3616302968534</v>
      </c>
      <c r="B387" t="inlineStr">
        <is>
          <t>GUCCI FL G JSM EDP 50 ML IV</t>
        </is>
      </c>
      <c r="C387" t="inlineStr">
        <is>
          <t>P_US_ULTA</t>
        </is>
      </c>
      <c r="D387" t="inlineStr">
        <is>
          <t>Stat Fcst AR-NNET</t>
        </is>
      </c>
    </row>
    <row r="388">
      <c r="A388" s="1" t="n">
        <v>3616302968534</v>
      </c>
      <c r="B388" t="inlineStr">
        <is>
          <t>GUCCI FL G JSM EDP 50 ML IV</t>
        </is>
      </c>
      <c r="C388" t="inlineStr">
        <is>
          <t>P_US_ULTA</t>
        </is>
      </c>
      <c r="D388" t="inlineStr">
        <is>
          <t>Stat Fcst Auto ARIMA</t>
        </is>
      </c>
    </row>
    <row r="389">
      <c r="A389" s="1" t="n">
        <v>3616302968534</v>
      </c>
      <c r="B389" t="inlineStr">
        <is>
          <t>GUCCI FL G JSM EDP 50 ML IV</t>
        </is>
      </c>
      <c r="C389" t="inlineStr">
        <is>
          <t>P_US_ULTA</t>
        </is>
      </c>
      <c r="D389" t="inlineStr">
        <is>
          <t>Stat Fcst Croston</t>
        </is>
      </c>
    </row>
    <row r="390">
      <c r="A390" s="1" t="n">
        <v>3616302968534</v>
      </c>
      <c r="B390" t="inlineStr">
        <is>
          <t>GUCCI FL G JSM EDP 50 ML IV</t>
        </is>
      </c>
      <c r="C390" t="inlineStr">
        <is>
          <t>P_US_ULTA</t>
        </is>
      </c>
      <c r="D390" t="inlineStr">
        <is>
          <t>Stat Fcst DES</t>
        </is>
      </c>
    </row>
    <row r="391">
      <c r="A391" s="1" t="n">
        <v>3616302968534</v>
      </c>
      <c r="B391" t="inlineStr">
        <is>
          <t>GUCCI FL G JSM EDP 50 ML IV</t>
        </is>
      </c>
      <c r="C391" t="inlineStr">
        <is>
          <t>P_US_ULTA</t>
        </is>
      </c>
      <c r="D391" t="inlineStr">
        <is>
          <t>Stat Fcst ETS</t>
        </is>
      </c>
    </row>
    <row r="392">
      <c r="A392" s="1" t="n">
        <v>3616302968534</v>
      </c>
      <c r="B392" t="inlineStr">
        <is>
          <t>GUCCI FL G JSM EDP 50 ML IV</t>
        </is>
      </c>
      <c r="C392" t="inlineStr">
        <is>
          <t>P_US_ULTA</t>
        </is>
      </c>
      <c r="D392" t="inlineStr">
        <is>
          <t>Stat Fcst Moving Average</t>
        </is>
      </c>
    </row>
    <row r="393">
      <c r="A393" s="1" t="n">
        <v>3616302968534</v>
      </c>
      <c r="B393" t="inlineStr">
        <is>
          <t>GUCCI FL G JSM EDP 50 ML IV</t>
        </is>
      </c>
      <c r="C393" t="inlineStr">
        <is>
          <t>P_US_ULTA</t>
        </is>
      </c>
      <c r="D393" t="inlineStr">
        <is>
          <t>Stat Fcst Naive Random Walk</t>
        </is>
      </c>
    </row>
    <row r="394">
      <c r="A394" s="1" t="n">
        <v>3616302968534</v>
      </c>
      <c r="B394" t="inlineStr">
        <is>
          <t>GUCCI FL G JSM EDP 50 ML IV</t>
        </is>
      </c>
      <c r="C394" t="inlineStr">
        <is>
          <t>P_US_ULTA</t>
        </is>
      </c>
      <c r="D394" t="inlineStr">
        <is>
          <t>Stat Fcst Prophet</t>
        </is>
      </c>
    </row>
    <row r="395">
      <c r="A395" s="1" t="n">
        <v>3616302968534</v>
      </c>
      <c r="B395" t="inlineStr">
        <is>
          <t>GUCCI FL G JSM EDP 50 ML IV</t>
        </is>
      </c>
      <c r="C395" t="inlineStr">
        <is>
          <t>P_US_ULTA</t>
        </is>
      </c>
      <c r="D395" t="inlineStr">
        <is>
          <t>Stat Fcst sARIMA</t>
        </is>
      </c>
    </row>
    <row r="396">
      <c r="A396" s="1" t="n">
        <v>3616302968534</v>
      </c>
      <c r="B396" t="inlineStr">
        <is>
          <t>GUCCI FL G JSM EDP 50 ML IV</t>
        </is>
      </c>
      <c r="C396" t="inlineStr">
        <is>
          <t>P_US_ULTA</t>
        </is>
      </c>
      <c r="D396" t="inlineStr">
        <is>
          <t>Stat Fcst Seasonal Naive YoY</t>
        </is>
      </c>
    </row>
    <row r="397">
      <c r="A397" s="1" t="n">
        <v>3616302968534</v>
      </c>
      <c r="B397" t="inlineStr">
        <is>
          <t>GUCCI FL G JSM EDP 50 ML IV</t>
        </is>
      </c>
      <c r="C397" t="inlineStr">
        <is>
          <t>P_US_ULTA</t>
        </is>
      </c>
      <c r="D397" t="inlineStr">
        <is>
          <t>Stat Fcst SES</t>
        </is>
      </c>
    </row>
    <row r="398">
      <c r="A398" s="1" t="n">
        <v>3616302968534</v>
      </c>
      <c r="B398" t="inlineStr">
        <is>
          <t>GUCCI FL G JSM EDP 50 ML IV</t>
        </is>
      </c>
      <c r="C398" t="inlineStr">
        <is>
          <t>P_US_ULTA</t>
        </is>
      </c>
      <c r="D398" t="inlineStr">
        <is>
          <t>Stat Fcst STLF</t>
        </is>
      </c>
      <c r="E398" t="n">
        <v>0</v>
      </c>
      <c r="F398" t="n">
        <v>3.19395962659889</v>
      </c>
      <c r="G398" t="n">
        <v>413.152415998559</v>
      </c>
      <c r="H398" t="n">
        <v>911.092846419239</v>
      </c>
      <c r="I398" t="n">
        <v>999.184682205997</v>
      </c>
      <c r="J398" t="n">
        <v>895.00172243419</v>
      </c>
      <c r="K398" t="n">
        <v>44.3694932658641</v>
      </c>
      <c r="L398" t="n">
        <v>121.025238291818</v>
      </c>
      <c r="M398" t="n">
        <v>0</v>
      </c>
      <c r="N398" t="n">
        <v>24.4881024448707</v>
      </c>
      <c r="O398" t="n">
        <v>30.3186832565915</v>
      </c>
      <c r="P398" t="n">
        <v>0</v>
      </c>
    </row>
    <row r="399">
      <c r="A399" s="1" t="n">
        <v>3616302968534</v>
      </c>
      <c r="B399" t="inlineStr">
        <is>
          <t>GUCCI FL G JSM EDP 50 ML IV</t>
        </is>
      </c>
      <c r="C399" t="inlineStr">
        <is>
          <t>P_US_ULTA</t>
        </is>
      </c>
      <c r="D399" t="inlineStr">
        <is>
          <t>Stat Fcst TBATS</t>
        </is>
      </c>
    </row>
    <row r="400">
      <c r="A400" s="1" t="n">
        <v>3616302968534</v>
      </c>
      <c r="B400" t="inlineStr">
        <is>
          <t>GUCCI FL G JSM EDP 50 ML IV</t>
        </is>
      </c>
      <c r="C400" t="inlineStr">
        <is>
          <t>P_US_ULTA</t>
        </is>
      </c>
      <c r="D400" t="inlineStr">
        <is>
          <t>Stat Fcst TES</t>
        </is>
      </c>
      <c r="E400" t="n">
        <v>267.108405029809</v>
      </c>
      <c r="F400" t="n">
        <v>201.161590285781</v>
      </c>
      <c r="G400" t="n">
        <v>28.9026955789943</v>
      </c>
      <c r="H400" t="n">
        <v>270.867788586038</v>
      </c>
      <c r="I400" t="n">
        <v>302.480110855592</v>
      </c>
      <c r="J400" t="n">
        <v>360.03954597365</v>
      </c>
      <c r="K400" t="n">
        <v>0</v>
      </c>
      <c r="L400" t="n">
        <v>146.515384745588</v>
      </c>
      <c r="M400" t="n">
        <v>64.4491476959911</v>
      </c>
      <c r="N400" t="n">
        <v>0</v>
      </c>
      <c r="O400" t="n">
        <v>250.704640719783</v>
      </c>
      <c r="P400" t="n">
        <v>132.846290315345</v>
      </c>
    </row>
    <row r="401">
      <c r="A401" s="1" t="n">
        <v>3616302968534</v>
      </c>
      <c r="B401" t="inlineStr">
        <is>
          <t>GUCCI FL G JSM EDP 50 ML IV</t>
        </is>
      </c>
      <c r="C401" t="inlineStr">
        <is>
          <t>P_US_ULTA</t>
        </is>
      </c>
      <c r="D401" t="inlineStr">
        <is>
          <t>Stat Fcst Theta</t>
        </is>
      </c>
    </row>
    <row r="402">
      <c r="A402" s="1" t="n">
        <v>3616302968534</v>
      </c>
      <c r="B402" t="inlineStr">
        <is>
          <t>GUCCI FL G JSM EDP 50 ML IV</t>
        </is>
      </c>
      <c r="C402" t="inlineStr">
        <is>
          <t>P_US_ULTA</t>
        </is>
      </c>
      <c r="D402" t="inlineStr">
        <is>
          <t>System ML Fcst L1</t>
        </is>
      </c>
    </row>
    <row r="403">
      <c r="A403" s="1" t="n">
        <v>3616302968534</v>
      </c>
      <c r="B403" t="inlineStr">
        <is>
          <t>GUCCI FL G JSM EDP 50 ML IV</t>
        </is>
      </c>
      <c r="C403" t="inlineStr">
        <is>
          <t>P_US_ULTA</t>
        </is>
      </c>
      <c r="D403" t="inlineStr">
        <is>
          <t>Stat Fcst Simple Snaive</t>
        </is>
      </c>
      <c r="E403" t="n">
        <v>153.499995425343</v>
      </c>
      <c r="F403" t="n">
        <v>79.4999976307153</v>
      </c>
      <c r="G403" t="n">
        <v>270.000002011656</v>
      </c>
      <c r="H403" t="n">
        <v>570.777530190024</v>
      </c>
      <c r="I403" t="n">
        <v>657.444239110581</v>
      </c>
      <c r="J403" t="n">
        <v>446.110862152451</v>
      </c>
      <c r="K403" t="n">
        <v>90.3333306411902</v>
      </c>
      <c r="L403" t="n">
        <v>331.666666666666</v>
      </c>
      <c r="M403" t="n">
        <v>364.99998880426</v>
      </c>
      <c r="N403" t="n">
        <v>153.000002279877</v>
      </c>
      <c r="O403" t="n">
        <v>467.666652729113</v>
      </c>
      <c r="P403" t="n">
        <v>92.3333340212702</v>
      </c>
    </row>
    <row r="404">
      <c r="A404" s="1" t="n">
        <v>3616302968534</v>
      </c>
      <c r="B404" t="inlineStr">
        <is>
          <t>GUCCI FL G JSM EDP 50 ML IV</t>
        </is>
      </c>
      <c r="C404" t="inlineStr">
        <is>
          <t>P_US_ULTA</t>
        </is>
      </c>
      <c r="D404" t="inlineStr">
        <is>
          <t>Stat Fcst Simple AOA</t>
        </is>
      </c>
    </row>
    <row r="405">
      <c r="A405" s="1" t="n">
        <v>3616302968534</v>
      </c>
      <c r="B405" t="inlineStr">
        <is>
          <t>GUCCI FL G JSM EDP 50 ML IV</t>
        </is>
      </c>
      <c r="C405" t="inlineStr">
        <is>
          <t>P_US_ULTA</t>
        </is>
      </c>
      <c r="D405" t="inlineStr">
        <is>
          <t>Stat Fcst Weighted Snaive</t>
        </is>
      </c>
    </row>
    <row r="406">
      <c r="A406" s="1" t="n">
        <v>3616302968534</v>
      </c>
      <c r="B406" t="inlineStr">
        <is>
          <t>GUCCI FL G JSM EDP 50 ML IV</t>
        </is>
      </c>
      <c r="C406" t="inlineStr">
        <is>
          <t>P_US_ULTA</t>
        </is>
      </c>
      <c r="D406" t="inlineStr">
        <is>
          <t>Stat Fcst Weighted AOA</t>
        </is>
      </c>
    </row>
    <row r="407">
      <c r="A407" s="1" t="n">
        <v>3616302968534</v>
      </c>
      <c r="B407" t="inlineStr">
        <is>
          <t>GUCCI FL G JSM EDP 50 ML IV</t>
        </is>
      </c>
      <c r="C407" t="inlineStr">
        <is>
          <t>P_US_ULTA</t>
        </is>
      </c>
      <c r="D407" t="inlineStr">
        <is>
          <t>Stat Fcst Growth Snaive</t>
        </is>
      </c>
    </row>
    <row r="408">
      <c r="A408" s="1" t="n">
        <v>3616302968534</v>
      </c>
      <c r="B408" t="inlineStr">
        <is>
          <t>GUCCI FL G JSM EDP 50 ML IV</t>
        </is>
      </c>
      <c r="C408" t="inlineStr">
        <is>
          <t>P_US_ULTA</t>
        </is>
      </c>
      <c r="D408" t="inlineStr">
        <is>
          <t>Stat Fcst Growth AOA</t>
        </is>
      </c>
    </row>
    <row r="409">
      <c r="A409" s="1" t="n">
        <v>3616302968534</v>
      </c>
      <c r="B409" t="inlineStr">
        <is>
          <t>GUCCI FL G JSM EDP 50 ML IV</t>
        </is>
      </c>
      <c r="C409" t="inlineStr">
        <is>
          <t>P_US_ULTA</t>
        </is>
      </c>
      <c r="D409" t="inlineStr">
        <is>
          <t>System Stat Fcst Bestfit</t>
        </is>
      </c>
      <c r="H409" t="n">
        <v>270.867789779073</v>
      </c>
      <c r="I409" t="n">
        <v>302.480104792714</v>
      </c>
      <c r="J409" t="n">
        <v>360.039540051235</v>
      </c>
      <c r="K409" t="n">
        <v>0</v>
      </c>
      <c r="L409" t="n">
        <v>146.515380859375</v>
      </c>
      <c r="M409" t="n">
        <v>64.4491405353205</v>
      </c>
      <c r="N409" t="n">
        <v>0</v>
      </c>
      <c r="O409" t="n">
        <v>250.704628148536</v>
      </c>
      <c r="P409" t="n">
        <v>132.846283948766</v>
      </c>
    </row>
    <row r="410">
      <c r="A410" s="1" t="n">
        <v>3616303048198</v>
      </c>
      <c r="B410" t="inlineStr">
        <is>
          <t>GUCCI FL G JSM EDP 10 ML IV</t>
        </is>
      </c>
      <c r="C410" t="inlineStr">
        <is>
          <t>P_US_ALL_OTHERS</t>
        </is>
      </c>
      <c r="D410" t="inlineStr">
        <is>
          <t>Stat Fcst L1</t>
        </is>
      </c>
      <c r="E410" t="n">
        <v>2732.99991855025</v>
      </c>
      <c r="F410" t="n">
        <v>2505.12895816564</v>
      </c>
      <c r="G410" t="n">
        <v>3368</v>
      </c>
      <c r="H410" t="n">
        <v>3272</v>
      </c>
      <c r="I410" t="n">
        <v>562</v>
      </c>
      <c r="J410" t="n">
        <v>2454</v>
      </c>
      <c r="K410" t="n">
        <v>1138</v>
      </c>
      <c r="L410" t="n">
        <v>1120</v>
      </c>
      <c r="M410" t="n">
        <v>3034</v>
      </c>
      <c r="N410" t="n">
        <v>995</v>
      </c>
      <c r="O410" t="n">
        <v>1532</v>
      </c>
      <c r="P410" t="n">
        <v>3120</v>
      </c>
    </row>
    <row r="411">
      <c r="A411" s="1" t="n">
        <v>3616303048198</v>
      </c>
      <c r="B411" t="inlineStr">
        <is>
          <t>GUCCI FL G JSM EDP 10 ML IV</t>
        </is>
      </c>
      <c r="C411" t="inlineStr">
        <is>
          <t>P_US_ALL_OTHERS</t>
        </is>
      </c>
      <c r="D411" t="inlineStr">
        <is>
          <t>Stat Fcst AR-NNET</t>
        </is>
      </c>
    </row>
    <row r="412">
      <c r="A412" s="1" t="n">
        <v>3616303048198</v>
      </c>
      <c r="B412" t="inlineStr">
        <is>
          <t>GUCCI FL G JSM EDP 10 ML IV</t>
        </is>
      </c>
      <c r="C412" t="inlineStr">
        <is>
          <t>P_US_ALL_OTHERS</t>
        </is>
      </c>
      <c r="D412" t="inlineStr">
        <is>
          <t>Stat Fcst Auto ARIMA</t>
        </is>
      </c>
    </row>
    <row r="413">
      <c r="A413" s="1" t="n">
        <v>3616303048198</v>
      </c>
      <c r="B413" t="inlineStr">
        <is>
          <t>GUCCI FL G JSM EDP 10 ML IV</t>
        </is>
      </c>
      <c r="C413" t="inlineStr">
        <is>
          <t>P_US_ALL_OTHERS</t>
        </is>
      </c>
      <c r="D413" t="inlineStr">
        <is>
          <t>Stat Fcst Croston</t>
        </is>
      </c>
    </row>
    <row r="414">
      <c r="A414" s="1" t="n">
        <v>3616303048198</v>
      </c>
      <c r="B414" t="inlineStr">
        <is>
          <t>GUCCI FL G JSM EDP 10 ML IV</t>
        </is>
      </c>
      <c r="C414" t="inlineStr">
        <is>
          <t>P_US_ALL_OTHERS</t>
        </is>
      </c>
      <c r="D414" t="inlineStr">
        <is>
          <t>Stat Fcst DES</t>
        </is>
      </c>
    </row>
    <row r="415">
      <c r="A415" s="1" t="n">
        <v>3616303048198</v>
      </c>
      <c r="B415" t="inlineStr">
        <is>
          <t>GUCCI FL G JSM EDP 10 ML IV</t>
        </is>
      </c>
      <c r="C415" t="inlineStr">
        <is>
          <t>P_US_ALL_OTHERS</t>
        </is>
      </c>
      <c r="D415" t="inlineStr">
        <is>
          <t>Stat Fcst ETS</t>
        </is>
      </c>
    </row>
    <row r="416">
      <c r="A416" s="1" t="n">
        <v>3616303048198</v>
      </c>
      <c r="B416" t="inlineStr">
        <is>
          <t>GUCCI FL G JSM EDP 10 ML IV</t>
        </is>
      </c>
      <c r="C416" t="inlineStr">
        <is>
          <t>P_US_ALL_OTHERS</t>
        </is>
      </c>
      <c r="D416" t="inlineStr">
        <is>
          <t>Stat Fcst Moving Average</t>
        </is>
      </c>
    </row>
    <row r="417">
      <c r="A417" s="1" t="n">
        <v>3616303048198</v>
      </c>
      <c r="B417" t="inlineStr">
        <is>
          <t>GUCCI FL G JSM EDP 10 ML IV</t>
        </is>
      </c>
      <c r="C417" t="inlineStr">
        <is>
          <t>P_US_ALL_OTHERS</t>
        </is>
      </c>
      <c r="D417" t="inlineStr">
        <is>
          <t>Stat Fcst Naive Random Walk</t>
        </is>
      </c>
    </row>
    <row r="418">
      <c r="A418" s="1" t="n">
        <v>3616303048198</v>
      </c>
      <c r="B418" t="inlineStr">
        <is>
          <t>GUCCI FL G JSM EDP 10 ML IV</t>
        </is>
      </c>
      <c r="C418" t="inlineStr">
        <is>
          <t>P_US_ALL_OTHERS</t>
        </is>
      </c>
      <c r="D418" t="inlineStr">
        <is>
          <t>Stat Fcst Prophet</t>
        </is>
      </c>
    </row>
    <row r="419">
      <c r="A419" s="1" t="n">
        <v>3616303048198</v>
      </c>
      <c r="B419" t="inlineStr">
        <is>
          <t>GUCCI FL G JSM EDP 10 ML IV</t>
        </is>
      </c>
      <c r="C419" t="inlineStr">
        <is>
          <t>P_US_ALL_OTHERS</t>
        </is>
      </c>
      <c r="D419" t="inlineStr">
        <is>
          <t>Stat Fcst sARIMA</t>
        </is>
      </c>
    </row>
    <row r="420">
      <c r="A420" s="1" t="n">
        <v>3616303048198</v>
      </c>
      <c r="B420" t="inlineStr">
        <is>
          <t>GUCCI FL G JSM EDP 10 ML IV</t>
        </is>
      </c>
      <c r="C420" t="inlineStr">
        <is>
          <t>P_US_ALL_OTHERS</t>
        </is>
      </c>
      <c r="D420" t="inlineStr">
        <is>
          <t>Stat Fcst Seasonal Naive YoY</t>
        </is>
      </c>
    </row>
    <row r="421">
      <c r="A421" s="1" t="n">
        <v>3616303048198</v>
      </c>
      <c r="B421" t="inlineStr">
        <is>
          <t>GUCCI FL G JSM EDP 10 ML IV</t>
        </is>
      </c>
      <c r="C421" t="inlineStr">
        <is>
          <t>P_US_ALL_OTHERS</t>
        </is>
      </c>
      <c r="D421" t="inlineStr">
        <is>
          <t>Stat Fcst SES</t>
        </is>
      </c>
    </row>
    <row r="422">
      <c r="A422" s="1" t="n">
        <v>3616303048198</v>
      </c>
      <c r="B422" t="inlineStr">
        <is>
          <t>GUCCI FL G JSM EDP 10 ML IV</t>
        </is>
      </c>
      <c r="C422" t="inlineStr">
        <is>
          <t>P_US_ALL_OTHERS</t>
        </is>
      </c>
      <c r="D422" t="inlineStr">
        <is>
          <t>Stat Fcst STLF</t>
        </is>
      </c>
      <c r="E422" t="n">
        <v>5930.25992125969</v>
      </c>
      <c r="F422" t="n">
        <v>2743.71566593794</v>
      </c>
      <c r="G422" t="n">
        <v>9422.524698477941</v>
      </c>
      <c r="H422" t="n">
        <v>2496.63444716352</v>
      </c>
      <c r="I422" t="n">
        <v>1153.88454076981</v>
      </c>
      <c r="J422" t="n">
        <v>2395.12583479542</v>
      </c>
      <c r="K422" t="n">
        <v>1043.87874005712</v>
      </c>
      <c r="L422" t="n">
        <v>848.438782976586</v>
      </c>
      <c r="M422" t="n">
        <v>2232.29505559187</v>
      </c>
      <c r="N422" t="n">
        <v>649.226308583499</v>
      </c>
      <c r="O422" t="n">
        <v>1048.16641515059</v>
      </c>
      <c r="P422" t="n">
        <v>3014.05250333959</v>
      </c>
    </row>
    <row r="423">
      <c r="A423" s="1" t="n">
        <v>3616303048198</v>
      </c>
      <c r="B423" t="inlineStr">
        <is>
          <t>GUCCI FL G JSM EDP 10 ML IV</t>
        </is>
      </c>
      <c r="C423" t="inlineStr">
        <is>
          <t>P_US_ALL_OTHERS</t>
        </is>
      </c>
      <c r="D423" t="inlineStr">
        <is>
          <t>Stat Fcst TBATS</t>
        </is>
      </c>
    </row>
    <row r="424">
      <c r="A424" s="1" t="n">
        <v>3616303048198</v>
      </c>
      <c r="B424" t="inlineStr">
        <is>
          <t>GUCCI FL G JSM EDP 10 ML IV</t>
        </is>
      </c>
      <c r="C424" t="inlineStr">
        <is>
          <t>P_US_ALL_OTHERS</t>
        </is>
      </c>
      <c r="D424" t="inlineStr">
        <is>
          <t>Stat Fcst TES</t>
        </is>
      </c>
      <c r="E424" t="n">
        <v>5788.16329379487</v>
      </c>
      <c r="F424" t="n">
        <v>4408.24484896588</v>
      </c>
      <c r="G424" t="n">
        <v>7775.57796251586</v>
      </c>
      <c r="H424" t="n">
        <v>3272.98895750038</v>
      </c>
      <c r="I424" t="n">
        <v>561.510714468612</v>
      </c>
      <c r="J424" t="n">
        <v>2452.95120555229</v>
      </c>
      <c r="K424" t="n">
        <v>1139.7790914554</v>
      </c>
      <c r="L424" t="n">
        <v>1119.38492571501</v>
      </c>
      <c r="M424" t="n">
        <v>3033.02966811672</v>
      </c>
      <c r="N424" t="n">
        <v>994.359423590991</v>
      </c>
      <c r="O424" t="n">
        <v>1533.91539804977</v>
      </c>
      <c r="P424" t="n">
        <v>3121.99586838728</v>
      </c>
    </row>
    <row r="425">
      <c r="A425" s="1" t="n">
        <v>3616303048198</v>
      </c>
      <c r="B425" t="inlineStr">
        <is>
          <t>GUCCI FL G JSM EDP 10 ML IV</t>
        </is>
      </c>
      <c r="C425" t="inlineStr">
        <is>
          <t>P_US_ALL_OTHERS</t>
        </is>
      </c>
      <c r="D425" t="inlineStr">
        <is>
          <t>Stat Fcst Theta</t>
        </is>
      </c>
    </row>
    <row r="426">
      <c r="A426" s="1" t="n">
        <v>3616303048198</v>
      </c>
      <c r="B426" t="inlineStr">
        <is>
          <t>GUCCI FL G JSM EDP 10 ML IV</t>
        </is>
      </c>
      <c r="C426" t="inlineStr">
        <is>
          <t>P_US_ALL_OTHERS</t>
        </is>
      </c>
      <c r="D426" t="inlineStr">
        <is>
          <t>System ML Fcst L1</t>
        </is>
      </c>
    </row>
    <row r="427">
      <c r="A427" s="1" t="n">
        <v>3616303048198</v>
      </c>
      <c r="B427" t="inlineStr">
        <is>
          <t>GUCCI FL G JSM EDP 10 ML IV</t>
        </is>
      </c>
      <c r="C427" t="inlineStr">
        <is>
          <t>P_US_ALL_OTHERS</t>
        </is>
      </c>
      <c r="D427" t="inlineStr">
        <is>
          <t>Stat Fcst Simple Snaive</t>
        </is>
      </c>
      <c r="E427" t="n">
        <v>7197.78005892693</v>
      </c>
      <c r="F427" t="n">
        <v>5597.78010661064</v>
      </c>
      <c r="G427" t="n">
        <v>7427.33338867127</v>
      </c>
      <c r="H427" t="n">
        <v>4332.33316352963</v>
      </c>
      <c r="I427" t="n">
        <v>592.666671082377</v>
      </c>
      <c r="J427" t="n">
        <v>3628.99989184737</v>
      </c>
      <c r="K427" t="n">
        <v>2174.33314646284</v>
      </c>
      <c r="L427" t="n">
        <v>1533</v>
      </c>
      <c r="M427" t="n">
        <v>4978.66651829083</v>
      </c>
      <c r="N427" t="n">
        <v>1905.00002838671</v>
      </c>
      <c r="O427" t="n">
        <v>2498.66657185554</v>
      </c>
      <c r="P427" t="n">
        <v>4002.33336315304</v>
      </c>
    </row>
    <row r="428">
      <c r="A428" s="1" t="n">
        <v>3616303048198</v>
      </c>
      <c r="B428" t="inlineStr">
        <is>
          <t>GUCCI FL G JSM EDP 10 ML IV</t>
        </is>
      </c>
      <c r="C428" t="inlineStr">
        <is>
          <t>P_US_ALL_OTHERS</t>
        </is>
      </c>
      <c r="D428" t="inlineStr">
        <is>
          <t>Stat Fcst Simple AOA</t>
        </is>
      </c>
    </row>
    <row r="429">
      <c r="A429" s="1" t="n">
        <v>3616303048198</v>
      </c>
      <c r="B429" t="inlineStr">
        <is>
          <t>GUCCI FL G JSM EDP 10 ML IV</t>
        </is>
      </c>
      <c r="C429" t="inlineStr">
        <is>
          <t>P_US_ALL_OTHERS</t>
        </is>
      </c>
      <c r="D429" t="inlineStr">
        <is>
          <t>Stat Fcst Weighted Snaive</t>
        </is>
      </c>
      <c r="E429" t="n">
        <v>6698.88993707626</v>
      </c>
      <c r="F429" t="n">
        <v>4298.89000860184</v>
      </c>
      <c r="G429" t="n">
        <v>8331.55561763048</v>
      </c>
      <c r="H429" t="n">
        <v>3486.3331887424</v>
      </c>
      <c r="I429" t="n">
        <v>876.666673198342</v>
      </c>
      <c r="J429" t="n">
        <v>3125.44435129894</v>
      </c>
      <c r="K429" t="n">
        <v>1714.55543664097</v>
      </c>
      <c r="L429" t="n">
        <v>1271.88888888888</v>
      </c>
      <c r="M429" t="n">
        <v>3825.33321932951</v>
      </c>
      <c r="N429" t="n">
        <v>1415.66668776174</v>
      </c>
      <c r="O429" t="n">
        <v>1950.22213019265</v>
      </c>
      <c r="P429" t="n">
        <v>3634.5555826351</v>
      </c>
    </row>
    <row r="430">
      <c r="A430" s="1" t="n">
        <v>3616303048198</v>
      </c>
      <c r="B430" t="inlineStr">
        <is>
          <t>GUCCI FL G JSM EDP 10 ML IV</t>
        </is>
      </c>
      <c r="C430" t="inlineStr">
        <is>
          <t>P_US_ALL_OTHERS</t>
        </is>
      </c>
      <c r="D430" t="inlineStr">
        <is>
          <t>Stat Fcst Weighted AOA</t>
        </is>
      </c>
    </row>
    <row r="431">
      <c r="A431" s="1" t="n">
        <v>3616303048198</v>
      </c>
      <c r="B431" t="inlineStr">
        <is>
          <t>GUCCI FL G JSM EDP 10 ML IV</t>
        </is>
      </c>
      <c r="C431" t="inlineStr">
        <is>
          <t>P_US_ALL_OTHERS</t>
        </is>
      </c>
      <c r="D431" t="inlineStr">
        <is>
          <t>Stat Fcst Growth Snaive</t>
        </is>
      </c>
    </row>
    <row r="432">
      <c r="A432" s="1" t="n">
        <v>3616303048198</v>
      </c>
      <c r="B432" t="inlineStr">
        <is>
          <t>GUCCI FL G JSM EDP 10 ML IV</t>
        </is>
      </c>
      <c r="C432" t="inlineStr">
        <is>
          <t>P_US_ALL_OTHERS</t>
        </is>
      </c>
      <c r="D432" t="inlineStr">
        <is>
          <t>Stat Fcst Growth AOA</t>
        </is>
      </c>
    </row>
    <row r="433">
      <c r="A433" s="1" t="n">
        <v>3616303048198</v>
      </c>
      <c r="B433" t="inlineStr">
        <is>
          <t>GUCCI FL G JSM EDP 10 ML IV</t>
        </is>
      </c>
      <c r="C433" t="inlineStr">
        <is>
          <t>P_US_ALL_OTHERS</t>
        </is>
      </c>
      <c r="D433" t="inlineStr">
        <is>
          <t>System Stat Fcst Bestfit</t>
        </is>
      </c>
      <c r="H433" t="n">
        <v>3272.9889161292</v>
      </c>
      <c r="I433" t="n">
        <v>561.510685335924</v>
      </c>
      <c r="J433" t="n">
        <v>2452.95109877135</v>
      </c>
      <c r="K433" t="n">
        <v>1139.77901876631</v>
      </c>
      <c r="L433" t="n">
        <v>1119.38488769531</v>
      </c>
      <c r="M433" t="n">
        <v>3033.02969476491</v>
      </c>
      <c r="N433" t="n">
        <v>994.359450852266</v>
      </c>
      <c r="O433" t="n">
        <v>1533.91523748888</v>
      </c>
      <c r="P433" t="n">
        <v>3121.99587287005</v>
      </c>
    </row>
    <row r="434">
      <c r="A434" s="1" t="n">
        <v>3616303048198</v>
      </c>
      <c r="B434" t="inlineStr">
        <is>
          <t>GUCCI FL G JSM EDP 10 ML IV</t>
        </is>
      </c>
      <c r="C434" t="inlineStr">
        <is>
          <t>P_US_ULTA</t>
        </is>
      </c>
      <c r="D434" t="inlineStr">
        <is>
          <t>Stat Fcst L1</t>
        </is>
      </c>
      <c r="E434" t="n">
        <v>100.999996989965</v>
      </c>
      <c r="F434" t="n">
        <v>89.45161151885981</v>
      </c>
      <c r="G434" t="n">
        <v>60</v>
      </c>
      <c r="H434" t="n">
        <v>442</v>
      </c>
      <c r="I434" t="n">
        <v>402</v>
      </c>
      <c r="J434" t="n">
        <v>372</v>
      </c>
      <c r="K434" t="n">
        <v>350</v>
      </c>
      <c r="L434" t="n">
        <v>328</v>
      </c>
      <c r="M434" t="n">
        <v>314</v>
      </c>
      <c r="N434" t="n">
        <v>300</v>
      </c>
      <c r="O434" t="n">
        <v>292</v>
      </c>
      <c r="P434" t="n">
        <v>283</v>
      </c>
    </row>
    <row r="435">
      <c r="A435" s="1" t="n">
        <v>3616303048198</v>
      </c>
      <c r="B435" t="inlineStr">
        <is>
          <t>GUCCI FL G JSM EDP 10 ML IV</t>
        </is>
      </c>
      <c r="C435" t="inlineStr">
        <is>
          <t>P_US_ULTA</t>
        </is>
      </c>
      <c r="D435" t="inlineStr">
        <is>
          <t>Stat Fcst AR-NNET</t>
        </is>
      </c>
    </row>
    <row r="436">
      <c r="A436" s="1" t="n">
        <v>3616303048198</v>
      </c>
      <c r="B436" t="inlineStr">
        <is>
          <t>GUCCI FL G JSM EDP 10 ML IV</t>
        </is>
      </c>
      <c r="C436" t="inlineStr">
        <is>
          <t>P_US_ULTA</t>
        </is>
      </c>
      <c r="D436" t="inlineStr">
        <is>
          <t>Stat Fcst Auto ARIMA</t>
        </is>
      </c>
    </row>
    <row r="437">
      <c r="A437" s="1" t="n">
        <v>3616303048198</v>
      </c>
      <c r="B437" t="inlineStr">
        <is>
          <t>GUCCI FL G JSM EDP 10 ML IV</t>
        </is>
      </c>
      <c r="C437" t="inlineStr">
        <is>
          <t>P_US_ULTA</t>
        </is>
      </c>
      <c r="D437" t="inlineStr">
        <is>
          <t>Stat Fcst Croston</t>
        </is>
      </c>
    </row>
    <row r="438">
      <c r="A438" s="1" t="n">
        <v>3616303048198</v>
      </c>
      <c r="B438" t="inlineStr">
        <is>
          <t>GUCCI FL G JSM EDP 10 ML IV</t>
        </is>
      </c>
      <c r="C438" t="inlineStr">
        <is>
          <t>P_US_ULTA</t>
        </is>
      </c>
      <c r="D438" t="inlineStr">
        <is>
          <t>Stat Fcst DES</t>
        </is>
      </c>
      <c r="E438" t="n">
        <v>1112.36938320219</v>
      </c>
      <c r="F438" t="n">
        <v>1094.09543972258</v>
      </c>
      <c r="G438" t="n">
        <v>488.864023188963</v>
      </c>
      <c r="H438" t="n">
        <v>441.395421044002</v>
      </c>
      <c r="I438" t="n">
        <v>403.420568925903</v>
      </c>
      <c r="J438" t="n">
        <v>373.040660179966</v>
      </c>
      <c r="K438" t="n">
        <v>348.736745206087</v>
      </c>
      <c r="L438" t="n">
        <v>329.293623040699</v>
      </c>
      <c r="M438" t="n">
        <v>313.739107643701</v>
      </c>
      <c r="N438" t="n">
        <v>301.295516646034</v>
      </c>
      <c r="O438" t="n">
        <v>291.340619603774</v>
      </c>
      <c r="P438" t="n">
        <v>283.376723301739</v>
      </c>
    </row>
    <row r="439">
      <c r="A439" s="1" t="n">
        <v>3616303048198</v>
      </c>
      <c r="B439" t="inlineStr">
        <is>
          <t>GUCCI FL G JSM EDP 10 ML IV</t>
        </is>
      </c>
      <c r="C439" t="inlineStr">
        <is>
          <t>P_US_ULTA</t>
        </is>
      </c>
      <c r="D439" t="inlineStr">
        <is>
          <t>Stat Fcst ETS</t>
        </is>
      </c>
    </row>
    <row r="440">
      <c r="A440" s="1" t="n">
        <v>3616303048198</v>
      </c>
      <c r="B440" t="inlineStr">
        <is>
          <t>GUCCI FL G JSM EDP 10 ML IV</t>
        </is>
      </c>
      <c r="C440" t="inlineStr">
        <is>
          <t>P_US_ULTA</t>
        </is>
      </c>
      <c r="D440" t="inlineStr">
        <is>
          <t>Stat Fcst Moving Average</t>
        </is>
      </c>
    </row>
    <row r="441">
      <c r="A441" s="1" t="n">
        <v>3616303048198</v>
      </c>
      <c r="B441" t="inlineStr">
        <is>
          <t>GUCCI FL G JSM EDP 10 ML IV</t>
        </is>
      </c>
      <c r="C441" t="inlineStr">
        <is>
          <t>P_US_ULTA</t>
        </is>
      </c>
      <c r="D441" t="inlineStr">
        <is>
          <t>Stat Fcst Naive Random Walk</t>
        </is>
      </c>
    </row>
    <row r="442">
      <c r="A442" s="1" t="n">
        <v>3616303048198</v>
      </c>
      <c r="B442" t="inlineStr">
        <is>
          <t>GUCCI FL G JSM EDP 10 ML IV</t>
        </is>
      </c>
      <c r="C442" t="inlineStr">
        <is>
          <t>P_US_ULTA</t>
        </is>
      </c>
      <c r="D442" t="inlineStr">
        <is>
          <t>Stat Fcst Prophet</t>
        </is>
      </c>
    </row>
    <row r="443">
      <c r="A443" s="1" t="n">
        <v>3616303048198</v>
      </c>
      <c r="B443" t="inlineStr">
        <is>
          <t>GUCCI FL G JSM EDP 10 ML IV</t>
        </is>
      </c>
      <c r="C443" t="inlineStr">
        <is>
          <t>P_US_ULTA</t>
        </is>
      </c>
      <c r="D443" t="inlineStr">
        <is>
          <t>Stat Fcst sARIMA</t>
        </is>
      </c>
    </row>
    <row r="444">
      <c r="A444" s="1" t="n">
        <v>3616303048198</v>
      </c>
      <c r="B444" t="inlineStr">
        <is>
          <t>GUCCI FL G JSM EDP 10 ML IV</t>
        </is>
      </c>
      <c r="C444" t="inlineStr">
        <is>
          <t>P_US_ULTA</t>
        </is>
      </c>
      <c r="D444" t="inlineStr">
        <is>
          <t>Stat Fcst Seasonal Naive YoY</t>
        </is>
      </c>
    </row>
    <row r="445">
      <c r="A445" s="1" t="n">
        <v>3616303048198</v>
      </c>
      <c r="B445" t="inlineStr">
        <is>
          <t>GUCCI FL G JSM EDP 10 ML IV</t>
        </is>
      </c>
      <c r="C445" t="inlineStr">
        <is>
          <t>P_US_ULTA</t>
        </is>
      </c>
      <c r="D445" t="inlineStr">
        <is>
          <t>Stat Fcst SES</t>
        </is>
      </c>
    </row>
    <row r="446">
      <c r="A446" s="1" t="n">
        <v>3616303048198</v>
      </c>
      <c r="B446" t="inlineStr">
        <is>
          <t>GUCCI FL G JSM EDP 10 ML IV</t>
        </is>
      </c>
      <c r="C446" t="inlineStr">
        <is>
          <t>P_US_ULTA</t>
        </is>
      </c>
      <c r="D446" t="inlineStr">
        <is>
          <t>Stat Fcst STLF</t>
        </is>
      </c>
      <c r="E446" t="n">
        <v>0</v>
      </c>
      <c r="F446" t="n">
        <v>712.17452269429</v>
      </c>
      <c r="G446" t="n">
        <v>1659.09823357472</v>
      </c>
      <c r="H446" t="n">
        <v>3742.63551406146</v>
      </c>
      <c r="I446" t="n">
        <v>1337.93550478043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3616303048198</v>
      </c>
      <c r="B447" t="inlineStr">
        <is>
          <t>GUCCI FL G JSM EDP 10 ML IV</t>
        </is>
      </c>
      <c r="C447" t="inlineStr">
        <is>
          <t>P_US_ULTA</t>
        </is>
      </c>
      <c r="D447" t="inlineStr">
        <is>
          <t>Stat Fcst TBATS</t>
        </is>
      </c>
    </row>
    <row r="448">
      <c r="A448" s="1" t="n">
        <v>3616303048198</v>
      </c>
      <c r="B448" t="inlineStr">
        <is>
          <t>GUCCI FL G JSM EDP 10 ML IV</t>
        </is>
      </c>
      <c r="C448" t="inlineStr">
        <is>
          <t>P_US_ULTA</t>
        </is>
      </c>
      <c r="D448" t="inlineStr">
        <is>
          <t>Stat Fcst TES</t>
        </is>
      </c>
    </row>
    <row r="449">
      <c r="A449" s="1" t="n">
        <v>3616303048198</v>
      </c>
      <c r="B449" t="inlineStr">
        <is>
          <t>GUCCI FL G JSM EDP 10 ML IV</t>
        </is>
      </c>
      <c r="C449" t="inlineStr">
        <is>
          <t>P_US_ULTA</t>
        </is>
      </c>
      <c r="D449" t="inlineStr">
        <is>
          <t>Stat Fcst Theta</t>
        </is>
      </c>
    </row>
    <row r="450">
      <c r="A450" s="1" t="n">
        <v>3616303048198</v>
      </c>
      <c r="B450" t="inlineStr">
        <is>
          <t>GUCCI FL G JSM EDP 10 ML IV</t>
        </is>
      </c>
      <c r="C450" t="inlineStr">
        <is>
          <t>P_US_ULTA</t>
        </is>
      </c>
      <c r="D450" t="inlineStr">
        <is>
          <t>System ML Fcst L1</t>
        </is>
      </c>
    </row>
    <row r="451">
      <c r="A451" s="1" t="n">
        <v>3616303048198</v>
      </c>
      <c r="B451" t="inlineStr">
        <is>
          <t>GUCCI FL G JSM EDP 10 ML IV</t>
        </is>
      </c>
      <c r="C451" t="inlineStr">
        <is>
          <t>P_US_ULTA</t>
        </is>
      </c>
      <c r="D451" t="inlineStr">
        <is>
          <t>Stat Fcst Simple Snaive</t>
        </is>
      </c>
    </row>
    <row r="452">
      <c r="A452" s="1" t="n">
        <v>3616303048198</v>
      </c>
      <c r="B452" t="inlineStr">
        <is>
          <t>GUCCI FL G JSM EDP 10 ML IV</t>
        </is>
      </c>
      <c r="C452" t="inlineStr">
        <is>
          <t>P_US_ULTA</t>
        </is>
      </c>
      <c r="D452" t="inlineStr">
        <is>
          <t>Stat Fcst Simple AOA</t>
        </is>
      </c>
    </row>
    <row r="453">
      <c r="A453" s="1" t="n">
        <v>3616303048198</v>
      </c>
      <c r="B453" t="inlineStr">
        <is>
          <t>GUCCI FL G JSM EDP 10 ML IV</t>
        </is>
      </c>
      <c r="C453" t="inlineStr">
        <is>
          <t>P_US_ULTA</t>
        </is>
      </c>
      <c r="D453" t="inlineStr">
        <is>
          <t>Stat Fcst Weighted Snaive</t>
        </is>
      </c>
      <c r="E453" t="n">
        <v>1161.9999653697</v>
      </c>
      <c r="F453" t="n">
        <v>1472.74994084984</v>
      </c>
      <c r="G453" t="n">
        <v>3406.42553536248</v>
      </c>
      <c r="H453" t="n">
        <v>3684.88877907064</v>
      </c>
      <c r="I453" t="n">
        <v>1442.33334407955</v>
      </c>
      <c r="J453" t="n">
        <v>37.8888872298929</v>
      </c>
      <c r="K453" t="n">
        <v>55.7777761154704</v>
      </c>
      <c r="L453" t="n">
        <v>1125.88888888888</v>
      </c>
      <c r="M453" t="n">
        <v>971.7777284714909</v>
      </c>
      <c r="N453" t="n">
        <v>931.111124985747</v>
      </c>
      <c r="O453" t="n">
        <v>1825.55544689629</v>
      </c>
      <c r="P453" t="n">
        <v>750.1111166998739</v>
      </c>
    </row>
    <row r="454">
      <c r="A454" s="1" t="n">
        <v>3616303048198</v>
      </c>
      <c r="B454" t="inlineStr">
        <is>
          <t>GUCCI FL G JSM EDP 10 ML IV</t>
        </is>
      </c>
      <c r="C454" t="inlineStr">
        <is>
          <t>P_US_ULTA</t>
        </is>
      </c>
      <c r="D454" t="inlineStr">
        <is>
          <t>Stat Fcst Weighted AOA</t>
        </is>
      </c>
      <c r="E454" t="n">
        <v>1525.99995452165</v>
      </c>
      <c r="F454" t="n">
        <v>1308.49993048608</v>
      </c>
      <c r="G454" t="n">
        <v>4410.60989614285</v>
      </c>
      <c r="H454" t="n">
        <v>3206.66657110055</v>
      </c>
      <c r="I454" t="n">
        <v>1151.00000857561</v>
      </c>
      <c r="J454" t="n">
        <v>36.9999985794226</v>
      </c>
      <c r="K454" t="n">
        <v>145.333329002062</v>
      </c>
      <c r="L454" t="n">
        <v>2197.66666666666</v>
      </c>
      <c r="M454" t="n">
        <v>2118.66658318042</v>
      </c>
      <c r="N454" t="n">
        <v>1510.00002250075</v>
      </c>
      <c r="O454" t="n">
        <v>3204.66640839974</v>
      </c>
      <c r="P454" t="n">
        <v>1533.00001142174</v>
      </c>
    </row>
    <row r="455">
      <c r="A455" s="1" t="n">
        <v>3616303048198</v>
      </c>
      <c r="B455" t="inlineStr">
        <is>
          <t>GUCCI FL G JSM EDP 10 ML IV</t>
        </is>
      </c>
      <c r="C455" t="inlineStr">
        <is>
          <t>P_US_ULTA</t>
        </is>
      </c>
      <c r="D455" t="inlineStr">
        <is>
          <t>Stat Fcst Growth Snaive</t>
        </is>
      </c>
    </row>
    <row r="456">
      <c r="A456" s="1" t="n">
        <v>3616303048198</v>
      </c>
      <c r="B456" t="inlineStr">
        <is>
          <t>GUCCI FL G JSM EDP 10 ML IV</t>
        </is>
      </c>
      <c r="C456" t="inlineStr">
        <is>
          <t>P_US_ULTA</t>
        </is>
      </c>
      <c r="D456" t="inlineStr">
        <is>
          <t>Stat Fcst Growth AOA</t>
        </is>
      </c>
    </row>
    <row r="457">
      <c r="A457" s="1" t="n">
        <v>3616303048198</v>
      </c>
      <c r="B457" t="inlineStr">
        <is>
          <t>GUCCI FL G JSM EDP 10 ML IV</t>
        </is>
      </c>
      <c r="C457" t="inlineStr">
        <is>
          <t>P_US_ULTA</t>
        </is>
      </c>
      <c r="D457" t="inlineStr">
        <is>
          <t>System Stat Fcst Bestfit</t>
        </is>
      </c>
      <c r="H457" t="n">
        <v>441.395433622734</v>
      </c>
      <c r="I457" t="n">
        <v>403.420565749858</v>
      </c>
      <c r="J457" t="n">
        <v>373.040638296584</v>
      </c>
      <c r="K457" t="n">
        <v>348.736744977928</v>
      </c>
      <c r="L457" t="n">
        <v>329.29360961914</v>
      </c>
      <c r="M457" t="n">
        <v>313.739095874455</v>
      </c>
      <c r="N457" t="n">
        <v>301.295506198637</v>
      </c>
      <c r="O457" t="n">
        <v>291.340598006826</v>
      </c>
      <c r="P457" t="n">
        <v>283.376741613274</v>
      </c>
    </row>
    <row r="458">
      <c r="A458" s="1" t="n">
        <v>3616303470777</v>
      </c>
      <c r="B458" t="inlineStr">
        <is>
          <t>GUCCI FL G MAG RG EDP 10 ML IV</t>
        </is>
      </c>
      <c r="C458" t="inlineStr">
        <is>
          <t>P_US_ALL_OTHERS</t>
        </is>
      </c>
      <c r="D458" t="inlineStr">
        <is>
          <t>Stat Fcst L1</t>
        </is>
      </c>
      <c r="E458" t="n">
        <v>2232.99993345141</v>
      </c>
      <c r="F458" t="n">
        <v>2351.61283403635</v>
      </c>
      <c r="G458" t="n">
        <v>6253</v>
      </c>
      <c r="H458" t="n">
        <v>3641</v>
      </c>
      <c r="I458" t="n">
        <v>738</v>
      </c>
      <c r="J458" t="n">
        <v>4018</v>
      </c>
      <c r="K458" t="n">
        <v>3968</v>
      </c>
      <c r="L458" t="n">
        <v>2080</v>
      </c>
      <c r="M458" t="n">
        <v>4477</v>
      </c>
      <c r="N458" t="n">
        <v>2310</v>
      </c>
      <c r="O458" t="n">
        <v>3149</v>
      </c>
      <c r="P458" t="n">
        <v>2880</v>
      </c>
    </row>
    <row r="459">
      <c r="A459" s="1" t="n">
        <v>3616303470777</v>
      </c>
      <c r="B459" t="inlineStr">
        <is>
          <t>GUCCI FL G MAG RG EDP 10 ML IV</t>
        </is>
      </c>
      <c r="C459" t="inlineStr">
        <is>
          <t>P_US_ALL_OTHERS</t>
        </is>
      </c>
      <c r="D459" t="inlineStr">
        <is>
          <t>Stat Fcst AR-NNET</t>
        </is>
      </c>
    </row>
    <row r="460">
      <c r="A460" s="1" t="n">
        <v>3616303470777</v>
      </c>
      <c r="B460" t="inlineStr">
        <is>
          <t>GUCCI FL G MAG RG EDP 10 ML IV</t>
        </is>
      </c>
      <c r="C460" t="inlineStr">
        <is>
          <t>P_US_ALL_OTHERS</t>
        </is>
      </c>
      <c r="D460" t="inlineStr">
        <is>
          <t>Stat Fcst Auto ARIMA</t>
        </is>
      </c>
    </row>
    <row r="461">
      <c r="A461" s="1" t="n">
        <v>3616303470777</v>
      </c>
      <c r="B461" t="inlineStr">
        <is>
          <t>GUCCI FL G MAG RG EDP 10 ML IV</t>
        </is>
      </c>
      <c r="C461" t="inlineStr">
        <is>
          <t>P_US_ALL_OTHERS</t>
        </is>
      </c>
      <c r="D461" t="inlineStr">
        <is>
          <t>Stat Fcst Croston</t>
        </is>
      </c>
    </row>
    <row r="462">
      <c r="A462" s="1" t="n">
        <v>3616303470777</v>
      </c>
      <c r="B462" t="inlineStr">
        <is>
          <t>GUCCI FL G MAG RG EDP 10 ML IV</t>
        </is>
      </c>
      <c r="C462" t="inlineStr">
        <is>
          <t>P_US_ALL_OTHERS</t>
        </is>
      </c>
      <c r="D462" t="inlineStr">
        <is>
          <t>Stat Fcst DES</t>
        </is>
      </c>
    </row>
    <row r="463">
      <c r="A463" s="1" t="n">
        <v>3616303470777</v>
      </c>
      <c r="B463" t="inlineStr">
        <is>
          <t>GUCCI FL G MAG RG EDP 10 ML IV</t>
        </is>
      </c>
      <c r="C463" t="inlineStr">
        <is>
          <t>P_US_ALL_OTHERS</t>
        </is>
      </c>
      <c r="D463" t="inlineStr">
        <is>
          <t>Stat Fcst ETS</t>
        </is>
      </c>
    </row>
    <row r="464">
      <c r="A464" s="1" t="n">
        <v>3616303470777</v>
      </c>
      <c r="B464" t="inlineStr">
        <is>
          <t>GUCCI FL G MAG RG EDP 10 ML IV</t>
        </is>
      </c>
      <c r="C464" t="inlineStr">
        <is>
          <t>P_US_ALL_OTHERS</t>
        </is>
      </c>
      <c r="D464" t="inlineStr">
        <is>
          <t>Stat Fcst Moving Average</t>
        </is>
      </c>
    </row>
    <row r="465">
      <c r="A465" s="1" t="n">
        <v>3616303470777</v>
      </c>
      <c r="B465" t="inlineStr">
        <is>
          <t>GUCCI FL G MAG RG EDP 10 ML IV</t>
        </is>
      </c>
      <c r="C465" t="inlineStr">
        <is>
          <t>P_US_ALL_OTHERS</t>
        </is>
      </c>
      <c r="D465" t="inlineStr">
        <is>
          <t>Stat Fcst Naive Random Walk</t>
        </is>
      </c>
    </row>
    <row r="466">
      <c r="A466" s="1" t="n">
        <v>3616303470777</v>
      </c>
      <c r="B466" t="inlineStr">
        <is>
          <t>GUCCI FL G MAG RG EDP 10 ML IV</t>
        </is>
      </c>
      <c r="C466" t="inlineStr">
        <is>
          <t>P_US_ALL_OTHERS</t>
        </is>
      </c>
      <c r="D466" t="inlineStr">
        <is>
          <t>Stat Fcst Prophet</t>
        </is>
      </c>
    </row>
    <row r="467">
      <c r="A467" s="1" t="n">
        <v>3616303470777</v>
      </c>
      <c r="B467" t="inlineStr">
        <is>
          <t>GUCCI FL G MAG RG EDP 10 ML IV</t>
        </is>
      </c>
      <c r="C467" t="inlineStr">
        <is>
          <t>P_US_ALL_OTHERS</t>
        </is>
      </c>
      <c r="D467" t="inlineStr">
        <is>
          <t>Stat Fcst sARIMA</t>
        </is>
      </c>
    </row>
    <row r="468">
      <c r="A468" s="1" t="n">
        <v>3616303470777</v>
      </c>
      <c r="B468" t="inlineStr">
        <is>
          <t>GUCCI FL G MAG RG EDP 10 ML IV</t>
        </is>
      </c>
      <c r="C468" t="inlineStr">
        <is>
          <t>P_US_ALL_OTHERS</t>
        </is>
      </c>
      <c r="D468" t="inlineStr">
        <is>
          <t>Stat Fcst Seasonal Naive YoY</t>
        </is>
      </c>
    </row>
    <row r="469">
      <c r="A469" s="1" t="n">
        <v>3616303470777</v>
      </c>
      <c r="B469" t="inlineStr">
        <is>
          <t>GUCCI FL G MAG RG EDP 10 ML IV</t>
        </is>
      </c>
      <c r="C469" t="inlineStr">
        <is>
          <t>P_US_ALL_OTHERS</t>
        </is>
      </c>
      <c r="D469" t="inlineStr">
        <is>
          <t>Stat Fcst SES</t>
        </is>
      </c>
    </row>
    <row r="470">
      <c r="A470" s="1" t="n">
        <v>3616303470777</v>
      </c>
      <c r="B470" t="inlineStr">
        <is>
          <t>GUCCI FL G MAG RG EDP 10 ML IV</t>
        </is>
      </c>
      <c r="C470" t="inlineStr">
        <is>
          <t>P_US_ALL_OTHERS</t>
        </is>
      </c>
      <c r="D470" t="inlineStr">
        <is>
          <t>Stat Fcst STLF</t>
        </is>
      </c>
      <c r="E470" t="n">
        <v>4662.15699280202</v>
      </c>
      <c r="F470" t="n">
        <v>5573.30260391216</v>
      </c>
      <c r="G470" t="n">
        <v>7907.45512865684</v>
      </c>
      <c r="H470" t="n">
        <v>1263.16012335167</v>
      </c>
      <c r="I470" t="n">
        <v>887.390943166425</v>
      </c>
      <c r="J470" t="n">
        <v>2995.56145294397</v>
      </c>
      <c r="K470" t="n">
        <v>1351.39954502546</v>
      </c>
      <c r="L470" t="n">
        <v>1598.20082846033</v>
      </c>
      <c r="M470" t="n">
        <v>3642.46703144187</v>
      </c>
      <c r="N470" t="n">
        <v>1442.55955081749</v>
      </c>
      <c r="O470" t="n">
        <v>2847.42433095103</v>
      </c>
      <c r="P470" t="n">
        <v>1883.02993601125</v>
      </c>
    </row>
    <row r="471">
      <c r="A471" s="1" t="n">
        <v>3616303470777</v>
      </c>
      <c r="B471" t="inlineStr">
        <is>
          <t>GUCCI FL G MAG RG EDP 10 ML IV</t>
        </is>
      </c>
      <c r="C471" t="inlineStr">
        <is>
          <t>P_US_ALL_OTHERS</t>
        </is>
      </c>
      <c r="D471" t="inlineStr">
        <is>
          <t>Stat Fcst TBATS</t>
        </is>
      </c>
    </row>
    <row r="472">
      <c r="A472" s="1" t="n">
        <v>3616303470777</v>
      </c>
      <c r="B472" t="inlineStr">
        <is>
          <t>GUCCI FL G MAG RG EDP 10 ML IV</t>
        </is>
      </c>
      <c r="C472" t="inlineStr">
        <is>
          <t>P_US_ALL_OTHERS</t>
        </is>
      </c>
      <c r="D472" t="inlineStr">
        <is>
          <t>Stat Fcst TES</t>
        </is>
      </c>
      <c r="E472" t="n">
        <v>4243.8333853537</v>
      </c>
      <c r="F472" t="n">
        <v>5673.84832781848</v>
      </c>
      <c r="G472" t="n">
        <v>5034.66390511482</v>
      </c>
      <c r="H472" t="n">
        <v>4258.20368794222</v>
      </c>
      <c r="I472" t="n">
        <v>242.00000180304</v>
      </c>
      <c r="J472" t="n">
        <v>2012.35313251023</v>
      </c>
      <c r="K472" t="n">
        <v>2238.13132192856</v>
      </c>
      <c r="L472" t="n">
        <v>851.145829594427</v>
      </c>
      <c r="M472" t="n">
        <v>2226.63582007083</v>
      </c>
      <c r="N472" t="n">
        <v>1067.25634965258</v>
      </c>
      <c r="O472" t="n">
        <v>1697.43573437952</v>
      </c>
      <c r="P472" t="n">
        <v>533.7841901873001</v>
      </c>
    </row>
    <row r="473">
      <c r="A473" s="1" t="n">
        <v>3616303470777</v>
      </c>
      <c r="B473" t="inlineStr">
        <is>
          <t>GUCCI FL G MAG RG EDP 10 ML IV</t>
        </is>
      </c>
      <c r="C473" t="inlineStr">
        <is>
          <t>P_US_ALL_OTHERS</t>
        </is>
      </c>
      <c r="D473" t="inlineStr">
        <is>
          <t>Stat Fcst Theta</t>
        </is>
      </c>
    </row>
    <row r="474">
      <c r="A474" s="1" t="n">
        <v>3616303470777</v>
      </c>
      <c r="B474" t="inlineStr">
        <is>
          <t>GUCCI FL G MAG RG EDP 10 ML IV</t>
        </is>
      </c>
      <c r="C474" t="inlineStr">
        <is>
          <t>P_US_ALL_OTHERS</t>
        </is>
      </c>
      <c r="D474" t="inlineStr">
        <is>
          <t>System ML Fcst L1</t>
        </is>
      </c>
    </row>
    <row r="475">
      <c r="A475" s="1" t="n">
        <v>3616303470777</v>
      </c>
      <c r="B475" t="inlineStr">
        <is>
          <t>GUCCI FL G MAG RG EDP 10 ML IV</t>
        </is>
      </c>
      <c r="C475" t="inlineStr">
        <is>
          <t>P_US_ALL_OTHERS</t>
        </is>
      </c>
      <c r="D475" t="inlineStr">
        <is>
          <t>Stat Fcst Simple Snaive</t>
        </is>
      </c>
      <c r="E475" t="n">
        <v>9631.49971295893</v>
      </c>
      <c r="F475" t="n">
        <v>9063.84250331393</v>
      </c>
      <c r="G475" t="n">
        <v>4906.00003655254</v>
      </c>
      <c r="H475" t="n">
        <v>5620.89493339573</v>
      </c>
      <c r="I475" t="n">
        <v>599.333337798714</v>
      </c>
      <c r="J475" t="n">
        <v>4578.66636745135</v>
      </c>
      <c r="K475" t="n">
        <v>5907.66616508365</v>
      </c>
      <c r="L475" t="n">
        <v>2084</v>
      </c>
      <c r="M475" t="n">
        <v>5048.99968676766</v>
      </c>
      <c r="N475" t="n">
        <v>2867.66670939822</v>
      </c>
      <c r="O475" t="n">
        <v>3488.66648131609</v>
      </c>
      <c r="P475" t="n">
        <v>3538.66669303178</v>
      </c>
    </row>
    <row r="476">
      <c r="A476" s="1" t="n">
        <v>3616303470777</v>
      </c>
      <c r="B476" t="inlineStr">
        <is>
          <t>GUCCI FL G MAG RG EDP 10 ML IV</t>
        </is>
      </c>
      <c r="C476" t="inlineStr">
        <is>
          <t>P_US_ALL_OTHERS</t>
        </is>
      </c>
      <c r="D476" t="inlineStr">
        <is>
          <t>Stat Fcst Simple AOA</t>
        </is>
      </c>
    </row>
    <row r="477">
      <c r="A477" s="1" t="n">
        <v>3616303470777</v>
      </c>
      <c r="B477" t="inlineStr">
        <is>
          <t>GUCCI FL G MAG RG EDP 10 ML IV</t>
        </is>
      </c>
      <c r="C477" t="inlineStr">
        <is>
          <t>P_US_ALL_OTHERS</t>
        </is>
      </c>
      <c r="D477" t="inlineStr">
        <is>
          <t>Stat Fcst Weighted Snaive</t>
        </is>
      </c>
      <c r="E477" t="n">
        <v>8065.74975962191</v>
      </c>
      <c r="F477" t="n">
        <v>7781.92115479942</v>
      </c>
      <c r="G477" t="n">
        <v>6253.55560214817</v>
      </c>
      <c r="H477" t="n">
        <v>3641.63148326779</v>
      </c>
      <c r="I477" t="n">
        <v>735.777783259749</v>
      </c>
      <c r="J477" t="n">
        <v>4018.66638414065</v>
      </c>
      <c r="K477" t="n">
        <v>3968.33310656084</v>
      </c>
      <c r="L477" t="n">
        <v>2079.77777777777</v>
      </c>
      <c r="M477" t="n">
        <v>4477.66647896833</v>
      </c>
      <c r="N477" t="n">
        <v>2309.22225663231</v>
      </c>
      <c r="O477" t="n">
        <v>3149.5553260578</v>
      </c>
      <c r="P477" t="n">
        <v>2879.11113256216</v>
      </c>
    </row>
    <row r="478">
      <c r="A478" s="1" t="n">
        <v>3616303470777</v>
      </c>
      <c r="B478" t="inlineStr">
        <is>
          <t>GUCCI FL G MAG RG EDP 10 ML IV</t>
        </is>
      </c>
      <c r="C478" t="inlineStr">
        <is>
          <t>P_US_ALL_OTHERS</t>
        </is>
      </c>
      <c r="D478" t="inlineStr">
        <is>
          <t>Stat Fcst Weighted AOA</t>
        </is>
      </c>
    </row>
    <row r="479">
      <c r="A479" s="1" t="n">
        <v>3616303470777</v>
      </c>
      <c r="B479" t="inlineStr">
        <is>
          <t>GUCCI FL G MAG RG EDP 10 ML IV</t>
        </is>
      </c>
      <c r="C479" t="inlineStr">
        <is>
          <t>P_US_ALL_OTHERS</t>
        </is>
      </c>
      <c r="D479" t="inlineStr">
        <is>
          <t>Stat Fcst Growth Snaive</t>
        </is>
      </c>
    </row>
    <row r="480">
      <c r="A480" s="1" t="n">
        <v>3616303470777</v>
      </c>
      <c r="B480" t="inlineStr">
        <is>
          <t>GUCCI FL G MAG RG EDP 10 ML IV</t>
        </is>
      </c>
      <c r="C480" t="inlineStr">
        <is>
          <t>P_US_ALL_OTHERS</t>
        </is>
      </c>
      <c r="D480" t="inlineStr">
        <is>
          <t>Stat Fcst Growth AOA</t>
        </is>
      </c>
    </row>
    <row r="481">
      <c r="A481" s="1" t="n">
        <v>3616303470777</v>
      </c>
      <c r="B481" t="inlineStr">
        <is>
          <t>GUCCI FL G MAG RG EDP 10 ML IV</t>
        </is>
      </c>
      <c r="C481" t="inlineStr">
        <is>
          <t>P_US_ALL_OTHERS</t>
        </is>
      </c>
      <c r="D481" t="inlineStr">
        <is>
          <t>System Stat Fcst Bestfit</t>
        </is>
      </c>
      <c r="H481" t="n">
        <v>3641.63148326779</v>
      </c>
      <c r="I481" t="n">
        <v>735.777837513222</v>
      </c>
      <c r="J481" t="n">
        <v>4018.66638414065</v>
      </c>
      <c r="K481" t="n">
        <v>3968.33288954696</v>
      </c>
      <c r="L481" t="n">
        <v>2079.77783203125</v>
      </c>
      <c r="M481" t="n">
        <v>4477.66637046138</v>
      </c>
      <c r="N481" t="n">
        <v>2309.22244651947</v>
      </c>
      <c r="O481" t="n">
        <v>3149.5553260578</v>
      </c>
      <c r="P481" t="n">
        <v>2879.11110543542</v>
      </c>
    </row>
    <row r="482">
      <c r="A482" s="1" t="n">
        <v>3616303470777</v>
      </c>
      <c r="B482" t="inlineStr">
        <is>
          <t>GUCCI FL G MAG RG EDP 10 ML IV</t>
        </is>
      </c>
      <c r="C482" t="inlineStr">
        <is>
          <t>P_US_ULTA</t>
        </is>
      </c>
      <c r="D482" t="inlineStr">
        <is>
          <t>Stat Fcst L1</t>
        </is>
      </c>
      <c r="E482" t="n">
        <v>446.999986678361</v>
      </c>
      <c r="F482" t="n">
        <v>1508.0644750595</v>
      </c>
      <c r="G482" t="n">
        <v>6450</v>
      </c>
      <c r="H482" t="n">
        <v>4544</v>
      </c>
      <c r="I482" t="n">
        <v>312</v>
      </c>
      <c r="J482" t="n">
        <v>35</v>
      </c>
      <c r="K482" t="n">
        <v>9</v>
      </c>
      <c r="L482" t="n">
        <v>1068</v>
      </c>
      <c r="M482" t="n">
        <v>726</v>
      </c>
      <c r="N482" t="n">
        <v>999</v>
      </c>
      <c r="O482" t="n">
        <v>1776</v>
      </c>
      <c r="P482" t="n">
        <v>1135</v>
      </c>
    </row>
    <row r="483">
      <c r="A483" s="1" t="n">
        <v>3616303470777</v>
      </c>
      <c r="B483" t="inlineStr">
        <is>
          <t>GUCCI FL G MAG RG EDP 10 ML IV</t>
        </is>
      </c>
      <c r="C483" t="inlineStr">
        <is>
          <t>P_US_ULTA</t>
        </is>
      </c>
      <c r="D483" t="inlineStr">
        <is>
          <t>Stat Fcst AR-NNET</t>
        </is>
      </c>
    </row>
    <row r="484">
      <c r="A484" s="1" t="n">
        <v>3616303470777</v>
      </c>
      <c r="B484" t="inlineStr">
        <is>
          <t>GUCCI FL G MAG RG EDP 10 ML IV</t>
        </is>
      </c>
      <c r="C484" t="inlineStr">
        <is>
          <t>P_US_ULTA</t>
        </is>
      </c>
      <c r="D484" t="inlineStr">
        <is>
          <t>Stat Fcst Auto ARIMA</t>
        </is>
      </c>
    </row>
    <row r="485">
      <c r="A485" s="1" t="n">
        <v>3616303470777</v>
      </c>
      <c r="B485" t="inlineStr">
        <is>
          <t>GUCCI FL G MAG RG EDP 10 ML IV</t>
        </is>
      </c>
      <c r="C485" t="inlineStr">
        <is>
          <t>P_US_ULTA</t>
        </is>
      </c>
      <c r="D485" t="inlineStr">
        <is>
          <t>Stat Fcst Croston</t>
        </is>
      </c>
    </row>
    <row r="486">
      <c r="A486" s="1" t="n">
        <v>3616303470777</v>
      </c>
      <c r="B486" t="inlineStr">
        <is>
          <t>GUCCI FL G MAG RG EDP 10 ML IV</t>
        </is>
      </c>
      <c r="C486" t="inlineStr">
        <is>
          <t>P_US_ULTA</t>
        </is>
      </c>
      <c r="D486" t="inlineStr">
        <is>
          <t>Stat Fcst DES</t>
        </is>
      </c>
      <c r="E486" t="n">
        <v>1238.36351338448</v>
      </c>
      <c r="F486" t="n">
        <v>1225.77378141408</v>
      </c>
      <c r="G486" t="n">
        <v>1028.41630163371</v>
      </c>
      <c r="H486" t="n">
        <v>1016.46462593655</v>
      </c>
      <c r="I486" t="n">
        <v>1005.64626396982</v>
      </c>
      <c r="J486" t="n">
        <v>995.853612955021</v>
      </c>
      <c r="K486" t="n">
        <v>986.989521663967</v>
      </c>
      <c r="L486" t="n">
        <v>978.965940594584</v>
      </c>
      <c r="M486" t="n">
        <v>971.70308895405</v>
      </c>
      <c r="N486" t="n">
        <v>965.128960553752</v>
      </c>
      <c r="O486" t="n">
        <v>959.178099843378</v>
      </c>
      <c r="P486" t="n">
        <v>953.791566214215</v>
      </c>
    </row>
    <row r="487">
      <c r="A487" s="1" t="n">
        <v>3616303470777</v>
      </c>
      <c r="B487" t="inlineStr">
        <is>
          <t>GUCCI FL G MAG RG EDP 10 ML IV</t>
        </is>
      </c>
      <c r="C487" t="inlineStr">
        <is>
          <t>P_US_ULTA</t>
        </is>
      </c>
      <c r="D487" t="inlineStr">
        <is>
          <t>Stat Fcst ETS</t>
        </is>
      </c>
    </row>
    <row r="488">
      <c r="A488" s="1" t="n">
        <v>3616303470777</v>
      </c>
      <c r="B488" t="inlineStr">
        <is>
          <t>GUCCI FL G MAG RG EDP 10 ML IV</t>
        </is>
      </c>
      <c r="C488" t="inlineStr">
        <is>
          <t>P_US_ULTA</t>
        </is>
      </c>
      <c r="D488" t="inlineStr">
        <is>
          <t>Stat Fcst Moving Average</t>
        </is>
      </c>
    </row>
    <row r="489">
      <c r="A489" s="1" t="n">
        <v>3616303470777</v>
      </c>
      <c r="B489" t="inlineStr">
        <is>
          <t>GUCCI FL G MAG RG EDP 10 ML IV</t>
        </is>
      </c>
      <c r="C489" t="inlineStr">
        <is>
          <t>P_US_ULTA</t>
        </is>
      </c>
      <c r="D489" t="inlineStr">
        <is>
          <t>Stat Fcst Naive Random Walk</t>
        </is>
      </c>
    </row>
    <row r="490">
      <c r="A490" s="1" t="n">
        <v>3616303470777</v>
      </c>
      <c r="B490" t="inlineStr">
        <is>
          <t>GUCCI FL G MAG RG EDP 10 ML IV</t>
        </is>
      </c>
      <c r="C490" t="inlineStr">
        <is>
          <t>P_US_ULTA</t>
        </is>
      </c>
      <c r="D490" t="inlineStr">
        <is>
          <t>Stat Fcst Prophet</t>
        </is>
      </c>
    </row>
    <row r="491">
      <c r="A491" s="1" t="n">
        <v>3616303470777</v>
      </c>
      <c r="B491" t="inlineStr">
        <is>
          <t>GUCCI FL G MAG RG EDP 10 ML IV</t>
        </is>
      </c>
      <c r="C491" t="inlineStr">
        <is>
          <t>P_US_ULTA</t>
        </is>
      </c>
      <c r="D491" t="inlineStr">
        <is>
          <t>Stat Fcst sARIMA</t>
        </is>
      </c>
    </row>
    <row r="492">
      <c r="A492" s="1" t="n">
        <v>3616303470777</v>
      </c>
      <c r="B492" t="inlineStr">
        <is>
          <t>GUCCI FL G MAG RG EDP 10 ML IV</t>
        </is>
      </c>
      <c r="C492" t="inlineStr">
        <is>
          <t>P_US_ULTA</t>
        </is>
      </c>
      <c r="D492" t="inlineStr">
        <is>
          <t>Stat Fcst Seasonal Naive YoY</t>
        </is>
      </c>
    </row>
    <row r="493">
      <c r="A493" s="1" t="n">
        <v>3616303470777</v>
      </c>
      <c r="B493" t="inlineStr">
        <is>
          <t>GUCCI FL G MAG RG EDP 10 ML IV</t>
        </is>
      </c>
      <c r="C493" t="inlineStr">
        <is>
          <t>P_US_ULTA</t>
        </is>
      </c>
      <c r="D493" t="inlineStr">
        <is>
          <t>Stat Fcst SES</t>
        </is>
      </c>
    </row>
    <row r="494">
      <c r="A494" s="1" t="n">
        <v>3616303470777</v>
      </c>
      <c r="B494" t="inlineStr">
        <is>
          <t>GUCCI FL G MAG RG EDP 10 ML IV</t>
        </is>
      </c>
      <c r="C494" t="inlineStr">
        <is>
          <t>P_US_ULTA</t>
        </is>
      </c>
      <c r="D494" t="inlineStr">
        <is>
          <t>Stat Fcst STLF</t>
        </is>
      </c>
      <c r="E494" t="n">
        <v>0</v>
      </c>
      <c r="F494" t="n">
        <v>2024.23155273352</v>
      </c>
      <c r="G494" t="n">
        <v>3289.93705787455</v>
      </c>
      <c r="H494" t="n">
        <v>3517.71379622891</v>
      </c>
      <c r="I494" t="n">
        <v>0</v>
      </c>
      <c r="J494" t="n">
        <v>0</v>
      </c>
      <c r="K494" t="n">
        <v>0</v>
      </c>
      <c r="L494" t="n">
        <v>194.893858417707</v>
      </c>
      <c r="M494" t="n">
        <v>0</v>
      </c>
      <c r="N494" t="n">
        <v>0</v>
      </c>
      <c r="O494" t="n">
        <v>122.623835314389</v>
      </c>
      <c r="P494" t="n">
        <v>0</v>
      </c>
    </row>
    <row r="495">
      <c r="A495" s="1" t="n">
        <v>3616303470777</v>
      </c>
      <c r="B495" t="inlineStr">
        <is>
          <t>GUCCI FL G MAG RG EDP 10 ML IV</t>
        </is>
      </c>
      <c r="C495" t="inlineStr">
        <is>
          <t>P_US_ULTA</t>
        </is>
      </c>
      <c r="D495" t="inlineStr">
        <is>
          <t>Stat Fcst TBATS</t>
        </is>
      </c>
    </row>
    <row r="496">
      <c r="A496" s="1" t="n">
        <v>3616303470777</v>
      </c>
      <c r="B496" t="inlineStr">
        <is>
          <t>GUCCI FL G MAG RG EDP 10 ML IV</t>
        </is>
      </c>
      <c r="C496" t="inlineStr">
        <is>
          <t>P_US_ULTA</t>
        </is>
      </c>
      <c r="D496" t="inlineStr">
        <is>
          <t>Stat Fcst TES</t>
        </is>
      </c>
    </row>
    <row r="497">
      <c r="A497" s="1" t="n">
        <v>3616303470777</v>
      </c>
      <c r="B497" t="inlineStr">
        <is>
          <t>GUCCI FL G MAG RG EDP 10 ML IV</t>
        </is>
      </c>
      <c r="C497" t="inlineStr">
        <is>
          <t>P_US_ULTA</t>
        </is>
      </c>
      <c r="D497" t="inlineStr">
        <is>
          <t>Stat Fcst Theta</t>
        </is>
      </c>
    </row>
    <row r="498">
      <c r="A498" s="1" t="n">
        <v>3616303470777</v>
      </c>
      <c r="B498" t="inlineStr">
        <is>
          <t>GUCCI FL G MAG RG EDP 10 ML IV</t>
        </is>
      </c>
      <c r="C498" t="inlineStr">
        <is>
          <t>P_US_ULTA</t>
        </is>
      </c>
      <c r="D498" t="inlineStr">
        <is>
          <t>System ML Fcst L1</t>
        </is>
      </c>
    </row>
    <row r="499">
      <c r="A499" s="1" t="n">
        <v>3616303470777</v>
      </c>
      <c r="B499" t="inlineStr">
        <is>
          <t>GUCCI FL G MAG RG EDP 10 ML IV</t>
        </is>
      </c>
      <c r="C499" t="inlineStr">
        <is>
          <t>P_US_ULTA</t>
        </is>
      </c>
      <c r="D499" t="inlineStr">
        <is>
          <t>Stat Fcst Simple Snaive</t>
        </is>
      </c>
    </row>
    <row r="500">
      <c r="A500" s="1" t="n">
        <v>3616303470777</v>
      </c>
      <c r="B500" t="inlineStr">
        <is>
          <t>GUCCI FL G MAG RG EDP 10 ML IV</t>
        </is>
      </c>
      <c r="C500" t="inlineStr">
        <is>
          <t>P_US_ULTA</t>
        </is>
      </c>
      <c r="D500" t="inlineStr">
        <is>
          <t>Stat Fcst Simple AOA</t>
        </is>
      </c>
    </row>
    <row r="501">
      <c r="A501" s="1" t="n">
        <v>3616303470777</v>
      </c>
      <c r="B501" t="inlineStr">
        <is>
          <t>GUCCI FL G MAG RG EDP 10 ML IV</t>
        </is>
      </c>
      <c r="C501" t="inlineStr">
        <is>
          <t>P_US_ULTA</t>
        </is>
      </c>
      <c r="D501" t="inlineStr">
        <is>
          <t>Stat Fcst Weighted Snaive</t>
        </is>
      </c>
      <c r="E501" t="n">
        <v>1519.74995470792</v>
      </c>
      <c r="F501" t="n">
        <v>2789.74991685897</v>
      </c>
      <c r="G501" t="n">
        <v>6418.70726896024</v>
      </c>
      <c r="H501" t="n">
        <v>4545.33287235102</v>
      </c>
      <c r="I501" t="n">
        <v>311.555564658509</v>
      </c>
      <c r="J501" t="n">
        <v>33.6666631201903</v>
      </c>
      <c r="K501" t="n">
        <v>9.33333305517832</v>
      </c>
      <c r="L501" t="n">
        <v>1068.55555555555</v>
      </c>
      <c r="M501" t="n">
        <v>726.666645010312</v>
      </c>
      <c r="N501" t="n">
        <v>999.555570450093</v>
      </c>
      <c r="O501" t="n">
        <v>1777.66653230786</v>
      </c>
      <c r="P501" t="n">
        <v>1134.66667512059</v>
      </c>
    </row>
    <row r="502">
      <c r="A502" s="1" t="n">
        <v>3616303470777</v>
      </c>
      <c r="B502" t="inlineStr">
        <is>
          <t>GUCCI FL G MAG RG EDP 10 ML IV</t>
        </is>
      </c>
      <c r="C502" t="inlineStr">
        <is>
          <t>P_US_ULTA</t>
        </is>
      </c>
      <c r="D502" t="inlineStr">
        <is>
          <t>Stat Fcst Weighted AOA</t>
        </is>
      </c>
      <c r="E502" t="n">
        <v>2379.49992908537</v>
      </c>
      <c r="F502" t="n">
        <v>2784.49991701543</v>
      </c>
      <c r="G502" t="n">
        <v>8532.788230891931</v>
      </c>
      <c r="H502" t="n">
        <v>4569.99953828256</v>
      </c>
      <c r="I502" t="n">
        <v>511.333357488115</v>
      </c>
      <c r="J502" t="n">
        <v>31.666663179795</v>
      </c>
      <c r="K502" t="n">
        <v>9.33333305517832</v>
      </c>
      <c r="L502" t="n">
        <v>1081</v>
      </c>
      <c r="M502" t="n">
        <v>980.666637440522</v>
      </c>
      <c r="N502" t="n">
        <v>1475.33335531751</v>
      </c>
      <c r="O502" t="n">
        <v>2485.66651120782</v>
      </c>
      <c r="P502" t="n">
        <v>1634.00001217424</v>
      </c>
    </row>
    <row r="503">
      <c r="A503" s="1" t="n">
        <v>3616303470777</v>
      </c>
      <c r="B503" t="inlineStr">
        <is>
          <t>GUCCI FL G MAG RG EDP 10 ML IV</t>
        </is>
      </c>
      <c r="C503" t="inlineStr">
        <is>
          <t>P_US_ULTA</t>
        </is>
      </c>
      <c r="D503" t="inlineStr">
        <is>
          <t>Stat Fcst Growth Snaive</t>
        </is>
      </c>
    </row>
    <row r="504">
      <c r="A504" s="1" t="n">
        <v>3616303470777</v>
      </c>
      <c r="B504" t="inlineStr">
        <is>
          <t>GUCCI FL G MAG RG EDP 10 ML IV</t>
        </is>
      </c>
      <c r="C504" t="inlineStr">
        <is>
          <t>P_US_ULTA</t>
        </is>
      </c>
      <c r="D504" t="inlineStr">
        <is>
          <t>Stat Fcst Growth AOA</t>
        </is>
      </c>
    </row>
    <row r="505">
      <c r="A505" s="1" t="n">
        <v>3616303470777</v>
      </c>
      <c r="B505" t="inlineStr">
        <is>
          <t>GUCCI FL G MAG RG EDP 10 ML IV</t>
        </is>
      </c>
      <c r="C505" t="inlineStr">
        <is>
          <t>P_US_ULTA</t>
        </is>
      </c>
      <c r="D505" t="inlineStr">
        <is>
          <t>System Stat Fcst Bestfit</t>
        </is>
      </c>
      <c r="H505" t="n">
        <v>4545.33287235102</v>
      </c>
      <c r="I505" t="n">
        <v>311.555574831035</v>
      </c>
      <c r="J505" t="n">
        <v>33.6666631201903</v>
      </c>
      <c r="K505" t="n">
        <v>9.33333273728689</v>
      </c>
      <c r="L505" t="n">
        <v>1068.55554199218</v>
      </c>
      <c r="M505" t="n">
        <v>726.666604320209</v>
      </c>
      <c r="N505" t="n">
        <v>999.555556886725</v>
      </c>
      <c r="O505" t="n">
        <v>1777.66645092765</v>
      </c>
      <c r="P505" t="n">
        <v>1134.66663443048</v>
      </c>
    </row>
    <row r="506">
      <c r="A506" s="1" t="n">
        <v>3616303470791</v>
      </c>
      <c r="B506" t="inlineStr">
        <is>
          <t>GUCCI FL G MAG RG EDP 100 ML SCREW IV</t>
        </is>
      </c>
      <c r="C506" t="inlineStr">
        <is>
          <t>P_US_ALL_OTHERS</t>
        </is>
      </c>
      <c r="D506" t="inlineStr">
        <is>
          <t>Stat Fcst L1</t>
        </is>
      </c>
      <c r="E506" t="n">
        <v>1110.99996688961</v>
      </c>
      <c r="F506" t="n">
        <v>646.999980717897</v>
      </c>
      <c r="G506" t="n">
        <v>1089</v>
      </c>
      <c r="H506" t="n">
        <v>4145</v>
      </c>
      <c r="I506" t="n">
        <v>1470</v>
      </c>
      <c r="J506" t="n">
        <v>646</v>
      </c>
      <c r="K506" t="n">
        <v>647</v>
      </c>
      <c r="L506" t="n">
        <v>1720</v>
      </c>
      <c r="M506" t="n">
        <v>1005</v>
      </c>
      <c r="N506" t="n">
        <v>1299</v>
      </c>
      <c r="O506" t="n">
        <v>2728</v>
      </c>
      <c r="P506" t="n">
        <v>1110</v>
      </c>
    </row>
    <row r="507">
      <c r="A507" s="1" t="n">
        <v>3616303470791</v>
      </c>
      <c r="B507" t="inlineStr">
        <is>
          <t>GUCCI FL G MAG RG EDP 100 ML SCREW IV</t>
        </is>
      </c>
      <c r="C507" t="inlineStr">
        <is>
          <t>P_US_ALL_OTHERS</t>
        </is>
      </c>
      <c r="D507" t="inlineStr">
        <is>
          <t>Stat Fcst AR-NNET</t>
        </is>
      </c>
    </row>
    <row r="508">
      <c r="A508" s="1" t="n">
        <v>3616303470791</v>
      </c>
      <c r="B508" t="inlineStr">
        <is>
          <t>GUCCI FL G MAG RG EDP 100 ML SCREW IV</t>
        </is>
      </c>
      <c r="C508" t="inlineStr">
        <is>
          <t>P_US_ALL_OTHERS</t>
        </is>
      </c>
      <c r="D508" t="inlineStr">
        <is>
          <t>Stat Fcst Auto ARIMA</t>
        </is>
      </c>
    </row>
    <row r="509">
      <c r="A509" s="1" t="n">
        <v>3616303470791</v>
      </c>
      <c r="B509" t="inlineStr">
        <is>
          <t>GUCCI FL G MAG RG EDP 100 ML SCREW IV</t>
        </is>
      </c>
      <c r="C509" t="inlineStr">
        <is>
          <t>P_US_ALL_OTHERS</t>
        </is>
      </c>
      <c r="D509" t="inlineStr">
        <is>
          <t>Stat Fcst Croston</t>
        </is>
      </c>
    </row>
    <row r="510">
      <c r="A510" s="1" t="n">
        <v>3616303470791</v>
      </c>
      <c r="B510" t="inlineStr">
        <is>
          <t>GUCCI FL G MAG RG EDP 100 ML SCREW IV</t>
        </is>
      </c>
      <c r="C510" t="inlineStr">
        <is>
          <t>P_US_ALL_OTHERS</t>
        </is>
      </c>
      <c r="D510" t="inlineStr">
        <is>
          <t>Stat Fcst DES</t>
        </is>
      </c>
    </row>
    <row r="511">
      <c r="A511" s="1" t="n">
        <v>3616303470791</v>
      </c>
      <c r="B511" t="inlineStr">
        <is>
          <t>GUCCI FL G MAG RG EDP 100 ML SCREW IV</t>
        </is>
      </c>
      <c r="C511" t="inlineStr">
        <is>
          <t>P_US_ALL_OTHERS</t>
        </is>
      </c>
      <c r="D511" t="inlineStr">
        <is>
          <t>Stat Fcst ETS</t>
        </is>
      </c>
    </row>
    <row r="512">
      <c r="A512" s="1" t="n">
        <v>3616303470791</v>
      </c>
      <c r="B512" t="inlineStr">
        <is>
          <t>GUCCI FL G MAG RG EDP 100 ML SCREW IV</t>
        </is>
      </c>
      <c r="C512" t="inlineStr">
        <is>
          <t>P_US_ALL_OTHERS</t>
        </is>
      </c>
      <c r="D512" t="inlineStr">
        <is>
          <t>Stat Fcst Moving Average</t>
        </is>
      </c>
    </row>
    <row r="513">
      <c r="A513" s="1" t="n">
        <v>3616303470791</v>
      </c>
      <c r="B513" t="inlineStr">
        <is>
          <t>GUCCI FL G MAG RG EDP 100 ML SCREW IV</t>
        </is>
      </c>
      <c r="C513" t="inlineStr">
        <is>
          <t>P_US_ALL_OTHERS</t>
        </is>
      </c>
      <c r="D513" t="inlineStr">
        <is>
          <t>Stat Fcst Naive Random Walk</t>
        </is>
      </c>
    </row>
    <row r="514">
      <c r="A514" s="1" t="n">
        <v>3616303470791</v>
      </c>
      <c r="B514" t="inlineStr">
        <is>
          <t>GUCCI FL G MAG RG EDP 100 ML SCREW IV</t>
        </is>
      </c>
      <c r="C514" t="inlineStr">
        <is>
          <t>P_US_ALL_OTHERS</t>
        </is>
      </c>
      <c r="D514" t="inlineStr">
        <is>
          <t>Stat Fcst Prophet</t>
        </is>
      </c>
    </row>
    <row r="515">
      <c r="A515" s="1" t="n">
        <v>3616303470791</v>
      </c>
      <c r="B515" t="inlineStr">
        <is>
          <t>GUCCI FL G MAG RG EDP 100 ML SCREW IV</t>
        </is>
      </c>
      <c r="C515" t="inlineStr">
        <is>
          <t>P_US_ALL_OTHERS</t>
        </is>
      </c>
      <c r="D515" t="inlineStr">
        <is>
          <t>Stat Fcst sARIMA</t>
        </is>
      </c>
    </row>
    <row r="516">
      <c r="A516" s="1" t="n">
        <v>3616303470791</v>
      </c>
      <c r="B516" t="inlineStr">
        <is>
          <t>GUCCI FL G MAG RG EDP 100 ML SCREW IV</t>
        </is>
      </c>
      <c r="C516" t="inlineStr">
        <is>
          <t>P_US_ALL_OTHERS</t>
        </is>
      </c>
      <c r="D516" t="inlineStr">
        <is>
          <t>Stat Fcst Seasonal Naive YoY</t>
        </is>
      </c>
    </row>
    <row r="517">
      <c r="A517" s="1" t="n">
        <v>3616303470791</v>
      </c>
      <c r="B517" t="inlineStr">
        <is>
          <t>GUCCI FL G MAG RG EDP 100 ML SCREW IV</t>
        </is>
      </c>
      <c r="C517" t="inlineStr">
        <is>
          <t>P_US_ALL_OTHERS</t>
        </is>
      </c>
      <c r="D517" t="inlineStr">
        <is>
          <t>Stat Fcst SES</t>
        </is>
      </c>
    </row>
    <row r="518">
      <c r="A518" s="1" t="n">
        <v>3616303470791</v>
      </c>
      <c r="B518" t="inlineStr">
        <is>
          <t>GUCCI FL G MAG RG EDP 100 ML SCREW IV</t>
        </is>
      </c>
      <c r="C518" t="inlineStr">
        <is>
          <t>P_US_ALL_OTHERS</t>
        </is>
      </c>
      <c r="D518" t="inlineStr">
        <is>
          <t>Stat Fcst STLF</t>
        </is>
      </c>
      <c r="E518" t="n">
        <v>1782.34617833195</v>
      </c>
      <c r="F518" t="n">
        <v>653.999980509281</v>
      </c>
      <c r="G518" t="n">
        <v>1424.7527067207</v>
      </c>
      <c r="H518" t="n">
        <v>4145.66591121033</v>
      </c>
      <c r="I518" t="n">
        <v>1469.19387822079</v>
      </c>
      <c r="J518" t="n">
        <v>646.999980717897</v>
      </c>
      <c r="K518" t="n">
        <v>646.999980717897</v>
      </c>
      <c r="L518" t="n">
        <v>1719.97592309301</v>
      </c>
      <c r="M518" t="n">
        <v>1006.93046427893</v>
      </c>
      <c r="N518" t="n">
        <v>1300.48354200786</v>
      </c>
      <c r="O518" t="n">
        <v>2728.89744697528</v>
      </c>
      <c r="P518" t="n">
        <v>1110.78517215581</v>
      </c>
    </row>
    <row r="519">
      <c r="A519" s="1" t="n">
        <v>3616303470791</v>
      </c>
      <c r="B519" t="inlineStr">
        <is>
          <t>GUCCI FL G MAG RG EDP 100 ML SCREW IV</t>
        </is>
      </c>
      <c r="C519" t="inlineStr">
        <is>
          <t>P_US_ALL_OTHERS</t>
        </is>
      </c>
      <c r="D519" t="inlineStr">
        <is>
          <t>Stat Fcst TBATS</t>
        </is>
      </c>
    </row>
    <row r="520">
      <c r="A520" s="1" t="n">
        <v>3616303470791</v>
      </c>
      <c r="B520" t="inlineStr">
        <is>
          <t>GUCCI FL G MAG RG EDP 100 ML SCREW IV</t>
        </is>
      </c>
      <c r="C520" t="inlineStr">
        <is>
          <t>P_US_ALL_OTHERS</t>
        </is>
      </c>
      <c r="D520" t="inlineStr">
        <is>
          <t>Stat Fcst TES</t>
        </is>
      </c>
      <c r="E520" t="n">
        <v>1645.13239643704</v>
      </c>
      <c r="F520" t="n">
        <v>1144.50943673326</v>
      </c>
      <c r="G520" t="n">
        <v>1580.70504219782</v>
      </c>
      <c r="H520" t="n">
        <v>2356.93262476629</v>
      </c>
      <c r="I520" t="n">
        <v>1922.49452073545</v>
      </c>
      <c r="J520" t="n">
        <v>1134.12686139237</v>
      </c>
      <c r="K520" t="n">
        <v>916.809360061343</v>
      </c>
      <c r="L520" t="n">
        <v>1446.06731348102</v>
      </c>
      <c r="M520" t="n">
        <v>1523.74578152573</v>
      </c>
      <c r="N520" t="n">
        <v>861.5915695546601</v>
      </c>
      <c r="O520" t="n">
        <v>1441.63277074267</v>
      </c>
      <c r="P520" t="n">
        <v>1632.92289653164</v>
      </c>
    </row>
    <row r="521">
      <c r="A521" s="1" t="n">
        <v>3616303470791</v>
      </c>
      <c r="B521" t="inlineStr">
        <is>
          <t>GUCCI FL G MAG RG EDP 100 ML SCREW IV</t>
        </is>
      </c>
      <c r="C521" t="inlineStr">
        <is>
          <t>P_US_ALL_OTHERS</t>
        </is>
      </c>
      <c r="D521" t="inlineStr">
        <is>
          <t>Stat Fcst Theta</t>
        </is>
      </c>
    </row>
    <row r="522">
      <c r="A522" s="1" t="n">
        <v>3616303470791</v>
      </c>
      <c r="B522" t="inlineStr">
        <is>
          <t>GUCCI FL G MAG RG EDP 100 ML SCREW IV</t>
        </is>
      </c>
      <c r="C522" t="inlineStr">
        <is>
          <t>P_US_ALL_OTHERS</t>
        </is>
      </c>
      <c r="D522" t="inlineStr">
        <is>
          <t>System ML Fcst L1</t>
        </is>
      </c>
    </row>
    <row r="523">
      <c r="A523" s="1" t="n">
        <v>3616303470791</v>
      </c>
      <c r="B523" t="inlineStr">
        <is>
          <t>GUCCI FL G MAG RG EDP 100 ML SCREW IV</t>
        </is>
      </c>
      <c r="C523" t="inlineStr">
        <is>
          <t>P_US_ALL_OTHERS</t>
        </is>
      </c>
      <c r="D523" t="inlineStr">
        <is>
          <t>Stat Fcst Simple Snaive</t>
        </is>
      </c>
      <c r="E523" t="n">
        <v>2530.49980251491</v>
      </c>
      <c r="F523" t="n">
        <v>2155.49993576109</v>
      </c>
      <c r="G523" t="n">
        <v>3380.07456945435</v>
      </c>
      <c r="H523" t="n">
        <v>4259.74108398731</v>
      </c>
      <c r="I523" t="n">
        <v>4007.33336319029</v>
      </c>
      <c r="J523" t="n">
        <v>2345.99988939364</v>
      </c>
      <c r="K523" t="n">
        <v>2407.6665542225</v>
      </c>
      <c r="L523" t="n">
        <v>2138</v>
      </c>
      <c r="M523" t="n">
        <v>2838.6665820678</v>
      </c>
      <c r="N523" t="n">
        <v>2166.66669895251</v>
      </c>
      <c r="O523" t="n">
        <v>2885.99983261029</v>
      </c>
      <c r="P523" t="n">
        <v>1944.33334781974</v>
      </c>
    </row>
    <row r="524">
      <c r="A524" s="1" t="n">
        <v>3616303470791</v>
      </c>
      <c r="B524" t="inlineStr">
        <is>
          <t>GUCCI FL G MAG RG EDP 100 ML SCREW IV</t>
        </is>
      </c>
      <c r="C524" t="inlineStr">
        <is>
          <t>P_US_ALL_OTHERS</t>
        </is>
      </c>
      <c r="D524" t="inlineStr">
        <is>
          <t>Stat Fcst Simple AOA</t>
        </is>
      </c>
    </row>
    <row r="525">
      <c r="A525" s="1" t="n">
        <v>3616303470791</v>
      </c>
      <c r="B525" t="inlineStr">
        <is>
          <t>GUCCI FL G MAG RG EDP 100 ML SCREW IV</t>
        </is>
      </c>
      <c r="C525" t="inlineStr">
        <is>
          <t>P_US_ALL_OTHERS</t>
        </is>
      </c>
      <c r="D525" t="inlineStr">
        <is>
          <t>Stat Fcst Weighted Snaive</t>
        </is>
      </c>
    </row>
    <row r="526">
      <c r="A526" s="1" t="n">
        <v>3616303470791</v>
      </c>
      <c r="B526" t="inlineStr">
        <is>
          <t>GUCCI FL G MAG RG EDP 100 ML SCREW IV</t>
        </is>
      </c>
      <c r="C526" t="inlineStr">
        <is>
          <t>P_US_ALL_OTHERS</t>
        </is>
      </c>
      <c r="D526" t="inlineStr">
        <is>
          <t>Stat Fcst Weighted AOA</t>
        </is>
      </c>
    </row>
    <row r="527">
      <c r="A527" s="1" t="n">
        <v>3616303470791</v>
      </c>
      <c r="B527" t="inlineStr">
        <is>
          <t>GUCCI FL G MAG RG EDP 100 ML SCREW IV</t>
        </is>
      </c>
      <c r="C527" t="inlineStr">
        <is>
          <t>P_US_ALL_OTHERS</t>
        </is>
      </c>
      <c r="D527" t="inlineStr">
        <is>
          <t>Stat Fcst Growth Snaive</t>
        </is>
      </c>
    </row>
    <row r="528">
      <c r="A528" s="1" t="n">
        <v>3616303470791</v>
      </c>
      <c r="B528" t="inlineStr">
        <is>
          <t>GUCCI FL G MAG RG EDP 100 ML SCREW IV</t>
        </is>
      </c>
      <c r="C528" t="inlineStr">
        <is>
          <t>P_US_ALL_OTHERS</t>
        </is>
      </c>
      <c r="D528" t="inlineStr">
        <is>
          <t>Stat Fcst Growth AOA</t>
        </is>
      </c>
    </row>
    <row r="529">
      <c r="A529" s="1" t="n">
        <v>3616303470791</v>
      </c>
      <c r="B529" t="inlineStr">
        <is>
          <t>GUCCI FL G MAG RG EDP 100 ML SCREW IV</t>
        </is>
      </c>
      <c r="C529" t="inlineStr">
        <is>
          <t>P_US_ALL_OTHERS</t>
        </is>
      </c>
      <c r="D529" t="inlineStr">
        <is>
          <t>System Stat Fcst Bestfit</t>
        </is>
      </c>
      <c r="H529" t="n">
        <v>4145.66589207452</v>
      </c>
      <c r="I529" t="n">
        <v>1469.19385860259</v>
      </c>
      <c r="J529" t="n">
        <v>646.999980717897</v>
      </c>
      <c r="K529" t="n">
        <v>646.999980717897</v>
      </c>
      <c r="L529" t="n">
        <v>1719.97595214843</v>
      </c>
      <c r="M529" t="n">
        <v>1006.93045094816</v>
      </c>
      <c r="N529" t="n">
        <v>1300.48366195684</v>
      </c>
      <c r="O529" t="n">
        <v>2728.89737961001</v>
      </c>
      <c r="P529" t="n">
        <v>1110.78516452599</v>
      </c>
    </row>
    <row r="530">
      <c r="A530" s="1" t="n">
        <v>3616303470791</v>
      </c>
      <c r="B530" t="inlineStr">
        <is>
          <t>GUCCI FL G MAG RG EDP 100 ML SCREW IV</t>
        </is>
      </c>
      <c r="C530" t="inlineStr">
        <is>
          <t>P_US_ULTA</t>
        </is>
      </c>
      <c r="D530" t="inlineStr">
        <is>
          <t>Stat Fcst L1</t>
        </is>
      </c>
      <c r="E530" t="n">
        <v>7214.02371078658</v>
      </c>
      <c r="F530" t="n">
        <v>2565.99992352724</v>
      </c>
      <c r="G530" t="n">
        <v>0</v>
      </c>
      <c r="H530" t="n">
        <v>262</v>
      </c>
      <c r="I530" t="n">
        <v>334</v>
      </c>
      <c r="J530" t="n">
        <v>438</v>
      </c>
      <c r="K530" t="n">
        <v>226</v>
      </c>
      <c r="L530" t="n">
        <v>744</v>
      </c>
      <c r="M530" t="n">
        <v>0</v>
      </c>
      <c r="N530" t="n">
        <v>0</v>
      </c>
      <c r="O530" t="n">
        <v>0</v>
      </c>
      <c r="P530" t="n">
        <v>192</v>
      </c>
    </row>
    <row r="531">
      <c r="A531" s="1" t="n">
        <v>3616303470791</v>
      </c>
      <c r="B531" t="inlineStr">
        <is>
          <t>GUCCI FL G MAG RG EDP 100 ML SCREW IV</t>
        </is>
      </c>
      <c r="C531" t="inlineStr">
        <is>
          <t>P_US_ULTA</t>
        </is>
      </c>
      <c r="D531" t="inlineStr">
        <is>
          <t>Stat Fcst AR-NNET</t>
        </is>
      </c>
    </row>
    <row r="532">
      <c r="A532" s="1" t="n">
        <v>3616303470791</v>
      </c>
      <c r="B532" t="inlineStr">
        <is>
          <t>GUCCI FL G MAG RG EDP 100 ML SCREW IV</t>
        </is>
      </c>
      <c r="C532" t="inlineStr">
        <is>
          <t>P_US_ULTA</t>
        </is>
      </c>
      <c r="D532" t="inlineStr">
        <is>
          <t>Stat Fcst Auto ARIMA</t>
        </is>
      </c>
    </row>
    <row r="533">
      <c r="A533" s="1" t="n">
        <v>3616303470791</v>
      </c>
      <c r="B533" t="inlineStr">
        <is>
          <t>GUCCI FL G MAG RG EDP 100 ML SCREW IV</t>
        </is>
      </c>
      <c r="C533" t="inlineStr">
        <is>
          <t>P_US_ULTA</t>
        </is>
      </c>
      <c r="D533" t="inlineStr">
        <is>
          <t>Stat Fcst Croston</t>
        </is>
      </c>
    </row>
    <row r="534">
      <c r="A534" s="1" t="n">
        <v>3616303470791</v>
      </c>
      <c r="B534" t="inlineStr">
        <is>
          <t>GUCCI FL G MAG RG EDP 100 ML SCREW IV</t>
        </is>
      </c>
      <c r="C534" t="inlineStr">
        <is>
          <t>P_US_ULTA</t>
        </is>
      </c>
      <c r="D534" t="inlineStr">
        <is>
          <t>Stat Fcst DES</t>
        </is>
      </c>
      <c r="E534" t="n">
        <v>66.04170454115361</v>
      </c>
      <c r="F534" t="n">
        <v>57.759320778945</v>
      </c>
      <c r="G534" t="n">
        <v>645.999553689306</v>
      </c>
      <c r="H534" t="n">
        <v>643.734138511885</v>
      </c>
      <c r="I534" t="n">
        <v>641.737899944492</v>
      </c>
      <c r="J534" t="n">
        <v>639.978769699102</v>
      </c>
      <c r="K534" t="n">
        <v>638.42864532844</v>
      </c>
      <c r="L534" t="n">
        <v>637.062694837993</v>
      </c>
      <c r="M534" t="n">
        <v>635.858983654337</v>
      </c>
      <c r="N534" t="n">
        <v>634.798318559844</v>
      </c>
      <c r="O534" t="n">
        <v>633.863607175904</v>
      </c>
      <c r="P534" t="n">
        <v>633.039988165152</v>
      </c>
    </row>
    <row r="535">
      <c r="A535" s="1" t="n">
        <v>3616303470791</v>
      </c>
      <c r="B535" t="inlineStr">
        <is>
          <t>GUCCI FL G MAG RG EDP 100 ML SCREW IV</t>
        </is>
      </c>
      <c r="C535" t="inlineStr">
        <is>
          <t>P_US_ULTA</t>
        </is>
      </c>
      <c r="D535" t="inlineStr">
        <is>
          <t>Stat Fcst ETS</t>
        </is>
      </c>
    </row>
    <row r="536">
      <c r="A536" s="1" t="n">
        <v>3616303470791</v>
      </c>
      <c r="B536" t="inlineStr">
        <is>
          <t>GUCCI FL G MAG RG EDP 100 ML SCREW IV</t>
        </is>
      </c>
      <c r="C536" t="inlineStr">
        <is>
          <t>P_US_ULTA</t>
        </is>
      </c>
      <c r="D536" t="inlineStr">
        <is>
          <t>Stat Fcst Moving Average</t>
        </is>
      </c>
    </row>
    <row r="537">
      <c r="A537" s="1" t="n">
        <v>3616303470791</v>
      </c>
      <c r="B537" t="inlineStr">
        <is>
          <t>GUCCI FL G MAG RG EDP 100 ML SCREW IV</t>
        </is>
      </c>
      <c r="C537" t="inlineStr">
        <is>
          <t>P_US_ULTA</t>
        </is>
      </c>
      <c r="D537" t="inlineStr">
        <is>
          <t>Stat Fcst Naive Random Walk</t>
        </is>
      </c>
    </row>
    <row r="538">
      <c r="A538" s="1" t="n">
        <v>3616303470791</v>
      </c>
      <c r="B538" t="inlineStr">
        <is>
          <t>GUCCI FL G MAG RG EDP 100 ML SCREW IV</t>
        </is>
      </c>
      <c r="C538" t="inlineStr">
        <is>
          <t>P_US_ULTA</t>
        </is>
      </c>
      <c r="D538" t="inlineStr">
        <is>
          <t>Stat Fcst Prophet</t>
        </is>
      </c>
    </row>
    <row r="539">
      <c r="A539" s="1" t="n">
        <v>3616303470791</v>
      </c>
      <c r="B539" t="inlineStr">
        <is>
          <t>GUCCI FL G MAG RG EDP 100 ML SCREW IV</t>
        </is>
      </c>
      <c r="C539" t="inlineStr">
        <is>
          <t>P_US_ULTA</t>
        </is>
      </c>
      <c r="D539" t="inlineStr">
        <is>
          <t>Stat Fcst sARIMA</t>
        </is>
      </c>
    </row>
    <row r="540">
      <c r="A540" s="1" t="n">
        <v>3616303470791</v>
      </c>
      <c r="B540" t="inlineStr">
        <is>
          <t>GUCCI FL G MAG RG EDP 100 ML SCREW IV</t>
        </is>
      </c>
      <c r="C540" t="inlineStr">
        <is>
          <t>P_US_ULTA</t>
        </is>
      </c>
      <c r="D540" t="inlineStr">
        <is>
          <t>Stat Fcst Seasonal Naive YoY</t>
        </is>
      </c>
    </row>
    <row r="541">
      <c r="A541" s="1" t="n">
        <v>3616303470791</v>
      </c>
      <c r="B541" t="inlineStr">
        <is>
          <t>GUCCI FL G MAG RG EDP 100 ML SCREW IV</t>
        </is>
      </c>
      <c r="C541" t="inlineStr">
        <is>
          <t>P_US_ULTA</t>
        </is>
      </c>
      <c r="D541" t="inlineStr">
        <is>
          <t>Stat Fcst SES</t>
        </is>
      </c>
    </row>
    <row r="542">
      <c r="A542" s="1" t="n">
        <v>3616303470791</v>
      </c>
      <c r="B542" t="inlineStr">
        <is>
          <t>GUCCI FL G MAG RG EDP 100 ML SCREW IV</t>
        </is>
      </c>
      <c r="C542" t="inlineStr">
        <is>
          <t>P_US_ULTA</t>
        </is>
      </c>
      <c r="D542" t="inlineStr">
        <is>
          <t>Stat Fcst STLF</t>
        </is>
      </c>
      <c r="E542" t="n">
        <v>314.058747522075</v>
      </c>
      <c r="F542" t="n">
        <v>0</v>
      </c>
      <c r="G542" t="n">
        <v>0</v>
      </c>
      <c r="H542" t="n">
        <v>261.205783396702</v>
      </c>
      <c r="I542" t="n">
        <v>334.880784625697</v>
      </c>
      <c r="J542" t="n">
        <v>437.839411227944</v>
      </c>
      <c r="K542" t="n">
        <v>223.935374623208</v>
      </c>
      <c r="L542" t="n">
        <v>743.653986440126</v>
      </c>
      <c r="M542" t="n">
        <v>2.08411976823282</v>
      </c>
      <c r="N542" t="n">
        <v>0</v>
      </c>
      <c r="O542" t="n">
        <v>0</v>
      </c>
      <c r="P542" t="n">
        <v>191.166305543722</v>
      </c>
    </row>
    <row r="543">
      <c r="A543" s="1" t="n">
        <v>3616303470791</v>
      </c>
      <c r="B543" t="inlineStr">
        <is>
          <t>GUCCI FL G MAG RG EDP 100 ML SCREW IV</t>
        </is>
      </c>
      <c r="C543" t="inlineStr">
        <is>
          <t>P_US_ULTA</t>
        </is>
      </c>
      <c r="D543" t="inlineStr">
        <is>
          <t>Stat Fcst TBATS</t>
        </is>
      </c>
    </row>
    <row r="544">
      <c r="A544" s="1" t="n">
        <v>3616303470791</v>
      </c>
      <c r="B544" t="inlineStr">
        <is>
          <t>GUCCI FL G MAG RG EDP 100 ML SCREW IV</t>
        </is>
      </c>
      <c r="C544" t="inlineStr">
        <is>
          <t>P_US_ULTA</t>
        </is>
      </c>
      <c r="D544" t="inlineStr">
        <is>
          <t>Stat Fcst TES</t>
        </is>
      </c>
    </row>
    <row r="545">
      <c r="A545" s="1" t="n">
        <v>3616303470791</v>
      </c>
      <c r="B545" t="inlineStr">
        <is>
          <t>GUCCI FL G MAG RG EDP 100 ML SCREW IV</t>
        </is>
      </c>
      <c r="C545" t="inlineStr">
        <is>
          <t>P_US_ULTA</t>
        </is>
      </c>
      <c r="D545" t="inlineStr">
        <is>
          <t>Stat Fcst Theta</t>
        </is>
      </c>
    </row>
    <row r="546">
      <c r="A546" s="1" t="n">
        <v>3616303470791</v>
      </c>
      <c r="B546" t="inlineStr">
        <is>
          <t>GUCCI FL G MAG RG EDP 100 ML SCREW IV</t>
        </is>
      </c>
      <c r="C546" t="inlineStr">
        <is>
          <t>P_US_ULTA</t>
        </is>
      </c>
      <c r="D546" t="inlineStr">
        <is>
          <t>System ML Fcst L1</t>
        </is>
      </c>
    </row>
    <row r="547">
      <c r="A547" s="1" t="n">
        <v>3616303470791</v>
      </c>
      <c r="B547" t="inlineStr">
        <is>
          <t>GUCCI FL G MAG RG EDP 100 ML SCREW IV</t>
        </is>
      </c>
      <c r="C547" t="inlineStr">
        <is>
          <t>P_US_ULTA</t>
        </is>
      </c>
      <c r="D547" t="inlineStr">
        <is>
          <t>Stat Fcst Simple Snaive</t>
        </is>
      </c>
    </row>
    <row r="548">
      <c r="A548" s="1" t="n">
        <v>3616303470791</v>
      </c>
      <c r="B548" t="inlineStr">
        <is>
          <t>GUCCI FL G MAG RG EDP 100 ML SCREW IV</t>
        </is>
      </c>
      <c r="C548" t="inlineStr">
        <is>
          <t>P_US_ULTA</t>
        </is>
      </c>
      <c r="D548" t="inlineStr">
        <is>
          <t>Stat Fcst Simple AOA</t>
        </is>
      </c>
    </row>
    <row r="549">
      <c r="A549" s="1" t="n">
        <v>3616303470791</v>
      </c>
      <c r="B549" t="inlineStr">
        <is>
          <t>GUCCI FL G MAG RG EDP 100 ML SCREW IV</t>
        </is>
      </c>
      <c r="C549" t="inlineStr">
        <is>
          <t>P_US_ULTA</t>
        </is>
      </c>
      <c r="D549" t="inlineStr">
        <is>
          <t>Stat Fcst Weighted Snaive</t>
        </is>
      </c>
    </row>
    <row r="550">
      <c r="A550" s="1" t="n">
        <v>3616303470791</v>
      </c>
      <c r="B550" t="inlineStr">
        <is>
          <t>GUCCI FL G MAG RG EDP 100 ML SCREW IV</t>
        </is>
      </c>
      <c r="C550" t="inlineStr">
        <is>
          <t>P_US_ULTA</t>
        </is>
      </c>
      <c r="D550" t="inlineStr">
        <is>
          <t>Stat Fcst Weighted AOA</t>
        </is>
      </c>
      <c r="E550" t="n">
        <v>991.999970436096</v>
      </c>
      <c r="F550" t="n">
        <v>415.499987617135</v>
      </c>
      <c r="G550" t="n">
        <v>2887.67466344193</v>
      </c>
      <c r="H550" t="n">
        <v>38.9999985198179</v>
      </c>
      <c r="I550" t="n">
        <v>78.3333339169621</v>
      </c>
      <c r="J550" t="n">
        <v>166.999995023012</v>
      </c>
      <c r="K550" t="n">
        <v>142.333329091469</v>
      </c>
      <c r="L550" t="n">
        <v>771</v>
      </c>
      <c r="M550" t="n">
        <v>737.666602720818</v>
      </c>
      <c r="N550" t="n">
        <v>508.66667424639</v>
      </c>
      <c r="O550" t="n">
        <v>502.999974836906</v>
      </c>
      <c r="P550" t="n">
        <v>514.3333371654149</v>
      </c>
    </row>
    <row r="551">
      <c r="A551" s="1" t="n">
        <v>3616303470791</v>
      </c>
      <c r="B551" t="inlineStr">
        <is>
          <t>GUCCI FL G MAG RG EDP 100 ML SCREW IV</t>
        </is>
      </c>
      <c r="C551" t="inlineStr">
        <is>
          <t>P_US_ULTA</t>
        </is>
      </c>
      <c r="D551" t="inlineStr">
        <is>
          <t>Stat Fcst Growth Snaive</t>
        </is>
      </c>
    </row>
    <row r="552">
      <c r="A552" s="1" t="n">
        <v>3616303470791</v>
      </c>
      <c r="B552" t="inlineStr">
        <is>
          <t>GUCCI FL G MAG RG EDP 100 ML SCREW IV</t>
        </is>
      </c>
      <c r="C552" t="inlineStr">
        <is>
          <t>P_US_ULTA</t>
        </is>
      </c>
      <c r="D552" t="inlineStr">
        <is>
          <t>Stat Fcst Growth AOA</t>
        </is>
      </c>
    </row>
    <row r="553">
      <c r="A553" s="1" t="n">
        <v>3616303470791</v>
      </c>
      <c r="B553" t="inlineStr">
        <is>
          <t>GUCCI FL G MAG RG EDP 100 ML SCREW IV</t>
        </is>
      </c>
      <c r="C553" t="inlineStr">
        <is>
          <t>P_US_ULTA</t>
        </is>
      </c>
      <c r="D553" t="inlineStr">
        <is>
          <t>System Stat Fcst Bestfit</t>
        </is>
      </c>
      <c r="H553" t="n">
        <v>261.205772244758</v>
      </c>
      <c r="I553" t="n">
        <v>334.880770317321</v>
      </c>
      <c r="J553" t="n">
        <v>437.839403455274</v>
      </c>
      <c r="K553" t="n">
        <v>223.935357095737</v>
      </c>
      <c r="L553" t="n">
        <v>743.653991699218</v>
      </c>
      <c r="M553" t="n">
        <v>2.08411973464131</v>
      </c>
      <c r="N553" t="n">
        <v>0</v>
      </c>
      <c r="O553" t="n">
        <v>0</v>
      </c>
      <c r="P553" t="n">
        <v>191.166306966292</v>
      </c>
    </row>
    <row r="554">
      <c r="A554" s="1" t="n">
        <v>3616304077005</v>
      </c>
      <c r="B554" t="inlineStr">
        <is>
          <t>GUCCI BM EDP 10ML PENSPRAY RG 24IV</t>
        </is>
      </c>
      <c r="C554" t="inlineStr">
        <is>
          <t>P_US_ALL_OTHERS</t>
        </is>
      </c>
      <c r="D554" t="inlineStr">
        <is>
          <t>Stat Fcst L1</t>
        </is>
      </c>
      <c r="E554" t="n">
        <v>3215.99990415573</v>
      </c>
      <c r="F554" t="n">
        <v>2544.61282867193</v>
      </c>
      <c r="G554" t="n">
        <v>3077</v>
      </c>
      <c r="H554" t="n">
        <v>872</v>
      </c>
      <c r="I554" t="n">
        <v>158</v>
      </c>
      <c r="J554" t="n">
        <v>1586</v>
      </c>
      <c r="K554" t="n">
        <v>2475</v>
      </c>
      <c r="L554" t="n">
        <v>872</v>
      </c>
      <c r="M554" t="n">
        <v>2414</v>
      </c>
      <c r="N554" t="n">
        <v>2310</v>
      </c>
      <c r="O554" t="n">
        <v>1709</v>
      </c>
      <c r="P554" t="n">
        <v>973</v>
      </c>
    </row>
    <row r="555">
      <c r="A555" s="1" t="n">
        <v>3616304077005</v>
      </c>
      <c r="B555" t="inlineStr">
        <is>
          <t>GUCCI BM EDP 10ML PENSPRAY RG 24IV</t>
        </is>
      </c>
      <c r="C555" t="inlineStr">
        <is>
          <t>P_US_ALL_OTHERS</t>
        </is>
      </c>
      <c r="D555" t="inlineStr">
        <is>
          <t>Stat Fcst AR-NNET</t>
        </is>
      </c>
    </row>
    <row r="556">
      <c r="A556" s="1" t="n">
        <v>3616304077005</v>
      </c>
      <c r="B556" t="inlineStr">
        <is>
          <t>GUCCI BM EDP 10ML PENSPRAY RG 24IV</t>
        </is>
      </c>
      <c r="C556" t="inlineStr">
        <is>
          <t>P_US_ALL_OTHERS</t>
        </is>
      </c>
      <c r="D556" t="inlineStr">
        <is>
          <t>Stat Fcst Auto ARIMA</t>
        </is>
      </c>
    </row>
    <row r="557">
      <c r="A557" s="1" t="n">
        <v>3616304077005</v>
      </c>
      <c r="B557" t="inlineStr">
        <is>
          <t>GUCCI BM EDP 10ML PENSPRAY RG 24IV</t>
        </is>
      </c>
      <c r="C557" t="inlineStr">
        <is>
          <t>P_US_ALL_OTHERS</t>
        </is>
      </c>
      <c r="D557" t="inlineStr">
        <is>
          <t>Stat Fcst Croston</t>
        </is>
      </c>
    </row>
    <row r="558">
      <c r="A558" s="1" t="n">
        <v>3616304077005</v>
      </c>
      <c r="B558" t="inlineStr">
        <is>
          <t>GUCCI BM EDP 10ML PENSPRAY RG 24IV</t>
        </is>
      </c>
      <c r="C558" t="inlineStr">
        <is>
          <t>P_US_ALL_OTHERS</t>
        </is>
      </c>
      <c r="D558" t="inlineStr">
        <is>
          <t>Stat Fcst DES</t>
        </is>
      </c>
    </row>
    <row r="559">
      <c r="A559" s="1" t="n">
        <v>3616304077005</v>
      </c>
      <c r="B559" t="inlineStr">
        <is>
          <t>GUCCI BM EDP 10ML PENSPRAY RG 24IV</t>
        </is>
      </c>
      <c r="C559" t="inlineStr">
        <is>
          <t>P_US_ALL_OTHERS</t>
        </is>
      </c>
      <c r="D559" t="inlineStr">
        <is>
          <t>Stat Fcst ETS</t>
        </is>
      </c>
    </row>
    <row r="560">
      <c r="A560" s="1" t="n">
        <v>3616304077005</v>
      </c>
      <c r="B560" t="inlineStr">
        <is>
          <t>GUCCI BM EDP 10ML PENSPRAY RG 24IV</t>
        </is>
      </c>
      <c r="C560" t="inlineStr">
        <is>
          <t>P_US_ALL_OTHERS</t>
        </is>
      </c>
      <c r="D560" t="inlineStr">
        <is>
          <t>Stat Fcst Moving Average</t>
        </is>
      </c>
    </row>
    <row r="561">
      <c r="A561" s="1" t="n">
        <v>3616304077005</v>
      </c>
      <c r="B561" t="inlineStr">
        <is>
          <t>GUCCI BM EDP 10ML PENSPRAY RG 24IV</t>
        </is>
      </c>
      <c r="C561" t="inlineStr">
        <is>
          <t>P_US_ALL_OTHERS</t>
        </is>
      </c>
      <c r="D561" t="inlineStr">
        <is>
          <t>Stat Fcst Naive Random Walk</t>
        </is>
      </c>
    </row>
    <row r="562">
      <c r="A562" s="1" t="n">
        <v>3616304077005</v>
      </c>
      <c r="B562" t="inlineStr">
        <is>
          <t>GUCCI BM EDP 10ML PENSPRAY RG 24IV</t>
        </is>
      </c>
      <c r="C562" t="inlineStr">
        <is>
          <t>P_US_ALL_OTHERS</t>
        </is>
      </c>
      <c r="D562" t="inlineStr">
        <is>
          <t>Stat Fcst Prophet</t>
        </is>
      </c>
    </row>
    <row r="563">
      <c r="A563" s="1" t="n">
        <v>3616304077005</v>
      </c>
      <c r="B563" t="inlineStr">
        <is>
          <t>GUCCI BM EDP 10ML PENSPRAY RG 24IV</t>
        </is>
      </c>
      <c r="C563" t="inlineStr">
        <is>
          <t>P_US_ALL_OTHERS</t>
        </is>
      </c>
      <c r="D563" t="inlineStr">
        <is>
          <t>Stat Fcst sARIMA</t>
        </is>
      </c>
    </row>
    <row r="564">
      <c r="A564" s="1" t="n">
        <v>3616304077005</v>
      </c>
      <c r="B564" t="inlineStr">
        <is>
          <t>GUCCI BM EDP 10ML PENSPRAY RG 24IV</t>
        </is>
      </c>
      <c r="C564" t="inlineStr">
        <is>
          <t>P_US_ALL_OTHERS</t>
        </is>
      </c>
      <c r="D564" t="inlineStr">
        <is>
          <t>Stat Fcst Seasonal Naive YoY</t>
        </is>
      </c>
    </row>
    <row r="565">
      <c r="A565" s="1" t="n">
        <v>3616304077005</v>
      </c>
      <c r="B565" t="inlineStr">
        <is>
          <t>GUCCI BM EDP 10ML PENSPRAY RG 24IV</t>
        </is>
      </c>
      <c r="C565" t="inlineStr">
        <is>
          <t>P_US_ALL_OTHERS</t>
        </is>
      </c>
      <c r="D565" t="inlineStr">
        <is>
          <t>Stat Fcst SES</t>
        </is>
      </c>
    </row>
    <row r="566">
      <c r="A566" s="1" t="n">
        <v>3616304077005</v>
      </c>
      <c r="B566" t="inlineStr">
        <is>
          <t>GUCCI BM EDP 10ML PENSPRAY RG 24IV</t>
        </is>
      </c>
      <c r="C566" t="inlineStr">
        <is>
          <t>P_US_ALL_OTHERS</t>
        </is>
      </c>
      <c r="D566" t="inlineStr">
        <is>
          <t>Stat Fcst STLF</t>
        </is>
      </c>
      <c r="E566" t="n">
        <v>1489.8852436946</v>
      </c>
      <c r="F566" t="n">
        <v>156.999995321035</v>
      </c>
      <c r="G566" t="n">
        <v>3476.49450623009</v>
      </c>
      <c r="H566" t="n">
        <v>870.8843839177561</v>
      </c>
      <c r="I566" t="n">
        <v>157.000001169741</v>
      </c>
      <c r="J566" t="n">
        <v>1585.69316992794</v>
      </c>
      <c r="K566" t="n">
        <v>2474.74885753511</v>
      </c>
      <c r="L566" t="n">
        <v>873.232466493119</v>
      </c>
      <c r="M566" t="n">
        <v>2413.25220888706</v>
      </c>
      <c r="N566" t="n">
        <v>2308.87157868676</v>
      </c>
      <c r="O566" t="n">
        <v>1711.38409536024</v>
      </c>
      <c r="P566" t="n">
        <v>973.389307297597</v>
      </c>
    </row>
    <row r="567">
      <c r="A567" s="1" t="n">
        <v>3616304077005</v>
      </c>
      <c r="B567" t="inlineStr">
        <is>
          <t>GUCCI BM EDP 10ML PENSPRAY RG 24IV</t>
        </is>
      </c>
      <c r="C567" t="inlineStr">
        <is>
          <t>P_US_ALL_OTHERS</t>
        </is>
      </c>
      <c r="D567" t="inlineStr">
        <is>
          <t>Stat Fcst TBATS</t>
        </is>
      </c>
    </row>
    <row r="568">
      <c r="A568" s="1" t="n">
        <v>3616304077005</v>
      </c>
      <c r="B568" t="inlineStr">
        <is>
          <t>GUCCI BM EDP 10ML PENSPRAY RG 24IV</t>
        </is>
      </c>
      <c r="C568" t="inlineStr">
        <is>
          <t>P_US_ALL_OTHERS</t>
        </is>
      </c>
      <c r="D568" t="inlineStr">
        <is>
          <t>Stat Fcst TES</t>
        </is>
      </c>
      <c r="E568" t="n">
        <v>156.999995321035</v>
      </c>
      <c r="F568" t="n">
        <v>3238.53486433148</v>
      </c>
      <c r="G568" t="n">
        <v>5861.76944053498</v>
      </c>
      <c r="H568" t="n">
        <v>1309.16822718256</v>
      </c>
      <c r="I568" t="n">
        <v>2152.34315669947</v>
      </c>
      <c r="J568" t="n">
        <v>1545.33984842074</v>
      </c>
      <c r="K568" t="n">
        <v>1967.67250572841</v>
      </c>
      <c r="L568" t="n">
        <v>1614.5271418569</v>
      </c>
      <c r="M568" t="n">
        <v>2269.11330218935</v>
      </c>
      <c r="N568" t="n">
        <v>2131.3289674102</v>
      </c>
      <c r="O568" t="n">
        <v>1751.19793701069</v>
      </c>
      <c r="P568" t="n">
        <v>2576.36970569944</v>
      </c>
    </row>
    <row r="569">
      <c r="A569" s="1" t="n">
        <v>3616304077005</v>
      </c>
      <c r="B569" t="inlineStr">
        <is>
          <t>GUCCI BM EDP 10ML PENSPRAY RG 24IV</t>
        </is>
      </c>
      <c r="C569" t="inlineStr">
        <is>
          <t>P_US_ALL_OTHERS</t>
        </is>
      </c>
      <c r="D569" t="inlineStr">
        <is>
          <t>Stat Fcst Theta</t>
        </is>
      </c>
    </row>
    <row r="570">
      <c r="A570" s="1" t="n">
        <v>3616304077005</v>
      </c>
      <c r="B570" t="inlineStr">
        <is>
          <t>GUCCI BM EDP 10ML PENSPRAY RG 24IV</t>
        </is>
      </c>
      <c r="C570" t="inlineStr">
        <is>
          <t>P_US_ALL_OTHERS</t>
        </is>
      </c>
      <c r="D570" t="inlineStr">
        <is>
          <t>System ML Fcst L1</t>
        </is>
      </c>
    </row>
    <row r="571">
      <c r="A571" s="1" t="n">
        <v>3616304077005</v>
      </c>
      <c r="B571" t="inlineStr">
        <is>
          <t>GUCCI BM EDP 10ML PENSPRAY RG 24IV</t>
        </is>
      </c>
      <c r="C571" t="inlineStr">
        <is>
          <t>P_US_ALL_OTHERS</t>
        </is>
      </c>
      <c r="D571" t="inlineStr">
        <is>
          <t>Stat Fcst Simple Snaive</t>
        </is>
      </c>
      <c r="E571" t="n">
        <v>2539.9999243021</v>
      </c>
      <c r="F571" t="n">
        <v>3659.99986040592</v>
      </c>
      <c r="G571" t="n">
        <v>7847.66672513634</v>
      </c>
      <c r="H571" t="n">
        <v>650.333293606838</v>
      </c>
      <c r="I571" t="n">
        <v>458.000003412365</v>
      </c>
      <c r="J571" t="n">
        <v>1497.66654065251</v>
      </c>
      <c r="K571" t="n">
        <v>2191.9999346733</v>
      </c>
      <c r="L571" t="n">
        <v>1217.33333333333</v>
      </c>
      <c r="M571" t="n">
        <v>2714.66650438309</v>
      </c>
      <c r="N571" t="n">
        <v>1498.00006301204</v>
      </c>
      <c r="O571" t="n">
        <v>1711.33322129647</v>
      </c>
      <c r="P571" t="n">
        <v>4439.00003307312</v>
      </c>
    </row>
    <row r="572">
      <c r="A572" s="1" t="n">
        <v>3616304077005</v>
      </c>
      <c r="B572" t="inlineStr">
        <is>
          <t>GUCCI BM EDP 10ML PENSPRAY RG 24IV</t>
        </is>
      </c>
      <c r="C572" t="inlineStr">
        <is>
          <t>P_US_ALL_OTHERS</t>
        </is>
      </c>
      <c r="D572" t="inlineStr">
        <is>
          <t>Stat Fcst Simple AOA</t>
        </is>
      </c>
    </row>
    <row r="573">
      <c r="A573" s="1" t="n">
        <v>3616304077005</v>
      </c>
      <c r="B573" t="inlineStr">
        <is>
          <t>GUCCI BM EDP 10ML PENSPRAY RG 24IV</t>
        </is>
      </c>
      <c r="C573" t="inlineStr">
        <is>
          <t>P_US_ALL_OTHERS</t>
        </is>
      </c>
      <c r="D573" t="inlineStr">
        <is>
          <t>Stat Fcst Weighted Snaive</t>
        </is>
      </c>
    </row>
    <row r="574">
      <c r="A574" s="1" t="n">
        <v>3616304077005</v>
      </c>
      <c r="B574" t="inlineStr">
        <is>
          <t>GUCCI BM EDP 10ML PENSPRAY RG 24IV</t>
        </is>
      </c>
      <c r="C574" t="inlineStr">
        <is>
          <t>P_US_ALL_OTHERS</t>
        </is>
      </c>
      <c r="D574" t="inlineStr">
        <is>
          <t>Stat Fcst Weighted AOA</t>
        </is>
      </c>
    </row>
    <row r="575">
      <c r="A575" s="1" t="n">
        <v>3616304077005</v>
      </c>
      <c r="B575" t="inlineStr">
        <is>
          <t>GUCCI BM EDP 10ML PENSPRAY RG 24IV</t>
        </is>
      </c>
      <c r="C575" t="inlineStr">
        <is>
          <t>P_US_ALL_OTHERS</t>
        </is>
      </c>
      <c r="D575" t="inlineStr">
        <is>
          <t>Stat Fcst Growth Snaive</t>
        </is>
      </c>
    </row>
    <row r="576">
      <c r="A576" s="1" t="n">
        <v>3616304077005</v>
      </c>
      <c r="B576" t="inlineStr">
        <is>
          <t>GUCCI BM EDP 10ML PENSPRAY RG 24IV</t>
        </is>
      </c>
      <c r="C576" t="inlineStr">
        <is>
          <t>P_US_ALL_OTHERS</t>
        </is>
      </c>
      <c r="D576" t="inlineStr">
        <is>
          <t>Stat Fcst Growth AOA</t>
        </is>
      </c>
    </row>
    <row r="577">
      <c r="A577" s="1" t="n">
        <v>3616304077005</v>
      </c>
      <c r="B577" t="inlineStr">
        <is>
          <t>GUCCI BM EDP 10ML PENSPRAY RG 24IV</t>
        </is>
      </c>
      <c r="C577" t="inlineStr">
        <is>
          <t>P_US_ALL_OTHERS</t>
        </is>
      </c>
      <c r="D577" t="inlineStr">
        <is>
          <t>System Stat Fcst Bestfit</t>
        </is>
      </c>
      <c r="H577" t="n">
        <v>870.884373459684</v>
      </c>
      <c r="I577" t="n">
        <v>157.000001169741</v>
      </c>
      <c r="J577" t="n">
        <v>1585.69319004734</v>
      </c>
      <c r="K577" t="n">
        <v>2474.74894968423</v>
      </c>
      <c r="L577" t="n">
        <v>873.232482910156</v>
      </c>
      <c r="M577" t="n">
        <v>2413.2521253451</v>
      </c>
      <c r="N577" t="n">
        <v>2308.87161643611</v>
      </c>
      <c r="O577" t="n">
        <v>1711.3839821999</v>
      </c>
      <c r="P577" t="n">
        <v>973.389289478877</v>
      </c>
    </row>
    <row r="578">
      <c r="A578" s="1" t="n">
        <v>3616304077005</v>
      </c>
      <c r="B578" t="inlineStr">
        <is>
          <t>GUCCI BM EDP 10ML PENSPRAY RG 24IV</t>
        </is>
      </c>
      <c r="C578" t="inlineStr">
        <is>
          <t>P_US_ULTA</t>
        </is>
      </c>
      <c r="D578" t="inlineStr">
        <is>
          <t>Stat Fcst L1</t>
        </is>
      </c>
      <c r="E578" t="n">
        <v>661.999980270862</v>
      </c>
      <c r="F578" t="n">
        <v>1001.77416652441</v>
      </c>
      <c r="G578" t="n">
        <v>2405</v>
      </c>
      <c r="H578" t="n">
        <v>1178</v>
      </c>
      <c r="I578" t="n">
        <v>1804</v>
      </c>
      <c r="J578" t="n">
        <v>1280</v>
      </c>
      <c r="K578" t="n">
        <v>531</v>
      </c>
      <c r="L578" t="n">
        <v>1360</v>
      </c>
      <c r="M578" t="n">
        <v>1949</v>
      </c>
      <c r="N578" t="n">
        <v>283</v>
      </c>
      <c r="O578" t="n">
        <v>1063</v>
      </c>
      <c r="P578" t="n">
        <v>1547</v>
      </c>
    </row>
    <row r="579">
      <c r="A579" s="1" t="n">
        <v>3616304077005</v>
      </c>
      <c r="B579" t="inlineStr">
        <is>
          <t>GUCCI BM EDP 10ML PENSPRAY RG 24IV</t>
        </is>
      </c>
      <c r="C579" t="inlineStr">
        <is>
          <t>P_US_ULTA</t>
        </is>
      </c>
      <c r="D579" t="inlineStr">
        <is>
          <t>Stat Fcst AR-NNET</t>
        </is>
      </c>
    </row>
    <row r="580">
      <c r="A580" s="1" t="n">
        <v>3616304077005</v>
      </c>
      <c r="B580" t="inlineStr">
        <is>
          <t>GUCCI BM EDP 10ML PENSPRAY RG 24IV</t>
        </is>
      </c>
      <c r="C580" t="inlineStr">
        <is>
          <t>P_US_ULTA</t>
        </is>
      </c>
      <c r="D580" t="inlineStr">
        <is>
          <t>Stat Fcst Auto ARIMA</t>
        </is>
      </c>
    </row>
    <row r="581">
      <c r="A581" s="1" t="n">
        <v>3616304077005</v>
      </c>
      <c r="B581" t="inlineStr">
        <is>
          <t>GUCCI BM EDP 10ML PENSPRAY RG 24IV</t>
        </is>
      </c>
      <c r="C581" t="inlineStr">
        <is>
          <t>P_US_ULTA</t>
        </is>
      </c>
      <c r="D581" t="inlineStr">
        <is>
          <t>Stat Fcst Croston</t>
        </is>
      </c>
    </row>
    <row r="582">
      <c r="A582" s="1" t="n">
        <v>3616304077005</v>
      </c>
      <c r="B582" t="inlineStr">
        <is>
          <t>GUCCI BM EDP 10ML PENSPRAY RG 24IV</t>
        </is>
      </c>
      <c r="C582" t="inlineStr">
        <is>
          <t>P_US_ULTA</t>
        </is>
      </c>
      <c r="D582" t="inlineStr">
        <is>
          <t>Stat Fcst DES</t>
        </is>
      </c>
    </row>
    <row r="583">
      <c r="A583" s="1" t="n">
        <v>3616304077005</v>
      </c>
      <c r="B583" t="inlineStr">
        <is>
          <t>GUCCI BM EDP 10ML PENSPRAY RG 24IV</t>
        </is>
      </c>
      <c r="C583" t="inlineStr">
        <is>
          <t>P_US_ULTA</t>
        </is>
      </c>
      <c r="D583" t="inlineStr">
        <is>
          <t>Stat Fcst ETS</t>
        </is>
      </c>
    </row>
    <row r="584">
      <c r="A584" s="1" t="n">
        <v>3616304077005</v>
      </c>
      <c r="B584" t="inlineStr">
        <is>
          <t>GUCCI BM EDP 10ML PENSPRAY RG 24IV</t>
        </is>
      </c>
      <c r="C584" t="inlineStr">
        <is>
          <t>P_US_ULTA</t>
        </is>
      </c>
      <c r="D584" t="inlineStr">
        <is>
          <t>Stat Fcst Moving Average</t>
        </is>
      </c>
    </row>
    <row r="585">
      <c r="A585" s="1" t="n">
        <v>3616304077005</v>
      </c>
      <c r="B585" t="inlineStr">
        <is>
          <t>GUCCI BM EDP 10ML PENSPRAY RG 24IV</t>
        </is>
      </c>
      <c r="C585" t="inlineStr">
        <is>
          <t>P_US_ULTA</t>
        </is>
      </c>
      <c r="D585" t="inlineStr">
        <is>
          <t>Stat Fcst Naive Random Walk</t>
        </is>
      </c>
    </row>
    <row r="586">
      <c r="A586" s="1" t="n">
        <v>3616304077005</v>
      </c>
      <c r="B586" t="inlineStr">
        <is>
          <t>GUCCI BM EDP 10ML PENSPRAY RG 24IV</t>
        </is>
      </c>
      <c r="C586" t="inlineStr">
        <is>
          <t>P_US_ULTA</t>
        </is>
      </c>
      <c r="D586" t="inlineStr">
        <is>
          <t>Stat Fcst Prophet</t>
        </is>
      </c>
    </row>
    <row r="587">
      <c r="A587" s="1" t="n">
        <v>3616304077005</v>
      </c>
      <c r="B587" t="inlineStr">
        <is>
          <t>GUCCI BM EDP 10ML PENSPRAY RG 24IV</t>
        </is>
      </c>
      <c r="C587" t="inlineStr">
        <is>
          <t>P_US_ULTA</t>
        </is>
      </c>
      <c r="D587" t="inlineStr">
        <is>
          <t>Stat Fcst sARIMA</t>
        </is>
      </c>
    </row>
    <row r="588">
      <c r="A588" s="1" t="n">
        <v>3616304077005</v>
      </c>
      <c r="B588" t="inlineStr">
        <is>
          <t>GUCCI BM EDP 10ML PENSPRAY RG 24IV</t>
        </is>
      </c>
      <c r="C588" t="inlineStr">
        <is>
          <t>P_US_ULTA</t>
        </is>
      </c>
      <c r="D588" t="inlineStr">
        <is>
          <t>Stat Fcst Seasonal Naive YoY</t>
        </is>
      </c>
    </row>
    <row r="589">
      <c r="A589" s="1" t="n">
        <v>3616304077005</v>
      </c>
      <c r="B589" t="inlineStr">
        <is>
          <t>GUCCI BM EDP 10ML PENSPRAY RG 24IV</t>
        </is>
      </c>
      <c r="C589" t="inlineStr">
        <is>
          <t>P_US_ULTA</t>
        </is>
      </c>
      <c r="D589" t="inlineStr">
        <is>
          <t>Stat Fcst SES</t>
        </is>
      </c>
    </row>
    <row r="590">
      <c r="A590" s="1" t="n">
        <v>3616304077005</v>
      </c>
      <c r="B590" t="inlineStr">
        <is>
          <t>GUCCI BM EDP 10ML PENSPRAY RG 24IV</t>
        </is>
      </c>
      <c r="C590" t="inlineStr">
        <is>
          <t>P_US_ULTA</t>
        </is>
      </c>
      <c r="D590" t="inlineStr">
        <is>
          <t>Stat Fcst STLF</t>
        </is>
      </c>
      <c r="E590" t="n">
        <v>0</v>
      </c>
      <c r="F590" t="n">
        <v>4946.78565974549</v>
      </c>
      <c r="G590" t="n">
        <v>4866.80726854925</v>
      </c>
      <c r="H590" t="n">
        <v>0</v>
      </c>
      <c r="I590" t="n">
        <v>1530.46626056399</v>
      </c>
      <c r="J590" t="n">
        <v>1376.70223520921</v>
      </c>
      <c r="K590" t="n">
        <v>159.069572506218</v>
      </c>
      <c r="L590" t="n">
        <v>1577.21930417775</v>
      </c>
      <c r="M590" t="n">
        <v>1717.77266589527</v>
      </c>
      <c r="N590" t="n">
        <v>468.320340987278</v>
      </c>
      <c r="O590" t="n">
        <v>1130.51271357849</v>
      </c>
      <c r="P590" t="n">
        <v>1238.00923232332</v>
      </c>
    </row>
    <row r="591">
      <c r="A591" s="1" t="n">
        <v>3616304077005</v>
      </c>
      <c r="B591" t="inlineStr">
        <is>
          <t>GUCCI BM EDP 10ML PENSPRAY RG 24IV</t>
        </is>
      </c>
      <c r="C591" t="inlineStr">
        <is>
          <t>P_US_ULTA</t>
        </is>
      </c>
      <c r="D591" t="inlineStr">
        <is>
          <t>Stat Fcst TBATS</t>
        </is>
      </c>
    </row>
    <row r="592">
      <c r="A592" s="1" t="n">
        <v>3616304077005</v>
      </c>
      <c r="B592" t="inlineStr">
        <is>
          <t>GUCCI BM EDP 10ML PENSPRAY RG 24IV</t>
        </is>
      </c>
      <c r="C592" t="inlineStr">
        <is>
          <t>P_US_ULTA</t>
        </is>
      </c>
      <c r="D592" t="inlineStr">
        <is>
          <t>Stat Fcst TES</t>
        </is>
      </c>
      <c r="E592" t="n">
        <v>328.682358706316</v>
      </c>
      <c r="F592" t="n">
        <v>3784.54612184865</v>
      </c>
      <c r="G592" t="n">
        <v>2693.96431561468</v>
      </c>
      <c r="H592" t="n">
        <v>1177.94856193508</v>
      </c>
      <c r="I592" t="n">
        <v>1806.30453109056</v>
      </c>
      <c r="J592" t="n">
        <v>1279.3324893517</v>
      </c>
      <c r="K592" t="n">
        <v>530.265408656051</v>
      </c>
      <c r="L592" t="n">
        <v>1361.76412202703</v>
      </c>
      <c r="M592" t="n">
        <v>1947.86192766159</v>
      </c>
      <c r="N592" t="n">
        <v>284.582087649061</v>
      </c>
      <c r="O592" t="n">
        <v>1062.52944534452</v>
      </c>
      <c r="P592" t="n">
        <v>1547.47438412409</v>
      </c>
    </row>
    <row r="593">
      <c r="A593" s="1" t="n">
        <v>3616304077005</v>
      </c>
      <c r="B593" t="inlineStr">
        <is>
          <t>GUCCI BM EDP 10ML PENSPRAY RG 24IV</t>
        </is>
      </c>
      <c r="C593" t="inlineStr">
        <is>
          <t>P_US_ULTA</t>
        </is>
      </c>
      <c r="D593" t="inlineStr">
        <is>
          <t>Stat Fcst Theta</t>
        </is>
      </c>
    </row>
    <row r="594">
      <c r="A594" s="1" t="n">
        <v>3616304077005</v>
      </c>
      <c r="B594" t="inlineStr">
        <is>
          <t>GUCCI BM EDP 10ML PENSPRAY RG 24IV</t>
        </is>
      </c>
      <c r="C594" t="inlineStr">
        <is>
          <t>P_US_ULTA</t>
        </is>
      </c>
      <c r="D594" t="inlineStr">
        <is>
          <t>System ML Fcst L1</t>
        </is>
      </c>
    </row>
    <row r="595">
      <c r="A595" s="1" t="n">
        <v>3616304077005</v>
      </c>
      <c r="B595" t="inlineStr">
        <is>
          <t>GUCCI BM EDP 10ML PENSPRAY RG 24IV</t>
        </is>
      </c>
      <c r="C595" t="inlineStr">
        <is>
          <t>P_US_ULTA</t>
        </is>
      </c>
      <c r="D595" t="inlineStr">
        <is>
          <t>Stat Fcst Simple Snaive</t>
        </is>
      </c>
      <c r="E595" t="n">
        <v>1267.49996222555</v>
      </c>
      <c r="F595" t="n">
        <v>2631.99979948997</v>
      </c>
      <c r="G595" t="n">
        <v>3459.2698825444</v>
      </c>
      <c r="H595" t="n">
        <v>1978.93630170018</v>
      </c>
      <c r="I595" t="n">
        <v>2971.93654558015</v>
      </c>
      <c r="J595" t="n">
        <v>713.333291729291</v>
      </c>
      <c r="K595" t="n">
        <v>102.99999693036</v>
      </c>
      <c r="L595" t="n">
        <v>1817</v>
      </c>
      <c r="M595" t="n">
        <v>1808.33315737049</v>
      </c>
      <c r="N595" t="n">
        <v>1048.00001561641</v>
      </c>
      <c r="O595" t="n">
        <v>1640.99991040428</v>
      </c>
      <c r="P595" t="n">
        <v>1666.6666790843</v>
      </c>
    </row>
    <row r="596">
      <c r="A596" s="1" t="n">
        <v>3616304077005</v>
      </c>
      <c r="B596" t="inlineStr">
        <is>
          <t>GUCCI BM EDP 10ML PENSPRAY RG 24IV</t>
        </is>
      </c>
      <c r="C596" t="inlineStr">
        <is>
          <t>P_US_ULTA</t>
        </is>
      </c>
      <c r="D596" t="inlineStr">
        <is>
          <t>Stat Fcst Simple AOA</t>
        </is>
      </c>
    </row>
    <row r="597">
      <c r="A597" s="1" t="n">
        <v>3616304077005</v>
      </c>
      <c r="B597" t="inlineStr">
        <is>
          <t>GUCCI BM EDP 10ML PENSPRAY RG 24IV</t>
        </is>
      </c>
      <c r="C597" t="inlineStr">
        <is>
          <t>P_US_ULTA</t>
        </is>
      </c>
      <c r="D597" t="inlineStr">
        <is>
          <t>Stat Fcst Weighted Snaive</t>
        </is>
      </c>
    </row>
    <row r="598">
      <c r="A598" s="1" t="n">
        <v>3616304077005</v>
      </c>
      <c r="B598" t="inlineStr">
        <is>
          <t>GUCCI BM EDP 10ML PENSPRAY RG 24IV</t>
        </is>
      </c>
      <c r="C598" t="inlineStr">
        <is>
          <t>P_US_ULTA</t>
        </is>
      </c>
      <c r="D598" t="inlineStr">
        <is>
          <t>Stat Fcst Weighted AOA</t>
        </is>
      </c>
    </row>
    <row r="599">
      <c r="A599" s="1" t="n">
        <v>3616304077005</v>
      </c>
      <c r="B599" t="inlineStr">
        <is>
          <t>GUCCI BM EDP 10ML PENSPRAY RG 24IV</t>
        </is>
      </c>
      <c r="C599" t="inlineStr">
        <is>
          <t>P_US_ULTA</t>
        </is>
      </c>
      <c r="D599" t="inlineStr">
        <is>
          <t>Stat Fcst Growth Snaive</t>
        </is>
      </c>
    </row>
    <row r="600">
      <c r="A600" s="1" t="n">
        <v>3616304077005</v>
      </c>
      <c r="B600" t="inlineStr">
        <is>
          <t>GUCCI BM EDP 10ML PENSPRAY RG 24IV</t>
        </is>
      </c>
      <c r="C600" t="inlineStr">
        <is>
          <t>P_US_ULTA</t>
        </is>
      </c>
      <c r="D600" t="inlineStr">
        <is>
          <t>Stat Fcst Growth AOA</t>
        </is>
      </c>
    </row>
    <row r="601">
      <c r="A601" s="1" t="n">
        <v>3616304077005</v>
      </c>
      <c r="B601" t="inlineStr">
        <is>
          <t>GUCCI BM EDP 10ML PENSPRAY RG 24IV</t>
        </is>
      </c>
      <c r="C601" t="inlineStr">
        <is>
          <t>P_US_ULTA</t>
        </is>
      </c>
      <c r="D601" t="inlineStr">
        <is>
          <t>System Stat Fcst Bestfit</t>
        </is>
      </c>
      <c r="H601" t="n">
        <v>1177.94845122252</v>
      </c>
      <c r="I601" t="n">
        <v>1806.3045788877</v>
      </c>
      <c r="J601" t="n">
        <v>1279.33248140416</v>
      </c>
      <c r="K601" t="n">
        <v>530.2653650562351</v>
      </c>
      <c r="L601" t="n">
        <v>1361.76416015625</v>
      </c>
      <c r="M601" t="n">
        <v>1947.86188042575</v>
      </c>
      <c r="N601" t="n">
        <v>284.582096525759</v>
      </c>
      <c r="O601" t="n">
        <v>1062.52938727946</v>
      </c>
      <c r="P601" t="n">
        <v>1547.47437676395</v>
      </c>
    </row>
    <row r="602">
      <c r="A602" s="1" t="n">
        <v>3616304077029</v>
      </c>
      <c r="B602" t="inlineStr">
        <is>
          <t>GUCCI BM EDT NS 10 ML PENSPRAY RGIV</t>
        </is>
      </c>
      <c r="C602" t="inlineStr">
        <is>
          <t>P_US_ALL_OTHERS</t>
        </is>
      </c>
      <c r="D602" t="inlineStr">
        <is>
          <t>Stat Fcst L1</t>
        </is>
      </c>
      <c r="E602" t="n">
        <v>2425.99992769956</v>
      </c>
      <c r="F602" t="n">
        <v>1055.93545430898</v>
      </c>
      <c r="G602" t="n">
        <v>3073</v>
      </c>
      <c r="H602" t="n">
        <v>1745</v>
      </c>
      <c r="I602" t="n">
        <v>360</v>
      </c>
      <c r="J602" t="n">
        <v>1851</v>
      </c>
      <c r="K602" t="n">
        <v>2081</v>
      </c>
      <c r="L602" t="n">
        <v>460</v>
      </c>
      <c r="M602" t="n">
        <v>3056</v>
      </c>
      <c r="N602" t="n">
        <v>142</v>
      </c>
      <c r="O602" t="n">
        <v>793</v>
      </c>
      <c r="P602" t="n">
        <v>1645</v>
      </c>
    </row>
    <row r="603">
      <c r="A603" s="1" t="n">
        <v>3616304077029</v>
      </c>
      <c r="B603" t="inlineStr">
        <is>
          <t>GUCCI BM EDT NS 10 ML PENSPRAY RGIV</t>
        </is>
      </c>
      <c r="C603" t="inlineStr">
        <is>
          <t>P_US_ALL_OTHERS</t>
        </is>
      </c>
      <c r="D603" t="inlineStr">
        <is>
          <t>Stat Fcst AR-NNET</t>
        </is>
      </c>
    </row>
    <row r="604">
      <c r="A604" s="1" t="n">
        <v>3616304077029</v>
      </c>
      <c r="B604" t="inlineStr">
        <is>
          <t>GUCCI BM EDT NS 10 ML PENSPRAY RGIV</t>
        </is>
      </c>
      <c r="C604" t="inlineStr">
        <is>
          <t>P_US_ALL_OTHERS</t>
        </is>
      </c>
      <c r="D604" t="inlineStr">
        <is>
          <t>Stat Fcst Auto ARIMA</t>
        </is>
      </c>
    </row>
    <row r="605">
      <c r="A605" s="1" t="n">
        <v>3616304077029</v>
      </c>
      <c r="B605" t="inlineStr">
        <is>
          <t>GUCCI BM EDT NS 10 ML PENSPRAY RGIV</t>
        </is>
      </c>
      <c r="C605" t="inlineStr">
        <is>
          <t>P_US_ALL_OTHERS</t>
        </is>
      </c>
      <c r="D605" t="inlineStr">
        <is>
          <t>Stat Fcst Croston</t>
        </is>
      </c>
    </row>
    <row r="606">
      <c r="A606" s="1" t="n">
        <v>3616304077029</v>
      </c>
      <c r="B606" t="inlineStr">
        <is>
          <t>GUCCI BM EDT NS 10 ML PENSPRAY RGIV</t>
        </is>
      </c>
      <c r="C606" t="inlineStr">
        <is>
          <t>P_US_ALL_OTHERS</t>
        </is>
      </c>
      <c r="D606" t="inlineStr">
        <is>
          <t>Stat Fcst DES</t>
        </is>
      </c>
    </row>
    <row r="607">
      <c r="A607" s="1" t="n">
        <v>3616304077029</v>
      </c>
      <c r="B607" t="inlineStr">
        <is>
          <t>GUCCI BM EDT NS 10 ML PENSPRAY RGIV</t>
        </is>
      </c>
      <c r="C607" t="inlineStr">
        <is>
          <t>P_US_ALL_OTHERS</t>
        </is>
      </c>
      <c r="D607" t="inlineStr">
        <is>
          <t>Stat Fcst ETS</t>
        </is>
      </c>
    </row>
    <row r="608">
      <c r="A608" s="1" t="n">
        <v>3616304077029</v>
      </c>
      <c r="B608" t="inlineStr">
        <is>
          <t>GUCCI BM EDT NS 10 ML PENSPRAY RGIV</t>
        </is>
      </c>
      <c r="C608" t="inlineStr">
        <is>
          <t>P_US_ALL_OTHERS</t>
        </is>
      </c>
      <c r="D608" t="inlineStr">
        <is>
          <t>Stat Fcst Moving Average</t>
        </is>
      </c>
    </row>
    <row r="609">
      <c r="A609" s="1" t="n">
        <v>3616304077029</v>
      </c>
      <c r="B609" t="inlineStr">
        <is>
          <t>GUCCI BM EDT NS 10 ML PENSPRAY RGIV</t>
        </is>
      </c>
      <c r="C609" t="inlineStr">
        <is>
          <t>P_US_ALL_OTHERS</t>
        </is>
      </c>
      <c r="D609" t="inlineStr">
        <is>
          <t>Stat Fcst Naive Random Walk</t>
        </is>
      </c>
    </row>
    <row r="610">
      <c r="A610" s="1" t="n">
        <v>3616304077029</v>
      </c>
      <c r="B610" t="inlineStr">
        <is>
          <t>GUCCI BM EDT NS 10 ML PENSPRAY RGIV</t>
        </is>
      </c>
      <c r="C610" t="inlineStr">
        <is>
          <t>P_US_ALL_OTHERS</t>
        </is>
      </c>
      <c r="D610" t="inlineStr">
        <is>
          <t>Stat Fcst Prophet</t>
        </is>
      </c>
    </row>
    <row r="611">
      <c r="A611" s="1" t="n">
        <v>3616304077029</v>
      </c>
      <c r="B611" t="inlineStr">
        <is>
          <t>GUCCI BM EDT NS 10 ML PENSPRAY RGIV</t>
        </is>
      </c>
      <c r="C611" t="inlineStr">
        <is>
          <t>P_US_ALL_OTHERS</t>
        </is>
      </c>
      <c r="D611" t="inlineStr">
        <is>
          <t>Stat Fcst sARIMA</t>
        </is>
      </c>
    </row>
    <row r="612">
      <c r="A612" s="1" t="n">
        <v>3616304077029</v>
      </c>
      <c r="B612" t="inlineStr">
        <is>
          <t>GUCCI BM EDT NS 10 ML PENSPRAY RGIV</t>
        </is>
      </c>
      <c r="C612" t="inlineStr">
        <is>
          <t>P_US_ALL_OTHERS</t>
        </is>
      </c>
      <c r="D612" t="inlineStr">
        <is>
          <t>Stat Fcst Seasonal Naive YoY</t>
        </is>
      </c>
    </row>
    <row r="613">
      <c r="A613" s="1" t="n">
        <v>3616304077029</v>
      </c>
      <c r="B613" t="inlineStr">
        <is>
          <t>GUCCI BM EDT NS 10 ML PENSPRAY RGIV</t>
        </is>
      </c>
      <c r="C613" t="inlineStr">
        <is>
          <t>P_US_ALL_OTHERS</t>
        </is>
      </c>
      <c r="D613" t="inlineStr">
        <is>
          <t>Stat Fcst SES</t>
        </is>
      </c>
    </row>
    <row r="614">
      <c r="A614" s="1" t="n">
        <v>3616304077029</v>
      </c>
      <c r="B614" t="inlineStr">
        <is>
          <t>GUCCI BM EDT NS 10 ML PENSPRAY RGIV</t>
        </is>
      </c>
      <c r="C614" t="inlineStr">
        <is>
          <t>P_US_ALL_OTHERS</t>
        </is>
      </c>
      <c r="D614" t="inlineStr">
        <is>
          <t>Stat Fcst STLF</t>
        </is>
      </c>
      <c r="E614" t="n">
        <v>1399.69086805708</v>
      </c>
      <c r="F614" t="n">
        <v>2073.46171719915</v>
      </c>
      <c r="G614" t="n">
        <v>1789.61161601188</v>
      </c>
      <c r="H614" t="n">
        <v>2778.9986411689</v>
      </c>
      <c r="I614" t="n">
        <v>412.284031406263</v>
      </c>
      <c r="J614" t="n">
        <v>4000.31733456835</v>
      </c>
      <c r="K614" t="n">
        <v>1861.09042575795</v>
      </c>
      <c r="L614" t="n">
        <v>0</v>
      </c>
      <c r="M614" t="n">
        <v>1755.06420847195</v>
      </c>
      <c r="N614" t="n">
        <v>1047.73793388225</v>
      </c>
      <c r="O614" t="n">
        <v>0</v>
      </c>
      <c r="P614" t="n">
        <v>0</v>
      </c>
    </row>
    <row r="615">
      <c r="A615" s="1" t="n">
        <v>3616304077029</v>
      </c>
      <c r="B615" t="inlineStr">
        <is>
          <t>GUCCI BM EDT NS 10 ML PENSPRAY RGIV</t>
        </is>
      </c>
      <c r="C615" t="inlineStr">
        <is>
          <t>P_US_ALL_OTHERS</t>
        </is>
      </c>
      <c r="D615" t="inlineStr">
        <is>
          <t>Stat Fcst TBATS</t>
        </is>
      </c>
    </row>
    <row r="616">
      <c r="A616" s="1" t="n">
        <v>3616304077029</v>
      </c>
      <c r="B616" t="inlineStr">
        <is>
          <t>GUCCI BM EDT NS 10 ML PENSPRAY RGIV</t>
        </is>
      </c>
      <c r="C616" t="inlineStr">
        <is>
          <t>P_US_ALL_OTHERS</t>
        </is>
      </c>
      <c r="D616" t="inlineStr">
        <is>
          <t>Stat Fcst TES</t>
        </is>
      </c>
      <c r="E616" t="n">
        <v>1467.8678192999</v>
      </c>
      <c r="F616" t="n">
        <v>2406.10474541052</v>
      </c>
      <c r="G616" t="n">
        <v>4026.07777740023</v>
      </c>
      <c r="H616" t="n">
        <v>1621.81902503178</v>
      </c>
      <c r="I616" t="n">
        <v>243.179047322427</v>
      </c>
      <c r="J616" t="n">
        <v>606.84985601978</v>
      </c>
      <c r="K616" t="n">
        <v>0</v>
      </c>
      <c r="L616" t="n">
        <v>268.607243511359</v>
      </c>
      <c r="M616" t="n">
        <v>504.782696835464</v>
      </c>
      <c r="N616" t="n">
        <v>0</v>
      </c>
      <c r="O616" t="n">
        <v>63.0596164742532</v>
      </c>
      <c r="P616" t="n">
        <v>0</v>
      </c>
    </row>
    <row r="617">
      <c r="A617" s="1" t="n">
        <v>3616304077029</v>
      </c>
      <c r="B617" t="inlineStr">
        <is>
          <t>GUCCI BM EDT NS 10 ML PENSPRAY RGIV</t>
        </is>
      </c>
      <c r="C617" t="inlineStr">
        <is>
          <t>P_US_ALL_OTHERS</t>
        </is>
      </c>
      <c r="D617" t="inlineStr">
        <is>
          <t>Stat Fcst Theta</t>
        </is>
      </c>
    </row>
    <row r="618">
      <c r="A618" s="1" t="n">
        <v>3616304077029</v>
      </c>
      <c r="B618" t="inlineStr">
        <is>
          <t>GUCCI BM EDT NS 10 ML PENSPRAY RGIV</t>
        </is>
      </c>
      <c r="C618" t="inlineStr">
        <is>
          <t>P_US_ALL_OTHERS</t>
        </is>
      </c>
      <c r="D618" t="inlineStr">
        <is>
          <t>System ML Fcst L1</t>
        </is>
      </c>
    </row>
    <row r="619">
      <c r="A619" s="1" t="n">
        <v>3616304077029</v>
      </c>
      <c r="B619" t="inlineStr">
        <is>
          <t>GUCCI BM EDT NS 10 ML PENSPRAY RGIV</t>
        </is>
      </c>
      <c r="C619" t="inlineStr">
        <is>
          <t>P_US_ALL_OTHERS</t>
        </is>
      </c>
      <c r="D619" t="inlineStr">
        <is>
          <t>Stat Fcst Simple Snaive</t>
        </is>
      </c>
      <c r="E619" t="n">
        <v>3506.499834463</v>
      </c>
      <c r="F619" t="n">
        <v>7499.99977648258</v>
      </c>
      <c r="G619" t="n">
        <v>3075.2036361933</v>
      </c>
      <c r="H619" t="n">
        <v>1743.99994802474</v>
      </c>
      <c r="I619" t="n">
        <v>359.000002674758</v>
      </c>
      <c r="J619" t="n">
        <v>1849.9999448657</v>
      </c>
      <c r="K619" t="n">
        <v>2080.66659949223</v>
      </c>
      <c r="L619" t="n">
        <v>458.666666666666</v>
      </c>
      <c r="M619" t="n">
        <v>3055.53669279207</v>
      </c>
      <c r="N619" t="n">
        <v>142.333335454265</v>
      </c>
      <c r="O619" t="n">
        <v>792.33330971996</v>
      </c>
      <c r="P619" t="n">
        <v>1644.66667892038</v>
      </c>
    </row>
    <row r="620">
      <c r="A620" s="1" t="n">
        <v>3616304077029</v>
      </c>
      <c r="B620" t="inlineStr">
        <is>
          <t>GUCCI BM EDT NS 10 ML PENSPRAY RGIV</t>
        </is>
      </c>
      <c r="C620" t="inlineStr">
        <is>
          <t>P_US_ALL_OTHERS</t>
        </is>
      </c>
      <c r="D620" t="inlineStr">
        <is>
          <t>Stat Fcst Simple AOA</t>
        </is>
      </c>
    </row>
    <row r="621">
      <c r="A621" s="1" t="n">
        <v>3616304077029</v>
      </c>
      <c r="B621" t="inlineStr">
        <is>
          <t>GUCCI BM EDT NS 10 ML PENSPRAY RGIV</t>
        </is>
      </c>
      <c r="C621" t="inlineStr">
        <is>
          <t>P_US_ALL_OTHERS</t>
        </is>
      </c>
      <c r="D621" t="inlineStr">
        <is>
          <t>Stat Fcst Weighted Snaive</t>
        </is>
      </c>
    </row>
    <row r="622">
      <c r="A622" s="1" t="n">
        <v>3616304077029</v>
      </c>
      <c r="B622" t="inlineStr">
        <is>
          <t>GUCCI BM EDT NS 10 ML PENSPRAY RGIV</t>
        </is>
      </c>
      <c r="C622" t="inlineStr">
        <is>
          <t>P_US_ALL_OTHERS</t>
        </is>
      </c>
      <c r="D622" t="inlineStr">
        <is>
          <t>Stat Fcst Weighted AOA</t>
        </is>
      </c>
    </row>
    <row r="623">
      <c r="A623" s="1" t="n">
        <v>3616304077029</v>
      </c>
      <c r="B623" t="inlineStr">
        <is>
          <t>GUCCI BM EDT NS 10 ML PENSPRAY RGIV</t>
        </is>
      </c>
      <c r="C623" t="inlineStr">
        <is>
          <t>P_US_ALL_OTHERS</t>
        </is>
      </c>
      <c r="D623" t="inlineStr">
        <is>
          <t>Stat Fcst Growth Snaive</t>
        </is>
      </c>
    </row>
    <row r="624">
      <c r="A624" s="1" t="n">
        <v>3616304077029</v>
      </c>
      <c r="B624" t="inlineStr">
        <is>
          <t>GUCCI BM EDT NS 10 ML PENSPRAY RGIV</t>
        </is>
      </c>
      <c r="C624" t="inlineStr">
        <is>
          <t>P_US_ALL_OTHERS</t>
        </is>
      </c>
      <c r="D624" t="inlineStr">
        <is>
          <t>Stat Fcst Growth AOA</t>
        </is>
      </c>
    </row>
    <row r="625">
      <c r="A625" s="1" t="n">
        <v>3616304077029</v>
      </c>
      <c r="B625" t="inlineStr">
        <is>
          <t>GUCCI BM EDT NS 10 ML PENSPRAY RGIV</t>
        </is>
      </c>
      <c r="C625" t="inlineStr">
        <is>
          <t>P_US_ALL_OTHERS</t>
        </is>
      </c>
      <c r="D625" t="inlineStr">
        <is>
          <t>System Stat Fcst Bestfit</t>
        </is>
      </c>
      <c r="H625" t="n">
        <v>1743.99982595444</v>
      </c>
      <c r="I625" t="n">
        <v>359.000002674758</v>
      </c>
      <c r="J625" t="n">
        <v>1849.99982279539</v>
      </c>
      <c r="K625" t="n">
        <v>2080.66644189755</v>
      </c>
      <c r="L625" t="n">
        <v>458.66665649414</v>
      </c>
      <c r="M625" t="n">
        <v>3055.53653003166</v>
      </c>
      <c r="N625" t="n">
        <v>142.333345626791</v>
      </c>
      <c r="O625" t="n">
        <v>792.333289374908</v>
      </c>
      <c r="P625" t="n">
        <v>1644.66676030059</v>
      </c>
    </row>
    <row r="626">
      <c r="A626" s="1" t="n">
        <v>3616304077029</v>
      </c>
      <c r="B626" t="inlineStr">
        <is>
          <t>GUCCI BM EDT NS 10 ML PENSPRAY RGIV</t>
        </is>
      </c>
      <c r="C626" t="inlineStr">
        <is>
          <t>P_US_ULTA</t>
        </is>
      </c>
      <c r="D626" t="inlineStr">
        <is>
          <t>Stat Fcst L1</t>
        </is>
      </c>
      <c r="E626" t="n">
        <v>11.9999996423721</v>
      </c>
      <c r="F626" t="n">
        <v>11.6129028797149</v>
      </c>
      <c r="G626" t="n">
        <v>819</v>
      </c>
      <c r="H626" t="n">
        <v>0</v>
      </c>
      <c r="I626" t="n">
        <v>4</v>
      </c>
      <c r="J626" t="n">
        <v>71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3616304077029</v>
      </c>
      <c r="B627" t="inlineStr">
        <is>
          <t>GUCCI BM EDT NS 10 ML PENSPRAY RGIV</t>
        </is>
      </c>
      <c r="C627" t="inlineStr">
        <is>
          <t>P_US_ULTA</t>
        </is>
      </c>
      <c r="D627" t="inlineStr">
        <is>
          <t>Stat Fcst AR-NNET</t>
        </is>
      </c>
    </row>
    <row r="628">
      <c r="A628" s="1" t="n">
        <v>3616304077029</v>
      </c>
      <c r="B628" t="inlineStr">
        <is>
          <t>GUCCI BM EDT NS 10 ML PENSPRAY RGIV</t>
        </is>
      </c>
      <c r="C628" t="inlineStr">
        <is>
          <t>P_US_ULTA</t>
        </is>
      </c>
      <c r="D628" t="inlineStr">
        <is>
          <t>Stat Fcst Auto ARIMA</t>
        </is>
      </c>
    </row>
    <row r="629">
      <c r="A629" s="1" t="n">
        <v>3616304077029</v>
      </c>
      <c r="B629" t="inlineStr">
        <is>
          <t>GUCCI BM EDT NS 10 ML PENSPRAY RGIV</t>
        </is>
      </c>
      <c r="C629" t="inlineStr">
        <is>
          <t>P_US_ULTA</t>
        </is>
      </c>
      <c r="D629" t="inlineStr">
        <is>
          <t>Stat Fcst Croston</t>
        </is>
      </c>
    </row>
    <row r="630">
      <c r="A630" s="1" t="n">
        <v>3616304077029</v>
      </c>
      <c r="B630" t="inlineStr">
        <is>
          <t>GUCCI BM EDT NS 10 ML PENSPRAY RGIV</t>
        </is>
      </c>
      <c r="C630" t="inlineStr">
        <is>
          <t>P_US_ULTA</t>
        </is>
      </c>
      <c r="D630" t="inlineStr">
        <is>
          <t>Stat Fcst DES</t>
        </is>
      </c>
    </row>
    <row r="631">
      <c r="A631" s="1" t="n">
        <v>3616304077029</v>
      </c>
      <c r="B631" t="inlineStr">
        <is>
          <t>GUCCI BM EDT NS 10 ML PENSPRAY RGIV</t>
        </is>
      </c>
      <c r="C631" t="inlineStr">
        <is>
          <t>P_US_ULTA</t>
        </is>
      </c>
      <c r="D631" t="inlineStr">
        <is>
          <t>Stat Fcst ETS</t>
        </is>
      </c>
    </row>
    <row r="632">
      <c r="A632" s="1" t="n">
        <v>3616304077029</v>
      </c>
      <c r="B632" t="inlineStr">
        <is>
          <t>GUCCI BM EDT NS 10 ML PENSPRAY RGIV</t>
        </is>
      </c>
      <c r="C632" t="inlineStr">
        <is>
          <t>P_US_ULTA</t>
        </is>
      </c>
      <c r="D632" t="inlineStr">
        <is>
          <t>Stat Fcst Moving Average</t>
        </is>
      </c>
    </row>
    <row r="633">
      <c r="A633" s="1" t="n">
        <v>3616304077029</v>
      </c>
      <c r="B633" t="inlineStr">
        <is>
          <t>GUCCI BM EDT NS 10 ML PENSPRAY RGIV</t>
        </is>
      </c>
      <c r="C633" t="inlineStr">
        <is>
          <t>P_US_ULTA</t>
        </is>
      </c>
      <c r="D633" t="inlineStr">
        <is>
          <t>Stat Fcst Naive Random Walk</t>
        </is>
      </c>
    </row>
    <row r="634">
      <c r="A634" s="1" t="n">
        <v>3616304077029</v>
      </c>
      <c r="B634" t="inlineStr">
        <is>
          <t>GUCCI BM EDT NS 10 ML PENSPRAY RGIV</t>
        </is>
      </c>
      <c r="C634" t="inlineStr">
        <is>
          <t>P_US_ULTA</t>
        </is>
      </c>
      <c r="D634" t="inlineStr">
        <is>
          <t>Stat Fcst Prophet</t>
        </is>
      </c>
    </row>
    <row r="635">
      <c r="A635" s="1" t="n">
        <v>3616304077029</v>
      </c>
      <c r="B635" t="inlineStr">
        <is>
          <t>GUCCI BM EDT NS 10 ML PENSPRAY RGIV</t>
        </is>
      </c>
      <c r="C635" t="inlineStr">
        <is>
          <t>P_US_ULTA</t>
        </is>
      </c>
      <c r="D635" t="inlineStr">
        <is>
          <t>Stat Fcst sARIMA</t>
        </is>
      </c>
    </row>
    <row r="636">
      <c r="A636" s="1" t="n">
        <v>3616304077029</v>
      </c>
      <c r="B636" t="inlineStr">
        <is>
          <t>GUCCI BM EDT NS 10 ML PENSPRAY RGIV</t>
        </is>
      </c>
      <c r="C636" t="inlineStr">
        <is>
          <t>P_US_ULTA</t>
        </is>
      </c>
      <c r="D636" t="inlineStr">
        <is>
          <t>Stat Fcst Seasonal Naive YoY</t>
        </is>
      </c>
    </row>
    <row r="637">
      <c r="A637" s="1" t="n">
        <v>3616304077029</v>
      </c>
      <c r="B637" t="inlineStr">
        <is>
          <t>GUCCI BM EDT NS 10 ML PENSPRAY RGIV</t>
        </is>
      </c>
      <c r="C637" t="inlineStr">
        <is>
          <t>P_US_ULTA</t>
        </is>
      </c>
      <c r="D637" t="inlineStr">
        <is>
          <t>Stat Fcst SES</t>
        </is>
      </c>
    </row>
    <row r="638">
      <c r="A638" s="1" t="n">
        <v>3616304077029</v>
      </c>
      <c r="B638" t="inlineStr">
        <is>
          <t>GUCCI BM EDT NS 10 ML PENSPRAY RGIV</t>
        </is>
      </c>
      <c r="C638" t="inlineStr">
        <is>
          <t>P_US_ULTA</t>
        </is>
      </c>
      <c r="D638" t="inlineStr">
        <is>
          <t>Stat Fcst STLF</t>
        </is>
      </c>
      <c r="E638" t="n">
        <v>0</v>
      </c>
      <c r="F638" t="n">
        <v>0</v>
      </c>
      <c r="G638" t="n">
        <v>538.013470210294</v>
      </c>
      <c r="H638" t="n">
        <v>0</v>
      </c>
      <c r="I638" t="n">
        <v>4.73790287624016</v>
      </c>
      <c r="J638" t="n">
        <v>70.8271723901625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3616304077029</v>
      </c>
      <c r="B639" t="inlineStr">
        <is>
          <t>GUCCI BM EDT NS 10 ML PENSPRAY RGIV</t>
        </is>
      </c>
      <c r="C639" t="inlineStr">
        <is>
          <t>P_US_ULTA</t>
        </is>
      </c>
      <c r="D639" t="inlineStr">
        <is>
          <t>Stat Fcst TBATS</t>
        </is>
      </c>
    </row>
    <row r="640">
      <c r="A640" s="1" t="n">
        <v>3616304077029</v>
      </c>
      <c r="B640" t="inlineStr">
        <is>
          <t>GUCCI BM EDT NS 10 ML PENSPRAY RGIV</t>
        </is>
      </c>
      <c r="C640" t="inlineStr">
        <is>
          <t>P_US_ULTA</t>
        </is>
      </c>
      <c r="D640" t="inlineStr">
        <is>
          <t>Stat Fcst TES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3616304077029</v>
      </c>
      <c r="B641" t="inlineStr">
        <is>
          <t>GUCCI BM EDT NS 10 ML PENSPRAY RGIV</t>
        </is>
      </c>
      <c r="C641" t="inlineStr">
        <is>
          <t>P_US_ULTA</t>
        </is>
      </c>
      <c r="D641" t="inlineStr">
        <is>
          <t>Stat Fcst Theta</t>
        </is>
      </c>
    </row>
    <row r="642">
      <c r="A642" s="1" t="n">
        <v>3616304077029</v>
      </c>
      <c r="B642" t="inlineStr">
        <is>
          <t>GUCCI BM EDT NS 10 ML PENSPRAY RGIV</t>
        </is>
      </c>
      <c r="C642" t="inlineStr">
        <is>
          <t>P_US_ULTA</t>
        </is>
      </c>
      <c r="D642" t="inlineStr">
        <is>
          <t>System ML Fcst L1</t>
        </is>
      </c>
    </row>
    <row r="643">
      <c r="A643" s="1" t="n">
        <v>3616304077029</v>
      </c>
      <c r="B643" t="inlineStr">
        <is>
          <t>GUCCI BM EDT NS 10 ML PENSPRAY RGIV</t>
        </is>
      </c>
      <c r="C643" t="inlineStr">
        <is>
          <t>P_US_ULTA</t>
        </is>
      </c>
      <c r="D643" t="inlineStr">
        <is>
          <t>Stat Fcst Simple Snaive</t>
        </is>
      </c>
      <c r="E643" t="n">
        <v>1069.49996812641</v>
      </c>
      <c r="F643" t="n">
        <v>80.9999974668026</v>
      </c>
      <c r="G643" t="n">
        <v>1231.66667584329</v>
      </c>
      <c r="H643" t="n">
        <v>897.684542923632</v>
      </c>
      <c r="I643" t="n">
        <v>530.333377974729</v>
      </c>
      <c r="J643" t="n">
        <v>238.999992877244</v>
      </c>
      <c r="K643" t="n">
        <v>310.666637063027</v>
      </c>
      <c r="L643" t="n">
        <v>887.333333333333</v>
      </c>
      <c r="M643" t="n">
        <v>914.333305766185</v>
      </c>
      <c r="N643" t="n">
        <v>841.333345870177</v>
      </c>
      <c r="O643" t="n">
        <v>732.999978154897</v>
      </c>
      <c r="P643" t="n">
        <v>759.333338990807</v>
      </c>
    </row>
    <row r="644">
      <c r="A644" s="1" t="n">
        <v>3616304077029</v>
      </c>
      <c r="B644" t="inlineStr">
        <is>
          <t>GUCCI BM EDT NS 10 ML PENSPRAY RGIV</t>
        </is>
      </c>
      <c r="C644" t="inlineStr">
        <is>
          <t>P_US_ULTA</t>
        </is>
      </c>
      <c r="D644" t="inlineStr">
        <is>
          <t>Stat Fcst Simple AOA</t>
        </is>
      </c>
    </row>
    <row r="645">
      <c r="A645" s="1" t="n">
        <v>3616304077029</v>
      </c>
      <c r="B645" t="inlineStr">
        <is>
          <t>GUCCI BM EDT NS 10 ML PENSPRAY RGIV</t>
        </is>
      </c>
      <c r="C645" t="inlineStr">
        <is>
          <t>P_US_ULTA</t>
        </is>
      </c>
      <c r="D645" t="inlineStr">
        <is>
          <t>Stat Fcst Weighted Snaive</t>
        </is>
      </c>
    </row>
    <row r="646">
      <c r="A646" s="1" t="n">
        <v>3616304077029</v>
      </c>
      <c r="B646" t="inlineStr">
        <is>
          <t>GUCCI BM EDT NS 10 ML PENSPRAY RGIV</t>
        </is>
      </c>
      <c r="C646" t="inlineStr">
        <is>
          <t>P_US_ULTA</t>
        </is>
      </c>
      <c r="D646" t="inlineStr">
        <is>
          <t>Stat Fcst Weighted AOA</t>
        </is>
      </c>
    </row>
    <row r="647">
      <c r="A647" s="1" t="n">
        <v>3616304077029</v>
      </c>
      <c r="B647" t="inlineStr">
        <is>
          <t>GUCCI BM EDT NS 10 ML PENSPRAY RGIV</t>
        </is>
      </c>
      <c r="C647" t="inlineStr">
        <is>
          <t>P_US_ULTA</t>
        </is>
      </c>
      <c r="D647" t="inlineStr">
        <is>
          <t>Stat Fcst Growth Snaive</t>
        </is>
      </c>
    </row>
    <row r="648">
      <c r="A648" s="1" t="n">
        <v>3616304077029</v>
      </c>
      <c r="B648" t="inlineStr">
        <is>
          <t>GUCCI BM EDT NS 10 ML PENSPRAY RGIV</t>
        </is>
      </c>
      <c r="C648" t="inlineStr">
        <is>
          <t>P_US_ULTA</t>
        </is>
      </c>
      <c r="D648" t="inlineStr">
        <is>
          <t>Stat Fcst Growth AOA</t>
        </is>
      </c>
    </row>
    <row r="649">
      <c r="A649" s="1" t="n">
        <v>3616304077029</v>
      </c>
      <c r="B649" t="inlineStr">
        <is>
          <t>GUCCI BM EDT NS 10 ML PENSPRAY RGIV</t>
        </is>
      </c>
      <c r="C649" t="inlineStr">
        <is>
          <t>P_US_ULTA</t>
        </is>
      </c>
      <c r="D649" t="inlineStr">
        <is>
          <t>System Stat Fcst Bestfit</t>
        </is>
      </c>
      <c r="H649" t="n">
        <v>0</v>
      </c>
      <c r="I649" t="n">
        <v>4.73790315343367</v>
      </c>
      <c r="J649" t="n">
        <v>70.8271692148694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3616304175893</v>
      </c>
      <c r="B650" t="inlineStr">
        <is>
          <t>GG ELIXIR PH PRFM 60 ML NS IV</t>
        </is>
      </c>
      <c r="C650" t="inlineStr">
        <is>
          <t>P_US_ALL_OTHERS</t>
        </is>
      </c>
      <c r="D650" t="inlineStr">
        <is>
          <t>Stat Fcst L1</t>
        </is>
      </c>
      <c r="E650" t="n">
        <v>2256.99993273615</v>
      </c>
      <c r="F650" t="n">
        <v>3584.99989315867</v>
      </c>
      <c r="G650" t="n">
        <v>4342</v>
      </c>
      <c r="H650" t="n">
        <v>2648</v>
      </c>
      <c r="I650" t="n">
        <v>2978</v>
      </c>
      <c r="J650" t="n">
        <v>4538</v>
      </c>
      <c r="K650" t="n">
        <v>266</v>
      </c>
      <c r="L650" t="n">
        <v>1444</v>
      </c>
      <c r="M650" t="n">
        <v>2059</v>
      </c>
      <c r="N650" t="n">
        <v>343</v>
      </c>
      <c r="O650" t="n">
        <v>3662</v>
      </c>
      <c r="P650" t="n">
        <v>2343</v>
      </c>
    </row>
    <row r="651">
      <c r="A651" s="1" t="n">
        <v>3616304175893</v>
      </c>
      <c r="B651" t="inlineStr">
        <is>
          <t>GG ELIXIR PH PRFM 60 ML NS IV</t>
        </is>
      </c>
      <c r="C651" t="inlineStr">
        <is>
          <t>P_US_ALL_OTHERS</t>
        </is>
      </c>
      <c r="D651" t="inlineStr">
        <is>
          <t>Stat Fcst AR-NNET</t>
        </is>
      </c>
    </row>
    <row r="652">
      <c r="A652" s="1" t="n">
        <v>3616304175893</v>
      </c>
      <c r="B652" t="inlineStr">
        <is>
          <t>GG ELIXIR PH PRFM 60 ML NS IV</t>
        </is>
      </c>
      <c r="C652" t="inlineStr">
        <is>
          <t>P_US_ALL_OTHERS</t>
        </is>
      </c>
      <c r="D652" t="inlineStr">
        <is>
          <t>Stat Fcst Auto ARIMA</t>
        </is>
      </c>
    </row>
    <row r="653">
      <c r="A653" s="1" t="n">
        <v>3616304175893</v>
      </c>
      <c r="B653" t="inlineStr">
        <is>
          <t>GG ELIXIR PH PRFM 60 ML NS IV</t>
        </is>
      </c>
      <c r="C653" t="inlineStr">
        <is>
          <t>P_US_ALL_OTHERS</t>
        </is>
      </c>
      <c r="D653" t="inlineStr">
        <is>
          <t>Stat Fcst Croston</t>
        </is>
      </c>
    </row>
    <row r="654">
      <c r="A654" s="1" t="n">
        <v>3616304175893</v>
      </c>
      <c r="B654" t="inlineStr">
        <is>
          <t>GG ELIXIR PH PRFM 60 ML NS IV</t>
        </is>
      </c>
      <c r="C654" t="inlineStr">
        <is>
          <t>P_US_ALL_OTHERS</t>
        </is>
      </c>
      <c r="D654" t="inlineStr">
        <is>
          <t>Stat Fcst DES</t>
        </is>
      </c>
    </row>
    <row r="655">
      <c r="A655" s="1" t="n">
        <v>3616304175893</v>
      </c>
      <c r="B655" t="inlineStr">
        <is>
          <t>GG ELIXIR PH PRFM 60 ML NS IV</t>
        </is>
      </c>
      <c r="C655" t="inlineStr">
        <is>
          <t>P_US_ALL_OTHERS</t>
        </is>
      </c>
      <c r="D655" t="inlineStr">
        <is>
          <t>Stat Fcst ETS</t>
        </is>
      </c>
    </row>
    <row r="656">
      <c r="A656" s="1" t="n">
        <v>3616304175893</v>
      </c>
      <c r="B656" t="inlineStr">
        <is>
          <t>GG ELIXIR PH PRFM 60 ML NS IV</t>
        </is>
      </c>
      <c r="C656" t="inlineStr">
        <is>
          <t>P_US_ALL_OTHERS</t>
        </is>
      </c>
      <c r="D656" t="inlineStr">
        <is>
          <t>Stat Fcst Moving Average</t>
        </is>
      </c>
    </row>
    <row r="657">
      <c r="A657" s="1" t="n">
        <v>3616304175893</v>
      </c>
      <c r="B657" t="inlineStr">
        <is>
          <t>GG ELIXIR PH PRFM 60 ML NS IV</t>
        </is>
      </c>
      <c r="C657" t="inlineStr">
        <is>
          <t>P_US_ALL_OTHERS</t>
        </is>
      </c>
      <c r="D657" t="inlineStr">
        <is>
          <t>Stat Fcst Naive Random Walk</t>
        </is>
      </c>
    </row>
    <row r="658">
      <c r="A658" s="1" t="n">
        <v>3616304175893</v>
      </c>
      <c r="B658" t="inlineStr">
        <is>
          <t>GG ELIXIR PH PRFM 60 ML NS IV</t>
        </is>
      </c>
      <c r="C658" t="inlineStr">
        <is>
          <t>P_US_ALL_OTHERS</t>
        </is>
      </c>
      <c r="D658" t="inlineStr">
        <is>
          <t>Stat Fcst Prophet</t>
        </is>
      </c>
    </row>
    <row r="659">
      <c r="A659" s="1" t="n">
        <v>3616304175893</v>
      </c>
      <c r="B659" t="inlineStr">
        <is>
          <t>GG ELIXIR PH PRFM 60 ML NS IV</t>
        </is>
      </c>
      <c r="C659" t="inlineStr">
        <is>
          <t>P_US_ALL_OTHERS</t>
        </is>
      </c>
      <c r="D659" t="inlineStr">
        <is>
          <t>Stat Fcst sARIMA</t>
        </is>
      </c>
    </row>
    <row r="660">
      <c r="A660" s="1" t="n">
        <v>3616304175893</v>
      </c>
      <c r="B660" t="inlineStr">
        <is>
          <t>GG ELIXIR PH PRFM 60 ML NS IV</t>
        </is>
      </c>
      <c r="C660" t="inlineStr">
        <is>
          <t>P_US_ALL_OTHERS</t>
        </is>
      </c>
      <c r="D660" t="inlineStr">
        <is>
          <t>Stat Fcst Seasonal Naive YoY</t>
        </is>
      </c>
    </row>
    <row r="661">
      <c r="A661" s="1" t="n">
        <v>3616304175893</v>
      </c>
      <c r="B661" t="inlineStr">
        <is>
          <t>GG ELIXIR PH PRFM 60 ML NS IV</t>
        </is>
      </c>
      <c r="C661" t="inlineStr">
        <is>
          <t>P_US_ALL_OTHERS</t>
        </is>
      </c>
      <c r="D661" t="inlineStr">
        <is>
          <t>Stat Fcst SES</t>
        </is>
      </c>
    </row>
    <row r="662">
      <c r="A662" s="1" t="n">
        <v>3616304175893</v>
      </c>
      <c r="B662" t="inlineStr">
        <is>
          <t>GG ELIXIR PH PRFM 60 ML NS IV</t>
        </is>
      </c>
      <c r="C662" t="inlineStr">
        <is>
          <t>P_US_ALL_OTHERS</t>
        </is>
      </c>
      <c r="D662" t="inlineStr">
        <is>
          <t>Stat Fcst STLF</t>
        </is>
      </c>
      <c r="E662" t="n">
        <v>527.618534540483</v>
      </c>
      <c r="F662" t="n">
        <v>4478.29488223634</v>
      </c>
      <c r="G662" t="n">
        <v>7382.57825108386</v>
      </c>
      <c r="H662" t="n">
        <v>3513.58871608571</v>
      </c>
      <c r="I662" t="n">
        <v>2777.75059507268</v>
      </c>
      <c r="J662" t="n">
        <v>2871.68033493427</v>
      </c>
      <c r="K662" t="n">
        <v>1194.82258960666</v>
      </c>
      <c r="L662" t="n">
        <v>4427.39751274117</v>
      </c>
      <c r="M662" t="n">
        <v>3528.12394272665</v>
      </c>
      <c r="N662" t="n">
        <v>3033.6346679715</v>
      </c>
      <c r="O662" t="n">
        <v>3078.78268471466</v>
      </c>
      <c r="P662" t="n">
        <v>3023.2778719876</v>
      </c>
    </row>
    <row r="663">
      <c r="A663" s="1" t="n">
        <v>3616304175893</v>
      </c>
      <c r="B663" t="inlineStr">
        <is>
          <t>GG ELIXIR PH PRFM 60 ML NS IV</t>
        </is>
      </c>
      <c r="C663" t="inlineStr">
        <is>
          <t>P_US_ALL_OTHERS</t>
        </is>
      </c>
      <c r="D663" t="inlineStr">
        <is>
          <t>Stat Fcst TBATS</t>
        </is>
      </c>
    </row>
    <row r="664">
      <c r="A664" s="1" t="n">
        <v>3616304175893</v>
      </c>
      <c r="B664" t="inlineStr">
        <is>
          <t>GG ELIXIR PH PRFM 60 ML NS IV</t>
        </is>
      </c>
      <c r="C664" t="inlineStr">
        <is>
          <t>P_US_ALL_OTHERS</t>
        </is>
      </c>
      <c r="D664" t="inlineStr">
        <is>
          <t>Stat Fcst TES</t>
        </is>
      </c>
      <c r="E664" t="n">
        <v>773.725407748385</v>
      </c>
      <c r="F664" t="n">
        <v>2801.03576284671</v>
      </c>
      <c r="G664" t="n">
        <v>4367.28542044021</v>
      </c>
      <c r="H664" t="n">
        <v>2647.87444368865</v>
      </c>
      <c r="I664" t="n">
        <v>2978.12186171438</v>
      </c>
      <c r="J664" t="n">
        <v>4537.44977831849</v>
      </c>
      <c r="K664" t="n">
        <v>263.999992132186</v>
      </c>
      <c r="L664" t="n">
        <v>1443.16022031582</v>
      </c>
      <c r="M664" t="n">
        <v>2059.05135922962</v>
      </c>
      <c r="N664" t="n">
        <v>341.721009491674</v>
      </c>
      <c r="O664" t="n">
        <v>3664.10042018887</v>
      </c>
      <c r="P664" t="n">
        <v>2342.45919246653</v>
      </c>
    </row>
    <row r="665">
      <c r="A665" s="1" t="n">
        <v>3616304175893</v>
      </c>
      <c r="B665" t="inlineStr">
        <is>
          <t>GG ELIXIR PH PRFM 60 ML NS IV</t>
        </is>
      </c>
      <c r="C665" t="inlineStr">
        <is>
          <t>P_US_ALL_OTHERS</t>
        </is>
      </c>
      <c r="D665" t="inlineStr">
        <is>
          <t>Stat Fcst Theta</t>
        </is>
      </c>
    </row>
    <row r="666">
      <c r="A666" s="1" t="n">
        <v>3616304175893</v>
      </c>
      <c r="B666" t="inlineStr">
        <is>
          <t>GG ELIXIR PH PRFM 60 ML NS IV</t>
        </is>
      </c>
      <c r="C666" t="inlineStr">
        <is>
          <t>P_US_ALL_OTHERS</t>
        </is>
      </c>
      <c r="D666" t="inlineStr">
        <is>
          <t>System ML Fcst L1</t>
        </is>
      </c>
    </row>
    <row r="667">
      <c r="A667" s="1" t="n">
        <v>3616304175893</v>
      </c>
      <c r="B667" t="inlineStr">
        <is>
          <t>GG ELIXIR PH PRFM 60 ML NS IV</t>
        </is>
      </c>
      <c r="C667" t="inlineStr">
        <is>
          <t>P_US_ALL_OTHERS</t>
        </is>
      </c>
      <c r="D667" t="inlineStr">
        <is>
          <t>Stat Fcst Simple Snaive</t>
        </is>
      </c>
      <c r="E667" t="n">
        <v>2271.99993228912</v>
      </c>
      <c r="F667" t="n">
        <v>5128.99972507358</v>
      </c>
      <c r="G667" t="n">
        <v>4342.66669902205</v>
      </c>
      <c r="H667" t="n">
        <v>5710.64729074694</v>
      </c>
      <c r="I667" t="n">
        <v>4018.66669660806</v>
      </c>
      <c r="J667" t="n">
        <v>3914.3332166771</v>
      </c>
      <c r="K667" t="n">
        <v>907.666598925989</v>
      </c>
      <c r="L667" t="n">
        <v>2518.33333333333</v>
      </c>
      <c r="M667" t="n">
        <v>2681.66654605666</v>
      </c>
      <c r="N667" t="n">
        <v>1518.66668929656</v>
      </c>
      <c r="O667" t="n">
        <v>5198.66643035412</v>
      </c>
      <c r="P667" t="n">
        <v>3066.00002284348</v>
      </c>
    </row>
    <row r="668">
      <c r="A668" s="1" t="n">
        <v>3616304175893</v>
      </c>
      <c r="B668" t="inlineStr">
        <is>
          <t>GG ELIXIR PH PRFM 60 ML NS IV</t>
        </is>
      </c>
      <c r="C668" t="inlineStr">
        <is>
          <t>P_US_ALL_OTHERS</t>
        </is>
      </c>
      <c r="D668" t="inlineStr">
        <is>
          <t>Stat Fcst Simple AOA</t>
        </is>
      </c>
    </row>
    <row r="669">
      <c r="A669" s="1" t="n">
        <v>3616304175893</v>
      </c>
      <c r="B669" t="inlineStr">
        <is>
          <t>GG ELIXIR PH PRFM 60 ML NS IV</t>
        </is>
      </c>
      <c r="C669" t="inlineStr">
        <is>
          <t>P_US_ALL_OTHERS</t>
        </is>
      </c>
      <c r="D669" t="inlineStr">
        <is>
          <t>Stat Fcst Weighted Snaive</t>
        </is>
      </c>
    </row>
    <row r="670">
      <c r="A670" s="1" t="n">
        <v>3616304175893</v>
      </c>
      <c r="B670" t="inlineStr">
        <is>
          <t>GG ELIXIR PH PRFM 60 ML NS IV</t>
        </is>
      </c>
      <c r="C670" t="inlineStr">
        <is>
          <t>P_US_ALL_OTHERS</t>
        </is>
      </c>
      <c r="D670" t="inlineStr">
        <is>
          <t>Stat Fcst Weighted AOA</t>
        </is>
      </c>
    </row>
    <row r="671">
      <c r="A671" s="1" t="n">
        <v>3616304175893</v>
      </c>
      <c r="B671" t="inlineStr">
        <is>
          <t>GG ELIXIR PH PRFM 60 ML NS IV</t>
        </is>
      </c>
      <c r="C671" t="inlineStr">
        <is>
          <t>P_US_ALL_OTHERS</t>
        </is>
      </c>
      <c r="D671" t="inlineStr">
        <is>
          <t>Stat Fcst Growth Snaive</t>
        </is>
      </c>
    </row>
    <row r="672">
      <c r="A672" s="1" t="n">
        <v>3616304175893</v>
      </c>
      <c r="B672" t="inlineStr">
        <is>
          <t>GG ELIXIR PH PRFM 60 ML NS IV</t>
        </is>
      </c>
      <c r="C672" t="inlineStr">
        <is>
          <t>P_US_ALL_OTHERS</t>
        </is>
      </c>
      <c r="D672" t="inlineStr">
        <is>
          <t>Stat Fcst Growth AOA</t>
        </is>
      </c>
    </row>
    <row r="673">
      <c r="A673" s="1" t="n">
        <v>3616304175893</v>
      </c>
      <c r="B673" t="inlineStr">
        <is>
          <t>GG ELIXIR PH PRFM 60 ML NS IV</t>
        </is>
      </c>
      <c r="C673" t="inlineStr">
        <is>
          <t>P_US_ALL_OTHERS</t>
        </is>
      </c>
      <c r="D673" t="inlineStr">
        <is>
          <t>System Stat Fcst Bestfit</t>
        </is>
      </c>
      <c r="H673" t="n">
        <v>2647.87443280594</v>
      </c>
      <c r="I673" t="n">
        <v>2978.12184836061</v>
      </c>
      <c r="J673" t="n">
        <v>4537.44957180471</v>
      </c>
      <c r="K673" t="n">
        <v>263.999992132186</v>
      </c>
      <c r="L673" t="n">
        <v>1443.16027832031</v>
      </c>
      <c r="M673" t="n">
        <v>2059.05120816674</v>
      </c>
      <c r="N673" t="n">
        <v>341.721013392821</v>
      </c>
      <c r="O673" t="n">
        <v>3664.10023259817</v>
      </c>
      <c r="P673" t="n">
        <v>2342.4592459683</v>
      </c>
    </row>
    <row r="674">
      <c r="A674" s="1" t="n">
        <v>3616304175893</v>
      </c>
      <c r="B674" t="inlineStr">
        <is>
          <t>GG ELIXIR PH PRFM 60 ML NS IV</t>
        </is>
      </c>
      <c r="C674" t="inlineStr">
        <is>
          <t>P_US_ULTA</t>
        </is>
      </c>
      <c r="D674" t="inlineStr">
        <is>
          <t>Stat Fcst L1</t>
        </is>
      </c>
      <c r="E674" t="n">
        <v>89.9999973177909</v>
      </c>
      <c r="F674" t="n">
        <v>15.9999995231628</v>
      </c>
      <c r="G674" t="n">
        <v>741</v>
      </c>
      <c r="H674" t="n">
        <v>0</v>
      </c>
      <c r="I674" t="n">
        <v>94</v>
      </c>
      <c r="J674" t="n">
        <v>829</v>
      </c>
      <c r="K674" t="n">
        <v>226</v>
      </c>
      <c r="L674" t="n">
        <v>140</v>
      </c>
      <c r="M674" t="n">
        <v>142</v>
      </c>
      <c r="N674" t="n">
        <v>68</v>
      </c>
      <c r="O674" t="n">
        <v>593</v>
      </c>
      <c r="P674" t="n">
        <v>258</v>
      </c>
    </row>
    <row r="675">
      <c r="A675" s="1" t="n">
        <v>3616304175893</v>
      </c>
      <c r="B675" t="inlineStr">
        <is>
          <t>GG ELIXIR PH PRFM 60 ML NS IV</t>
        </is>
      </c>
      <c r="C675" t="inlineStr">
        <is>
          <t>P_US_ULTA</t>
        </is>
      </c>
      <c r="D675" t="inlineStr">
        <is>
          <t>Stat Fcst AR-NNET</t>
        </is>
      </c>
    </row>
    <row r="676">
      <c r="A676" s="1" t="n">
        <v>3616304175893</v>
      </c>
      <c r="B676" t="inlineStr">
        <is>
          <t>GG ELIXIR PH PRFM 60 ML NS IV</t>
        </is>
      </c>
      <c r="C676" t="inlineStr">
        <is>
          <t>P_US_ULTA</t>
        </is>
      </c>
      <c r="D676" t="inlineStr">
        <is>
          <t>Stat Fcst Auto ARIMA</t>
        </is>
      </c>
    </row>
    <row r="677">
      <c r="A677" s="1" t="n">
        <v>3616304175893</v>
      </c>
      <c r="B677" t="inlineStr">
        <is>
          <t>GG ELIXIR PH PRFM 60 ML NS IV</t>
        </is>
      </c>
      <c r="C677" t="inlineStr">
        <is>
          <t>P_US_ULTA</t>
        </is>
      </c>
      <c r="D677" t="inlineStr">
        <is>
          <t>Stat Fcst Croston</t>
        </is>
      </c>
    </row>
    <row r="678">
      <c r="A678" s="1" t="n">
        <v>3616304175893</v>
      </c>
      <c r="B678" t="inlineStr">
        <is>
          <t>GG ELIXIR PH PRFM 60 ML NS IV</t>
        </is>
      </c>
      <c r="C678" t="inlineStr">
        <is>
          <t>P_US_ULTA</t>
        </is>
      </c>
      <c r="D678" t="inlineStr">
        <is>
          <t>Stat Fcst DES</t>
        </is>
      </c>
    </row>
    <row r="679">
      <c r="A679" s="1" t="n">
        <v>3616304175893</v>
      </c>
      <c r="B679" t="inlineStr">
        <is>
          <t>GG ELIXIR PH PRFM 60 ML NS IV</t>
        </is>
      </c>
      <c r="C679" t="inlineStr">
        <is>
          <t>P_US_ULTA</t>
        </is>
      </c>
      <c r="D679" t="inlineStr">
        <is>
          <t>Stat Fcst ETS</t>
        </is>
      </c>
    </row>
    <row r="680">
      <c r="A680" s="1" t="n">
        <v>3616304175893</v>
      </c>
      <c r="B680" t="inlineStr">
        <is>
          <t>GG ELIXIR PH PRFM 60 ML NS IV</t>
        </is>
      </c>
      <c r="C680" t="inlineStr">
        <is>
          <t>P_US_ULTA</t>
        </is>
      </c>
      <c r="D680" t="inlineStr">
        <is>
          <t>Stat Fcst Moving Average</t>
        </is>
      </c>
    </row>
    <row r="681">
      <c r="A681" s="1" t="n">
        <v>3616304175893</v>
      </c>
      <c r="B681" t="inlineStr">
        <is>
          <t>GG ELIXIR PH PRFM 60 ML NS IV</t>
        </is>
      </c>
      <c r="C681" t="inlineStr">
        <is>
          <t>P_US_ULTA</t>
        </is>
      </c>
      <c r="D681" t="inlineStr">
        <is>
          <t>Stat Fcst Naive Random Walk</t>
        </is>
      </c>
    </row>
    <row r="682">
      <c r="A682" s="1" t="n">
        <v>3616304175893</v>
      </c>
      <c r="B682" t="inlineStr">
        <is>
          <t>GG ELIXIR PH PRFM 60 ML NS IV</t>
        </is>
      </c>
      <c r="C682" t="inlineStr">
        <is>
          <t>P_US_ULTA</t>
        </is>
      </c>
      <c r="D682" t="inlineStr">
        <is>
          <t>Stat Fcst Prophet</t>
        </is>
      </c>
    </row>
    <row r="683">
      <c r="A683" s="1" t="n">
        <v>3616304175893</v>
      </c>
      <c r="B683" t="inlineStr">
        <is>
          <t>GG ELIXIR PH PRFM 60 ML NS IV</t>
        </is>
      </c>
      <c r="C683" t="inlineStr">
        <is>
          <t>P_US_ULTA</t>
        </is>
      </c>
      <c r="D683" t="inlineStr">
        <is>
          <t>Stat Fcst sARIMA</t>
        </is>
      </c>
    </row>
    <row r="684">
      <c r="A684" s="1" t="n">
        <v>3616304175893</v>
      </c>
      <c r="B684" t="inlineStr">
        <is>
          <t>GG ELIXIR PH PRFM 60 ML NS IV</t>
        </is>
      </c>
      <c r="C684" t="inlineStr">
        <is>
          <t>P_US_ULTA</t>
        </is>
      </c>
      <c r="D684" t="inlineStr">
        <is>
          <t>Stat Fcst Seasonal Naive YoY</t>
        </is>
      </c>
    </row>
    <row r="685">
      <c r="A685" s="1" t="n">
        <v>3616304175893</v>
      </c>
      <c r="B685" t="inlineStr">
        <is>
          <t>GG ELIXIR PH PRFM 60 ML NS IV</t>
        </is>
      </c>
      <c r="C685" t="inlineStr">
        <is>
          <t>P_US_ULTA</t>
        </is>
      </c>
      <c r="D685" t="inlineStr">
        <is>
          <t>Stat Fcst SES</t>
        </is>
      </c>
    </row>
    <row r="686">
      <c r="A686" s="1" t="n">
        <v>3616304175893</v>
      </c>
      <c r="B686" t="inlineStr">
        <is>
          <t>GG ELIXIR PH PRFM 60 ML NS IV</t>
        </is>
      </c>
      <c r="C686" t="inlineStr">
        <is>
          <t>P_US_ULTA</t>
        </is>
      </c>
      <c r="D686" t="inlineStr">
        <is>
          <t>Stat Fcst STLF</t>
        </is>
      </c>
      <c r="E686" t="n">
        <v>135.275502175778</v>
      </c>
      <c r="F686" t="n">
        <v>221.835745833697</v>
      </c>
      <c r="G686" t="n">
        <v>445.741403749057</v>
      </c>
      <c r="H686" t="n">
        <v>0.9999999701976769</v>
      </c>
      <c r="I686" t="n">
        <v>96.4175557036646</v>
      </c>
      <c r="J686" t="n">
        <v>830.257462504815</v>
      </c>
      <c r="K686" t="n">
        <v>225.42812670668</v>
      </c>
      <c r="L686" t="n">
        <v>141.080618688089</v>
      </c>
      <c r="M686" t="n">
        <v>142.771681594343</v>
      </c>
      <c r="N686" t="n">
        <v>66.77465602076541</v>
      </c>
      <c r="O686" t="n">
        <v>592.100224914086</v>
      </c>
      <c r="P686" t="n">
        <v>259.013080450201</v>
      </c>
    </row>
    <row r="687">
      <c r="A687" s="1" t="n">
        <v>3616304175893</v>
      </c>
      <c r="B687" t="inlineStr">
        <is>
          <t>GG ELIXIR PH PRFM 60 ML NS IV</t>
        </is>
      </c>
      <c r="C687" t="inlineStr">
        <is>
          <t>P_US_ULTA</t>
        </is>
      </c>
      <c r="D687" t="inlineStr">
        <is>
          <t>Stat Fcst TBATS</t>
        </is>
      </c>
    </row>
    <row r="688">
      <c r="A688" s="1" t="n">
        <v>3616304175893</v>
      </c>
      <c r="B688" t="inlineStr">
        <is>
          <t>GG ELIXIR PH PRFM 60 ML NS IV</t>
        </is>
      </c>
      <c r="C688" t="inlineStr">
        <is>
          <t>P_US_ULTA</t>
        </is>
      </c>
      <c r="D688" t="inlineStr">
        <is>
          <t>Stat Fcst TES</t>
        </is>
      </c>
      <c r="E688" t="n">
        <v>539.5948179657649</v>
      </c>
      <c r="F688" t="n">
        <v>40.7994257870904</v>
      </c>
      <c r="G688" t="n">
        <v>248.363436309978</v>
      </c>
      <c r="H688" t="n">
        <v>338.810238156956</v>
      </c>
      <c r="I688" t="n">
        <v>248.388323904608</v>
      </c>
      <c r="J688" t="n">
        <v>353.257433200876</v>
      </c>
      <c r="K688" t="n">
        <v>0.9999999701976769</v>
      </c>
      <c r="L688" t="n">
        <v>184.454220044161</v>
      </c>
      <c r="M688" t="n">
        <v>341.178274505682</v>
      </c>
      <c r="N688" t="n">
        <v>43.8991092325302</v>
      </c>
      <c r="O688" t="n">
        <v>185.06734617768</v>
      </c>
      <c r="P688" t="n">
        <v>1.00000000745058</v>
      </c>
    </row>
    <row r="689">
      <c r="A689" s="1" t="n">
        <v>3616304175893</v>
      </c>
      <c r="B689" t="inlineStr">
        <is>
          <t>GG ELIXIR PH PRFM 60 ML NS IV</t>
        </is>
      </c>
      <c r="C689" t="inlineStr">
        <is>
          <t>P_US_ULTA</t>
        </is>
      </c>
      <c r="D689" t="inlineStr">
        <is>
          <t>Stat Fcst Theta</t>
        </is>
      </c>
    </row>
    <row r="690">
      <c r="A690" s="1" t="n">
        <v>3616304175893</v>
      </c>
      <c r="B690" t="inlineStr">
        <is>
          <t>GG ELIXIR PH PRFM 60 ML NS IV</t>
        </is>
      </c>
      <c r="C690" t="inlineStr">
        <is>
          <t>P_US_ULTA</t>
        </is>
      </c>
      <c r="D690" t="inlineStr">
        <is>
          <t>System ML Fcst L1</t>
        </is>
      </c>
    </row>
    <row r="691">
      <c r="A691" s="1" t="n">
        <v>3616304175893</v>
      </c>
      <c r="B691" t="inlineStr">
        <is>
          <t>GG ELIXIR PH PRFM 60 ML NS IV</t>
        </is>
      </c>
      <c r="C691" t="inlineStr">
        <is>
          <t>P_US_ULTA</t>
        </is>
      </c>
      <c r="D691" t="inlineStr">
        <is>
          <t>Stat Fcst Simple Snaive</t>
        </is>
      </c>
      <c r="E691" t="n">
        <v>107.999996781349</v>
      </c>
      <c r="F691" t="n">
        <v>241.49997754395</v>
      </c>
      <c r="G691" t="n">
        <v>860.500006411224</v>
      </c>
      <c r="H691" t="n">
        <v>93.3333241939546</v>
      </c>
      <c r="I691" t="n">
        <v>618.826461316345</v>
      </c>
      <c r="J691" t="n">
        <v>642.666596651078</v>
      </c>
      <c r="K691" t="n">
        <v>113.333329955736</v>
      </c>
      <c r="L691" t="n">
        <v>454.333333333333</v>
      </c>
      <c r="M691" t="n">
        <v>579.493065412051</v>
      </c>
      <c r="N691" t="n">
        <v>320.666671444972</v>
      </c>
      <c r="O691" t="n">
        <v>475.999975641568</v>
      </c>
      <c r="P691" t="n">
        <v>156.33333958437</v>
      </c>
    </row>
    <row r="692">
      <c r="A692" s="1" t="n">
        <v>3616304175893</v>
      </c>
      <c r="B692" t="inlineStr">
        <is>
          <t>GG ELIXIR PH PRFM 60 ML NS IV</t>
        </is>
      </c>
      <c r="C692" t="inlineStr">
        <is>
          <t>P_US_ULTA</t>
        </is>
      </c>
      <c r="D692" t="inlineStr">
        <is>
          <t>Stat Fcst Simple AOA</t>
        </is>
      </c>
    </row>
    <row r="693">
      <c r="A693" s="1" t="n">
        <v>3616304175893</v>
      </c>
      <c r="B693" t="inlineStr">
        <is>
          <t>GG ELIXIR PH PRFM 60 ML NS IV</t>
        </is>
      </c>
      <c r="C693" t="inlineStr">
        <is>
          <t>P_US_ULTA</t>
        </is>
      </c>
      <c r="D693" t="inlineStr">
        <is>
          <t>Stat Fcst Weighted Snaive</t>
        </is>
      </c>
    </row>
    <row r="694">
      <c r="A694" s="1" t="n">
        <v>3616304175893</v>
      </c>
      <c r="B694" t="inlineStr">
        <is>
          <t>GG ELIXIR PH PRFM 60 ML NS IV</t>
        </is>
      </c>
      <c r="C694" t="inlineStr">
        <is>
          <t>P_US_ULTA</t>
        </is>
      </c>
      <c r="D694" t="inlineStr">
        <is>
          <t>Stat Fcst Weighted AOA</t>
        </is>
      </c>
    </row>
    <row r="695">
      <c r="A695" s="1" t="n">
        <v>3616304175893</v>
      </c>
      <c r="B695" t="inlineStr">
        <is>
          <t>GG ELIXIR PH PRFM 60 ML NS IV</t>
        </is>
      </c>
      <c r="C695" t="inlineStr">
        <is>
          <t>P_US_ULTA</t>
        </is>
      </c>
      <c r="D695" t="inlineStr">
        <is>
          <t>Stat Fcst Growth Snaive</t>
        </is>
      </c>
    </row>
    <row r="696">
      <c r="A696" s="1" t="n">
        <v>3616304175893</v>
      </c>
      <c r="B696" t="inlineStr">
        <is>
          <t>GG ELIXIR PH PRFM 60 ML NS IV</t>
        </is>
      </c>
      <c r="C696" t="inlineStr">
        <is>
          <t>P_US_ULTA</t>
        </is>
      </c>
      <c r="D696" t="inlineStr">
        <is>
          <t>Stat Fcst Growth AOA</t>
        </is>
      </c>
    </row>
    <row r="697">
      <c r="A697" s="1" t="n">
        <v>3616304175893</v>
      </c>
      <c r="B697" t="inlineStr">
        <is>
          <t>GG ELIXIR PH PRFM 60 ML NS IV</t>
        </is>
      </c>
      <c r="C697" t="inlineStr">
        <is>
          <t>P_US_ULTA</t>
        </is>
      </c>
      <c r="D697" t="inlineStr">
        <is>
          <t>System Stat Fcst Bestfit</t>
        </is>
      </c>
      <c r="H697" t="n">
        <v>0.9999999701976769</v>
      </c>
      <c r="I697" t="n">
        <v>96.417557481062</v>
      </c>
      <c r="J697" t="n">
        <v>830.257421545462</v>
      </c>
      <c r="K697" t="n">
        <v>225.428124385233</v>
      </c>
      <c r="L697" t="n">
        <v>141.080612182617</v>
      </c>
      <c r="M697" t="n">
        <v>142.77167848433</v>
      </c>
      <c r="N697" t="n">
        <v>66.7746591981449</v>
      </c>
      <c r="O697" t="n">
        <v>592.100263115755</v>
      </c>
      <c r="P697" t="n">
        <v>259.013093970813</v>
      </c>
    </row>
    <row r="698">
      <c r="A698" s="1" t="n">
        <v>3616304175916</v>
      </c>
      <c r="B698" t="inlineStr">
        <is>
          <t>GG ELIXIR PF PRFM 60 ML IV</t>
        </is>
      </c>
      <c r="C698" t="inlineStr">
        <is>
          <t>P_US_ALL_OTHERS</t>
        </is>
      </c>
      <c r="D698" t="inlineStr">
        <is>
          <t>Stat Fcst L1</t>
        </is>
      </c>
      <c r="E698" t="n">
        <v>70.9999978840351</v>
      </c>
      <c r="F698" t="n">
        <v>214.9999935925</v>
      </c>
      <c r="G698" t="n">
        <v>1586</v>
      </c>
      <c r="H698" t="n">
        <v>1461</v>
      </c>
      <c r="I698" t="n">
        <v>1170</v>
      </c>
      <c r="J698" t="n">
        <v>1342</v>
      </c>
      <c r="K698" t="n">
        <v>452</v>
      </c>
      <c r="L698" t="n">
        <v>932</v>
      </c>
      <c r="M698" t="n">
        <v>412</v>
      </c>
      <c r="N698" t="n">
        <v>483</v>
      </c>
      <c r="O698" t="n">
        <v>735</v>
      </c>
      <c r="P698" t="n">
        <v>489</v>
      </c>
    </row>
    <row r="699">
      <c r="A699" s="1" t="n">
        <v>3616304175916</v>
      </c>
      <c r="B699" t="inlineStr">
        <is>
          <t>GG ELIXIR PF PRFM 60 ML IV</t>
        </is>
      </c>
      <c r="C699" t="inlineStr">
        <is>
          <t>P_US_ALL_OTHERS</t>
        </is>
      </c>
      <c r="D699" t="inlineStr">
        <is>
          <t>Stat Fcst AR-NNET</t>
        </is>
      </c>
    </row>
    <row r="700">
      <c r="A700" s="1" t="n">
        <v>3616304175916</v>
      </c>
      <c r="B700" t="inlineStr">
        <is>
          <t>GG ELIXIR PF PRFM 60 ML IV</t>
        </is>
      </c>
      <c r="C700" t="inlineStr">
        <is>
          <t>P_US_ALL_OTHERS</t>
        </is>
      </c>
      <c r="D700" t="inlineStr">
        <is>
          <t>Stat Fcst Auto ARIMA</t>
        </is>
      </c>
    </row>
    <row r="701">
      <c r="A701" s="1" t="n">
        <v>3616304175916</v>
      </c>
      <c r="B701" t="inlineStr">
        <is>
          <t>GG ELIXIR PF PRFM 60 ML IV</t>
        </is>
      </c>
      <c r="C701" t="inlineStr">
        <is>
          <t>P_US_ALL_OTHERS</t>
        </is>
      </c>
      <c r="D701" t="inlineStr">
        <is>
          <t>Stat Fcst Croston</t>
        </is>
      </c>
    </row>
    <row r="702">
      <c r="A702" s="1" t="n">
        <v>3616304175916</v>
      </c>
      <c r="B702" t="inlineStr">
        <is>
          <t>GG ELIXIR PF PRFM 60 ML IV</t>
        </is>
      </c>
      <c r="C702" t="inlineStr">
        <is>
          <t>P_US_ALL_OTHERS</t>
        </is>
      </c>
      <c r="D702" t="inlineStr">
        <is>
          <t>Stat Fcst DES</t>
        </is>
      </c>
    </row>
    <row r="703">
      <c r="A703" s="1" t="n">
        <v>3616304175916</v>
      </c>
      <c r="B703" t="inlineStr">
        <is>
          <t>GG ELIXIR PF PRFM 60 ML IV</t>
        </is>
      </c>
      <c r="C703" t="inlineStr">
        <is>
          <t>P_US_ALL_OTHERS</t>
        </is>
      </c>
      <c r="D703" t="inlineStr">
        <is>
          <t>Stat Fcst ETS</t>
        </is>
      </c>
    </row>
    <row r="704">
      <c r="A704" s="1" t="n">
        <v>3616304175916</v>
      </c>
      <c r="B704" t="inlineStr">
        <is>
          <t>GG ELIXIR PF PRFM 60 ML IV</t>
        </is>
      </c>
      <c r="C704" t="inlineStr">
        <is>
          <t>P_US_ALL_OTHERS</t>
        </is>
      </c>
      <c r="D704" t="inlineStr">
        <is>
          <t>Stat Fcst Moving Average</t>
        </is>
      </c>
    </row>
    <row r="705">
      <c r="A705" s="1" t="n">
        <v>3616304175916</v>
      </c>
      <c r="B705" t="inlineStr">
        <is>
          <t>GG ELIXIR PF PRFM 60 ML IV</t>
        </is>
      </c>
      <c r="C705" t="inlineStr">
        <is>
          <t>P_US_ALL_OTHERS</t>
        </is>
      </c>
      <c r="D705" t="inlineStr">
        <is>
          <t>Stat Fcst Naive Random Walk</t>
        </is>
      </c>
    </row>
    <row r="706">
      <c r="A706" s="1" t="n">
        <v>3616304175916</v>
      </c>
      <c r="B706" t="inlineStr">
        <is>
          <t>GG ELIXIR PF PRFM 60 ML IV</t>
        </is>
      </c>
      <c r="C706" t="inlineStr">
        <is>
          <t>P_US_ALL_OTHERS</t>
        </is>
      </c>
      <c r="D706" t="inlineStr">
        <is>
          <t>Stat Fcst Prophet</t>
        </is>
      </c>
    </row>
    <row r="707">
      <c r="A707" s="1" t="n">
        <v>3616304175916</v>
      </c>
      <c r="B707" t="inlineStr">
        <is>
          <t>GG ELIXIR PF PRFM 60 ML IV</t>
        </is>
      </c>
      <c r="C707" t="inlineStr">
        <is>
          <t>P_US_ALL_OTHERS</t>
        </is>
      </c>
      <c r="D707" t="inlineStr">
        <is>
          <t>Stat Fcst sARIMA</t>
        </is>
      </c>
    </row>
    <row r="708">
      <c r="A708" s="1" t="n">
        <v>3616304175916</v>
      </c>
      <c r="B708" t="inlineStr">
        <is>
          <t>GG ELIXIR PF PRFM 60 ML IV</t>
        </is>
      </c>
      <c r="C708" t="inlineStr">
        <is>
          <t>P_US_ALL_OTHERS</t>
        </is>
      </c>
      <c r="D708" t="inlineStr">
        <is>
          <t>Stat Fcst Seasonal Naive YoY</t>
        </is>
      </c>
    </row>
    <row r="709">
      <c r="A709" s="1" t="n">
        <v>3616304175916</v>
      </c>
      <c r="B709" t="inlineStr">
        <is>
          <t>GG ELIXIR PF PRFM 60 ML IV</t>
        </is>
      </c>
      <c r="C709" t="inlineStr">
        <is>
          <t>P_US_ALL_OTHERS</t>
        </is>
      </c>
      <c r="D709" t="inlineStr">
        <is>
          <t>Stat Fcst SES</t>
        </is>
      </c>
    </row>
    <row r="710">
      <c r="A710" s="1" t="n">
        <v>3616304175916</v>
      </c>
      <c r="B710" t="inlineStr">
        <is>
          <t>GG ELIXIR PF PRFM 60 ML IV</t>
        </is>
      </c>
      <c r="C710" t="inlineStr">
        <is>
          <t>P_US_ALL_OTHERS</t>
        </is>
      </c>
      <c r="D710" t="inlineStr">
        <is>
          <t>Stat Fcst STLF</t>
        </is>
      </c>
      <c r="E710" t="n">
        <v>289.577391274301</v>
      </c>
      <c r="F710" t="n">
        <v>370.664757986849</v>
      </c>
      <c r="G710" t="n">
        <v>614.74993730507</v>
      </c>
      <c r="H710" t="n">
        <v>996.802594449754</v>
      </c>
      <c r="I710" t="n">
        <v>603.215710905376</v>
      </c>
      <c r="J710" t="n">
        <v>20.9999993741512</v>
      </c>
      <c r="K710" t="n">
        <v>20.9999993741512</v>
      </c>
      <c r="L710" t="n">
        <v>21</v>
      </c>
      <c r="M710" t="n">
        <v>20.9999993741512</v>
      </c>
      <c r="N710" t="n">
        <v>21.0000003129243</v>
      </c>
      <c r="O710" t="n">
        <v>20.9999993741512</v>
      </c>
      <c r="P710" t="n">
        <v>21.0000001564621</v>
      </c>
    </row>
    <row r="711">
      <c r="A711" s="1" t="n">
        <v>3616304175916</v>
      </c>
      <c r="B711" t="inlineStr">
        <is>
          <t>GG ELIXIR PF PRFM 60 ML IV</t>
        </is>
      </c>
      <c r="C711" t="inlineStr">
        <is>
          <t>P_US_ALL_OTHERS</t>
        </is>
      </c>
      <c r="D711" t="inlineStr">
        <is>
          <t>Stat Fcst TBATS</t>
        </is>
      </c>
    </row>
    <row r="712">
      <c r="A712" s="1" t="n">
        <v>3616304175916</v>
      </c>
      <c r="B712" t="inlineStr">
        <is>
          <t>GG ELIXIR PF PRFM 60 ML IV</t>
        </is>
      </c>
      <c r="C712" t="inlineStr">
        <is>
          <t>P_US_ALL_OTHERS</t>
        </is>
      </c>
      <c r="D712" t="inlineStr">
        <is>
          <t>Stat Fcst TES</t>
        </is>
      </c>
      <c r="E712" t="n">
        <v>764.996452213546</v>
      </c>
      <c r="F712" t="n">
        <v>678.080174739751</v>
      </c>
      <c r="G712" t="n">
        <v>445.314688232195</v>
      </c>
      <c r="H712" t="n">
        <v>354.588397851108</v>
      </c>
      <c r="I712" t="n">
        <v>173.38527993693</v>
      </c>
      <c r="J712" t="n">
        <v>223.59384414319</v>
      </c>
      <c r="K712" t="n">
        <v>20.9999993741512</v>
      </c>
      <c r="L712" t="n">
        <v>21</v>
      </c>
      <c r="M712" t="n">
        <v>20.9999993741512</v>
      </c>
      <c r="N712" t="n">
        <v>21.0000003129243</v>
      </c>
      <c r="O712" t="n">
        <v>20.9999993741512</v>
      </c>
      <c r="P712" t="n">
        <v>21.0000001564621</v>
      </c>
    </row>
    <row r="713">
      <c r="A713" s="1" t="n">
        <v>3616304175916</v>
      </c>
      <c r="B713" t="inlineStr">
        <is>
          <t>GG ELIXIR PF PRFM 60 ML IV</t>
        </is>
      </c>
      <c r="C713" t="inlineStr">
        <is>
          <t>P_US_ALL_OTHERS</t>
        </is>
      </c>
      <c r="D713" t="inlineStr">
        <is>
          <t>Stat Fcst Theta</t>
        </is>
      </c>
    </row>
    <row r="714">
      <c r="A714" s="1" t="n">
        <v>3616304175916</v>
      </c>
      <c r="B714" t="inlineStr">
        <is>
          <t>GG ELIXIR PF PRFM 60 ML IV</t>
        </is>
      </c>
      <c r="C714" t="inlineStr">
        <is>
          <t>P_US_ALL_OTHERS</t>
        </is>
      </c>
      <c r="D714" t="inlineStr">
        <is>
          <t>System ML Fcst L1</t>
        </is>
      </c>
    </row>
    <row r="715">
      <c r="A715" s="1" t="n">
        <v>3616304175916</v>
      </c>
      <c r="B715" t="inlineStr">
        <is>
          <t>GG ELIXIR PF PRFM 60 ML IV</t>
        </is>
      </c>
      <c r="C715" t="inlineStr">
        <is>
          <t>P_US_ALL_OTHERS</t>
        </is>
      </c>
      <c r="D715" t="inlineStr">
        <is>
          <t>Stat Fcst Simple Snaive</t>
        </is>
      </c>
      <c r="E715" t="n">
        <v>446.999956160784</v>
      </c>
      <c r="F715" t="n">
        <v>851.999974608421</v>
      </c>
      <c r="G715" t="n">
        <v>1401.42147854036</v>
      </c>
      <c r="H715" t="n">
        <v>1460.6665824453</v>
      </c>
      <c r="I715" t="n">
        <v>1171.66667539626</v>
      </c>
      <c r="J715" t="n">
        <v>1343.42138482864</v>
      </c>
      <c r="K715" t="n">
        <v>452.666643003623</v>
      </c>
      <c r="L715" t="n">
        <v>933.333333333333</v>
      </c>
      <c r="M715" t="n">
        <v>411.333321074644</v>
      </c>
      <c r="N715" t="n">
        <v>482.33334052066</v>
      </c>
      <c r="O715" t="n">
        <v>733.333311478297</v>
      </c>
      <c r="P715" t="n">
        <v>489.33333697915</v>
      </c>
    </row>
    <row r="716">
      <c r="A716" s="1" t="n">
        <v>3616304175916</v>
      </c>
      <c r="B716" t="inlineStr">
        <is>
          <t>GG ELIXIR PF PRFM 60 ML IV</t>
        </is>
      </c>
      <c r="C716" t="inlineStr">
        <is>
          <t>P_US_ALL_OTHERS</t>
        </is>
      </c>
      <c r="D716" t="inlineStr">
        <is>
          <t>Stat Fcst Simple AOA</t>
        </is>
      </c>
    </row>
    <row r="717">
      <c r="A717" s="1" t="n">
        <v>3616304175916</v>
      </c>
      <c r="B717" t="inlineStr">
        <is>
          <t>GG ELIXIR PF PRFM 60 ML IV</t>
        </is>
      </c>
      <c r="C717" t="inlineStr">
        <is>
          <t>P_US_ALL_OTHERS</t>
        </is>
      </c>
      <c r="D717" t="inlineStr">
        <is>
          <t>Stat Fcst Weighted Snaive</t>
        </is>
      </c>
    </row>
    <row r="718">
      <c r="A718" s="1" t="n">
        <v>3616304175916</v>
      </c>
      <c r="B718" t="inlineStr">
        <is>
          <t>GG ELIXIR PF PRFM 60 ML IV</t>
        </is>
      </c>
      <c r="C718" t="inlineStr">
        <is>
          <t>P_US_ALL_OTHERS</t>
        </is>
      </c>
      <c r="D718" t="inlineStr">
        <is>
          <t>Stat Fcst Weighted AOA</t>
        </is>
      </c>
    </row>
    <row r="719">
      <c r="A719" s="1" t="n">
        <v>3616304175916</v>
      </c>
      <c r="B719" t="inlineStr">
        <is>
          <t>GG ELIXIR PF PRFM 60 ML IV</t>
        </is>
      </c>
      <c r="C719" t="inlineStr">
        <is>
          <t>P_US_ALL_OTHERS</t>
        </is>
      </c>
      <c r="D719" t="inlineStr">
        <is>
          <t>Stat Fcst Growth Snaive</t>
        </is>
      </c>
    </row>
    <row r="720">
      <c r="A720" s="1" t="n">
        <v>3616304175916</v>
      </c>
      <c r="B720" t="inlineStr">
        <is>
          <t>GG ELIXIR PF PRFM 60 ML IV</t>
        </is>
      </c>
      <c r="C720" t="inlineStr">
        <is>
          <t>P_US_ALL_OTHERS</t>
        </is>
      </c>
      <c r="D720" t="inlineStr">
        <is>
          <t>Stat Fcst Growth AOA</t>
        </is>
      </c>
    </row>
    <row r="721">
      <c r="A721" s="1" t="n">
        <v>3616304175916</v>
      </c>
      <c r="B721" t="inlineStr">
        <is>
          <t>GG ELIXIR PF PRFM 60 ML IV</t>
        </is>
      </c>
      <c r="C721" t="inlineStr">
        <is>
          <t>P_US_ALL_OTHERS</t>
        </is>
      </c>
      <c r="D721" t="inlineStr">
        <is>
          <t>System Stat Fcst Bestfit</t>
        </is>
      </c>
      <c r="H721" t="n">
        <v>1460.6665824453</v>
      </c>
      <c r="I721" t="n">
        <v>1171.66663470615</v>
      </c>
      <c r="J721" t="n">
        <v>1343.42134668167</v>
      </c>
      <c r="K721" t="n">
        <v>452.666643003623</v>
      </c>
      <c r="L721" t="n">
        <v>933.333312988281</v>
      </c>
      <c r="M721" t="n">
        <v>411.333300729593</v>
      </c>
      <c r="N721" t="n">
        <v>482.333320175607</v>
      </c>
      <c r="O721" t="n">
        <v>733.333291133245</v>
      </c>
      <c r="P721" t="n">
        <v>489.333347151676</v>
      </c>
    </row>
    <row r="722">
      <c r="A722" s="1" t="n">
        <v>3616304175916</v>
      </c>
      <c r="B722" t="inlineStr">
        <is>
          <t>GG ELIXIR PF PRFM 60 ML IV</t>
        </is>
      </c>
      <c r="C722" t="inlineStr">
        <is>
          <t>P_US_ULTA</t>
        </is>
      </c>
      <c r="D722" t="inlineStr">
        <is>
          <t>Stat Fcst L1</t>
        </is>
      </c>
      <c r="E722" t="n">
        <v>11.9999996423721</v>
      </c>
      <c r="F722" t="n">
        <v>7.99999976158142</v>
      </c>
      <c r="G722" t="n">
        <v>282</v>
      </c>
      <c r="H722" t="n">
        <v>31</v>
      </c>
      <c r="I722" t="n">
        <v>0</v>
      </c>
      <c r="J722" t="n">
        <v>0</v>
      </c>
      <c r="K722" t="n">
        <v>13</v>
      </c>
      <c r="L722" t="n">
        <v>0</v>
      </c>
      <c r="M722" t="n">
        <v>0</v>
      </c>
      <c r="N722" t="n">
        <v>0</v>
      </c>
      <c r="O722" t="n">
        <v>0</v>
      </c>
      <c r="P722" t="n">
        <v>13</v>
      </c>
    </row>
    <row r="723">
      <c r="A723" s="1" t="n">
        <v>3616304175916</v>
      </c>
      <c r="B723" t="inlineStr">
        <is>
          <t>GG ELIXIR PF PRFM 60 ML IV</t>
        </is>
      </c>
      <c r="C723" t="inlineStr">
        <is>
          <t>P_US_ULTA</t>
        </is>
      </c>
      <c r="D723" t="inlineStr">
        <is>
          <t>Stat Fcst AR-NNET</t>
        </is>
      </c>
    </row>
    <row r="724">
      <c r="A724" s="1" t="n">
        <v>3616304175916</v>
      </c>
      <c r="B724" t="inlineStr">
        <is>
          <t>GG ELIXIR PF PRFM 60 ML IV</t>
        </is>
      </c>
      <c r="C724" t="inlineStr">
        <is>
          <t>P_US_ULTA</t>
        </is>
      </c>
      <c r="D724" t="inlineStr">
        <is>
          <t>Stat Fcst Auto ARIMA</t>
        </is>
      </c>
    </row>
    <row r="725">
      <c r="A725" s="1" t="n">
        <v>3616304175916</v>
      </c>
      <c r="B725" t="inlineStr">
        <is>
          <t>GG ELIXIR PF PRFM 60 ML IV</t>
        </is>
      </c>
      <c r="C725" t="inlineStr">
        <is>
          <t>P_US_ULTA</t>
        </is>
      </c>
      <c r="D725" t="inlineStr">
        <is>
          <t>Stat Fcst Croston</t>
        </is>
      </c>
    </row>
    <row r="726">
      <c r="A726" s="1" t="n">
        <v>3616304175916</v>
      </c>
      <c r="B726" t="inlineStr">
        <is>
          <t>GG ELIXIR PF PRFM 60 ML IV</t>
        </is>
      </c>
      <c r="C726" t="inlineStr">
        <is>
          <t>P_US_ULTA</t>
        </is>
      </c>
      <c r="D726" t="inlineStr">
        <is>
          <t>Stat Fcst DES</t>
        </is>
      </c>
    </row>
    <row r="727">
      <c r="A727" s="1" t="n">
        <v>3616304175916</v>
      </c>
      <c r="B727" t="inlineStr">
        <is>
          <t>GG ELIXIR PF PRFM 60 ML IV</t>
        </is>
      </c>
      <c r="C727" t="inlineStr">
        <is>
          <t>P_US_ULTA</t>
        </is>
      </c>
      <c r="D727" t="inlineStr">
        <is>
          <t>Stat Fcst ETS</t>
        </is>
      </c>
    </row>
    <row r="728">
      <c r="A728" s="1" t="n">
        <v>3616304175916</v>
      </c>
      <c r="B728" t="inlineStr">
        <is>
          <t>GG ELIXIR PF PRFM 60 ML IV</t>
        </is>
      </c>
      <c r="C728" t="inlineStr">
        <is>
          <t>P_US_ULTA</t>
        </is>
      </c>
      <c r="D728" t="inlineStr">
        <is>
          <t>Stat Fcst Moving Average</t>
        </is>
      </c>
    </row>
    <row r="729">
      <c r="A729" s="1" t="n">
        <v>3616304175916</v>
      </c>
      <c r="B729" t="inlineStr">
        <is>
          <t>GG ELIXIR PF PRFM 60 ML IV</t>
        </is>
      </c>
      <c r="C729" t="inlineStr">
        <is>
          <t>P_US_ULTA</t>
        </is>
      </c>
      <c r="D729" t="inlineStr">
        <is>
          <t>Stat Fcst Naive Random Walk</t>
        </is>
      </c>
    </row>
    <row r="730">
      <c r="A730" s="1" t="n">
        <v>3616304175916</v>
      </c>
      <c r="B730" t="inlineStr">
        <is>
          <t>GG ELIXIR PF PRFM 60 ML IV</t>
        </is>
      </c>
      <c r="C730" t="inlineStr">
        <is>
          <t>P_US_ULTA</t>
        </is>
      </c>
      <c r="D730" t="inlineStr">
        <is>
          <t>Stat Fcst Prophet</t>
        </is>
      </c>
    </row>
    <row r="731">
      <c r="A731" s="1" t="n">
        <v>3616304175916</v>
      </c>
      <c r="B731" t="inlineStr">
        <is>
          <t>GG ELIXIR PF PRFM 60 ML IV</t>
        </is>
      </c>
      <c r="C731" t="inlineStr">
        <is>
          <t>P_US_ULTA</t>
        </is>
      </c>
      <c r="D731" t="inlineStr">
        <is>
          <t>Stat Fcst sARIMA</t>
        </is>
      </c>
    </row>
    <row r="732">
      <c r="A732" s="1" t="n">
        <v>3616304175916</v>
      </c>
      <c r="B732" t="inlineStr">
        <is>
          <t>GG ELIXIR PF PRFM 60 ML IV</t>
        </is>
      </c>
      <c r="C732" t="inlineStr">
        <is>
          <t>P_US_ULTA</t>
        </is>
      </c>
      <c r="D732" t="inlineStr">
        <is>
          <t>Stat Fcst Seasonal Naive YoY</t>
        </is>
      </c>
    </row>
    <row r="733">
      <c r="A733" s="1" t="n">
        <v>3616304175916</v>
      </c>
      <c r="B733" t="inlineStr">
        <is>
          <t>GG ELIXIR PF PRFM 60 ML IV</t>
        </is>
      </c>
      <c r="C733" t="inlineStr">
        <is>
          <t>P_US_ULTA</t>
        </is>
      </c>
      <c r="D733" t="inlineStr">
        <is>
          <t>Stat Fcst SES</t>
        </is>
      </c>
    </row>
    <row r="734">
      <c r="A734" s="1" t="n">
        <v>3616304175916</v>
      </c>
      <c r="B734" t="inlineStr">
        <is>
          <t>GG ELIXIR PF PRFM 60 ML IV</t>
        </is>
      </c>
      <c r="C734" t="inlineStr">
        <is>
          <t>P_US_ULTA</t>
        </is>
      </c>
      <c r="D734" t="inlineStr">
        <is>
          <t>Stat Fcst STLF</t>
        </is>
      </c>
      <c r="E734" t="n">
        <v>0</v>
      </c>
      <c r="F734" t="n">
        <v>0</v>
      </c>
      <c r="G734" t="n">
        <v>303.368800185683</v>
      </c>
      <c r="H734" t="n">
        <v>30.9106170140188</v>
      </c>
      <c r="I734" t="n">
        <v>0</v>
      </c>
      <c r="J734" t="n">
        <v>0</v>
      </c>
      <c r="K734" t="n">
        <v>15.1603516288667</v>
      </c>
      <c r="L734" t="n">
        <v>0</v>
      </c>
      <c r="M734" t="n">
        <v>0</v>
      </c>
      <c r="N734" t="n">
        <v>0</v>
      </c>
      <c r="O734" t="n">
        <v>0</v>
      </c>
      <c r="P734" t="n">
        <v>12.5633974203149</v>
      </c>
    </row>
    <row r="735">
      <c r="A735" s="1" t="n">
        <v>3616304175916</v>
      </c>
      <c r="B735" t="inlineStr">
        <is>
          <t>GG ELIXIR PF PRFM 60 ML IV</t>
        </is>
      </c>
      <c r="C735" t="inlineStr">
        <is>
          <t>P_US_ULTA</t>
        </is>
      </c>
      <c r="D735" t="inlineStr">
        <is>
          <t>Stat Fcst TBATS</t>
        </is>
      </c>
    </row>
    <row r="736">
      <c r="A736" s="1" t="n">
        <v>3616304175916</v>
      </c>
      <c r="B736" t="inlineStr">
        <is>
          <t>GG ELIXIR PF PRFM 60 ML IV</t>
        </is>
      </c>
      <c r="C736" t="inlineStr">
        <is>
          <t>P_US_ULTA</t>
        </is>
      </c>
      <c r="D736" t="inlineStr">
        <is>
          <t>Stat Fcst TES</t>
        </is>
      </c>
      <c r="E736" t="n">
        <v>0</v>
      </c>
      <c r="F736" t="n">
        <v>0</v>
      </c>
      <c r="G736" t="n">
        <v>30.2402787035036</v>
      </c>
      <c r="H736" t="n">
        <v>0</v>
      </c>
      <c r="I736" t="n">
        <v>0</v>
      </c>
      <c r="J736" t="n">
        <v>0</v>
      </c>
      <c r="K736" t="n">
        <v>0</v>
      </c>
      <c r="L736" t="n">
        <v>144.624828148585</v>
      </c>
      <c r="M736" t="n">
        <v>115.105681410224</v>
      </c>
      <c r="N736" t="n">
        <v>42.514536303931</v>
      </c>
      <c r="O736" t="n">
        <v>42.5556294188918</v>
      </c>
      <c r="P736" t="n">
        <v>0</v>
      </c>
    </row>
    <row r="737">
      <c r="A737" s="1" t="n">
        <v>3616304175916</v>
      </c>
      <c r="B737" t="inlineStr">
        <is>
          <t>GG ELIXIR PF PRFM 60 ML IV</t>
        </is>
      </c>
      <c r="C737" t="inlineStr">
        <is>
          <t>P_US_ULTA</t>
        </is>
      </c>
      <c r="D737" t="inlineStr">
        <is>
          <t>Stat Fcst Theta</t>
        </is>
      </c>
    </row>
    <row r="738">
      <c r="A738" s="1" t="n">
        <v>3616304175916</v>
      </c>
      <c r="B738" t="inlineStr">
        <is>
          <t>GG ELIXIR PF PRFM 60 ML IV</t>
        </is>
      </c>
      <c r="C738" t="inlineStr">
        <is>
          <t>P_US_ULTA</t>
        </is>
      </c>
      <c r="D738" t="inlineStr">
        <is>
          <t>System ML Fcst L1</t>
        </is>
      </c>
    </row>
    <row r="739">
      <c r="A739" s="1" t="n">
        <v>3616304175916</v>
      </c>
      <c r="B739" t="inlineStr">
        <is>
          <t>GG ELIXIR PF PRFM 60 ML IV</t>
        </is>
      </c>
      <c r="C739" t="inlineStr">
        <is>
          <t>P_US_ULTA</t>
        </is>
      </c>
      <c r="D739" t="inlineStr">
        <is>
          <t>Stat Fcst Simple Snaive</t>
        </is>
      </c>
      <c r="E739" t="n">
        <v>0.499999985098838</v>
      </c>
      <c r="F739" t="n">
        <v>0</v>
      </c>
      <c r="G739" t="n">
        <v>154.000001147389</v>
      </c>
      <c r="H739" t="n">
        <v>21.3333326975504</v>
      </c>
      <c r="I739" t="n">
        <v>109.000000812113</v>
      </c>
      <c r="J739" t="n">
        <v>51.3333318034807</v>
      </c>
      <c r="K739" t="n">
        <v>7.33333311478296</v>
      </c>
      <c r="L739" t="n">
        <v>191.342997233072</v>
      </c>
      <c r="M739" t="n">
        <v>111.999996662139</v>
      </c>
      <c r="N739" t="n">
        <v>204.009668211286</v>
      </c>
      <c r="O739" t="n">
        <v>219.009657372743</v>
      </c>
      <c r="P739" t="n">
        <v>9.33333340287208</v>
      </c>
    </row>
    <row r="740">
      <c r="A740" s="1" t="n">
        <v>3616304175916</v>
      </c>
      <c r="B740" t="inlineStr">
        <is>
          <t>GG ELIXIR PF PRFM 60 ML IV</t>
        </is>
      </c>
      <c r="C740" t="inlineStr">
        <is>
          <t>P_US_ULTA</t>
        </is>
      </c>
      <c r="D740" t="inlineStr">
        <is>
          <t>Stat Fcst Simple AOA</t>
        </is>
      </c>
    </row>
    <row r="741">
      <c r="A741" s="1" t="n">
        <v>3616304175916</v>
      </c>
      <c r="B741" t="inlineStr">
        <is>
          <t>GG ELIXIR PF PRFM 60 ML IV</t>
        </is>
      </c>
      <c r="C741" t="inlineStr">
        <is>
          <t>P_US_ULTA</t>
        </is>
      </c>
      <c r="D741" t="inlineStr">
        <is>
          <t>Stat Fcst Weighted Snaive</t>
        </is>
      </c>
    </row>
    <row r="742">
      <c r="A742" s="1" t="n">
        <v>3616304175916</v>
      </c>
      <c r="B742" t="inlineStr">
        <is>
          <t>GG ELIXIR PF PRFM 60 ML IV</t>
        </is>
      </c>
      <c r="C742" t="inlineStr">
        <is>
          <t>P_US_ULTA</t>
        </is>
      </c>
      <c r="D742" t="inlineStr">
        <is>
          <t>Stat Fcst Weighted AOA</t>
        </is>
      </c>
    </row>
    <row r="743">
      <c r="A743" s="1" t="n">
        <v>3616304175916</v>
      </c>
      <c r="B743" t="inlineStr">
        <is>
          <t>GG ELIXIR PF PRFM 60 ML IV</t>
        </is>
      </c>
      <c r="C743" t="inlineStr">
        <is>
          <t>P_US_ULTA</t>
        </is>
      </c>
      <c r="D743" t="inlineStr">
        <is>
          <t>Stat Fcst Growth Snaive</t>
        </is>
      </c>
    </row>
    <row r="744">
      <c r="A744" s="1" t="n">
        <v>3616304175916</v>
      </c>
      <c r="B744" t="inlineStr">
        <is>
          <t>GG ELIXIR PF PRFM 60 ML IV</t>
        </is>
      </c>
      <c r="C744" t="inlineStr">
        <is>
          <t>P_US_ULTA</t>
        </is>
      </c>
      <c r="D744" t="inlineStr">
        <is>
          <t>Stat Fcst Growth AOA</t>
        </is>
      </c>
    </row>
    <row r="745">
      <c r="A745" s="1" t="n">
        <v>3616304175916</v>
      </c>
      <c r="B745" t="inlineStr">
        <is>
          <t>GG ELIXIR PF PRFM 60 ML IV</t>
        </is>
      </c>
      <c r="C745" t="inlineStr">
        <is>
          <t>P_US_ULTA</t>
        </is>
      </c>
      <c r="D745" t="inlineStr">
        <is>
          <t>System Stat Fcst Bestfit</t>
        </is>
      </c>
      <c r="H745" t="n">
        <v>30.9106169071609</v>
      </c>
      <c r="I745" t="n">
        <v>0</v>
      </c>
      <c r="J745" t="n">
        <v>0</v>
      </c>
      <c r="K745" t="n">
        <v>15.1603513014211</v>
      </c>
      <c r="L745" t="n">
        <v>0</v>
      </c>
      <c r="M745" t="n">
        <v>0</v>
      </c>
      <c r="N745" t="n">
        <v>0</v>
      </c>
      <c r="O745" t="n">
        <v>0</v>
      </c>
      <c r="P745" t="n">
        <v>12.5633975011363</v>
      </c>
    </row>
    <row r="746">
      <c r="A746" s="1" t="n">
        <v>3616304249716</v>
      </c>
      <c r="B746" t="inlineStr">
        <is>
          <t>GUCCI BM EDPIN EDP 100 ML IV</t>
        </is>
      </c>
      <c r="C746" t="inlineStr">
        <is>
          <t>P_US_ALL_OTHERS</t>
        </is>
      </c>
      <c r="D746" t="inlineStr">
        <is>
          <t>Stat Fcst L1</t>
        </is>
      </c>
      <c r="E746" t="n">
        <v>386.999988466501</v>
      </c>
      <c r="F746" t="n">
        <v>447.999986648559</v>
      </c>
      <c r="G746" t="n">
        <v>1659</v>
      </c>
      <c r="H746" t="n">
        <v>1417</v>
      </c>
      <c r="I746" t="n">
        <v>862</v>
      </c>
      <c r="J746" t="n">
        <v>1656</v>
      </c>
      <c r="K746" t="n">
        <v>859</v>
      </c>
      <c r="L746" t="n">
        <v>1112</v>
      </c>
      <c r="M746" t="n">
        <v>904</v>
      </c>
      <c r="N746" t="n">
        <v>815</v>
      </c>
      <c r="O746" t="n">
        <v>1523</v>
      </c>
      <c r="P746" t="n">
        <v>806</v>
      </c>
    </row>
    <row r="747">
      <c r="A747" s="1" t="n">
        <v>3616304249716</v>
      </c>
      <c r="B747" t="inlineStr">
        <is>
          <t>GUCCI BM EDPIN EDP 100 ML IV</t>
        </is>
      </c>
      <c r="C747" t="inlineStr">
        <is>
          <t>P_US_ALL_OTHERS</t>
        </is>
      </c>
      <c r="D747" t="inlineStr">
        <is>
          <t>Stat Fcst AR-NNET</t>
        </is>
      </c>
    </row>
    <row r="748">
      <c r="A748" s="1" t="n">
        <v>3616304249716</v>
      </c>
      <c r="B748" t="inlineStr">
        <is>
          <t>GUCCI BM EDPIN EDP 100 ML IV</t>
        </is>
      </c>
      <c r="C748" t="inlineStr">
        <is>
          <t>P_US_ALL_OTHERS</t>
        </is>
      </c>
      <c r="D748" t="inlineStr">
        <is>
          <t>Stat Fcst Auto ARIMA</t>
        </is>
      </c>
    </row>
    <row r="749">
      <c r="A749" s="1" t="n">
        <v>3616304249716</v>
      </c>
      <c r="B749" t="inlineStr">
        <is>
          <t>GUCCI BM EDPIN EDP 100 ML IV</t>
        </is>
      </c>
      <c r="C749" t="inlineStr">
        <is>
          <t>P_US_ALL_OTHERS</t>
        </is>
      </c>
      <c r="D749" t="inlineStr">
        <is>
          <t>Stat Fcst Croston</t>
        </is>
      </c>
    </row>
    <row r="750">
      <c r="A750" s="1" t="n">
        <v>3616304249716</v>
      </c>
      <c r="B750" t="inlineStr">
        <is>
          <t>GUCCI BM EDPIN EDP 100 ML IV</t>
        </is>
      </c>
      <c r="C750" t="inlineStr">
        <is>
          <t>P_US_ALL_OTHERS</t>
        </is>
      </c>
      <c r="D750" t="inlineStr">
        <is>
          <t>Stat Fcst DES</t>
        </is>
      </c>
    </row>
    <row r="751">
      <c r="A751" s="1" t="n">
        <v>3616304249716</v>
      </c>
      <c r="B751" t="inlineStr">
        <is>
          <t>GUCCI BM EDPIN EDP 100 ML IV</t>
        </is>
      </c>
      <c r="C751" t="inlineStr">
        <is>
          <t>P_US_ALL_OTHERS</t>
        </is>
      </c>
      <c r="D751" t="inlineStr">
        <is>
          <t>Stat Fcst ETS</t>
        </is>
      </c>
    </row>
    <row r="752">
      <c r="A752" s="1" t="n">
        <v>3616304249716</v>
      </c>
      <c r="B752" t="inlineStr">
        <is>
          <t>GUCCI BM EDPIN EDP 100 ML IV</t>
        </is>
      </c>
      <c r="C752" t="inlineStr">
        <is>
          <t>P_US_ALL_OTHERS</t>
        </is>
      </c>
      <c r="D752" t="inlineStr">
        <is>
          <t>Stat Fcst Moving Average</t>
        </is>
      </c>
    </row>
    <row r="753">
      <c r="A753" s="1" t="n">
        <v>3616304249716</v>
      </c>
      <c r="B753" t="inlineStr">
        <is>
          <t>GUCCI BM EDPIN EDP 100 ML IV</t>
        </is>
      </c>
      <c r="C753" t="inlineStr">
        <is>
          <t>P_US_ALL_OTHERS</t>
        </is>
      </c>
      <c r="D753" t="inlineStr">
        <is>
          <t>Stat Fcst Naive Random Walk</t>
        </is>
      </c>
    </row>
    <row r="754">
      <c r="A754" s="1" t="n">
        <v>3616304249716</v>
      </c>
      <c r="B754" t="inlineStr">
        <is>
          <t>GUCCI BM EDPIN EDP 100 ML IV</t>
        </is>
      </c>
      <c r="C754" t="inlineStr">
        <is>
          <t>P_US_ALL_OTHERS</t>
        </is>
      </c>
      <c r="D754" t="inlineStr">
        <is>
          <t>Stat Fcst Prophet</t>
        </is>
      </c>
    </row>
    <row r="755">
      <c r="A755" s="1" t="n">
        <v>3616304249716</v>
      </c>
      <c r="B755" t="inlineStr">
        <is>
          <t>GUCCI BM EDPIN EDP 100 ML IV</t>
        </is>
      </c>
      <c r="C755" t="inlineStr">
        <is>
          <t>P_US_ALL_OTHERS</t>
        </is>
      </c>
      <c r="D755" t="inlineStr">
        <is>
          <t>Stat Fcst sARIMA</t>
        </is>
      </c>
    </row>
    <row r="756">
      <c r="A756" s="1" t="n">
        <v>3616304249716</v>
      </c>
      <c r="B756" t="inlineStr">
        <is>
          <t>GUCCI BM EDPIN EDP 100 ML IV</t>
        </is>
      </c>
      <c r="C756" t="inlineStr">
        <is>
          <t>P_US_ALL_OTHERS</t>
        </is>
      </c>
      <c r="D756" t="inlineStr">
        <is>
          <t>Stat Fcst Seasonal Naive YoY</t>
        </is>
      </c>
    </row>
    <row r="757">
      <c r="A757" s="1" t="n">
        <v>3616304249716</v>
      </c>
      <c r="B757" t="inlineStr">
        <is>
          <t>GUCCI BM EDPIN EDP 100 ML IV</t>
        </is>
      </c>
      <c r="C757" t="inlineStr">
        <is>
          <t>P_US_ALL_OTHERS</t>
        </is>
      </c>
      <c r="D757" t="inlineStr">
        <is>
          <t>Stat Fcst SES</t>
        </is>
      </c>
    </row>
    <row r="758">
      <c r="A758" s="1" t="n">
        <v>3616304249716</v>
      </c>
      <c r="B758" t="inlineStr">
        <is>
          <t>GUCCI BM EDPIN EDP 100 ML IV</t>
        </is>
      </c>
      <c r="C758" t="inlineStr">
        <is>
          <t>P_US_ALL_OTHERS</t>
        </is>
      </c>
      <c r="D758" t="inlineStr">
        <is>
          <t>Stat Fcst STLF</t>
        </is>
      </c>
      <c r="E758" t="n">
        <v>3134.29158781548</v>
      </c>
      <c r="F758" t="n">
        <v>2054.83241508423</v>
      </c>
      <c r="G758" t="n">
        <v>2685.46099159446</v>
      </c>
      <c r="H758" t="n">
        <v>1319.22842974019</v>
      </c>
      <c r="I758" t="n">
        <v>897.652941350794</v>
      </c>
      <c r="J758" t="n">
        <v>3045.72140572361</v>
      </c>
      <c r="K758" t="n">
        <v>369.350517491418</v>
      </c>
      <c r="L758" t="n">
        <v>1262.12002097052</v>
      </c>
      <c r="M758" t="n">
        <v>760.214447209798</v>
      </c>
      <c r="N758" t="n">
        <v>1196.10374953189</v>
      </c>
      <c r="O758" t="n">
        <v>982.183193492108</v>
      </c>
      <c r="P758" t="n">
        <v>1014.89372970076</v>
      </c>
    </row>
    <row r="759">
      <c r="A759" s="1" t="n">
        <v>3616304249716</v>
      </c>
      <c r="B759" t="inlineStr">
        <is>
          <t>GUCCI BM EDPIN EDP 100 ML IV</t>
        </is>
      </c>
      <c r="C759" t="inlineStr">
        <is>
          <t>P_US_ALL_OTHERS</t>
        </is>
      </c>
      <c r="D759" t="inlineStr">
        <is>
          <t>Stat Fcst TBATS</t>
        </is>
      </c>
    </row>
    <row r="760">
      <c r="A760" s="1" t="n">
        <v>3616304249716</v>
      </c>
      <c r="B760" t="inlineStr">
        <is>
          <t>GUCCI BM EDPIN EDP 100 ML IV</t>
        </is>
      </c>
      <c r="C760" t="inlineStr">
        <is>
          <t>P_US_ALL_OTHERS</t>
        </is>
      </c>
      <c r="D760" t="inlineStr">
        <is>
          <t>Stat Fcst TES</t>
        </is>
      </c>
      <c r="E760" t="n">
        <v>1832.50799284123</v>
      </c>
      <c r="F760" t="n">
        <v>2223.68692320133</v>
      </c>
      <c r="G760" t="n">
        <v>1129.21836140623</v>
      </c>
      <c r="H760" t="n">
        <v>1417.57770268666</v>
      </c>
      <c r="I760" t="n">
        <v>863.311634774718</v>
      </c>
      <c r="J760" t="n">
        <v>1655.12727567567</v>
      </c>
      <c r="K760" t="n">
        <v>858.439208788724</v>
      </c>
      <c r="L760" t="n">
        <v>1113.42851957517</v>
      </c>
      <c r="M760" t="n">
        <v>904.202766601578</v>
      </c>
      <c r="N760" t="n">
        <v>815.363414874366</v>
      </c>
      <c r="O760" t="n">
        <v>1522.37922776159</v>
      </c>
      <c r="P760" t="n">
        <v>807.2155511484719</v>
      </c>
    </row>
    <row r="761">
      <c r="A761" s="1" t="n">
        <v>3616304249716</v>
      </c>
      <c r="B761" t="inlineStr">
        <is>
          <t>GUCCI BM EDPIN EDP 100 ML IV</t>
        </is>
      </c>
      <c r="C761" t="inlineStr">
        <is>
          <t>P_US_ALL_OTHERS</t>
        </is>
      </c>
      <c r="D761" t="inlineStr">
        <is>
          <t>Stat Fcst Theta</t>
        </is>
      </c>
    </row>
    <row r="762">
      <c r="A762" s="1" t="n">
        <v>3616304249716</v>
      </c>
      <c r="B762" t="inlineStr">
        <is>
          <t>GUCCI BM EDPIN EDP 100 ML IV</t>
        </is>
      </c>
      <c r="C762" t="inlineStr">
        <is>
          <t>P_US_ALL_OTHERS</t>
        </is>
      </c>
      <c r="D762" t="inlineStr">
        <is>
          <t>System ML Fcst L1</t>
        </is>
      </c>
    </row>
    <row r="763">
      <c r="A763" s="1" t="n">
        <v>3616304249716</v>
      </c>
      <c r="B763" t="inlineStr">
        <is>
          <t>GUCCI BM EDPIN EDP 100 ML IV</t>
        </is>
      </c>
      <c r="C763" t="inlineStr">
        <is>
          <t>P_US_ALL_OTHERS</t>
        </is>
      </c>
      <c r="D763" t="inlineStr">
        <is>
          <t>Stat Fcst Simple Snaive</t>
        </is>
      </c>
      <c r="E763" t="n">
        <v>2462.49992661178</v>
      </c>
      <c r="F763" t="n">
        <v>1146.49996583163</v>
      </c>
      <c r="G763" t="n">
        <v>2034.66668182611</v>
      </c>
      <c r="H763" t="n">
        <v>1837.25743222462</v>
      </c>
      <c r="I763" t="n">
        <v>1832.6667617013</v>
      </c>
      <c r="J763" t="n">
        <v>2223.99993371963</v>
      </c>
      <c r="K763" t="n">
        <v>1216.66658971707</v>
      </c>
      <c r="L763" t="n">
        <v>2062.92415364583</v>
      </c>
      <c r="M763" t="n">
        <v>1297.99996131658</v>
      </c>
      <c r="N763" t="n">
        <v>1673.33335826794</v>
      </c>
      <c r="O763" t="n">
        <v>1680.99992955724</v>
      </c>
      <c r="P763" t="n">
        <v>921.000006861984</v>
      </c>
    </row>
    <row r="764">
      <c r="A764" s="1" t="n">
        <v>3616304249716</v>
      </c>
      <c r="B764" t="inlineStr">
        <is>
          <t>GUCCI BM EDPIN EDP 100 ML IV</t>
        </is>
      </c>
      <c r="C764" t="inlineStr">
        <is>
          <t>P_US_ALL_OTHERS</t>
        </is>
      </c>
      <c r="D764" t="inlineStr">
        <is>
          <t>Stat Fcst Simple AOA</t>
        </is>
      </c>
    </row>
    <row r="765">
      <c r="A765" s="1" t="n">
        <v>3616304249716</v>
      </c>
      <c r="B765" t="inlineStr">
        <is>
          <t>GUCCI BM EDPIN EDP 100 ML IV</t>
        </is>
      </c>
      <c r="C765" t="inlineStr">
        <is>
          <t>P_US_ALL_OTHERS</t>
        </is>
      </c>
      <c r="D765" t="inlineStr">
        <is>
          <t>Stat Fcst Weighted Snaive</t>
        </is>
      </c>
    </row>
    <row r="766">
      <c r="A766" s="1" t="n">
        <v>3616304249716</v>
      </c>
      <c r="B766" t="inlineStr">
        <is>
          <t>GUCCI BM EDPIN EDP 100 ML IV</t>
        </is>
      </c>
      <c r="C766" t="inlineStr">
        <is>
          <t>P_US_ALL_OTHERS</t>
        </is>
      </c>
      <c r="D766" t="inlineStr">
        <is>
          <t>Stat Fcst Weighted AOA</t>
        </is>
      </c>
    </row>
    <row r="767">
      <c r="A767" s="1" t="n">
        <v>3616304249716</v>
      </c>
      <c r="B767" t="inlineStr">
        <is>
          <t>GUCCI BM EDPIN EDP 100 ML IV</t>
        </is>
      </c>
      <c r="C767" t="inlineStr">
        <is>
          <t>P_US_ALL_OTHERS</t>
        </is>
      </c>
      <c r="D767" t="inlineStr">
        <is>
          <t>Stat Fcst Growth Snaive</t>
        </is>
      </c>
    </row>
    <row r="768">
      <c r="A768" s="1" t="n">
        <v>3616304249716</v>
      </c>
      <c r="B768" t="inlineStr">
        <is>
          <t>GUCCI BM EDPIN EDP 100 ML IV</t>
        </is>
      </c>
      <c r="C768" t="inlineStr">
        <is>
          <t>P_US_ALL_OTHERS</t>
        </is>
      </c>
      <c r="D768" t="inlineStr">
        <is>
          <t>Stat Fcst Growth AOA</t>
        </is>
      </c>
    </row>
    <row r="769">
      <c r="A769" s="1" t="n">
        <v>3616304249716</v>
      </c>
      <c r="B769" t="inlineStr">
        <is>
          <t>GUCCI BM EDPIN EDP 100 ML IV</t>
        </is>
      </c>
      <c r="C769" t="inlineStr">
        <is>
          <t>P_US_ALL_OTHERS</t>
        </is>
      </c>
      <c r="D769" t="inlineStr">
        <is>
          <t>System Stat Fcst Bestfit</t>
        </is>
      </c>
      <c r="H769" t="n">
        <v>1417.57771654195</v>
      </c>
      <c r="I769" t="n">
        <v>863.311651939985</v>
      </c>
      <c r="J769" t="n">
        <v>1655.12714793899</v>
      </c>
      <c r="K769" t="n">
        <v>858.4391834008929</v>
      </c>
      <c r="L769" t="n">
        <v>1113.42846679687</v>
      </c>
      <c r="M769" t="n">
        <v>904.20273184172</v>
      </c>
      <c r="N769" t="n">
        <v>815.363415470174</v>
      </c>
      <c r="O769" t="n">
        <v>1522.37922709049</v>
      </c>
      <c r="P769" t="n">
        <v>807.215582186099</v>
      </c>
    </row>
    <row r="770">
      <c r="A770" s="1" t="n">
        <v>3616304249716</v>
      </c>
      <c r="B770" t="inlineStr">
        <is>
          <t>GUCCI BM EDPIN EDP 100 ML IV</t>
        </is>
      </c>
      <c r="C770" t="inlineStr">
        <is>
          <t>P_US_ULTA</t>
        </is>
      </c>
      <c r="D770" t="inlineStr">
        <is>
          <t>Stat Fcst L1</t>
        </is>
      </c>
      <c r="E770" t="n">
        <v>51.9999984502792</v>
      </c>
      <c r="F770" t="n">
        <v>153.999995410442</v>
      </c>
      <c r="G770" t="n">
        <v>355</v>
      </c>
      <c r="H770" t="n">
        <v>203</v>
      </c>
      <c r="I770" t="n">
        <v>150</v>
      </c>
      <c r="J770" t="n">
        <v>329</v>
      </c>
      <c r="K770" t="n">
        <v>173</v>
      </c>
      <c r="L770" t="n">
        <v>200</v>
      </c>
      <c r="M770" t="n">
        <v>385</v>
      </c>
      <c r="N770" t="n">
        <v>47</v>
      </c>
      <c r="O770" t="n">
        <v>310</v>
      </c>
      <c r="P770" t="n">
        <v>120</v>
      </c>
    </row>
    <row r="771">
      <c r="A771" s="1" t="n">
        <v>3616304249716</v>
      </c>
      <c r="B771" t="inlineStr">
        <is>
          <t>GUCCI BM EDPIN EDP 100 ML IV</t>
        </is>
      </c>
      <c r="C771" t="inlineStr">
        <is>
          <t>P_US_ULTA</t>
        </is>
      </c>
      <c r="D771" t="inlineStr">
        <is>
          <t>Stat Fcst AR-NNET</t>
        </is>
      </c>
    </row>
    <row r="772">
      <c r="A772" s="1" t="n">
        <v>3616304249716</v>
      </c>
      <c r="B772" t="inlineStr">
        <is>
          <t>GUCCI BM EDPIN EDP 100 ML IV</t>
        </is>
      </c>
      <c r="C772" t="inlineStr">
        <is>
          <t>P_US_ULTA</t>
        </is>
      </c>
      <c r="D772" t="inlineStr">
        <is>
          <t>Stat Fcst Auto ARIMA</t>
        </is>
      </c>
    </row>
    <row r="773">
      <c r="A773" s="1" t="n">
        <v>3616304249716</v>
      </c>
      <c r="B773" t="inlineStr">
        <is>
          <t>GUCCI BM EDPIN EDP 100 ML IV</t>
        </is>
      </c>
      <c r="C773" t="inlineStr">
        <is>
          <t>P_US_ULTA</t>
        </is>
      </c>
      <c r="D773" t="inlineStr">
        <is>
          <t>Stat Fcst Croston</t>
        </is>
      </c>
    </row>
    <row r="774">
      <c r="A774" s="1" t="n">
        <v>3616304249716</v>
      </c>
      <c r="B774" t="inlineStr">
        <is>
          <t>GUCCI BM EDPIN EDP 100 ML IV</t>
        </is>
      </c>
      <c r="C774" t="inlineStr">
        <is>
          <t>P_US_ULTA</t>
        </is>
      </c>
      <c r="D774" t="inlineStr">
        <is>
          <t>Stat Fcst DES</t>
        </is>
      </c>
    </row>
    <row r="775">
      <c r="A775" s="1" t="n">
        <v>3616304249716</v>
      </c>
      <c r="B775" t="inlineStr">
        <is>
          <t>GUCCI BM EDPIN EDP 100 ML IV</t>
        </is>
      </c>
      <c r="C775" t="inlineStr">
        <is>
          <t>P_US_ULTA</t>
        </is>
      </c>
      <c r="D775" t="inlineStr">
        <is>
          <t>Stat Fcst ETS</t>
        </is>
      </c>
    </row>
    <row r="776">
      <c r="A776" s="1" t="n">
        <v>3616304249716</v>
      </c>
      <c r="B776" t="inlineStr">
        <is>
          <t>GUCCI BM EDPIN EDP 100 ML IV</t>
        </is>
      </c>
      <c r="C776" t="inlineStr">
        <is>
          <t>P_US_ULTA</t>
        </is>
      </c>
      <c r="D776" t="inlineStr">
        <is>
          <t>Stat Fcst Moving Average</t>
        </is>
      </c>
    </row>
    <row r="777">
      <c r="A777" s="1" t="n">
        <v>3616304249716</v>
      </c>
      <c r="B777" t="inlineStr">
        <is>
          <t>GUCCI BM EDPIN EDP 100 ML IV</t>
        </is>
      </c>
      <c r="C777" t="inlineStr">
        <is>
          <t>P_US_ULTA</t>
        </is>
      </c>
      <c r="D777" t="inlineStr">
        <is>
          <t>Stat Fcst Naive Random Walk</t>
        </is>
      </c>
    </row>
    <row r="778">
      <c r="A778" s="1" t="n">
        <v>3616304249716</v>
      </c>
      <c r="B778" t="inlineStr">
        <is>
          <t>GUCCI BM EDPIN EDP 100 ML IV</t>
        </is>
      </c>
      <c r="C778" t="inlineStr">
        <is>
          <t>P_US_ULTA</t>
        </is>
      </c>
      <c r="D778" t="inlineStr">
        <is>
          <t>Stat Fcst Prophet</t>
        </is>
      </c>
    </row>
    <row r="779">
      <c r="A779" s="1" t="n">
        <v>3616304249716</v>
      </c>
      <c r="B779" t="inlineStr">
        <is>
          <t>GUCCI BM EDPIN EDP 100 ML IV</t>
        </is>
      </c>
      <c r="C779" t="inlineStr">
        <is>
          <t>P_US_ULTA</t>
        </is>
      </c>
      <c r="D779" t="inlineStr">
        <is>
          <t>Stat Fcst sARIMA</t>
        </is>
      </c>
    </row>
    <row r="780">
      <c r="A780" s="1" t="n">
        <v>3616304249716</v>
      </c>
      <c r="B780" t="inlineStr">
        <is>
          <t>GUCCI BM EDPIN EDP 100 ML IV</t>
        </is>
      </c>
      <c r="C780" t="inlineStr">
        <is>
          <t>P_US_ULTA</t>
        </is>
      </c>
      <c r="D780" t="inlineStr">
        <is>
          <t>Stat Fcst Seasonal Naive YoY</t>
        </is>
      </c>
    </row>
    <row r="781">
      <c r="A781" s="1" t="n">
        <v>3616304249716</v>
      </c>
      <c r="B781" t="inlineStr">
        <is>
          <t>GUCCI BM EDPIN EDP 100 ML IV</t>
        </is>
      </c>
      <c r="C781" t="inlineStr">
        <is>
          <t>P_US_ULTA</t>
        </is>
      </c>
      <c r="D781" t="inlineStr">
        <is>
          <t>Stat Fcst SES</t>
        </is>
      </c>
    </row>
    <row r="782">
      <c r="A782" s="1" t="n">
        <v>3616304249716</v>
      </c>
      <c r="B782" t="inlineStr">
        <is>
          <t>GUCCI BM EDPIN EDP 100 ML IV</t>
        </is>
      </c>
      <c r="C782" t="inlineStr">
        <is>
          <t>P_US_ULTA</t>
        </is>
      </c>
      <c r="D782" t="inlineStr">
        <is>
          <t>Stat Fcst STLF</t>
        </is>
      </c>
      <c r="E782" t="n">
        <v>0</v>
      </c>
      <c r="F782" t="n">
        <v>427.11465190478</v>
      </c>
      <c r="G782" t="n">
        <v>579.276918493327</v>
      </c>
      <c r="H782" t="n">
        <v>44.3951344100232</v>
      </c>
      <c r="I782" t="n">
        <v>8.15333989645759</v>
      </c>
      <c r="J782" t="n">
        <v>676.1550388285719</v>
      </c>
      <c r="K782" t="n">
        <v>426.067377161375</v>
      </c>
      <c r="L782" t="n">
        <v>186.720960583967</v>
      </c>
      <c r="M782" t="n">
        <v>406.49074313037</v>
      </c>
      <c r="N782" t="n">
        <v>87.31972531285339</v>
      </c>
      <c r="O782" t="n">
        <v>259.327547587697</v>
      </c>
      <c r="P782" t="n">
        <v>152.876828880322</v>
      </c>
    </row>
    <row r="783">
      <c r="A783" s="1" t="n">
        <v>3616304249716</v>
      </c>
      <c r="B783" t="inlineStr">
        <is>
          <t>GUCCI BM EDPIN EDP 100 ML IV</t>
        </is>
      </c>
      <c r="C783" t="inlineStr">
        <is>
          <t>P_US_ULTA</t>
        </is>
      </c>
      <c r="D783" t="inlineStr">
        <is>
          <t>Stat Fcst TBATS</t>
        </is>
      </c>
    </row>
    <row r="784">
      <c r="A784" s="1" t="n">
        <v>3616304249716</v>
      </c>
      <c r="B784" t="inlineStr">
        <is>
          <t>GUCCI BM EDPIN EDP 100 ML IV</t>
        </is>
      </c>
      <c r="C784" t="inlineStr">
        <is>
          <t>P_US_ULTA</t>
        </is>
      </c>
      <c r="D784" t="inlineStr">
        <is>
          <t>Stat Fcst TES</t>
        </is>
      </c>
      <c r="E784" t="n">
        <v>57.825038311742</v>
      </c>
      <c r="F784" t="n">
        <v>638.187162014832</v>
      </c>
      <c r="G784" t="n">
        <v>265.016990476833</v>
      </c>
      <c r="H784" t="n">
        <v>238.680774032365</v>
      </c>
      <c r="I784" t="n">
        <v>193.761942723544</v>
      </c>
      <c r="J784" t="n">
        <v>372.976715371993</v>
      </c>
      <c r="K784" t="n">
        <v>183.197168405016</v>
      </c>
      <c r="L784" t="n">
        <v>284.452494918343</v>
      </c>
      <c r="M784" t="n">
        <v>396.898950212421</v>
      </c>
      <c r="N784" t="n">
        <v>107.725710293847</v>
      </c>
      <c r="O784" t="n">
        <v>358.425377677492</v>
      </c>
      <c r="P784" t="n">
        <v>126.300976518253</v>
      </c>
    </row>
    <row r="785">
      <c r="A785" s="1" t="n">
        <v>3616304249716</v>
      </c>
      <c r="B785" t="inlineStr">
        <is>
          <t>GUCCI BM EDPIN EDP 100 ML IV</t>
        </is>
      </c>
      <c r="C785" t="inlineStr">
        <is>
          <t>P_US_ULTA</t>
        </is>
      </c>
      <c r="D785" t="inlineStr">
        <is>
          <t>Stat Fcst Theta</t>
        </is>
      </c>
    </row>
    <row r="786">
      <c r="A786" s="1" t="n">
        <v>3616304249716</v>
      </c>
      <c r="B786" t="inlineStr">
        <is>
          <t>GUCCI BM EDPIN EDP 100 ML IV</t>
        </is>
      </c>
      <c r="C786" t="inlineStr">
        <is>
          <t>P_US_ULTA</t>
        </is>
      </c>
      <c r="D786" t="inlineStr">
        <is>
          <t>System ML Fcst L1</t>
        </is>
      </c>
    </row>
    <row r="787">
      <c r="A787" s="1" t="n">
        <v>3616304249716</v>
      </c>
      <c r="B787" t="inlineStr">
        <is>
          <t>GUCCI BM EDPIN EDP 100 ML IV</t>
        </is>
      </c>
      <c r="C787" t="inlineStr">
        <is>
          <t>P_US_ULTA</t>
        </is>
      </c>
      <c r="D787" t="inlineStr">
        <is>
          <t>Stat Fcst Simple Snaive</t>
        </is>
      </c>
      <c r="E787" t="n">
        <v>120.999996393918</v>
      </c>
      <c r="F787" t="n">
        <v>265.499976828694</v>
      </c>
      <c r="G787" t="n">
        <v>354.666669309139</v>
      </c>
      <c r="H787" t="n">
        <v>203.9999837478</v>
      </c>
      <c r="I787" t="n">
        <v>151.333334460854</v>
      </c>
      <c r="J787" t="n">
        <v>329.6429497706</v>
      </c>
      <c r="K787" t="n">
        <v>171.999984701474</v>
      </c>
      <c r="L787" t="n">
        <v>201.666666666666</v>
      </c>
      <c r="M787" t="n">
        <v>386.97628648153</v>
      </c>
      <c r="N787" t="n">
        <v>46.6666673620541</v>
      </c>
      <c r="O787" t="n">
        <v>309.99999076128</v>
      </c>
      <c r="P787" t="n">
        <v>122.00000090897</v>
      </c>
    </row>
    <row r="788">
      <c r="A788" s="1" t="n">
        <v>3616304249716</v>
      </c>
      <c r="B788" t="inlineStr">
        <is>
          <t>GUCCI BM EDPIN EDP 100 ML IV</t>
        </is>
      </c>
      <c r="C788" t="inlineStr">
        <is>
          <t>P_US_ULTA</t>
        </is>
      </c>
      <c r="D788" t="inlineStr">
        <is>
          <t>Stat Fcst Simple AOA</t>
        </is>
      </c>
    </row>
    <row r="789">
      <c r="A789" s="1" t="n">
        <v>3616304249716</v>
      </c>
      <c r="B789" t="inlineStr">
        <is>
          <t>GUCCI BM EDPIN EDP 100 ML IV</t>
        </is>
      </c>
      <c r="C789" t="inlineStr">
        <is>
          <t>P_US_ULTA</t>
        </is>
      </c>
      <c r="D789" t="inlineStr">
        <is>
          <t>Stat Fcst Weighted Snaive</t>
        </is>
      </c>
    </row>
    <row r="790">
      <c r="A790" s="1" t="n">
        <v>3616304249716</v>
      </c>
      <c r="B790" t="inlineStr">
        <is>
          <t>GUCCI BM EDPIN EDP 100 ML IV</t>
        </is>
      </c>
      <c r="C790" t="inlineStr">
        <is>
          <t>P_US_ULTA</t>
        </is>
      </c>
      <c r="D790" t="inlineStr">
        <is>
          <t>Stat Fcst Weighted AOA</t>
        </is>
      </c>
    </row>
    <row r="791">
      <c r="A791" s="1" t="n">
        <v>3616304249716</v>
      </c>
      <c r="B791" t="inlineStr">
        <is>
          <t>GUCCI BM EDPIN EDP 100 ML IV</t>
        </is>
      </c>
      <c r="C791" t="inlineStr">
        <is>
          <t>P_US_ULTA</t>
        </is>
      </c>
      <c r="D791" t="inlineStr">
        <is>
          <t>Stat Fcst Growth Snaive</t>
        </is>
      </c>
    </row>
    <row r="792">
      <c r="A792" s="1" t="n">
        <v>3616304249716</v>
      </c>
      <c r="B792" t="inlineStr">
        <is>
          <t>GUCCI BM EDPIN EDP 100 ML IV</t>
        </is>
      </c>
      <c r="C792" t="inlineStr">
        <is>
          <t>P_US_ULTA</t>
        </is>
      </c>
      <c r="D792" t="inlineStr">
        <is>
          <t>Stat Fcst Growth AOA</t>
        </is>
      </c>
    </row>
    <row r="793">
      <c r="A793" s="1" t="n">
        <v>3616304249716</v>
      </c>
      <c r="B793" t="inlineStr">
        <is>
          <t>GUCCI BM EDPIN EDP 100 ML IV</t>
        </is>
      </c>
      <c r="C793" t="inlineStr">
        <is>
          <t>P_US_ULTA</t>
        </is>
      </c>
      <c r="D793" t="inlineStr">
        <is>
          <t>System Stat Fcst Bestfit</t>
        </is>
      </c>
      <c r="H793" t="n">
        <v>203.999978661537</v>
      </c>
      <c r="I793" t="n">
        <v>151.333329374591</v>
      </c>
      <c r="J793" t="n">
        <v>329.642934511812</v>
      </c>
      <c r="K793" t="n">
        <v>171.999979615211</v>
      </c>
      <c r="L793" t="n">
        <v>201.666671752929</v>
      </c>
      <c r="M793" t="n">
        <v>386.976276309004</v>
      </c>
      <c r="N793" t="n">
        <v>46.6666686336199</v>
      </c>
      <c r="O793" t="n">
        <v>309.99999076128</v>
      </c>
      <c r="P793" t="n">
        <v>122.00000090897</v>
      </c>
    </row>
    <row r="794">
      <c r="A794" s="1" t="n">
        <v>3616305169259</v>
      </c>
      <c r="B794" t="inlineStr">
        <is>
          <t>GUCCI FL G ORC EDP 30ML IV</t>
        </is>
      </c>
      <c r="C794" t="inlineStr">
        <is>
          <t>P_US_ALL_OTHERS</t>
        </is>
      </c>
      <c r="D794" t="inlineStr">
        <is>
          <t>Stat Fcst L1</t>
        </is>
      </c>
      <c r="E794" t="n">
        <v>1614.99995186924</v>
      </c>
      <c r="F794" t="n">
        <v>659.999980330467</v>
      </c>
      <c r="G794" t="n">
        <v>1812</v>
      </c>
      <c r="H794" t="n">
        <v>76</v>
      </c>
      <c r="I794" t="n">
        <v>138</v>
      </c>
      <c r="J794" t="n">
        <v>332</v>
      </c>
      <c r="K794" t="n">
        <v>899</v>
      </c>
      <c r="L794" t="n">
        <v>408</v>
      </c>
      <c r="M794" t="n">
        <v>1674</v>
      </c>
      <c r="N794" t="n">
        <v>447</v>
      </c>
      <c r="O794" t="n">
        <v>602</v>
      </c>
      <c r="P794" t="n">
        <v>3145</v>
      </c>
    </row>
    <row r="795">
      <c r="A795" s="1" t="n">
        <v>3616305169259</v>
      </c>
      <c r="B795" t="inlineStr">
        <is>
          <t>GUCCI FL G ORC EDP 30ML IV</t>
        </is>
      </c>
      <c r="C795" t="inlineStr">
        <is>
          <t>P_US_ALL_OTHERS</t>
        </is>
      </c>
      <c r="D795" t="inlineStr">
        <is>
          <t>Stat Fcst AR-NNET</t>
        </is>
      </c>
    </row>
    <row r="796">
      <c r="A796" s="1" t="n">
        <v>3616305169259</v>
      </c>
      <c r="B796" t="inlineStr">
        <is>
          <t>GUCCI FL G ORC EDP 30ML IV</t>
        </is>
      </c>
      <c r="C796" t="inlineStr">
        <is>
          <t>P_US_ALL_OTHERS</t>
        </is>
      </c>
      <c r="D796" t="inlineStr">
        <is>
          <t>Stat Fcst Auto ARIMA</t>
        </is>
      </c>
    </row>
    <row r="797">
      <c r="A797" s="1" t="n">
        <v>3616305169259</v>
      </c>
      <c r="B797" t="inlineStr">
        <is>
          <t>GUCCI FL G ORC EDP 30ML IV</t>
        </is>
      </c>
      <c r="C797" t="inlineStr">
        <is>
          <t>P_US_ALL_OTHERS</t>
        </is>
      </c>
      <c r="D797" t="inlineStr">
        <is>
          <t>Stat Fcst Croston</t>
        </is>
      </c>
    </row>
    <row r="798">
      <c r="A798" s="1" t="n">
        <v>3616305169259</v>
      </c>
      <c r="B798" t="inlineStr">
        <is>
          <t>GUCCI FL G ORC EDP 30ML IV</t>
        </is>
      </c>
      <c r="C798" t="inlineStr">
        <is>
          <t>P_US_ALL_OTHERS</t>
        </is>
      </c>
      <c r="D798" t="inlineStr">
        <is>
          <t>Stat Fcst DES</t>
        </is>
      </c>
    </row>
    <row r="799">
      <c r="A799" s="1" t="n">
        <v>3616305169259</v>
      </c>
      <c r="B799" t="inlineStr">
        <is>
          <t>GUCCI FL G ORC EDP 30ML IV</t>
        </is>
      </c>
      <c r="C799" t="inlineStr">
        <is>
          <t>P_US_ALL_OTHERS</t>
        </is>
      </c>
      <c r="D799" t="inlineStr">
        <is>
          <t>Stat Fcst ETS</t>
        </is>
      </c>
    </row>
    <row r="800">
      <c r="A800" s="1" t="n">
        <v>3616305169259</v>
      </c>
      <c r="B800" t="inlineStr">
        <is>
          <t>GUCCI FL G ORC EDP 30ML IV</t>
        </is>
      </c>
      <c r="C800" t="inlineStr">
        <is>
          <t>P_US_ALL_OTHERS</t>
        </is>
      </c>
      <c r="D800" t="inlineStr">
        <is>
          <t>Stat Fcst Moving Average</t>
        </is>
      </c>
    </row>
    <row r="801">
      <c r="A801" s="1" t="n">
        <v>3616305169259</v>
      </c>
      <c r="B801" t="inlineStr">
        <is>
          <t>GUCCI FL G ORC EDP 30ML IV</t>
        </is>
      </c>
      <c r="C801" t="inlineStr">
        <is>
          <t>P_US_ALL_OTHERS</t>
        </is>
      </c>
      <c r="D801" t="inlineStr">
        <is>
          <t>Stat Fcst Naive Random Walk</t>
        </is>
      </c>
    </row>
    <row r="802">
      <c r="A802" s="1" t="n">
        <v>3616305169259</v>
      </c>
      <c r="B802" t="inlineStr">
        <is>
          <t>GUCCI FL G ORC EDP 30ML IV</t>
        </is>
      </c>
      <c r="C802" t="inlineStr">
        <is>
          <t>P_US_ALL_OTHERS</t>
        </is>
      </c>
      <c r="D802" t="inlineStr">
        <is>
          <t>Stat Fcst Prophet</t>
        </is>
      </c>
    </row>
    <row r="803">
      <c r="A803" s="1" t="n">
        <v>3616305169259</v>
      </c>
      <c r="B803" t="inlineStr">
        <is>
          <t>GUCCI FL G ORC EDP 30ML IV</t>
        </is>
      </c>
      <c r="C803" t="inlineStr">
        <is>
          <t>P_US_ALL_OTHERS</t>
        </is>
      </c>
      <c r="D803" t="inlineStr">
        <is>
          <t>Stat Fcst sARIMA</t>
        </is>
      </c>
    </row>
    <row r="804">
      <c r="A804" s="1" t="n">
        <v>3616305169259</v>
      </c>
      <c r="B804" t="inlineStr">
        <is>
          <t>GUCCI FL G ORC EDP 30ML IV</t>
        </is>
      </c>
      <c r="C804" t="inlineStr">
        <is>
          <t>P_US_ALL_OTHERS</t>
        </is>
      </c>
      <c r="D804" t="inlineStr">
        <is>
          <t>Stat Fcst Seasonal Naive YoY</t>
        </is>
      </c>
    </row>
    <row r="805">
      <c r="A805" s="1" t="n">
        <v>3616305169259</v>
      </c>
      <c r="B805" t="inlineStr">
        <is>
          <t>GUCCI FL G ORC EDP 30ML IV</t>
        </is>
      </c>
      <c r="C805" t="inlineStr">
        <is>
          <t>P_US_ALL_OTHERS</t>
        </is>
      </c>
      <c r="D805" t="inlineStr">
        <is>
          <t>Stat Fcst SES</t>
        </is>
      </c>
    </row>
    <row r="806">
      <c r="A806" s="1" t="n">
        <v>3616305169259</v>
      </c>
      <c r="B806" t="inlineStr">
        <is>
          <t>GUCCI FL G ORC EDP 30ML IV</t>
        </is>
      </c>
      <c r="C806" t="inlineStr">
        <is>
          <t>P_US_ALL_OTHERS</t>
        </is>
      </c>
      <c r="D806" t="inlineStr">
        <is>
          <t>Stat Fcst STLF</t>
        </is>
      </c>
      <c r="E806" t="n">
        <v>29.9999971985817</v>
      </c>
      <c r="F806" t="n">
        <v>575.353267395279</v>
      </c>
      <c r="G806" t="n">
        <v>5061.7338082967</v>
      </c>
      <c r="H806" t="n">
        <v>2471.36296344386</v>
      </c>
      <c r="I806" t="n">
        <v>2396.26951636769</v>
      </c>
      <c r="J806" t="n">
        <v>2781.51481708346</v>
      </c>
      <c r="K806" t="n">
        <v>3615.74239275134</v>
      </c>
      <c r="L806" t="n">
        <v>2427.57677399473</v>
      </c>
      <c r="M806" t="n">
        <v>4199.2029548713</v>
      </c>
      <c r="N806" t="n">
        <v>2811.8312243753</v>
      </c>
      <c r="O806" t="n">
        <v>633.2656232227361</v>
      </c>
      <c r="P806" t="n">
        <v>2232.92165763229</v>
      </c>
    </row>
    <row r="807">
      <c r="A807" s="1" t="n">
        <v>3616305169259</v>
      </c>
      <c r="B807" t="inlineStr">
        <is>
          <t>GUCCI FL G ORC EDP 30ML IV</t>
        </is>
      </c>
      <c r="C807" t="inlineStr">
        <is>
          <t>P_US_ALL_OTHERS</t>
        </is>
      </c>
      <c r="D807" t="inlineStr">
        <is>
          <t>Stat Fcst TBATS</t>
        </is>
      </c>
    </row>
    <row r="808">
      <c r="A808" s="1" t="n">
        <v>3616305169259</v>
      </c>
      <c r="B808" t="inlineStr">
        <is>
          <t>GUCCI FL G ORC EDP 30ML IV</t>
        </is>
      </c>
      <c r="C808" t="inlineStr">
        <is>
          <t>P_US_ALL_OTHERS</t>
        </is>
      </c>
      <c r="D808" t="inlineStr">
        <is>
          <t>Stat Fcst TES</t>
        </is>
      </c>
      <c r="E808" t="n">
        <v>817.072467346563</v>
      </c>
      <c r="F808" t="n">
        <v>918.684720875958</v>
      </c>
      <c r="G808" t="n">
        <v>910.082108444094</v>
      </c>
      <c r="H808" t="n">
        <v>396.855634295232</v>
      </c>
      <c r="I808" t="n">
        <v>29.9999983161687</v>
      </c>
      <c r="J808" t="n">
        <v>268.846282330141</v>
      </c>
      <c r="K808" t="n">
        <v>332.857327996235</v>
      </c>
      <c r="L808" t="n">
        <v>2618.98749786829</v>
      </c>
      <c r="M808" t="n">
        <v>1916.13560009916</v>
      </c>
      <c r="N808" t="n">
        <v>1175.18299519213</v>
      </c>
      <c r="O808" t="n">
        <v>803.502059600544</v>
      </c>
      <c r="P808" t="n">
        <v>1119.11926452228</v>
      </c>
    </row>
    <row r="809">
      <c r="A809" s="1" t="n">
        <v>3616305169259</v>
      </c>
      <c r="B809" t="inlineStr">
        <is>
          <t>GUCCI FL G ORC EDP 30ML IV</t>
        </is>
      </c>
      <c r="C809" t="inlineStr">
        <is>
          <t>P_US_ALL_OTHERS</t>
        </is>
      </c>
      <c r="D809" t="inlineStr">
        <is>
          <t>Stat Fcst Theta</t>
        </is>
      </c>
    </row>
    <row r="810">
      <c r="A810" s="1" t="n">
        <v>3616305169259</v>
      </c>
      <c r="B810" t="inlineStr">
        <is>
          <t>GUCCI FL G ORC EDP 30ML IV</t>
        </is>
      </c>
      <c r="C810" t="inlineStr">
        <is>
          <t>P_US_ALL_OTHERS</t>
        </is>
      </c>
      <c r="D810" t="inlineStr">
        <is>
          <t>System ML Fcst L1</t>
        </is>
      </c>
    </row>
    <row r="811">
      <c r="A811" s="1" t="n">
        <v>3616305169259</v>
      </c>
      <c r="B811" t="inlineStr">
        <is>
          <t>GUCCI FL G ORC EDP 30ML IV</t>
        </is>
      </c>
      <c r="C811" t="inlineStr">
        <is>
          <t>P_US_ALL_OTHERS</t>
        </is>
      </c>
      <c r="D811" t="inlineStr">
        <is>
          <t>Stat Fcst Simple Snaive</t>
        </is>
      </c>
      <c r="E811" t="n">
        <v>974.499970957636</v>
      </c>
      <c r="F811" t="n">
        <v>4426.15727775819</v>
      </c>
      <c r="G811" t="n">
        <v>1811.50013556704</v>
      </c>
      <c r="H811" t="n">
        <v>76.9999967515468</v>
      </c>
      <c r="I811" t="n">
        <v>137.500001024454</v>
      </c>
      <c r="J811" t="n">
        <v>329.999959647656</v>
      </c>
      <c r="K811" t="n">
        <v>897.499912217261</v>
      </c>
      <c r="L811" t="n">
        <v>407</v>
      </c>
      <c r="M811" t="n">
        <v>1674.99995008111</v>
      </c>
      <c r="N811" t="n">
        <v>447.000006660819</v>
      </c>
      <c r="O811" t="n">
        <v>603.999980092048</v>
      </c>
      <c r="P811" t="n">
        <v>3143.77183331875</v>
      </c>
    </row>
    <row r="812">
      <c r="A812" s="1" t="n">
        <v>3616305169259</v>
      </c>
      <c r="B812" t="inlineStr">
        <is>
          <t>GUCCI FL G ORC EDP 30ML IV</t>
        </is>
      </c>
      <c r="C812" t="inlineStr">
        <is>
          <t>P_US_ALL_OTHERS</t>
        </is>
      </c>
      <c r="D812" t="inlineStr">
        <is>
          <t>Stat Fcst Simple AOA</t>
        </is>
      </c>
    </row>
    <row r="813">
      <c r="A813" s="1" t="n">
        <v>3616305169259</v>
      </c>
      <c r="B813" t="inlineStr">
        <is>
          <t>GUCCI FL G ORC EDP 30ML IV</t>
        </is>
      </c>
      <c r="C813" t="inlineStr">
        <is>
          <t>P_US_ALL_OTHERS</t>
        </is>
      </c>
      <c r="D813" t="inlineStr">
        <is>
          <t>Stat Fcst Weighted Snaive</t>
        </is>
      </c>
    </row>
    <row r="814">
      <c r="A814" s="1" t="n">
        <v>3616305169259</v>
      </c>
      <c r="B814" t="inlineStr">
        <is>
          <t>GUCCI FL G ORC EDP 30ML IV</t>
        </is>
      </c>
      <c r="C814" t="inlineStr">
        <is>
          <t>P_US_ALL_OTHERS</t>
        </is>
      </c>
      <c r="D814" t="inlineStr">
        <is>
          <t>Stat Fcst Weighted AOA</t>
        </is>
      </c>
    </row>
    <row r="815">
      <c r="A815" s="1" t="n">
        <v>3616305169259</v>
      </c>
      <c r="B815" t="inlineStr">
        <is>
          <t>GUCCI FL G ORC EDP 30ML IV</t>
        </is>
      </c>
      <c r="C815" t="inlineStr">
        <is>
          <t>P_US_ALL_OTHERS</t>
        </is>
      </c>
      <c r="D815" t="inlineStr">
        <is>
          <t>Stat Fcst Growth Snaive</t>
        </is>
      </c>
    </row>
    <row r="816">
      <c r="A816" s="1" t="n">
        <v>3616305169259</v>
      </c>
      <c r="B816" t="inlineStr">
        <is>
          <t>GUCCI FL G ORC EDP 30ML IV</t>
        </is>
      </c>
      <c r="C816" t="inlineStr">
        <is>
          <t>P_US_ALL_OTHERS</t>
        </is>
      </c>
      <c r="D816" t="inlineStr">
        <is>
          <t>Stat Fcst Growth AOA</t>
        </is>
      </c>
    </row>
    <row r="817">
      <c r="A817" s="1" t="n">
        <v>3616305169259</v>
      </c>
      <c r="B817" t="inlineStr">
        <is>
          <t>GUCCI FL G ORC EDP 30ML IV</t>
        </is>
      </c>
      <c r="C817" t="inlineStr">
        <is>
          <t>P_US_ALL_OTHERS</t>
        </is>
      </c>
      <c r="D817" t="inlineStr">
        <is>
          <t>System Stat Fcst Bestfit</t>
        </is>
      </c>
      <c r="H817" t="n">
        <v>76.99999770522111</v>
      </c>
      <c r="I817" t="n">
        <v>137.500001024454</v>
      </c>
      <c r="J817" t="n">
        <v>329.999959647656</v>
      </c>
      <c r="K817" t="n">
        <v>897.499851182106</v>
      </c>
      <c r="L817" t="n">
        <v>407</v>
      </c>
      <c r="M817" t="n">
        <v>1674.99995008111</v>
      </c>
      <c r="N817" t="n">
        <v>447.000006660819</v>
      </c>
      <c r="O817" t="n">
        <v>603.9999209642421</v>
      </c>
      <c r="P817" t="n">
        <v>3143.77199607917</v>
      </c>
    </row>
    <row r="818">
      <c r="A818" s="1" t="n">
        <v>3616305169259</v>
      </c>
      <c r="B818" t="inlineStr">
        <is>
          <t>GUCCI FL G ORC EDP 30ML IV</t>
        </is>
      </c>
      <c r="C818" t="inlineStr">
        <is>
          <t>P_US_ULTA</t>
        </is>
      </c>
      <c r="D818" t="inlineStr">
        <is>
          <t>Stat Fcst L1</t>
        </is>
      </c>
      <c r="E818" t="n">
        <v>370.999988943338</v>
      </c>
      <c r="F818" t="n">
        <v>1280.99996182322</v>
      </c>
      <c r="G818" t="n">
        <v>707</v>
      </c>
      <c r="H818" t="n">
        <v>749</v>
      </c>
      <c r="I818" t="n">
        <v>738</v>
      </c>
      <c r="J818" t="n">
        <v>722</v>
      </c>
      <c r="K818" t="n">
        <v>713</v>
      </c>
      <c r="L818" t="n">
        <v>704</v>
      </c>
      <c r="M818" t="n">
        <v>695</v>
      </c>
      <c r="N818" t="n">
        <v>687</v>
      </c>
      <c r="O818" t="n">
        <v>682</v>
      </c>
      <c r="P818" t="n">
        <v>673</v>
      </c>
    </row>
    <row r="819">
      <c r="A819" s="1" t="n">
        <v>3616305169259</v>
      </c>
      <c r="B819" t="inlineStr">
        <is>
          <t>GUCCI FL G ORC EDP 30ML IV</t>
        </is>
      </c>
      <c r="C819" t="inlineStr">
        <is>
          <t>P_US_ULTA</t>
        </is>
      </c>
      <c r="D819" t="inlineStr">
        <is>
          <t>Stat Fcst AR-NNET</t>
        </is>
      </c>
    </row>
    <row r="820">
      <c r="A820" s="1" t="n">
        <v>3616305169259</v>
      </c>
      <c r="B820" t="inlineStr">
        <is>
          <t>GUCCI FL G ORC EDP 30ML IV</t>
        </is>
      </c>
      <c r="C820" t="inlineStr">
        <is>
          <t>P_US_ULTA</t>
        </is>
      </c>
      <c r="D820" t="inlineStr">
        <is>
          <t>Stat Fcst Auto ARIMA</t>
        </is>
      </c>
    </row>
    <row r="821">
      <c r="A821" s="1" t="n">
        <v>3616305169259</v>
      </c>
      <c r="B821" t="inlineStr">
        <is>
          <t>GUCCI FL G ORC EDP 30ML IV</t>
        </is>
      </c>
      <c r="C821" t="inlineStr">
        <is>
          <t>P_US_ULTA</t>
        </is>
      </c>
      <c r="D821" t="inlineStr">
        <is>
          <t>Stat Fcst Croston</t>
        </is>
      </c>
    </row>
    <row r="822">
      <c r="A822" s="1" t="n">
        <v>3616305169259</v>
      </c>
      <c r="B822" t="inlineStr">
        <is>
          <t>GUCCI FL G ORC EDP 30ML IV</t>
        </is>
      </c>
      <c r="C822" t="inlineStr">
        <is>
          <t>P_US_ULTA</t>
        </is>
      </c>
      <c r="D822" t="inlineStr">
        <is>
          <t>Stat Fcst DES</t>
        </is>
      </c>
      <c r="E822" t="n">
        <v>476.915882724842</v>
      </c>
      <c r="F822" t="n">
        <v>450.03893324095</v>
      </c>
      <c r="G822" t="n">
        <v>764.288851430341</v>
      </c>
      <c r="H822" t="n">
        <v>749.315037804358</v>
      </c>
      <c r="I822" t="n">
        <v>735.921664089616</v>
      </c>
      <c r="J822" t="n">
        <v>723.941820483433</v>
      </c>
      <c r="K822" t="n">
        <v>713.226394687047</v>
      </c>
      <c r="L822" t="n">
        <v>703.641932208754</v>
      </c>
      <c r="M822" t="n">
        <v>695.069006650448</v>
      </c>
      <c r="N822" t="n">
        <v>687.400946191168</v>
      </c>
      <c r="O822" t="n">
        <v>680.54214060093</v>
      </c>
      <c r="P822" t="n">
        <v>674.40728920343</v>
      </c>
    </row>
    <row r="823">
      <c r="A823" s="1" t="n">
        <v>3616305169259</v>
      </c>
      <c r="B823" t="inlineStr">
        <is>
          <t>GUCCI FL G ORC EDP 30ML IV</t>
        </is>
      </c>
      <c r="C823" t="inlineStr">
        <is>
          <t>P_US_ULTA</t>
        </is>
      </c>
      <c r="D823" t="inlineStr">
        <is>
          <t>Stat Fcst ETS</t>
        </is>
      </c>
    </row>
    <row r="824">
      <c r="A824" s="1" t="n">
        <v>3616305169259</v>
      </c>
      <c r="B824" t="inlineStr">
        <is>
          <t>GUCCI FL G ORC EDP 30ML IV</t>
        </is>
      </c>
      <c r="C824" t="inlineStr">
        <is>
          <t>P_US_ULTA</t>
        </is>
      </c>
      <c r="D824" t="inlineStr">
        <is>
          <t>Stat Fcst Moving Average</t>
        </is>
      </c>
    </row>
    <row r="825">
      <c r="A825" s="1" t="n">
        <v>3616305169259</v>
      </c>
      <c r="B825" t="inlineStr">
        <is>
          <t>GUCCI FL G ORC EDP 30ML IV</t>
        </is>
      </c>
      <c r="C825" t="inlineStr">
        <is>
          <t>P_US_ULTA</t>
        </is>
      </c>
      <c r="D825" t="inlineStr">
        <is>
          <t>Stat Fcst Naive Random Walk</t>
        </is>
      </c>
    </row>
    <row r="826">
      <c r="A826" s="1" t="n">
        <v>3616305169259</v>
      </c>
      <c r="B826" t="inlineStr">
        <is>
          <t>GUCCI FL G ORC EDP 30ML IV</t>
        </is>
      </c>
      <c r="C826" t="inlineStr">
        <is>
          <t>P_US_ULTA</t>
        </is>
      </c>
      <c r="D826" t="inlineStr">
        <is>
          <t>Stat Fcst Prophet</t>
        </is>
      </c>
    </row>
    <row r="827">
      <c r="A827" s="1" t="n">
        <v>3616305169259</v>
      </c>
      <c r="B827" t="inlineStr">
        <is>
          <t>GUCCI FL G ORC EDP 30ML IV</t>
        </is>
      </c>
      <c r="C827" t="inlineStr">
        <is>
          <t>P_US_ULTA</t>
        </is>
      </c>
      <c r="D827" t="inlineStr">
        <is>
          <t>Stat Fcst sARIMA</t>
        </is>
      </c>
    </row>
    <row r="828">
      <c r="A828" s="1" t="n">
        <v>3616305169259</v>
      </c>
      <c r="B828" t="inlineStr">
        <is>
          <t>GUCCI FL G ORC EDP 30ML IV</t>
        </is>
      </c>
      <c r="C828" t="inlineStr">
        <is>
          <t>P_US_ULTA</t>
        </is>
      </c>
      <c r="D828" t="inlineStr">
        <is>
          <t>Stat Fcst Seasonal Naive YoY</t>
        </is>
      </c>
    </row>
    <row r="829">
      <c r="A829" s="1" t="n">
        <v>3616305169259</v>
      </c>
      <c r="B829" t="inlineStr">
        <is>
          <t>GUCCI FL G ORC EDP 30ML IV</t>
        </is>
      </c>
      <c r="C829" t="inlineStr">
        <is>
          <t>P_US_ULTA</t>
        </is>
      </c>
      <c r="D829" t="inlineStr">
        <is>
          <t>Stat Fcst SES</t>
        </is>
      </c>
    </row>
    <row r="830">
      <c r="A830" s="1" t="n">
        <v>3616305169259</v>
      </c>
      <c r="B830" t="inlineStr">
        <is>
          <t>GUCCI FL G ORC EDP 30ML IV</t>
        </is>
      </c>
      <c r="C830" t="inlineStr">
        <is>
          <t>P_US_ULTA</t>
        </is>
      </c>
      <c r="D830" t="inlineStr">
        <is>
          <t>Stat Fcst STLF</t>
        </is>
      </c>
      <c r="E830" t="n">
        <v>0</v>
      </c>
      <c r="F830" t="n">
        <v>92.4649840727688</v>
      </c>
      <c r="G830" t="n">
        <v>2853.05291023264</v>
      </c>
      <c r="H830" t="n">
        <v>0</v>
      </c>
      <c r="I830" t="n">
        <v>647.174660472792</v>
      </c>
      <c r="J830" t="n">
        <v>602.155807097265</v>
      </c>
      <c r="K830" t="n">
        <v>444.502853965013</v>
      </c>
      <c r="L830" t="n">
        <v>739.631660480458</v>
      </c>
      <c r="M830" t="n">
        <v>2811.96785167385</v>
      </c>
      <c r="N830" t="n">
        <v>124.939915290649</v>
      </c>
      <c r="O830" t="n">
        <v>1394.10941095622</v>
      </c>
      <c r="P830" t="n">
        <v>605.956937605025</v>
      </c>
    </row>
    <row r="831">
      <c r="A831" s="1" t="n">
        <v>3616305169259</v>
      </c>
      <c r="B831" t="inlineStr">
        <is>
          <t>GUCCI FL G ORC EDP 30ML IV</t>
        </is>
      </c>
      <c r="C831" t="inlineStr">
        <is>
          <t>P_US_ULTA</t>
        </is>
      </c>
      <c r="D831" t="inlineStr">
        <is>
          <t>Stat Fcst TBATS</t>
        </is>
      </c>
    </row>
    <row r="832">
      <c r="A832" s="1" t="n">
        <v>3616305169259</v>
      </c>
      <c r="B832" t="inlineStr">
        <is>
          <t>GUCCI FL G ORC EDP 30ML IV</t>
        </is>
      </c>
      <c r="C832" t="inlineStr">
        <is>
          <t>P_US_ULTA</t>
        </is>
      </c>
      <c r="D832" t="inlineStr">
        <is>
          <t>Stat Fcst TES</t>
        </is>
      </c>
    </row>
    <row r="833">
      <c r="A833" s="1" t="n">
        <v>3616305169259</v>
      </c>
      <c r="B833" t="inlineStr">
        <is>
          <t>GUCCI FL G ORC EDP 30ML IV</t>
        </is>
      </c>
      <c r="C833" t="inlineStr">
        <is>
          <t>P_US_ULTA</t>
        </is>
      </c>
      <c r="D833" t="inlineStr">
        <is>
          <t>Stat Fcst Theta</t>
        </is>
      </c>
    </row>
    <row r="834">
      <c r="A834" s="1" t="n">
        <v>3616305169259</v>
      </c>
      <c r="B834" t="inlineStr">
        <is>
          <t>GUCCI FL G ORC EDP 30ML IV</t>
        </is>
      </c>
      <c r="C834" t="inlineStr">
        <is>
          <t>P_US_ULTA</t>
        </is>
      </c>
      <c r="D834" t="inlineStr">
        <is>
          <t>System ML Fcst L1</t>
        </is>
      </c>
    </row>
    <row r="835">
      <c r="A835" s="1" t="n">
        <v>3616305169259</v>
      </c>
      <c r="B835" t="inlineStr">
        <is>
          <t>GUCCI FL G ORC EDP 30ML IV</t>
        </is>
      </c>
      <c r="C835" t="inlineStr">
        <is>
          <t>P_US_ULTA</t>
        </is>
      </c>
      <c r="D835" t="inlineStr">
        <is>
          <t>Stat Fcst Simple Snaive</t>
        </is>
      </c>
    </row>
    <row r="836">
      <c r="A836" s="1" t="n">
        <v>3616305169259</v>
      </c>
      <c r="B836" t="inlineStr">
        <is>
          <t>GUCCI FL G ORC EDP 30ML IV</t>
        </is>
      </c>
      <c r="C836" t="inlineStr">
        <is>
          <t>P_US_ULTA</t>
        </is>
      </c>
      <c r="D836" t="inlineStr">
        <is>
          <t>Stat Fcst Simple AOA</t>
        </is>
      </c>
    </row>
    <row r="837">
      <c r="A837" s="1" t="n">
        <v>3616305169259</v>
      </c>
      <c r="B837" t="inlineStr">
        <is>
          <t>GUCCI FL G ORC EDP 30ML IV</t>
        </is>
      </c>
      <c r="C837" t="inlineStr">
        <is>
          <t>P_US_ULTA</t>
        </is>
      </c>
      <c r="D837" t="inlineStr">
        <is>
          <t>Stat Fcst Weighted Snaive</t>
        </is>
      </c>
    </row>
    <row r="838">
      <c r="A838" s="1" t="n">
        <v>3616305169259</v>
      </c>
      <c r="B838" t="inlineStr">
        <is>
          <t>GUCCI FL G ORC EDP 30ML IV</t>
        </is>
      </c>
      <c r="C838" t="inlineStr">
        <is>
          <t>P_US_ULTA</t>
        </is>
      </c>
      <c r="D838" t="inlineStr">
        <is>
          <t>Stat Fcst Weighted AOA</t>
        </is>
      </c>
      <c r="E838" t="n">
        <v>2626.32291977635</v>
      </c>
      <c r="F838" t="n">
        <v>1211.49996389448</v>
      </c>
      <c r="G838" t="n">
        <v>4036.50015214458</v>
      </c>
      <c r="H838" t="n">
        <v>0.9999999701976769</v>
      </c>
      <c r="I838" t="n">
        <v>404.000003010034</v>
      </c>
      <c r="J838" t="n">
        <v>417.499949410558</v>
      </c>
      <c r="K838" t="n">
        <v>343.999982118606</v>
      </c>
      <c r="L838" t="n">
        <v>1911</v>
      </c>
      <c r="M838" t="n">
        <v>1918.99982073903</v>
      </c>
      <c r="N838" t="n">
        <v>233.00000347197</v>
      </c>
      <c r="O838" t="n">
        <v>1888.49994371831</v>
      </c>
      <c r="P838" t="n">
        <v>2083.00001551955</v>
      </c>
    </row>
    <row r="839">
      <c r="A839" s="1" t="n">
        <v>3616305169259</v>
      </c>
      <c r="B839" t="inlineStr">
        <is>
          <t>GUCCI FL G ORC EDP 30ML IV</t>
        </is>
      </c>
      <c r="C839" t="inlineStr">
        <is>
          <t>P_US_ULTA</t>
        </is>
      </c>
      <c r="D839" t="inlineStr">
        <is>
          <t>Stat Fcst Growth Snaive</t>
        </is>
      </c>
    </row>
    <row r="840">
      <c r="A840" s="1" t="n">
        <v>3616305169259</v>
      </c>
      <c r="B840" t="inlineStr">
        <is>
          <t>GUCCI FL G ORC EDP 30ML IV</t>
        </is>
      </c>
      <c r="C840" t="inlineStr">
        <is>
          <t>P_US_ULTA</t>
        </is>
      </c>
      <c r="D840" t="inlineStr">
        <is>
          <t>Stat Fcst Growth AOA</t>
        </is>
      </c>
    </row>
    <row r="841">
      <c r="A841" s="1" t="n">
        <v>3616305169259</v>
      </c>
      <c r="B841" t="inlineStr">
        <is>
          <t>GUCCI FL G ORC EDP 30ML IV</t>
        </is>
      </c>
      <c r="C841" t="inlineStr">
        <is>
          <t>P_US_ULTA</t>
        </is>
      </c>
      <c r="D841" t="inlineStr">
        <is>
          <t>System Stat Fcst Bestfit</t>
        </is>
      </c>
      <c r="H841" t="n">
        <v>749.315041145233</v>
      </c>
      <c r="I841" t="n">
        <v>735.921697377575</v>
      </c>
      <c r="J841" t="n">
        <v>723.941811920945</v>
      </c>
      <c r="K841" t="n">
        <v>713.226358138728</v>
      </c>
      <c r="L841" t="n">
        <v>703.641906738281</v>
      </c>
      <c r="M841" t="n">
        <v>695.068949011893</v>
      </c>
      <c r="N841" t="n">
        <v>687.400950184478</v>
      </c>
      <c r="O841" t="n">
        <v>680.542093976077</v>
      </c>
      <c r="P841" t="n">
        <v>674.407292622382</v>
      </c>
    </row>
    <row r="842">
      <c r="A842" s="1" t="n">
        <v>3616305169273</v>
      </c>
      <c r="B842" t="inlineStr">
        <is>
          <t>GUCCI FL G ORC EDP 100 ML VP IV</t>
        </is>
      </c>
      <c r="C842" t="inlineStr">
        <is>
          <t>P_US_ALL_OTHERS</t>
        </is>
      </c>
      <c r="D842" t="inlineStr">
        <is>
          <t>Stat Fcst L1</t>
        </is>
      </c>
      <c r="E842" t="n">
        <v>2893.99991375207</v>
      </c>
      <c r="F842" t="n">
        <v>1338.99996009469</v>
      </c>
      <c r="G842" t="n">
        <v>1135</v>
      </c>
      <c r="H842" t="n">
        <v>496</v>
      </c>
      <c r="I842" t="n">
        <v>3558</v>
      </c>
      <c r="J842" t="n">
        <v>1364</v>
      </c>
      <c r="K842" t="n">
        <v>802</v>
      </c>
      <c r="L842" t="n">
        <v>1684</v>
      </c>
      <c r="M842" t="n">
        <v>2152</v>
      </c>
      <c r="N842" t="n">
        <v>497</v>
      </c>
      <c r="O842" t="n">
        <v>496</v>
      </c>
      <c r="P842" t="n">
        <v>497</v>
      </c>
    </row>
    <row r="843">
      <c r="A843" s="1" t="n">
        <v>3616305169273</v>
      </c>
      <c r="B843" t="inlineStr">
        <is>
          <t>GUCCI FL G ORC EDP 100 ML VP IV</t>
        </is>
      </c>
      <c r="C843" t="inlineStr">
        <is>
          <t>P_US_ALL_OTHERS</t>
        </is>
      </c>
      <c r="D843" t="inlineStr">
        <is>
          <t>Stat Fcst AR-NNET</t>
        </is>
      </c>
    </row>
    <row r="844">
      <c r="A844" s="1" t="n">
        <v>3616305169273</v>
      </c>
      <c r="B844" t="inlineStr">
        <is>
          <t>GUCCI FL G ORC EDP 100 ML VP IV</t>
        </is>
      </c>
      <c r="C844" t="inlineStr">
        <is>
          <t>P_US_ALL_OTHERS</t>
        </is>
      </c>
      <c r="D844" t="inlineStr">
        <is>
          <t>Stat Fcst Auto ARIMA</t>
        </is>
      </c>
    </row>
    <row r="845">
      <c r="A845" s="1" t="n">
        <v>3616305169273</v>
      </c>
      <c r="B845" t="inlineStr">
        <is>
          <t>GUCCI FL G ORC EDP 100 ML VP IV</t>
        </is>
      </c>
      <c r="C845" t="inlineStr">
        <is>
          <t>P_US_ALL_OTHERS</t>
        </is>
      </c>
      <c r="D845" t="inlineStr">
        <is>
          <t>Stat Fcst Croston</t>
        </is>
      </c>
    </row>
    <row r="846">
      <c r="A846" s="1" t="n">
        <v>3616305169273</v>
      </c>
      <c r="B846" t="inlineStr">
        <is>
          <t>GUCCI FL G ORC EDP 100 ML VP IV</t>
        </is>
      </c>
      <c r="C846" t="inlineStr">
        <is>
          <t>P_US_ALL_OTHERS</t>
        </is>
      </c>
      <c r="D846" t="inlineStr">
        <is>
          <t>Stat Fcst DES</t>
        </is>
      </c>
    </row>
    <row r="847">
      <c r="A847" s="1" t="n">
        <v>3616305169273</v>
      </c>
      <c r="B847" t="inlineStr">
        <is>
          <t>GUCCI FL G ORC EDP 100 ML VP IV</t>
        </is>
      </c>
      <c r="C847" t="inlineStr">
        <is>
          <t>P_US_ALL_OTHERS</t>
        </is>
      </c>
      <c r="D847" t="inlineStr">
        <is>
          <t>Stat Fcst ETS</t>
        </is>
      </c>
    </row>
    <row r="848">
      <c r="A848" s="1" t="n">
        <v>3616305169273</v>
      </c>
      <c r="B848" t="inlineStr">
        <is>
          <t>GUCCI FL G ORC EDP 100 ML VP IV</t>
        </is>
      </c>
      <c r="C848" t="inlineStr">
        <is>
          <t>P_US_ALL_OTHERS</t>
        </is>
      </c>
      <c r="D848" t="inlineStr">
        <is>
          <t>Stat Fcst Moving Average</t>
        </is>
      </c>
    </row>
    <row r="849">
      <c r="A849" s="1" t="n">
        <v>3616305169273</v>
      </c>
      <c r="B849" t="inlineStr">
        <is>
          <t>GUCCI FL G ORC EDP 100 ML VP IV</t>
        </is>
      </c>
      <c r="C849" t="inlineStr">
        <is>
          <t>P_US_ALL_OTHERS</t>
        </is>
      </c>
      <c r="D849" t="inlineStr">
        <is>
          <t>Stat Fcst Naive Random Walk</t>
        </is>
      </c>
    </row>
    <row r="850">
      <c r="A850" s="1" t="n">
        <v>3616305169273</v>
      </c>
      <c r="B850" t="inlineStr">
        <is>
          <t>GUCCI FL G ORC EDP 100 ML VP IV</t>
        </is>
      </c>
      <c r="C850" t="inlineStr">
        <is>
          <t>P_US_ALL_OTHERS</t>
        </is>
      </c>
      <c r="D850" t="inlineStr">
        <is>
          <t>Stat Fcst Prophet</t>
        </is>
      </c>
    </row>
    <row r="851">
      <c r="A851" s="1" t="n">
        <v>3616305169273</v>
      </c>
      <c r="B851" t="inlineStr">
        <is>
          <t>GUCCI FL G ORC EDP 100 ML VP IV</t>
        </is>
      </c>
      <c r="C851" t="inlineStr">
        <is>
          <t>P_US_ALL_OTHERS</t>
        </is>
      </c>
      <c r="D851" t="inlineStr">
        <is>
          <t>Stat Fcst sARIMA</t>
        </is>
      </c>
    </row>
    <row r="852">
      <c r="A852" s="1" t="n">
        <v>3616305169273</v>
      </c>
      <c r="B852" t="inlineStr">
        <is>
          <t>GUCCI FL G ORC EDP 100 ML VP IV</t>
        </is>
      </c>
      <c r="C852" t="inlineStr">
        <is>
          <t>P_US_ALL_OTHERS</t>
        </is>
      </c>
      <c r="D852" t="inlineStr">
        <is>
          <t>Stat Fcst Seasonal Naive YoY</t>
        </is>
      </c>
    </row>
    <row r="853">
      <c r="A853" s="1" t="n">
        <v>3616305169273</v>
      </c>
      <c r="B853" t="inlineStr">
        <is>
          <t>GUCCI FL G ORC EDP 100 ML VP IV</t>
        </is>
      </c>
      <c r="C853" t="inlineStr">
        <is>
          <t>P_US_ALL_OTHERS</t>
        </is>
      </c>
      <c r="D853" t="inlineStr">
        <is>
          <t>Stat Fcst SES</t>
        </is>
      </c>
    </row>
    <row r="854">
      <c r="A854" s="1" t="n">
        <v>3616305169273</v>
      </c>
      <c r="B854" t="inlineStr">
        <is>
          <t>GUCCI FL G ORC EDP 100 ML VP IV</t>
        </is>
      </c>
      <c r="C854" t="inlineStr">
        <is>
          <t>P_US_ALL_OTHERS</t>
        </is>
      </c>
      <c r="D854" t="inlineStr">
        <is>
          <t>Stat Fcst STLF</t>
        </is>
      </c>
      <c r="E854" t="n">
        <v>495.999985218048</v>
      </c>
      <c r="F854" t="n">
        <v>495.999985218048</v>
      </c>
      <c r="G854" t="n">
        <v>6684.12716882524</v>
      </c>
      <c r="H854" t="n">
        <v>5759.26930974402</v>
      </c>
      <c r="I854" t="n">
        <v>2632.46440427735</v>
      </c>
      <c r="J854" t="n">
        <v>2030.41674610487</v>
      </c>
      <c r="K854" t="n">
        <v>495.999985218048</v>
      </c>
      <c r="L854" t="n">
        <v>496</v>
      </c>
      <c r="M854" t="n">
        <v>2378.04823026487</v>
      </c>
      <c r="N854" t="n">
        <v>1484.82658444896</v>
      </c>
      <c r="O854" t="n">
        <v>3647.91944932251</v>
      </c>
      <c r="P854" t="n">
        <v>700.429093392404</v>
      </c>
    </row>
    <row r="855">
      <c r="A855" s="1" t="n">
        <v>3616305169273</v>
      </c>
      <c r="B855" t="inlineStr">
        <is>
          <t>GUCCI FL G ORC EDP 100 ML VP IV</t>
        </is>
      </c>
      <c r="C855" t="inlineStr">
        <is>
          <t>P_US_ALL_OTHERS</t>
        </is>
      </c>
      <c r="D855" t="inlineStr">
        <is>
          <t>Stat Fcst TBATS</t>
        </is>
      </c>
    </row>
    <row r="856">
      <c r="A856" s="1" t="n">
        <v>3616305169273</v>
      </c>
      <c r="B856" t="inlineStr">
        <is>
          <t>GUCCI FL G ORC EDP 100 ML VP IV</t>
        </is>
      </c>
      <c r="C856" t="inlineStr">
        <is>
          <t>P_US_ALL_OTHERS</t>
        </is>
      </c>
      <c r="D856" t="inlineStr">
        <is>
          <t>Stat Fcst TES</t>
        </is>
      </c>
      <c r="E856" t="n">
        <v>1057.57107323586</v>
      </c>
      <c r="F856" t="n">
        <v>1057.47407134516</v>
      </c>
      <c r="G856" t="n">
        <v>763.1251430830119</v>
      </c>
      <c r="H856" t="n">
        <v>495.999985218048</v>
      </c>
      <c r="I856" t="n">
        <v>3556.63985116275</v>
      </c>
      <c r="J856" t="n">
        <v>1364.35483431082</v>
      </c>
      <c r="K856" t="n">
        <v>803.499823202825</v>
      </c>
      <c r="L856" t="n">
        <v>1682.31023698213</v>
      </c>
      <c r="M856" t="n">
        <v>2152.75314155652</v>
      </c>
      <c r="N856" t="n">
        <v>496.000007390975</v>
      </c>
      <c r="O856" t="n">
        <v>495.999985218048</v>
      </c>
      <c r="P856" t="n">
        <v>496.000003695488</v>
      </c>
    </row>
    <row r="857">
      <c r="A857" s="1" t="n">
        <v>3616305169273</v>
      </c>
      <c r="B857" t="inlineStr">
        <is>
          <t>GUCCI FL G ORC EDP 100 ML VP IV</t>
        </is>
      </c>
      <c r="C857" t="inlineStr">
        <is>
          <t>P_US_ALL_OTHERS</t>
        </is>
      </c>
      <c r="D857" t="inlineStr">
        <is>
          <t>Stat Fcst Theta</t>
        </is>
      </c>
    </row>
    <row r="858">
      <c r="A858" s="1" t="n">
        <v>3616305169273</v>
      </c>
      <c r="B858" t="inlineStr">
        <is>
          <t>GUCCI FL G ORC EDP 100 ML VP IV</t>
        </is>
      </c>
      <c r="C858" t="inlineStr">
        <is>
          <t>P_US_ALL_OTHERS</t>
        </is>
      </c>
      <c r="D858" t="inlineStr">
        <is>
          <t>System ML Fcst L1</t>
        </is>
      </c>
    </row>
    <row r="859">
      <c r="A859" s="1" t="n">
        <v>3616305169273</v>
      </c>
      <c r="B859" t="inlineStr">
        <is>
          <t>GUCCI FL G ORC EDP 100 ML VP IV</t>
        </is>
      </c>
      <c r="C859" t="inlineStr">
        <is>
          <t>P_US_ALL_OTHERS</t>
        </is>
      </c>
      <c r="D859" t="inlineStr">
        <is>
          <t>Stat Fcst Simple Snaive</t>
        </is>
      </c>
      <c r="E859" t="n">
        <v>9320.99874565008</v>
      </c>
      <c r="F859" t="n">
        <v>9874.498729154489</v>
      </c>
      <c r="G859" t="n">
        <v>5703.00004249066</v>
      </c>
      <c r="H859" t="n">
        <v>4613.99974042177</v>
      </c>
      <c r="I859" t="n">
        <v>7368.00005489587</v>
      </c>
      <c r="J859" t="n">
        <v>5577.99983376264</v>
      </c>
      <c r="K859" t="n">
        <v>693.999979317188</v>
      </c>
      <c r="L859" t="n">
        <v>1781</v>
      </c>
      <c r="M859" t="n">
        <v>3940.49963842333</v>
      </c>
      <c r="N859" t="n">
        <v>1035.0000154227</v>
      </c>
      <c r="O859" t="n">
        <v>2542.99992421269</v>
      </c>
      <c r="P859" t="n">
        <v>6230.99939538289</v>
      </c>
    </row>
    <row r="860">
      <c r="A860" s="1" t="n">
        <v>3616305169273</v>
      </c>
      <c r="B860" t="inlineStr">
        <is>
          <t>GUCCI FL G ORC EDP 100 ML VP IV</t>
        </is>
      </c>
      <c r="C860" t="inlineStr">
        <is>
          <t>P_US_ALL_OTHERS</t>
        </is>
      </c>
      <c r="D860" t="inlineStr">
        <is>
          <t>Stat Fcst Simple AOA</t>
        </is>
      </c>
    </row>
    <row r="861">
      <c r="A861" s="1" t="n">
        <v>3616305169273</v>
      </c>
      <c r="B861" t="inlineStr">
        <is>
          <t>GUCCI FL G ORC EDP 100 ML VP IV</t>
        </is>
      </c>
      <c r="C861" t="inlineStr">
        <is>
          <t>P_US_ALL_OTHERS</t>
        </is>
      </c>
      <c r="D861" t="inlineStr">
        <is>
          <t>Stat Fcst Weighted Snaive</t>
        </is>
      </c>
    </row>
    <row r="862">
      <c r="A862" s="1" t="n">
        <v>3616305169273</v>
      </c>
      <c r="B862" t="inlineStr">
        <is>
          <t>GUCCI FL G ORC EDP 100 ML VP IV</t>
        </is>
      </c>
      <c r="C862" t="inlineStr">
        <is>
          <t>P_US_ALL_OTHERS</t>
        </is>
      </c>
      <c r="D862" t="inlineStr">
        <is>
          <t>Stat Fcst Weighted AOA</t>
        </is>
      </c>
    </row>
    <row r="863">
      <c r="A863" s="1" t="n">
        <v>3616305169273</v>
      </c>
      <c r="B863" t="inlineStr">
        <is>
          <t>GUCCI FL G ORC EDP 100 ML VP IV</t>
        </is>
      </c>
      <c r="C863" t="inlineStr">
        <is>
          <t>P_US_ALL_OTHERS</t>
        </is>
      </c>
      <c r="D863" t="inlineStr">
        <is>
          <t>Stat Fcst Growth Snaive</t>
        </is>
      </c>
    </row>
    <row r="864">
      <c r="A864" s="1" t="n">
        <v>3616305169273</v>
      </c>
      <c r="B864" t="inlineStr">
        <is>
          <t>GUCCI FL G ORC EDP 100 ML VP IV</t>
        </is>
      </c>
      <c r="C864" t="inlineStr">
        <is>
          <t>P_US_ALL_OTHERS</t>
        </is>
      </c>
      <c r="D864" t="inlineStr">
        <is>
          <t>Stat Fcst Growth AOA</t>
        </is>
      </c>
    </row>
    <row r="865">
      <c r="A865" s="1" t="n">
        <v>3616305169273</v>
      </c>
      <c r="B865" t="inlineStr">
        <is>
          <t>GUCCI FL G ORC EDP 100 ML VP IV</t>
        </is>
      </c>
      <c r="C865" t="inlineStr">
        <is>
          <t>P_US_ALL_OTHERS</t>
        </is>
      </c>
      <c r="D865" t="inlineStr">
        <is>
          <t>System Stat Fcst Bestfit</t>
        </is>
      </c>
      <c r="H865" t="n">
        <v>495.999985218048</v>
      </c>
      <c r="I865" t="n">
        <v>3556.63991907715</v>
      </c>
      <c r="J865" t="n">
        <v>1364.35469566718</v>
      </c>
      <c r="K865" t="n">
        <v>803.49979294837</v>
      </c>
      <c r="L865" t="n">
        <v>1682.31018066406</v>
      </c>
      <c r="M865" t="n">
        <v>2152.75310967108</v>
      </c>
      <c r="N865" t="n">
        <v>496.000037908554</v>
      </c>
      <c r="O865" t="n">
        <v>495.999985218048</v>
      </c>
      <c r="P865" t="n">
        <v>496.000034213066</v>
      </c>
    </row>
    <row r="866">
      <c r="A866" s="1" t="n">
        <v>3616305169273</v>
      </c>
      <c r="B866" t="inlineStr">
        <is>
          <t>GUCCI FL G ORC EDP 100 ML VP IV</t>
        </is>
      </c>
      <c r="C866" t="inlineStr">
        <is>
          <t>P_US_ULTA</t>
        </is>
      </c>
      <c r="D866" t="inlineStr">
        <is>
          <t>Stat Fcst L1</t>
        </is>
      </c>
      <c r="E866" t="n">
        <v>575.999982833862</v>
      </c>
      <c r="F866" t="n">
        <v>660.999980300664</v>
      </c>
      <c r="G866" t="n">
        <v>1607</v>
      </c>
      <c r="H866" t="n">
        <v>293</v>
      </c>
      <c r="I866" t="n">
        <v>1578</v>
      </c>
      <c r="J866" t="n">
        <v>0</v>
      </c>
      <c r="K866" t="n">
        <v>757</v>
      </c>
      <c r="L866" t="n">
        <v>632</v>
      </c>
      <c r="M866" t="n">
        <v>0</v>
      </c>
      <c r="N866" t="n">
        <v>305</v>
      </c>
      <c r="O866" t="n">
        <v>39</v>
      </c>
      <c r="P866" t="n">
        <v>566</v>
      </c>
    </row>
    <row r="867">
      <c r="A867" s="1" t="n">
        <v>3616305169273</v>
      </c>
      <c r="B867" t="inlineStr">
        <is>
          <t>GUCCI FL G ORC EDP 100 ML VP IV</t>
        </is>
      </c>
      <c r="C867" t="inlineStr">
        <is>
          <t>P_US_ULTA</t>
        </is>
      </c>
      <c r="D867" t="inlineStr">
        <is>
          <t>Stat Fcst AR-NNET</t>
        </is>
      </c>
    </row>
    <row r="868">
      <c r="A868" s="1" t="n">
        <v>3616305169273</v>
      </c>
      <c r="B868" t="inlineStr">
        <is>
          <t>GUCCI FL G ORC EDP 100 ML VP IV</t>
        </is>
      </c>
      <c r="C868" t="inlineStr">
        <is>
          <t>P_US_ULTA</t>
        </is>
      </c>
      <c r="D868" t="inlineStr">
        <is>
          <t>Stat Fcst Auto ARIMA</t>
        </is>
      </c>
    </row>
    <row r="869">
      <c r="A869" s="1" t="n">
        <v>3616305169273</v>
      </c>
      <c r="B869" t="inlineStr">
        <is>
          <t>GUCCI FL G ORC EDP 100 ML VP IV</t>
        </is>
      </c>
      <c r="C869" t="inlineStr">
        <is>
          <t>P_US_ULTA</t>
        </is>
      </c>
      <c r="D869" t="inlineStr">
        <is>
          <t>Stat Fcst Croston</t>
        </is>
      </c>
    </row>
    <row r="870">
      <c r="A870" s="1" t="n">
        <v>3616305169273</v>
      </c>
      <c r="B870" t="inlineStr">
        <is>
          <t>GUCCI FL G ORC EDP 100 ML VP IV</t>
        </is>
      </c>
      <c r="C870" t="inlineStr">
        <is>
          <t>P_US_ULTA</t>
        </is>
      </c>
      <c r="D870" t="inlineStr">
        <is>
          <t>Stat Fcst DES</t>
        </is>
      </c>
    </row>
    <row r="871">
      <c r="A871" s="1" t="n">
        <v>3616305169273</v>
      </c>
      <c r="B871" t="inlineStr">
        <is>
          <t>GUCCI FL G ORC EDP 100 ML VP IV</t>
        </is>
      </c>
      <c r="C871" t="inlineStr">
        <is>
          <t>P_US_ULTA</t>
        </is>
      </c>
      <c r="D871" t="inlineStr">
        <is>
          <t>Stat Fcst ETS</t>
        </is>
      </c>
    </row>
    <row r="872">
      <c r="A872" s="1" t="n">
        <v>3616305169273</v>
      </c>
      <c r="B872" t="inlineStr">
        <is>
          <t>GUCCI FL G ORC EDP 100 ML VP IV</t>
        </is>
      </c>
      <c r="C872" t="inlineStr">
        <is>
          <t>P_US_ULTA</t>
        </is>
      </c>
      <c r="D872" t="inlineStr">
        <is>
          <t>Stat Fcst Moving Average</t>
        </is>
      </c>
    </row>
    <row r="873">
      <c r="A873" s="1" t="n">
        <v>3616305169273</v>
      </c>
      <c r="B873" t="inlineStr">
        <is>
          <t>GUCCI FL G ORC EDP 100 ML VP IV</t>
        </is>
      </c>
      <c r="C873" t="inlineStr">
        <is>
          <t>P_US_ULTA</t>
        </is>
      </c>
      <c r="D873" t="inlineStr">
        <is>
          <t>Stat Fcst Naive Random Walk</t>
        </is>
      </c>
    </row>
    <row r="874">
      <c r="A874" s="1" t="n">
        <v>3616305169273</v>
      </c>
      <c r="B874" t="inlineStr">
        <is>
          <t>GUCCI FL G ORC EDP 100 ML VP IV</t>
        </is>
      </c>
      <c r="C874" t="inlineStr">
        <is>
          <t>P_US_ULTA</t>
        </is>
      </c>
      <c r="D874" t="inlineStr">
        <is>
          <t>Stat Fcst Prophet</t>
        </is>
      </c>
    </row>
    <row r="875">
      <c r="A875" s="1" t="n">
        <v>3616305169273</v>
      </c>
      <c r="B875" t="inlineStr">
        <is>
          <t>GUCCI FL G ORC EDP 100 ML VP IV</t>
        </is>
      </c>
      <c r="C875" t="inlineStr">
        <is>
          <t>P_US_ULTA</t>
        </is>
      </c>
      <c r="D875" t="inlineStr">
        <is>
          <t>Stat Fcst sARIMA</t>
        </is>
      </c>
    </row>
    <row r="876">
      <c r="A876" s="1" t="n">
        <v>3616305169273</v>
      </c>
      <c r="B876" t="inlineStr">
        <is>
          <t>GUCCI FL G ORC EDP 100 ML VP IV</t>
        </is>
      </c>
      <c r="C876" t="inlineStr">
        <is>
          <t>P_US_ULTA</t>
        </is>
      </c>
      <c r="D876" t="inlineStr">
        <is>
          <t>Stat Fcst Seasonal Naive YoY</t>
        </is>
      </c>
    </row>
    <row r="877">
      <c r="A877" s="1" t="n">
        <v>3616305169273</v>
      </c>
      <c r="B877" t="inlineStr">
        <is>
          <t>GUCCI FL G ORC EDP 100 ML VP IV</t>
        </is>
      </c>
      <c r="C877" t="inlineStr">
        <is>
          <t>P_US_ULTA</t>
        </is>
      </c>
      <c r="D877" t="inlineStr">
        <is>
          <t>Stat Fcst SES</t>
        </is>
      </c>
    </row>
    <row r="878">
      <c r="A878" s="1" t="n">
        <v>3616305169273</v>
      </c>
      <c r="B878" t="inlineStr">
        <is>
          <t>GUCCI FL G ORC EDP 100 ML VP IV</t>
        </is>
      </c>
      <c r="C878" t="inlineStr">
        <is>
          <t>P_US_ULTA</t>
        </is>
      </c>
      <c r="D878" t="inlineStr">
        <is>
          <t>Stat Fcst STLF</t>
        </is>
      </c>
      <c r="E878" t="n">
        <v>547.6587272675901</v>
      </c>
      <c r="F878" t="n">
        <v>0</v>
      </c>
      <c r="G878" t="n">
        <v>575.835377969814</v>
      </c>
      <c r="H878" t="n">
        <v>0</v>
      </c>
      <c r="I878" t="n">
        <v>279.155566330073</v>
      </c>
      <c r="J878" t="n">
        <v>676.196089070506</v>
      </c>
      <c r="K878" t="n">
        <v>1471.62647789453</v>
      </c>
      <c r="L878" t="n">
        <v>1028.8161367095</v>
      </c>
      <c r="M878" t="n">
        <v>1141.65186226983</v>
      </c>
      <c r="N878" t="n">
        <v>0</v>
      </c>
      <c r="O878" t="n">
        <v>111.916028919796</v>
      </c>
      <c r="P878" t="n">
        <v>88.24037445864759</v>
      </c>
    </row>
    <row r="879">
      <c r="A879" s="1" t="n">
        <v>3616305169273</v>
      </c>
      <c r="B879" t="inlineStr">
        <is>
          <t>GUCCI FL G ORC EDP 100 ML VP IV</t>
        </is>
      </c>
      <c r="C879" t="inlineStr">
        <is>
          <t>P_US_ULTA</t>
        </is>
      </c>
      <c r="D879" t="inlineStr">
        <is>
          <t>Stat Fcst TBATS</t>
        </is>
      </c>
    </row>
    <row r="880">
      <c r="A880" s="1" t="n">
        <v>3616305169273</v>
      </c>
      <c r="B880" t="inlineStr">
        <is>
          <t>GUCCI FL G ORC EDP 100 ML VP IV</t>
        </is>
      </c>
      <c r="C880" t="inlineStr">
        <is>
          <t>P_US_ULTA</t>
        </is>
      </c>
      <c r="D880" t="inlineStr">
        <is>
          <t>Stat Fcst TES</t>
        </is>
      </c>
      <c r="E880" t="n">
        <v>1292.60479047345</v>
      </c>
      <c r="F880" t="n">
        <v>1218.03541238451</v>
      </c>
      <c r="G880" t="n">
        <v>1567.55948032145</v>
      </c>
      <c r="H880" t="n">
        <v>292.978688971657</v>
      </c>
      <c r="I880" t="n">
        <v>1576.93322664942</v>
      </c>
      <c r="J880" t="n">
        <v>0</v>
      </c>
      <c r="K880" t="n">
        <v>756.590525874489</v>
      </c>
      <c r="L880" t="n">
        <v>631.808950740149</v>
      </c>
      <c r="M880" t="n">
        <v>0</v>
      </c>
      <c r="N880" t="n">
        <v>305.990111481198</v>
      </c>
      <c r="O880" t="n">
        <v>37.8933859103347</v>
      </c>
      <c r="P880" t="n">
        <v>565.469716257164</v>
      </c>
    </row>
    <row r="881">
      <c r="A881" s="1" t="n">
        <v>3616305169273</v>
      </c>
      <c r="B881" t="inlineStr">
        <is>
          <t>GUCCI FL G ORC EDP 100 ML VP IV</t>
        </is>
      </c>
      <c r="C881" t="inlineStr">
        <is>
          <t>P_US_ULTA</t>
        </is>
      </c>
      <c r="D881" t="inlineStr">
        <is>
          <t>Stat Fcst Theta</t>
        </is>
      </c>
    </row>
    <row r="882">
      <c r="A882" s="1" t="n">
        <v>3616305169273</v>
      </c>
      <c r="B882" t="inlineStr">
        <is>
          <t>GUCCI FL G ORC EDP 100 ML VP IV</t>
        </is>
      </c>
      <c r="C882" t="inlineStr">
        <is>
          <t>P_US_ULTA</t>
        </is>
      </c>
      <c r="D882" t="inlineStr">
        <is>
          <t>System ML Fcst L1</t>
        </is>
      </c>
    </row>
    <row r="883">
      <c r="A883" s="1" t="n">
        <v>3616305169273</v>
      </c>
      <c r="B883" t="inlineStr">
        <is>
          <t>GUCCI FL G ORC EDP 100 ML VP IV</t>
        </is>
      </c>
      <c r="C883" t="inlineStr">
        <is>
          <t>P_US_ULTA</t>
        </is>
      </c>
      <c r="D883" t="inlineStr">
        <is>
          <t>Stat Fcst Simple Snaive</t>
        </is>
      </c>
      <c r="E883" t="n">
        <v>2545.43083234337</v>
      </c>
      <c r="F883" t="n">
        <v>758.499977394938</v>
      </c>
      <c r="G883" t="n">
        <v>2418.43092622183</v>
      </c>
      <c r="H883" t="n">
        <v>14.9999985992908</v>
      </c>
      <c r="I883" t="n">
        <v>739.0000055059789</v>
      </c>
      <c r="J883" t="n">
        <v>1450.49995677173</v>
      </c>
      <c r="K883" t="n">
        <v>949.999910652639</v>
      </c>
      <c r="L883" t="n">
        <v>2110.5</v>
      </c>
      <c r="M883" t="n">
        <v>1342.99995997548</v>
      </c>
      <c r="N883" t="n">
        <v>979.500014595687</v>
      </c>
      <c r="O883" t="n">
        <v>1036.99996909499</v>
      </c>
      <c r="P883" t="n">
        <v>1469.50001094862</v>
      </c>
    </row>
    <row r="884">
      <c r="A884" s="1" t="n">
        <v>3616305169273</v>
      </c>
      <c r="B884" t="inlineStr">
        <is>
          <t>GUCCI FL G ORC EDP 100 ML VP IV</t>
        </is>
      </c>
      <c r="C884" t="inlineStr">
        <is>
          <t>P_US_ULTA</t>
        </is>
      </c>
      <c r="D884" t="inlineStr">
        <is>
          <t>Stat Fcst Simple AOA</t>
        </is>
      </c>
    </row>
    <row r="885">
      <c r="A885" s="1" t="n">
        <v>3616305169273</v>
      </c>
      <c r="B885" t="inlineStr">
        <is>
          <t>GUCCI FL G ORC EDP 100 ML VP IV</t>
        </is>
      </c>
      <c r="C885" t="inlineStr">
        <is>
          <t>P_US_ULTA</t>
        </is>
      </c>
      <c r="D885" t="inlineStr">
        <is>
          <t>Stat Fcst Weighted Snaive</t>
        </is>
      </c>
      <c r="E885" t="n">
        <v>1897.71539754523</v>
      </c>
      <c r="F885" t="n">
        <v>708.2499788925051</v>
      </c>
      <c r="G885" t="n">
        <v>1707.2154668213</v>
      </c>
      <c r="H885" t="n">
        <v>22.4999978989363</v>
      </c>
      <c r="I885" t="n">
        <v>726.0000054091209</v>
      </c>
      <c r="J885" t="n">
        <v>1274.24996202439</v>
      </c>
      <c r="K885" t="n">
        <v>1424.49986599386</v>
      </c>
      <c r="L885" t="n">
        <v>1781.25</v>
      </c>
      <c r="M885" t="n">
        <v>1453.49995668232</v>
      </c>
      <c r="N885" t="n">
        <v>560.250008348375</v>
      </c>
      <c r="O885" t="n">
        <v>817.499975636601</v>
      </c>
      <c r="P885" t="n">
        <v>886.750006606802</v>
      </c>
    </row>
    <row r="886">
      <c r="A886" s="1" t="n">
        <v>3616305169273</v>
      </c>
      <c r="B886" t="inlineStr">
        <is>
          <t>GUCCI FL G ORC EDP 100 ML VP IV</t>
        </is>
      </c>
      <c r="C886" t="inlineStr">
        <is>
          <t>P_US_ULTA</t>
        </is>
      </c>
      <c r="D886" t="inlineStr">
        <is>
          <t>Stat Fcst Weighted AOA</t>
        </is>
      </c>
    </row>
    <row r="887">
      <c r="A887" s="1" t="n">
        <v>3616305169273</v>
      </c>
      <c r="B887" t="inlineStr">
        <is>
          <t>GUCCI FL G ORC EDP 100 ML VP IV</t>
        </is>
      </c>
      <c r="C887" t="inlineStr">
        <is>
          <t>P_US_ULTA</t>
        </is>
      </c>
      <c r="D887" t="inlineStr">
        <is>
          <t>Stat Fcst Growth Snaive</t>
        </is>
      </c>
    </row>
    <row r="888">
      <c r="A888" s="1" t="n">
        <v>3616305169273</v>
      </c>
      <c r="B888" t="inlineStr">
        <is>
          <t>GUCCI FL G ORC EDP 100 ML VP IV</t>
        </is>
      </c>
      <c r="C888" t="inlineStr">
        <is>
          <t>P_US_ULTA</t>
        </is>
      </c>
      <c r="D888" t="inlineStr">
        <is>
          <t>Stat Fcst Growth AOA</t>
        </is>
      </c>
    </row>
    <row r="889">
      <c r="A889" s="1" t="n">
        <v>3616305169273</v>
      </c>
      <c r="B889" t="inlineStr">
        <is>
          <t>GUCCI FL G ORC EDP 100 ML VP IV</t>
        </is>
      </c>
      <c r="C889" t="inlineStr">
        <is>
          <t>P_US_ULTA</t>
        </is>
      </c>
      <c r="D889" t="inlineStr">
        <is>
          <t>System Stat Fcst Bestfit</t>
        </is>
      </c>
      <c r="H889" t="n">
        <v>292.978689999023</v>
      </c>
      <c r="I889" t="n">
        <v>1576.93323928813</v>
      </c>
      <c r="J889" t="n">
        <v>0</v>
      </c>
      <c r="K889" t="n">
        <v>756.590492588564</v>
      </c>
      <c r="L889" t="n">
        <v>631.808959960937</v>
      </c>
      <c r="M889" t="n">
        <v>0</v>
      </c>
      <c r="N889" t="n">
        <v>305.990116864295</v>
      </c>
      <c r="O889" t="n">
        <v>37.8933857115093</v>
      </c>
      <c r="P889" t="n">
        <v>565.469730775577</v>
      </c>
    </row>
    <row r="890">
      <c r="A890" s="1" t="n">
        <v>3616305169297</v>
      </c>
      <c r="B890" t="inlineStr">
        <is>
          <t>GUCCI FL G ORC EDP 10 ML PENSPRAY VP IV</t>
        </is>
      </c>
      <c r="C890" t="inlineStr">
        <is>
          <t>P_US_ALL_OTHERS</t>
        </is>
      </c>
      <c r="D890" t="inlineStr">
        <is>
          <t>Stat Fcst L1</t>
        </is>
      </c>
      <c r="E890" t="n">
        <v>4319.99987125396</v>
      </c>
      <c r="F890" t="n">
        <v>3259.03216332197</v>
      </c>
      <c r="G890" t="n">
        <v>1212</v>
      </c>
      <c r="H890" t="n">
        <v>367</v>
      </c>
      <c r="I890" t="n">
        <v>364</v>
      </c>
      <c r="J890" t="n">
        <v>367</v>
      </c>
      <c r="K890" t="n">
        <v>367</v>
      </c>
      <c r="L890" t="n">
        <v>5164</v>
      </c>
      <c r="M890" t="n">
        <v>5111</v>
      </c>
      <c r="N890" t="n">
        <v>10367</v>
      </c>
      <c r="O890" t="n">
        <v>3547</v>
      </c>
      <c r="P890" t="n">
        <v>6137</v>
      </c>
    </row>
    <row r="891">
      <c r="A891" s="1" t="n">
        <v>3616305169297</v>
      </c>
      <c r="B891" t="inlineStr">
        <is>
          <t>GUCCI FL G ORC EDP 10 ML PENSPRAY VP IV</t>
        </is>
      </c>
      <c r="C891" t="inlineStr">
        <is>
          <t>P_US_ALL_OTHERS</t>
        </is>
      </c>
      <c r="D891" t="inlineStr">
        <is>
          <t>Stat Fcst AR-NNET</t>
        </is>
      </c>
    </row>
    <row r="892">
      <c r="A892" s="1" t="n">
        <v>3616305169297</v>
      </c>
      <c r="B892" t="inlineStr">
        <is>
          <t>GUCCI FL G ORC EDP 10 ML PENSPRAY VP IV</t>
        </is>
      </c>
      <c r="C892" t="inlineStr">
        <is>
          <t>P_US_ALL_OTHERS</t>
        </is>
      </c>
      <c r="D892" t="inlineStr">
        <is>
          <t>Stat Fcst Auto ARIMA</t>
        </is>
      </c>
    </row>
    <row r="893">
      <c r="A893" s="1" t="n">
        <v>3616305169297</v>
      </c>
      <c r="B893" t="inlineStr">
        <is>
          <t>GUCCI FL G ORC EDP 10 ML PENSPRAY VP IV</t>
        </is>
      </c>
      <c r="C893" t="inlineStr">
        <is>
          <t>P_US_ALL_OTHERS</t>
        </is>
      </c>
      <c r="D893" t="inlineStr">
        <is>
          <t>Stat Fcst Croston</t>
        </is>
      </c>
    </row>
    <row r="894">
      <c r="A894" s="1" t="n">
        <v>3616305169297</v>
      </c>
      <c r="B894" t="inlineStr">
        <is>
          <t>GUCCI FL G ORC EDP 10 ML PENSPRAY VP IV</t>
        </is>
      </c>
      <c r="C894" t="inlineStr">
        <is>
          <t>P_US_ALL_OTHERS</t>
        </is>
      </c>
      <c r="D894" t="inlineStr">
        <is>
          <t>Stat Fcst DES</t>
        </is>
      </c>
      <c r="E894" t="n">
        <v>365.99998909235</v>
      </c>
      <c r="F894" t="n">
        <v>365.99998909235</v>
      </c>
      <c r="G894" t="n">
        <v>1978.03789057401</v>
      </c>
      <c r="H894" t="n">
        <v>1893.9499617976</v>
      </c>
      <c r="I894" t="n">
        <v>1819.03798448645</v>
      </c>
      <c r="J894" t="n">
        <v>1752.30040163752</v>
      </c>
      <c r="K894" t="n">
        <v>1692.84539790406</v>
      </c>
      <c r="L894" t="n">
        <v>1639.87827434748</v>
      </c>
      <c r="M894" t="n">
        <v>1592.69092114555</v>
      </c>
      <c r="N894" t="n">
        <v>1550.65284517988</v>
      </c>
      <c r="O894" t="n">
        <v>1513.20190461167</v>
      </c>
      <c r="P894" t="n">
        <v>1479.8377913694</v>
      </c>
    </row>
    <row r="895">
      <c r="A895" s="1" t="n">
        <v>3616305169297</v>
      </c>
      <c r="B895" t="inlineStr">
        <is>
          <t>GUCCI FL G ORC EDP 10 ML PENSPRAY VP IV</t>
        </is>
      </c>
      <c r="C895" t="inlineStr">
        <is>
          <t>P_US_ALL_OTHERS</t>
        </is>
      </c>
      <c r="D895" t="inlineStr">
        <is>
          <t>Stat Fcst ETS</t>
        </is>
      </c>
    </row>
    <row r="896">
      <c r="A896" s="1" t="n">
        <v>3616305169297</v>
      </c>
      <c r="B896" t="inlineStr">
        <is>
          <t>GUCCI FL G ORC EDP 10 ML PENSPRAY VP IV</t>
        </is>
      </c>
      <c r="C896" t="inlineStr">
        <is>
          <t>P_US_ALL_OTHERS</t>
        </is>
      </c>
      <c r="D896" t="inlineStr">
        <is>
          <t>Stat Fcst Moving Average</t>
        </is>
      </c>
    </row>
    <row r="897">
      <c r="A897" s="1" t="n">
        <v>3616305169297</v>
      </c>
      <c r="B897" t="inlineStr">
        <is>
          <t>GUCCI FL G ORC EDP 10 ML PENSPRAY VP IV</t>
        </is>
      </c>
      <c r="C897" t="inlineStr">
        <is>
          <t>P_US_ALL_OTHERS</t>
        </is>
      </c>
      <c r="D897" t="inlineStr">
        <is>
          <t>Stat Fcst Naive Random Walk</t>
        </is>
      </c>
    </row>
    <row r="898">
      <c r="A898" s="1" t="n">
        <v>3616305169297</v>
      </c>
      <c r="B898" t="inlineStr">
        <is>
          <t>GUCCI FL G ORC EDP 10 ML PENSPRAY VP IV</t>
        </is>
      </c>
      <c r="C898" t="inlineStr">
        <is>
          <t>P_US_ALL_OTHERS</t>
        </is>
      </c>
      <c r="D898" t="inlineStr">
        <is>
          <t>Stat Fcst Prophet</t>
        </is>
      </c>
    </row>
    <row r="899">
      <c r="A899" s="1" t="n">
        <v>3616305169297</v>
      </c>
      <c r="B899" t="inlineStr">
        <is>
          <t>GUCCI FL G ORC EDP 10 ML PENSPRAY VP IV</t>
        </is>
      </c>
      <c r="C899" t="inlineStr">
        <is>
          <t>P_US_ALL_OTHERS</t>
        </is>
      </c>
      <c r="D899" t="inlineStr">
        <is>
          <t>Stat Fcst sARIMA</t>
        </is>
      </c>
    </row>
    <row r="900">
      <c r="A900" s="1" t="n">
        <v>3616305169297</v>
      </c>
      <c r="B900" t="inlineStr">
        <is>
          <t>GUCCI FL G ORC EDP 10 ML PENSPRAY VP IV</t>
        </is>
      </c>
      <c r="C900" t="inlineStr">
        <is>
          <t>P_US_ALL_OTHERS</t>
        </is>
      </c>
      <c r="D900" t="inlineStr">
        <is>
          <t>Stat Fcst Seasonal Naive YoY</t>
        </is>
      </c>
    </row>
    <row r="901">
      <c r="A901" s="1" t="n">
        <v>3616305169297</v>
      </c>
      <c r="B901" t="inlineStr">
        <is>
          <t>GUCCI FL G ORC EDP 10 ML PENSPRAY VP IV</t>
        </is>
      </c>
      <c r="C901" t="inlineStr">
        <is>
          <t>P_US_ALL_OTHERS</t>
        </is>
      </c>
      <c r="D901" t="inlineStr">
        <is>
          <t>Stat Fcst SES</t>
        </is>
      </c>
    </row>
    <row r="902">
      <c r="A902" s="1" t="n">
        <v>3616305169297</v>
      </c>
      <c r="B902" t="inlineStr">
        <is>
          <t>GUCCI FL G ORC EDP 10 ML PENSPRAY VP IV</t>
        </is>
      </c>
      <c r="C902" t="inlineStr">
        <is>
          <t>P_US_ALL_OTHERS</t>
        </is>
      </c>
      <c r="D902" t="inlineStr">
        <is>
          <t>Stat Fcst STLF</t>
        </is>
      </c>
      <c r="E902" t="n">
        <v>9965.35476472001</v>
      </c>
      <c r="F902" t="n">
        <v>3086.50484881869</v>
      </c>
      <c r="G902" t="n">
        <v>8399.31448498409</v>
      </c>
      <c r="H902" t="n">
        <v>2193.86250564973</v>
      </c>
      <c r="I902" t="n">
        <v>1360.12696485656</v>
      </c>
      <c r="J902" t="n">
        <v>6726.42754386306</v>
      </c>
      <c r="K902" t="n">
        <v>2807.70505233512</v>
      </c>
      <c r="L902" t="n">
        <v>2631.455018781</v>
      </c>
      <c r="M902" t="n">
        <v>2400.3988076768</v>
      </c>
      <c r="N902" t="n">
        <v>9286.405393095831</v>
      </c>
      <c r="O902" t="n">
        <v>365.99998909235</v>
      </c>
      <c r="P902" t="n">
        <v>4594.77774286873</v>
      </c>
    </row>
    <row r="903">
      <c r="A903" s="1" t="n">
        <v>3616305169297</v>
      </c>
      <c r="B903" t="inlineStr">
        <is>
          <t>GUCCI FL G ORC EDP 10 ML PENSPRAY VP IV</t>
        </is>
      </c>
      <c r="C903" t="inlineStr">
        <is>
          <t>P_US_ALL_OTHERS</t>
        </is>
      </c>
      <c r="D903" t="inlineStr">
        <is>
          <t>Stat Fcst TBATS</t>
        </is>
      </c>
    </row>
    <row r="904">
      <c r="A904" s="1" t="n">
        <v>3616305169297</v>
      </c>
      <c r="B904" t="inlineStr">
        <is>
          <t>GUCCI FL G ORC EDP 10 ML PENSPRAY VP IV</t>
        </is>
      </c>
      <c r="C904" t="inlineStr">
        <is>
          <t>P_US_ALL_OTHERS</t>
        </is>
      </c>
      <c r="D904" t="inlineStr">
        <is>
          <t>Stat Fcst TES</t>
        </is>
      </c>
      <c r="E904" t="n">
        <v>4510.72025203596</v>
      </c>
      <c r="F904" t="n">
        <v>5560.54815496749</v>
      </c>
      <c r="G904" t="n">
        <v>752.313416412841</v>
      </c>
      <c r="H904" t="n">
        <v>365.99998909235</v>
      </c>
      <c r="I904" t="n">
        <v>366.000002726912</v>
      </c>
      <c r="J904" t="n">
        <v>365.99998909235</v>
      </c>
      <c r="K904" t="n">
        <v>365.99998909235</v>
      </c>
      <c r="L904" t="n">
        <v>5165.96665063587</v>
      </c>
      <c r="M904" t="n">
        <v>5111.29365957138</v>
      </c>
      <c r="N904" t="n">
        <v>10368.7005010832</v>
      </c>
      <c r="O904" t="n">
        <v>3546.16882420216</v>
      </c>
      <c r="P904" t="n">
        <v>6135.31290871692</v>
      </c>
    </row>
    <row r="905">
      <c r="A905" s="1" t="n">
        <v>3616305169297</v>
      </c>
      <c r="B905" t="inlineStr">
        <is>
          <t>GUCCI FL G ORC EDP 10 ML PENSPRAY VP IV</t>
        </is>
      </c>
      <c r="C905" t="inlineStr">
        <is>
          <t>P_US_ALL_OTHERS</t>
        </is>
      </c>
      <c r="D905" t="inlineStr">
        <is>
          <t>Stat Fcst Theta</t>
        </is>
      </c>
    </row>
    <row r="906">
      <c r="A906" s="1" t="n">
        <v>3616305169297</v>
      </c>
      <c r="B906" t="inlineStr">
        <is>
          <t>GUCCI FL G ORC EDP 10 ML PENSPRAY VP IV</t>
        </is>
      </c>
      <c r="C906" t="inlineStr">
        <is>
          <t>P_US_ALL_OTHERS</t>
        </is>
      </c>
      <c r="D906" t="inlineStr">
        <is>
          <t>System ML Fcst L1</t>
        </is>
      </c>
    </row>
    <row r="907">
      <c r="A907" s="1" t="n">
        <v>3616305169297</v>
      </c>
      <c r="B907" t="inlineStr">
        <is>
          <t>GUCCI FL G ORC EDP 10 ML PENSPRAY VP IV</t>
        </is>
      </c>
      <c r="C907" t="inlineStr">
        <is>
          <t>P_US_ALL_OTHERS</t>
        </is>
      </c>
      <c r="D907" t="inlineStr">
        <is>
          <t>Stat Fcst Simple Snaive</t>
        </is>
      </c>
    </row>
    <row r="908">
      <c r="A908" s="1" t="n">
        <v>3616305169297</v>
      </c>
      <c r="B908" t="inlineStr">
        <is>
          <t>GUCCI FL G ORC EDP 10 ML PENSPRAY VP IV</t>
        </is>
      </c>
      <c r="C908" t="inlineStr">
        <is>
          <t>P_US_ALL_OTHERS</t>
        </is>
      </c>
      <c r="D908" t="inlineStr">
        <is>
          <t>Stat Fcst Simple AOA</t>
        </is>
      </c>
    </row>
    <row r="909">
      <c r="A909" s="1" t="n">
        <v>3616305169297</v>
      </c>
      <c r="B909" t="inlineStr">
        <is>
          <t>GUCCI FL G ORC EDP 10 ML PENSPRAY VP IV</t>
        </is>
      </c>
      <c r="C909" t="inlineStr">
        <is>
          <t>P_US_ALL_OTHERS</t>
        </is>
      </c>
      <c r="D909" t="inlineStr">
        <is>
          <t>Stat Fcst Weighted Snaive</t>
        </is>
      </c>
    </row>
    <row r="910">
      <c r="A910" s="1" t="n">
        <v>3616305169297</v>
      </c>
      <c r="B910" t="inlineStr">
        <is>
          <t>GUCCI FL G ORC EDP 10 ML PENSPRAY VP IV</t>
        </is>
      </c>
      <c r="C910" t="inlineStr">
        <is>
          <t>P_US_ALL_OTHERS</t>
        </is>
      </c>
      <c r="D910" t="inlineStr">
        <is>
          <t>Stat Fcst Weighted AOA</t>
        </is>
      </c>
      <c r="E910" t="n">
        <v>8030.49976067245</v>
      </c>
      <c r="F910" t="n">
        <v>18996.9994338452</v>
      </c>
      <c r="G910" t="n">
        <v>7169.50005341693</v>
      </c>
      <c r="H910" t="n">
        <v>1786.49994675815</v>
      </c>
      <c r="I910" t="n">
        <v>439.50000327453</v>
      </c>
      <c r="J910" t="n">
        <v>3317.49987061321</v>
      </c>
      <c r="K910" t="n">
        <v>1277.99996191263</v>
      </c>
      <c r="L910" t="n">
        <v>1464</v>
      </c>
      <c r="M910" t="n">
        <v>5330.9995969832</v>
      </c>
      <c r="N910" t="n">
        <v>3388.00005048513</v>
      </c>
      <c r="O910" t="n">
        <v>3224.99990388751</v>
      </c>
      <c r="P910" t="n">
        <v>12722.6719697912</v>
      </c>
    </row>
    <row r="911">
      <c r="A911" s="1" t="n">
        <v>3616305169297</v>
      </c>
      <c r="B911" t="inlineStr">
        <is>
          <t>GUCCI FL G ORC EDP 10 ML PENSPRAY VP IV</t>
        </is>
      </c>
      <c r="C911" t="inlineStr">
        <is>
          <t>P_US_ALL_OTHERS</t>
        </is>
      </c>
      <c r="D911" t="inlineStr">
        <is>
          <t>Stat Fcst Growth Snaive</t>
        </is>
      </c>
    </row>
    <row r="912">
      <c r="A912" s="1" t="n">
        <v>3616305169297</v>
      </c>
      <c r="B912" t="inlineStr">
        <is>
          <t>GUCCI FL G ORC EDP 10 ML PENSPRAY VP IV</t>
        </is>
      </c>
      <c r="C912" t="inlineStr">
        <is>
          <t>P_US_ALL_OTHERS</t>
        </is>
      </c>
      <c r="D912" t="inlineStr">
        <is>
          <t>Stat Fcst Growth AOA</t>
        </is>
      </c>
    </row>
    <row r="913">
      <c r="A913" s="1" t="n">
        <v>3616305169297</v>
      </c>
      <c r="B913" t="inlineStr">
        <is>
          <t>GUCCI FL G ORC EDP 10 ML PENSPRAY VP IV</t>
        </is>
      </c>
      <c r="C913" t="inlineStr">
        <is>
          <t>P_US_ALL_OTHERS</t>
        </is>
      </c>
      <c r="D913" t="inlineStr">
        <is>
          <t>System Stat Fcst Bestfit</t>
        </is>
      </c>
      <c r="H913" t="n">
        <v>365.999958574772</v>
      </c>
      <c r="I913" t="n">
        <v>366.000002726912</v>
      </c>
      <c r="J913" t="n">
        <v>365.999958574772</v>
      </c>
      <c r="K913" t="n">
        <v>365.99998909235</v>
      </c>
      <c r="L913" t="n">
        <v>5165.966796875</v>
      </c>
      <c r="M913" t="n">
        <v>5111.29330470283</v>
      </c>
      <c r="N913" t="n">
        <v>10368.7013263806</v>
      </c>
      <c r="O913" t="n">
        <v>3546.16883962843</v>
      </c>
      <c r="P913" t="n">
        <v>6135.31303399289</v>
      </c>
    </row>
    <row r="914">
      <c r="A914" s="1" t="n">
        <v>3616305169297</v>
      </c>
      <c r="B914" t="inlineStr">
        <is>
          <t>GUCCI FL G ORC EDP 10 ML PENSPRAY VP IV</t>
        </is>
      </c>
      <c r="C914" t="inlineStr">
        <is>
          <t>P_US_ULTA</t>
        </is>
      </c>
      <c r="D914" t="inlineStr">
        <is>
          <t>Stat Fcst L1</t>
        </is>
      </c>
      <c r="E914" t="n">
        <v>1007.99996995925</v>
      </c>
      <c r="F914" t="n">
        <v>3825.77408158779</v>
      </c>
      <c r="G914" t="n">
        <v>926</v>
      </c>
      <c r="H914" t="n">
        <v>439</v>
      </c>
      <c r="I914" t="n">
        <v>2392</v>
      </c>
      <c r="J914" t="n">
        <v>0</v>
      </c>
      <c r="K914" t="n">
        <v>0</v>
      </c>
      <c r="L914" t="n">
        <v>0</v>
      </c>
      <c r="M914" t="n">
        <v>4779</v>
      </c>
      <c r="N914" t="n">
        <v>0</v>
      </c>
      <c r="O914" t="n">
        <v>4043</v>
      </c>
      <c r="P914" t="n">
        <v>0</v>
      </c>
    </row>
    <row r="915">
      <c r="A915" s="1" t="n">
        <v>3616305169297</v>
      </c>
      <c r="B915" t="inlineStr">
        <is>
          <t>GUCCI FL G ORC EDP 10 ML PENSPRAY VP IV</t>
        </is>
      </c>
      <c r="C915" t="inlineStr">
        <is>
          <t>P_US_ULTA</t>
        </is>
      </c>
      <c r="D915" t="inlineStr">
        <is>
          <t>Stat Fcst AR-NNET</t>
        </is>
      </c>
    </row>
    <row r="916">
      <c r="A916" s="1" t="n">
        <v>3616305169297</v>
      </c>
      <c r="B916" t="inlineStr">
        <is>
          <t>GUCCI FL G ORC EDP 10 ML PENSPRAY VP IV</t>
        </is>
      </c>
      <c r="C916" t="inlineStr">
        <is>
          <t>P_US_ULTA</t>
        </is>
      </c>
      <c r="D916" t="inlineStr">
        <is>
          <t>Stat Fcst Auto ARIMA</t>
        </is>
      </c>
    </row>
    <row r="917">
      <c r="A917" s="1" t="n">
        <v>3616305169297</v>
      </c>
      <c r="B917" t="inlineStr">
        <is>
          <t>GUCCI FL G ORC EDP 10 ML PENSPRAY VP IV</t>
        </is>
      </c>
      <c r="C917" t="inlineStr">
        <is>
          <t>P_US_ULTA</t>
        </is>
      </c>
      <c r="D917" t="inlineStr">
        <is>
          <t>Stat Fcst Croston</t>
        </is>
      </c>
    </row>
    <row r="918">
      <c r="A918" s="1" t="n">
        <v>3616305169297</v>
      </c>
      <c r="B918" t="inlineStr">
        <is>
          <t>GUCCI FL G ORC EDP 10 ML PENSPRAY VP IV</t>
        </is>
      </c>
      <c r="C918" t="inlineStr">
        <is>
          <t>P_US_ULTA</t>
        </is>
      </c>
      <c r="D918" t="inlineStr">
        <is>
          <t>Stat Fcst DES</t>
        </is>
      </c>
    </row>
    <row r="919">
      <c r="A919" s="1" t="n">
        <v>3616305169297</v>
      </c>
      <c r="B919" t="inlineStr">
        <is>
          <t>GUCCI FL G ORC EDP 10 ML PENSPRAY VP IV</t>
        </is>
      </c>
      <c r="C919" t="inlineStr">
        <is>
          <t>P_US_ULTA</t>
        </is>
      </c>
      <c r="D919" t="inlineStr">
        <is>
          <t>Stat Fcst ETS</t>
        </is>
      </c>
    </row>
    <row r="920">
      <c r="A920" s="1" t="n">
        <v>3616305169297</v>
      </c>
      <c r="B920" t="inlineStr">
        <is>
          <t>GUCCI FL G ORC EDP 10 ML PENSPRAY VP IV</t>
        </is>
      </c>
      <c r="C920" t="inlineStr">
        <is>
          <t>P_US_ULTA</t>
        </is>
      </c>
      <c r="D920" t="inlineStr">
        <is>
          <t>Stat Fcst Moving Average</t>
        </is>
      </c>
    </row>
    <row r="921">
      <c r="A921" s="1" t="n">
        <v>3616305169297</v>
      </c>
      <c r="B921" t="inlineStr">
        <is>
          <t>GUCCI FL G ORC EDP 10 ML PENSPRAY VP IV</t>
        </is>
      </c>
      <c r="C921" t="inlineStr">
        <is>
          <t>P_US_ULTA</t>
        </is>
      </c>
      <c r="D921" t="inlineStr">
        <is>
          <t>Stat Fcst Naive Random Walk</t>
        </is>
      </c>
    </row>
    <row r="922">
      <c r="A922" s="1" t="n">
        <v>3616305169297</v>
      </c>
      <c r="B922" t="inlineStr">
        <is>
          <t>GUCCI FL G ORC EDP 10 ML PENSPRAY VP IV</t>
        </is>
      </c>
      <c r="C922" t="inlineStr">
        <is>
          <t>P_US_ULTA</t>
        </is>
      </c>
      <c r="D922" t="inlineStr">
        <is>
          <t>Stat Fcst Prophet</t>
        </is>
      </c>
    </row>
    <row r="923">
      <c r="A923" s="1" t="n">
        <v>3616305169297</v>
      </c>
      <c r="B923" t="inlineStr">
        <is>
          <t>GUCCI FL G ORC EDP 10 ML PENSPRAY VP IV</t>
        </is>
      </c>
      <c r="C923" t="inlineStr">
        <is>
          <t>P_US_ULTA</t>
        </is>
      </c>
      <c r="D923" t="inlineStr">
        <is>
          <t>Stat Fcst sARIMA</t>
        </is>
      </c>
    </row>
    <row r="924">
      <c r="A924" s="1" t="n">
        <v>3616305169297</v>
      </c>
      <c r="B924" t="inlineStr">
        <is>
          <t>GUCCI FL G ORC EDP 10 ML PENSPRAY VP IV</t>
        </is>
      </c>
      <c r="C924" t="inlineStr">
        <is>
          <t>P_US_ULTA</t>
        </is>
      </c>
      <c r="D924" t="inlineStr">
        <is>
          <t>Stat Fcst Seasonal Naive YoY</t>
        </is>
      </c>
    </row>
    <row r="925">
      <c r="A925" s="1" t="n">
        <v>3616305169297</v>
      </c>
      <c r="B925" t="inlineStr">
        <is>
          <t>GUCCI FL G ORC EDP 10 ML PENSPRAY VP IV</t>
        </is>
      </c>
      <c r="C925" t="inlineStr">
        <is>
          <t>P_US_ULTA</t>
        </is>
      </c>
      <c r="D925" t="inlineStr">
        <is>
          <t>Stat Fcst SES</t>
        </is>
      </c>
    </row>
    <row r="926">
      <c r="A926" s="1" t="n">
        <v>3616305169297</v>
      </c>
      <c r="B926" t="inlineStr">
        <is>
          <t>GUCCI FL G ORC EDP 10 ML PENSPRAY VP IV</t>
        </is>
      </c>
      <c r="C926" t="inlineStr">
        <is>
          <t>P_US_ULTA</t>
        </is>
      </c>
      <c r="D926" t="inlineStr">
        <is>
          <t>Stat Fcst STLF</t>
        </is>
      </c>
      <c r="E926" t="n">
        <v>85.04300405402159</v>
      </c>
      <c r="F926" t="n">
        <v>6864.80822106832</v>
      </c>
      <c r="G926" t="n">
        <v>2147.8599282548</v>
      </c>
      <c r="H926" t="n">
        <v>7835.50745473653</v>
      </c>
      <c r="I926" t="n">
        <v>746.6639138262721</v>
      </c>
      <c r="J926" t="n">
        <v>501.318950086179</v>
      </c>
      <c r="K926" t="n">
        <v>0</v>
      </c>
      <c r="L926" t="n">
        <v>908.502311538673</v>
      </c>
      <c r="M926" t="n">
        <v>6022.02886865558</v>
      </c>
      <c r="N926" t="n">
        <v>0</v>
      </c>
      <c r="O926" t="n">
        <v>3020.88432929399</v>
      </c>
      <c r="P926" t="n">
        <v>0</v>
      </c>
    </row>
    <row r="927">
      <c r="A927" s="1" t="n">
        <v>3616305169297</v>
      </c>
      <c r="B927" t="inlineStr">
        <is>
          <t>GUCCI FL G ORC EDP 10 ML PENSPRAY VP IV</t>
        </is>
      </c>
      <c r="C927" t="inlineStr">
        <is>
          <t>P_US_ULTA</t>
        </is>
      </c>
      <c r="D927" t="inlineStr">
        <is>
          <t>Stat Fcst TBATS</t>
        </is>
      </c>
    </row>
    <row r="928">
      <c r="A928" s="1" t="n">
        <v>3616305169297</v>
      </c>
      <c r="B928" t="inlineStr">
        <is>
          <t>GUCCI FL G ORC EDP 10 ML PENSPRAY VP IV</t>
        </is>
      </c>
      <c r="C928" t="inlineStr">
        <is>
          <t>P_US_ULTA</t>
        </is>
      </c>
      <c r="D928" t="inlineStr">
        <is>
          <t>Stat Fcst TES</t>
        </is>
      </c>
      <c r="E928" t="n">
        <v>2298.49222099877</v>
      </c>
      <c r="F928" t="n">
        <v>2296.68053069108</v>
      </c>
      <c r="G928" t="n">
        <v>1194.50185049971</v>
      </c>
      <c r="H928" t="n">
        <v>440.071963369751</v>
      </c>
      <c r="I928" t="n">
        <v>2392.57665104852</v>
      </c>
      <c r="J928" t="n">
        <v>0</v>
      </c>
      <c r="K928" t="n">
        <v>0</v>
      </c>
      <c r="L928" t="n">
        <v>0</v>
      </c>
      <c r="M928" t="n">
        <v>4779.69748823079</v>
      </c>
      <c r="N928" t="n">
        <v>0</v>
      </c>
      <c r="O928" t="n">
        <v>4042.52392497354</v>
      </c>
      <c r="P928" t="n">
        <v>0</v>
      </c>
    </row>
    <row r="929">
      <c r="A929" s="1" t="n">
        <v>3616305169297</v>
      </c>
      <c r="B929" t="inlineStr">
        <is>
          <t>GUCCI FL G ORC EDP 10 ML PENSPRAY VP IV</t>
        </is>
      </c>
      <c r="C929" t="inlineStr">
        <is>
          <t>P_US_ULTA</t>
        </is>
      </c>
      <c r="D929" t="inlineStr">
        <is>
          <t>Stat Fcst Theta</t>
        </is>
      </c>
    </row>
    <row r="930">
      <c r="A930" s="1" t="n">
        <v>3616305169297</v>
      </c>
      <c r="B930" t="inlineStr">
        <is>
          <t>GUCCI FL G ORC EDP 10 ML PENSPRAY VP IV</t>
        </is>
      </c>
      <c r="C930" t="inlineStr">
        <is>
          <t>P_US_ULTA</t>
        </is>
      </c>
      <c r="D930" t="inlineStr">
        <is>
          <t>System ML Fcst L1</t>
        </is>
      </c>
    </row>
    <row r="931">
      <c r="A931" s="1" t="n">
        <v>3616305169297</v>
      </c>
      <c r="B931" t="inlineStr">
        <is>
          <t>GUCCI FL G ORC EDP 10 ML PENSPRAY VP IV</t>
        </is>
      </c>
      <c r="C931" t="inlineStr">
        <is>
          <t>P_US_ULTA</t>
        </is>
      </c>
      <c r="D931" t="inlineStr">
        <is>
          <t>Stat Fcst Simple Snaive</t>
        </is>
      </c>
      <c r="E931" t="n">
        <v>5253.27914031507</v>
      </c>
      <c r="F931" t="n">
        <v>4445.99986749887</v>
      </c>
      <c r="G931" t="n">
        <v>6099.00004544109</v>
      </c>
      <c r="H931" t="n">
        <v>4136.99987670779</v>
      </c>
      <c r="I931" t="n">
        <v>2436.00001814961</v>
      </c>
      <c r="J931" t="n">
        <v>895.49997331202</v>
      </c>
      <c r="K931" t="n">
        <v>52.499998435378</v>
      </c>
      <c r="L931" t="n">
        <v>2851.5</v>
      </c>
      <c r="M931" t="n">
        <v>3421.49989803135</v>
      </c>
      <c r="N931" t="n">
        <v>505.500007532537</v>
      </c>
      <c r="O931" t="n">
        <v>2392.49992869794</v>
      </c>
      <c r="P931" t="n">
        <v>1501.50001118704</v>
      </c>
    </row>
    <row r="932">
      <c r="A932" s="1" t="n">
        <v>3616305169297</v>
      </c>
      <c r="B932" t="inlineStr">
        <is>
          <t>GUCCI FL G ORC EDP 10 ML PENSPRAY VP IV</t>
        </is>
      </c>
      <c r="C932" t="inlineStr">
        <is>
          <t>P_US_ULTA</t>
        </is>
      </c>
      <c r="D932" t="inlineStr">
        <is>
          <t>Stat Fcst Simple AOA</t>
        </is>
      </c>
    </row>
    <row r="933">
      <c r="A933" s="1" t="n">
        <v>3616305169297</v>
      </c>
      <c r="B933" t="inlineStr">
        <is>
          <t>GUCCI FL G ORC EDP 10 ML PENSPRAY VP IV</t>
        </is>
      </c>
      <c r="C933" t="inlineStr">
        <is>
          <t>P_US_ULTA</t>
        </is>
      </c>
      <c r="D933" t="inlineStr">
        <is>
          <t>Stat Fcst Weighted Snaive</t>
        </is>
      </c>
    </row>
    <row r="934">
      <c r="A934" s="1" t="n">
        <v>3616305169297</v>
      </c>
      <c r="B934" t="inlineStr">
        <is>
          <t>GUCCI FL G ORC EDP 10 ML PENSPRAY VP IV</t>
        </is>
      </c>
      <c r="C934" t="inlineStr">
        <is>
          <t>P_US_ULTA</t>
        </is>
      </c>
      <c r="D934" t="inlineStr">
        <is>
          <t>Stat Fcst Weighted AOA</t>
        </is>
      </c>
    </row>
    <row r="935">
      <c r="A935" s="1" t="n">
        <v>3616305169297</v>
      </c>
      <c r="B935" t="inlineStr">
        <is>
          <t>GUCCI FL G ORC EDP 10 ML PENSPRAY VP IV</t>
        </is>
      </c>
      <c r="C935" t="inlineStr">
        <is>
          <t>P_US_ULTA</t>
        </is>
      </c>
      <c r="D935" t="inlineStr">
        <is>
          <t>Stat Fcst Growth Snaive</t>
        </is>
      </c>
    </row>
    <row r="936">
      <c r="A936" s="1" t="n">
        <v>3616305169297</v>
      </c>
      <c r="B936" t="inlineStr">
        <is>
          <t>GUCCI FL G ORC EDP 10 ML PENSPRAY VP IV</t>
        </is>
      </c>
      <c r="C936" t="inlineStr">
        <is>
          <t>P_US_ULTA</t>
        </is>
      </c>
      <c r="D936" t="inlineStr">
        <is>
          <t>Stat Fcst Growth AOA</t>
        </is>
      </c>
    </row>
    <row r="937">
      <c r="A937" s="1" t="n">
        <v>3616305169297</v>
      </c>
      <c r="B937" t="inlineStr">
        <is>
          <t>GUCCI FL G ORC EDP 10 ML PENSPRAY VP IV</t>
        </is>
      </c>
      <c r="C937" t="inlineStr">
        <is>
          <t>P_US_ULTA</t>
        </is>
      </c>
      <c r="D937" t="inlineStr">
        <is>
          <t>System Stat Fcst Bestfit</t>
        </is>
      </c>
      <c r="H937" t="n">
        <v>440.071947334052</v>
      </c>
      <c r="I937" t="n">
        <v>2392.57667798233</v>
      </c>
      <c r="J937" t="n">
        <v>0</v>
      </c>
      <c r="K937" t="n">
        <v>0</v>
      </c>
      <c r="L937" t="n">
        <v>0</v>
      </c>
      <c r="M937" t="n">
        <v>4779.69712317892</v>
      </c>
      <c r="N937" t="n">
        <v>0</v>
      </c>
      <c r="O937" t="n">
        <v>4042.52380530464</v>
      </c>
      <c r="P937" t="n">
        <v>0</v>
      </c>
    </row>
    <row r="938">
      <c r="A938" s="1" t="n">
        <v>3616305275745</v>
      </c>
      <c r="B938" t="inlineStr">
        <is>
          <t>GUCCI FLG EDPI PRFM 100 ML INTENSE IV</t>
        </is>
      </c>
      <c r="C938" t="inlineStr">
        <is>
          <t>P_US_ALL_OTHERS</t>
        </is>
      </c>
      <c r="D938" t="inlineStr">
        <is>
          <t>Stat Fcst L1</t>
        </is>
      </c>
      <c r="E938" t="n">
        <v>629.999981224536</v>
      </c>
      <c r="F938" t="n">
        <v>1341.99996000528</v>
      </c>
      <c r="G938" t="n">
        <v>2074</v>
      </c>
      <c r="H938" t="n">
        <v>1855</v>
      </c>
      <c r="I938" t="n">
        <v>1852</v>
      </c>
      <c r="J938" t="n">
        <v>1855</v>
      </c>
      <c r="K938" t="n">
        <v>1855</v>
      </c>
      <c r="L938" t="n">
        <v>1852</v>
      </c>
      <c r="M938" t="n">
        <v>1855</v>
      </c>
      <c r="N938" t="n">
        <v>1852</v>
      </c>
      <c r="O938" t="n">
        <v>1856</v>
      </c>
      <c r="P938" t="n">
        <v>1852</v>
      </c>
    </row>
    <row r="939">
      <c r="A939" s="1" t="n">
        <v>3616305275745</v>
      </c>
      <c r="B939" t="inlineStr">
        <is>
          <t>GUCCI FLG EDPI PRFM 100 ML INTENSE IV</t>
        </is>
      </c>
      <c r="C939" t="inlineStr">
        <is>
          <t>P_US_ALL_OTHERS</t>
        </is>
      </c>
      <c r="D939" t="inlineStr">
        <is>
          <t>Stat Fcst AR-NNET</t>
        </is>
      </c>
    </row>
    <row r="940">
      <c r="A940" s="1" t="n">
        <v>3616305275745</v>
      </c>
      <c r="B940" t="inlineStr">
        <is>
          <t>GUCCI FLG EDPI PRFM 100 ML INTENSE IV</t>
        </is>
      </c>
      <c r="C940" t="inlineStr">
        <is>
          <t>P_US_ALL_OTHERS</t>
        </is>
      </c>
      <c r="D940" t="inlineStr">
        <is>
          <t>Stat Fcst Auto ARIMA</t>
        </is>
      </c>
    </row>
    <row r="941">
      <c r="A941" s="1" t="n">
        <v>3616305275745</v>
      </c>
      <c r="B941" t="inlineStr">
        <is>
          <t>GUCCI FLG EDPI PRFM 100 ML INTENSE IV</t>
        </is>
      </c>
      <c r="C941" t="inlineStr">
        <is>
          <t>P_US_ALL_OTHERS</t>
        </is>
      </c>
      <c r="D941" t="inlineStr">
        <is>
          <t>Stat Fcst Croston</t>
        </is>
      </c>
    </row>
    <row r="942">
      <c r="A942" s="1" t="n">
        <v>3616305275745</v>
      </c>
      <c r="B942" t="inlineStr">
        <is>
          <t>GUCCI FLG EDPI PRFM 100 ML INTENSE IV</t>
        </is>
      </c>
      <c r="C942" t="inlineStr">
        <is>
          <t>P_US_ALL_OTHERS</t>
        </is>
      </c>
      <c r="D942" t="inlineStr">
        <is>
          <t>Stat Fcst DES</t>
        </is>
      </c>
      <c r="E942" t="n">
        <v>2357.25192208527</v>
      </c>
      <c r="F942" t="n">
        <v>1668.76374682005</v>
      </c>
      <c r="G942" t="n">
        <v>1452.90198971546</v>
      </c>
      <c r="H942" t="n">
        <v>1393.98559799816</v>
      </c>
      <c r="I942" t="n">
        <v>1364.52748003453</v>
      </c>
      <c r="J942" t="n">
        <v>1349.79834480379</v>
      </c>
      <c r="K942" t="n">
        <v>1342.43380260473</v>
      </c>
      <c r="L942" t="n">
        <v>1338.75157140311</v>
      </c>
      <c r="M942" t="n">
        <v>1336.91039595544</v>
      </c>
      <c r="N942" t="n">
        <v>1335.98988790396</v>
      </c>
      <c r="O942" t="n">
        <v>1335.52954429311</v>
      </c>
      <c r="P942" t="n">
        <v>1335.29945209317</v>
      </c>
    </row>
    <row r="943">
      <c r="A943" s="1" t="n">
        <v>3616305275745</v>
      </c>
      <c r="B943" t="inlineStr">
        <is>
          <t>GUCCI FLG EDPI PRFM 100 ML INTENSE IV</t>
        </is>
      </c>
      <c r="C943" t="inlineStr">
        <is>
          <t>P_US_ALL_OTHERS</t>
        </is>
      </c>
      <c r="D943" t="inlineStr">
        <is>
          <t>Stat Fcst ETS</t>
        </is>
      </c>
    </row>
    <row r="944">
      <c r="A944" s="1" t="n">
        <v>3616305275745</v>
      </c>
      <c r="B944" t="inlineStr">
        <is>
          <t>GUCCI FLG EDPI PRFM 100 ML INTENSE IV</t>
        </is>
      </c>
      <c r="C944" t="inlineStr">
        <is>
          <t>P_US_ALL_OTHERS</t>
        </is>
      </c>
      <c r="D944" t="inlineStr">
        <is>
          <t>Stat Fcst Moving Average</t>
        </is>
      </c>
      <c r="E944" t="n">
        <v>2361.33326296011</v>
      </c>
      <c r="F944" t="n">
        <v>2163.66660218437</v>
      </c>
      <c r="G944" t="n">
        <v>1294.00000964105</v>
      </c>
      <c r="H944" t="n">
        <v>1088.6699675551</v>
      </c>
      <c r="I944" t="n">
        <v>1241.56000925034</v>
      </c>
      <c r="J944" t="n">
        <v>1208.07996399641</v>
      </c>
      <c r="K944" t="n">
        <v>1179.43996484994</v>
      </c>
      <c r="L944" t="n">
        <v>1209.69</v>
      </c>
      <c r="M944" t="n">
        <v>1199.06996426492</v>
      </c>
      <c r="N944" t="n">
        <v>1196.07001782283</v>
      </c>
      <c r="O944" t="n">
        <v>1201.60996418923</v>
      </c>
      <c r="P944" t="n">
        <v>1198.92000893265</v>
      </c>
    </row>
    <row r="945">
      <c r="A945" s="1" t="n">
        <v>3616305275745</v>
      </c>
      <c r="B945" t="inlineStr">
        <is>
          <t>GUCCI FLG EDPI PRFM 100 ML INTENSE IV</t>
        </is>
      </c>
      <c r="C945" t="inlineStr">
        <is>
          <t>P_US_ALL_OTHERS</t>
        </is>
      </c>
      <c r="D945" t="inlineStr">
        <is>
          <t>Stat Fcst Naive Random Walk</t>
        </is>
      </c>
    </row>
    <row r="946">
      <c r="A946" s="1" t="n">
        <v>3616305275745</v>
      </c>
      <c r="B946" t="inlineStr">
        <is>
          <t>GUCCI FLG EDPI PRFM 100 ML INTENSE IV</t>
        </is>
      </c>
      <c r="C946" t="inlineStr">
        <is>
          <t>P_US_ALL_OTHERS</t>
        </is>
      </c>
      <c r="D946" t="inlineStr">
        <is>
          <t>Stat Fcst Prophet</t>
        </is>
      </c>
    </row>
    <row r="947">
      <c r="A947" s="1" t="n">
        <v>3616305275745</v>
      </c>
      <c r="B947" t="inlineStr">
        <is>
          <t>GUCCI FLG EDPI PRFM 100 ML INTENSE IV</t>
        </is>
      </c>
      <c r="C947" t="inlineStr">
        <is>
          <t>P_US_ALL_OTHERS</t>
        </is>
      </c>
      <c r="D947" t="inlineStr">
        <is>
          <t>Stat Fcst sARIMA</t>
        </is>
      </c>
    </row>
    <row r="948">
      <c r="A948" s="1" t="n">
        <v>3616305275745</v>
      </c>
      <c r="B948" t="inlineStr">
        <is>
          <t>GUCCI FLG EDPI PRFM 100 ML INTENSE IV</t>
        </is>
      </c>
      <c r="C948" t="inlineStr">
        <is>
          <t>P_US_ALL_OTHERS</t>
        </is>
      </c>
      <c r="D948" t="inlineStr">
        <is>
          <t>Stat Fcst Seasonal Naive YoY</t>
        </is>
      </c>
    </row>
    <row r="949">
      <c r="A949" s="1" t="n">
        <v>3616305275745</v>
      </c>
      <c r="B949" t="inlineStr">
        <is>
          <t>GUCCI FLG EDPI PRFM 100 ML INTENSE IV</t>
        </is>
      </c>
      <c r="C949" t="inlineStr">
        <is>
          <t>P_US_ALL_OTHERS</t>
        </is>
      </c>
      <c r="D949" t="inlineStr">
        <is>
          <t>Stat Fcst SES</t>
        </is>
      </c>
      <c r="E949" t="n">
        <v>2690.7593323219</v>
      </c>
      <c r="F949" t="n">
        <v>2072.53152699269</v>
      </c>
      <c r="G949" t="n">
        <v>1853.37212593996</v>
      </c>
      <c r="H949" t="n">
        <v>1853.37205689647</v>
      </c>
      <c r="I949" t="n">
        <v>1853.37212593996</v>
      </c>
      <c r="J949" t="n">
        <v>1853.37205689647</v>
      </c>
      <c r="K949" t="n">
        <v>1853.37205689647</v>
      </c>
      <c r="L949" t="n">
        <v>1853.37211213126</v>
      </c>
      <c r="M949" t="n">
        <v>1853.37205689647</v>
      </c>
      <c r="N949" t="n">
        <v>1853.37213974866</v>
      </c>
      <c r="O949" t="n">
        <v>1853.37205689647</v>
      </c>
      <c r="P949" t="n">
        <v>1853.37212593996</v>
      </c>
    </row>
    <row r="950">
      <c r="A950" s="1" t="n">
        <v>3616305275745</v>
      </c>
      <c r="B950" t="inlineStr">
        <is>
          <t>GUCCI FLG EDPI PRFM 100 ML INTENSE IV</t>
        </is>
      </c>
      <c r="C950" t="inlineStr">
        <is>
          <t>P_US_ALL_OTHERS</t>
        </is>
      </c>
      <c r="D950" t="inlineStr">
        <is>
          <t>Stat Fcst STLF</t>
        </is>
      </c>
    </row>
    <row r="951">
      <c r="A951" s="1" t="n">
        <v>3616305275745</v>
      </c>
      <c r="B951" t="inlineStr">
        <is>
          <t>GUCCI FLG EDPI PRFM 100 ML INTENSE IV</t>
        </is>
      </c>
      <c r="C951" t="inlineStr">
        <is>
          <t>P_US_ALL_OTHERS</t>
        </is>
      </c>
      <c r="D951" t="inlineStr">
        <is>
          <t>Stat Fcst TBATS</t>
        </is>
      </c>
    </row>
    <row r="952">
      <c r="A952" s="1" t="n">
        <v>3616305275745</v>
      </c>
      <c r="B952" t="inlineStr">
        <is>
          <t>GUCCI FLG EDPI PRFM 100 ML INTENSE IV</t>
        </is>
      </c>
      <c r="C952" t="inlineStr">
        <is>
          <t>P_US_ALL_OTHERS</t>
        </is>
      </c>
      <c r="D952" t="inlineStr">
        <is>
          <t>Stat Fcst TES</t>
        </is>
      </c>
    </row>
    <row r="953">
      <c r="A953" s="1" t="n">
        <v>3616305275745</v>
      </c>
      <c r="B953" t="inlineStr">
        <is>
          <t>GUCCI FLG EDPI PRFM 100 ML INTENSE IV</t>
        </is>
      </c>
      <c r="C953" t="inlineStr">
        <is>
          <t>P_US_ALL_OTHERS</t>
        </is>
      </c>
      <c r="D953" t="inlineStr">
        <is>
          <t>Stat Fcst Theta</t>
        </is>
      </c>
    </row>
    <row r="954">
      <c r="A954" s="1" t="n">
        <v>3616305275745</v>
      </c>
      <c r="B954" t="inlineStr">
        <is>
          <t>GUCCI FLG EDPI PRFM 100 ML INTENSE IV</t>
        </is>
      </c>
      <c r="C954" t="inlineStr">
        <is>
          <t>P_US_ALL_OTHERS</t>
        </is>
      </c>
      <c r="D954" t="inlineStr">
        <is>
          <t>System ML Fcst L1</t>
        </is>
      </c>
    </row>
    <row r="955">
      <c r="A955" s="1" t="n">
        <v>3616305275745</v>
      </c>
      <c r="B955" t="inlineStr">
        <is>
          <t>GUCCI FLG EDPI PRFM 100 ML INTENSE IV</t>
        </is>
      </c>
      <c r="C955" t="inlineStr">
        <is>
          <t>P_US_ALL_OTHERS</t>
        </is>
      </c>
      <c r="D955" t="inlineStr">
        <is>
          <t>Stat Fcst Simple Snaive</t>
        </is>
      </c>
    </row>
    <row r="956">
      <c r="A956" s="1" t="n">
        <v>3616305275745</v>
      </c>
      <c r="B956" t="inlineStr">
        <is>
          <t>GUCCI FLG EDPI PRFM 100 ML INTENSE IV</t>
        </is>
      </c>
      <c r="C956" t="inlineStr">
        <is>
          <t>P_US_ALL_OTHERS</t>
        </is>
      </c>
      <c r="D956" t="inlineStr">
        <is>
          <t>Stat Fcst Simple AOA</t>
        </is>
      </c>
    </row>
    <row r="957">
      <c r="A957" s="1" t="n">
        <v>3616305275745</v>
      </c>
      <c r="B957" t="inlineStr">
        <is>
          <t>GUCCI FLG EDPI PRFM 100 ML INTENSE IV</t>
        </is>
      </c>
      <c r="C957" t="inlineStr">
        <is>
          <t>P_US_ALL_OTHERS</t>
        </is>
      </c>
      <c r="D957" t="inlineStr">
        <is>
          <t>Stat Fcst Weighted Snaive</t>
        </is>
      </c>
    </row>
    <row r="958">
      <c r="A958" s="1" t="n">
        <v>3616305275745</v>
      </c>
      <c r="B958" t="inlineStr">
        <is>
          <t>GUCCI FLG EDPI PRFM 100 ML INTENSE IV</t>
        </is>
      </c>
      <c r="C958" t="inlineStr">
        <is>
          <t>P_US_ALL_OTHERS</t>
        </is>
      </c>
      <c r="D958" t="inlineStr">
        <is>
          <t>Stat Fcst Weighted AOA</t>
        </is>
      </c>
    </row>
    <row r="959">
      <c r="A959" s="1" t="n">
        <v>3616305275745</v>
      </c>
      <c r="B959" t="inlineStr">
        <is>
          <t>GUCCI FLG EDPI PRFM 100 ML INTENSE IV</t>
        </is>
      </c>
      <c r="C959" t="inlineStr">
        <is>
          <t>P_US_ALL_OTHERS</t>
        </is>
      </c>
      <c r="D959" t="inlineStr">
        <is>
          <t>Stat Fcst Growth Snaive</t>
        </is>
      </c>
    </row>
    <row r="960">
      <c r="A960" s="1" t="n">
        <v>3616305275745</v>
      </c>
      <c r="B960" t="inlineStr">
        <is>
          <t>GUCCI FLG EDPI PRFM 100 ML INTENSE IV</t>
        </is>
      </c>
      <c r="C960" t="inlineStr">
        <is>
          <t>P_US_ALL_OTHERS</t>
        </is>
      </c>
      <c r="D960" t="inlineStr">
        <is>
          <t>Stat Fcst Growth AOA</t>
        </is>
      </c>
    </row>
    <row r="961">
      <c r="A961" s="1" t="n">
        <v>3616305275745</v>
      </c>
      <c r="B961" t="inlineStr">
        <is>
          <t>GUCCI FLG EDPI PRFM 100 ML INTENSE IV</t>
        </is>
      </c>
      <c r="C961" t="inlineStr">
        <is>
          <t>P_US_ALL_OTHERS</t>
        </is>
      </c>
      <c r="D961" t="inlineStr">
        <is>
          <t>System Stat Fcst Bestfit</t>
        </is>
      </c>
      <c r="H961" t="n">
        <v>1853.3720150777</v>
      </c>
      <c r="I961" t="n">
        <v>1853.37208412119</v>
      </c>
      <c r="J961" t="n">
        <v>1853.3720150777</v>
      </c>
      <c r="K961" t="n">
        <v>1853.3720150777</v>
      </c>
      <c r="L961" t="n">
        <v>1853.3720703125</v>
      </c>
      <c r="M961" t="n">
        <v>1853.3720150777</v>
      </c>
      <c r="N961" t="n">
        <v>1853.37209792989</v>
      </c>
      <c r="O961" t="n">
        <v>1853.3720150777</v>
      </c>
      <c r="P961" t="n">
        <v>1853.37208412119</v>
      </c>
    </row>
    <row r="962">
      <c r="A962" s="1" t="n">
        <v>3616305275745</v>
      </c>
      <c r="B962" t="inlineStr">
        <is>
          <t>GUCCI FLG EDPI PRFM 100 ML INTENSE IV</t>
        </is>
      </c>
      <c r="C962" t="inlineStr">
        <is>
          <t>P_US_ULTA</t>
        </is>
      </c>
      <c r="D962" t="inlineStr">
        <is>
          <t>Stat Fcst L1</t>
        </is>
      </c>
      <c r="E962" t="n">
        <v>122.999996334314</v>
      </c>
      <c r="F962" t="n">
        <v>656.999980419874</v>
      </c>
      <c r="G962" t="n">
        <v>912</v>
      </c>
      <c r="H962" t="n">
        <v>882</v>
      </c>
      <c r="I962" t="n">
        <v>882</v>
      </c>
      <c r="J962" t="n">
        <v>882</v>
      </c>
      <c r="K962" t="n">
        <v>881</v>
      </c>
      <c r="L962" t="n">
        <v>884</v>
      </c>
      <c r="M962" t="n">
        <v>881</v>
      </c>
      <c r="N962" t="n">
        <v>883</v>
      </c>
      <c r="O962" t="n">
        <v>881</v>
      </c>
      <c r="P962" t="n">
        <v>883</v>
      </c>
    </row>
    <row r="963">
      <c r="A963" s="1" t="n">
        <v>3616305275745</v>
      </c>
      <c r="B963" t="inlineStr">
        <is>
          <t>GUCCI FLG EDPI PRFM 100 ML INTENSE IV</t>
        </is>
      </c>
      <c r="C963" t="inlineStr">
        <is>
          <t>P_US_ULTA</t>
        </is>
      </c>
      <c r="D963" t="inlineStr">
        <is>
          <t>Stat Fcst AR-NNET</t>
        </is>
      </c>
    </row>
    <row r="964">
      <c r="A964" s="1" t="n">
        <v>3616305275745</v>
      </c>
      <c r="B964" t="inlineStr">
        <is>
          <t>GUCCI FLG EDPI PRFM 100 ML INTENSE IV</t>
        </is>
      </c>
      <c r="C964" t="inlineStr">
        <is>
          <t>P_US_ULTA</t>
        </is>
      </c>
      <c r="D964" t="inlineStr">
        <is>
          <t>Stat Fcst Auto ARIMA</t>
        </is>
      </c>
    </row>
    <row r="965">
      <c r="A965" s="1" t="n">
        <v>3616305275745</v>
      </c>
      <c r="B965" t="inlineStr">
        <is>
          <t>GUCCI FLG EDPI PRFM 100 ML INTENSE IV</t>
        </is>
      </c>
      <c r="C965" t="inlineStr">
        <is>
          <t>P_US_ULTA</t>
        </is>
      </c>
      <c r="D965" t="inlineStr">
        <is>
          <t>Stat Fcst Croston</t>
        </is>
      </c>
    </row>
    <row r="966">
      <c r="A966" s="1" t="n">
        <v>3616305275745</v>
      </c>
      <c r="B966" t="inlineStr">
        <is>
          <t>GUCCI FLG EDPI PRFM 100 ML INTENSE IV</t>
        </is>
      </c>
      <c r="C966" t="inlineStr">
        <is>
          <t>P_US_ULTA</t>
        </is>
      </c>
      <c r="D966" t="inlineStr">
        <is>
          <t>Stat Fcst DES</t>
        </is>
      </c>
      <c r="E966" t="n">
        <v>528.039404397153</v>
      </c>
      <c r="F966" t="n">
        <v>417.080824021443</v>
      </c>
      <c r="G966" t="n">
        <v>482.80173506753</v>
      </c>
      <c r="H966" t="n">
        <v>482.800884739047</v>
      </c>
      <c r="I966" t="n">
        <v>482.800486553409</v>
      </c>
      <c r="J966" t="n">
        <v>482.80026048201</v>
      </c>
      <c r="K966" t="n">
        <v>482.800156439171</v>
      </c>
      <c r="L966" t="n">
        <v>482.800118806316</v>
      </c>
      <c r="M966" t="n">
        <v>482.800078407041</v>
      </c>
      <c r="N966" t="n">
        <v>482.800086984532</v>
      </c>
      <c r="O966" t="n">
        <v>482.800058899009</v>
      </c>
      <c r="P966" t="n">
        <v>482.800073633374</v>
      </c>
    </row>
    <row r="967">
      <c r="A967" s="1" t="n">
        <v>3616305275745</v>
      </c>
      <c r="B967" t="inlineStr">
        <is>
          <t>GUCCI FLG EDPI PRFM 100 ML INTENSE IV</t>
        </is>
      </c>
      <c r="C967" t="inlineStr">
        <is>
          <t>P_US_ULTA</t>
        </is>
      </c>
      <c r="D967" t="inlineStr">
        <is>
          <t>Stat Fcst ETS</t>
        </is>
      </c>
    </row>
    <row r="968">
      <c r="A968" s="1" t="n">
        <v>3616305275745</v>
      </c>
      <c r="B968" t="inlineStr">
        <is>
          <t>GUCCI FLG EDPI PRFM 100 ML INTENSE IV</t>
        </is>
      </c>
      <c r="C968" t="inlineStr">
        <is>
          <t>P_US_ULTA</t>
        </is>
      </c>
      <c r="D968" t="inlineStr">
        <is>
          <t>Stat Fcst Moving Average</t>
        </is>
      </c>
      <c r="E968" t="n">
        <v>213.999983449777</v>
      </c>
      <c r="F968" t="n">
        <v>237.999982734521</v>
      </c>
      <c r="G968" t="n">
        <v>325.000002421438</v>
      </c>
      <c r="H968" t="n">
        <v>368.32998902291</v>
      </c>
      <c r="I968" t="n">
        <v>450.11000335358</v>
      </c>
      <c r="J968" t="n">
        <v>381.149988640844</v>
      </c>
      <c r="K968" t="n">
        <v>399.859988083243</v>
      </c>
      <c r="L968" t="n">
        <v>410.37</v>
      </c>
      <c r="M968" t="n">
        <v>397.129988164603</v>
      </c>
      <c r="N968" t="n">
        <v>402.450005996972</v>
      </c>
      <c r="O968" t="n">
        <v>403.319987980127</v>
      </c>
      <c r="P968" t="n">
        <v>400.970002987459</v>
      </c>
    </row>
    <row r="969">
      <c r="A969" s="1" t="n">
        <v>3616305275745</v>
      </c>
      <c r="B969" t="inlineStr">
        <is>
          <t>GUCCI FLG EDPI PRFM 100 ML INTENSE IV</t>
        </is>
      </c>
      <c r="C969" t="inlineStr">
        <is>
          <t>P_US_ULTA</t>
        </is>
      </c>
      <c r="D969" t="inlineStr">
        <is>
          <t>Stat Fcst Naive Random Walk</t>
        </is>
      </c>
    </row>
    <row r="970">
      <c r="A970" s="1" t="n">
        <v>3616305275745</v>
      </c>
      <c r="B970" t="inlineStr">
        <is>
          <t>GUCCI FLG EDPI PRFM 100 ML INTENSE IV</t>
        </is>
      </c>
      <c r="C970" t="inlineStr">
        <is>
          <t>P_US_ULTA</t>
        </is>
      </c>
      <c r="D970" t="inlineStr">
        <is>
          <t>Stat Fcst Prophet</t>
        </is>
      </c>
    </row>
    <row r="971">
      <c r="A971" s="1" t="n">
        <v>3616305275745</v>
      </c>
      <c r="B971" t="inlineStr">
        <is>
          <t>GUCCI FLG EDPI PRFM 100 ML INTENSE IV</t>
        </is>
      </c>
      <c r="C971" t="inlineStr">
        <is>
          <t>P_US_ULTA</t>
        </is>
      </c>
      <c r="D971" t="inlineStr">
        <is>
          <t>Stat Fcst sARIMA</t>
        </is>
      </c>
    </row>
    <row r="972">
      <c r="A972" s="1" t="n">
        <v>3616305275745</v>
      </c>
      <c r="B972" t="inlineStr">
        <is>
          <t>GUCCI FLG EDPI PRFM 100 ML INTENSE IV</t>
        </is>
      </c>
      <c r="C972" t="inlineStr">
        <is>
          <t>P_US_ULTA</t>
        </is>
      </c>
      <c r="D972" t="inlineStr">
        <is>
          <t>Stat Fcst Seasonal Naive YoY</t>
        </is>
      </c>
    </row>
    <row r="973">
      <c r="A973" s="1" t="n">
        <v>3616305275745</v>
      </c>
      <c r="B973" t="inlineStr">
        <is>
          <t>GUCCI FLG EDPI PRFM 100 ML INTENSE IV</t>
        </is>
      </c>
      <c r="C973" t="inlineStr">
        <is>
          <t>P_US_ULTA</t>
        </is>
      </c>
      <c r="D973" t="inlineStr">
        <is>
          <t>Stat Fcst SES</t>
        </is>
      </c>
      <c r="E973" t="n">
        <v>883.120293852564</v>
      </c>
      <c r="F973" t="n">
        <v>883.119533732267</v>
      </c>
      <c r="G973" t="n">
        <v>883.119340511411</v>
      </c>
      <c r="H973" t="n">
        <v>883.1193076126521</v>
      </c>
      <c r="I973" t="n">
        <v>883.119340511411</v>
      </c>
      <c r="J973" t="n">
        <v>883.1193076126521</v>
      </c>
      <c r="K973" t="n">
        <v>883.1193076126521</v>
      </c>
      <c r="L973" t="n">
        <v>883.119333931659</v>
      </c>
      <c r="M973" t="n">
        <v>883.1193076126521</v>
      </c>
      <c r="N973" t="n">
        <v>883.119347091163</v>
      </c>
      <c r="O973" t="n">
        <v>883.1193076126521</v>
      </c>
      <c r="P973" t="n">
        <v>883.119340511411</v>
      </c>
    </row>
    <row r="974">
      <c r="A974" s="1" t="n">
        <v>3616305275745</v>
      </c>
      <c r="B974" t="inlineStr">
        <is>
          <t>GUCCI FLG EDPI PRFM 100 ML INTENSE IV</t>
        </is>
      </c>
      <c r="C974" t="inlineStr">
        <is>
          <t>P_US_ULTA</t>
        </is>
      </c>
      <c r="D974" t="inlineStr">
        <is>
          <t>Stat Fcst STLF</t>
        </is>
      </c>
    </row>
    <row r="975">
      <c r="A975" s="1" t="n">
        <v>3616305275745</v>
      </c>
      <c r="B975" t="inlineStr">
        <is>
          <t>GUCCI FLG EDPI PRFM 100 ML INTENSE IV</t>
        </is>
      </c>
      <c r="C975" t="inlineStr">
        <is>
          <t>P_US_ULTA</t>
        </is>
      </c>
      <c r="D975" t="inlineStr">
        <is>
          <t>Stat Fcst TBATS</t>
        </is>
      </c>
    </row>
    <row r="976">
      <c r="A976" s="1" t="n">
        <v>3616305275745</v>
      </c>
      <c r="B976" t="inlineStr">
        <is>
          <t>GUCCI FLG EDPI PRFM 100 ML INTENSE IV</t>
        </is>
      </c>
      <c r="C976" t="inlineStr">
        <is>
          <t>P_US_ULTA</t>
        </is>
      </c>
      <c r="D976" t="inlineStr">
        <is>
          <t>Stat Fcst TES</t>
        </is>
      </c>
    </row>
    <row r="977">
      <c r="A977" s="1" t="n">
        <v>3616305275745</v>
      </c>
      <c r="B977" t="inlineStr">
        <is>
          <t>GUCCI FLG EDPI PRFM 100 ML INTENSE IV</t>
        </is>
      </c>
      <c r="C977" t="inlineStr">
        <is>
          <t>P_US_ULTA</t>
        </is>
      </c>
      <c r="D977" t="inlineStr">
        <is>
          <t>Stat Fcst Theta</t>
        </is>
      </c>
    </row>
    <row r="978">
      <c r="A978" s="1" t="n">
        <v>3616305275745</v>
      </c>
      <c r="B978" t="inlineStr">
        <is>
          <t>GUCCI FLG EDPI PRFM 100 ML INTENSE IV</t>
        </is>
      </c>
      <c r="C978" t="inlineStr">
        <is>
          <t>P_US_ULTA</t>
        </is>
      </c>
      <c r="D978" t="inlineStr">
        <is>
          <t>System ML Fcst L1</t>
        </is>
      </c>
    </row>
    <row r="979">
      <c r="A979" s="1" t="n">
        <v>3616305275745</v>
      </c>
      <c r="B979" t="inlineStr">
        <is>
          <t>GUCCI FLG EDPI PRFM 100 ML INTENSE IV</t>
        </is>
      </c>
      <c r="C979" t="inlineStr">
        <is>
          <t>P_US_ULTA</t>
        </is>
      </c>
      <c r="D979" t="inlineStr">
        <is>
          <t>Stat Fcst Simple Snaive</t>
        </is>
      </c>
    </row>
    <row r="980">
      <c r="A980" s="1" t="n">
        <v>3616305275745</v>
      </c>
      <c r="B980" t="inlineStr">
        <is>
          <t>GUCCI FLG EDPI PRFM 100 ML INTENSE IV</t>
        </is>
      </c>
      <c r="C980" t="inlineStr">
        <is>
          <t>P_US_ULTA</t>
        </is>
      </c>
      <c r="D980" t="inlineStr">
        <is>
          <t>Stat Fcst Simple AOA</t>
        </is>
      </c>
    </row>
    <row r="981">
      <c r="A981" s="1" t="n">
        <v>3616305275745</v>
      </c>
      <c r="B981" t="inlineStr">
        <is>
          <t>GUCCI FLG EDPI PRFM 100 ML INTENSE IV</t>
        </is>
      </c>
      <c r="C981" t="inlineStr">
        <is>
          <t>P_US_ULTA</t>
        </is>
      </c>
      <c r="D981" t="inlineStr">
        <is>
          <t>Stat Fcst Weighted Snaive</t>
        </is>
      </c>
    </row>
    <row r="982">
      <c r="A982" s="1" t="n">
        <v>3616305275745</v>
      </c>
      <c r="B982" t="inlineStr">
        <is>
          <t>GUCCI FLG EDPI PRFM 100 ML INTENSE IV</t>
        </is>
      </c>
      <c r="C982" t="inlineStr">
        <is>
          <t>P_US_ULTA</t>
        </is>
      </c>
      <c r="D982" t="inlineStr">
        <is>
          <t>Stat Fcst Weighted AOA</t>
        </is>
      </c>
    </row>
    <row r="983">
      <c r="A983" s="1" t="n">
        <v>3616305275745</v>
      </c>
      <c r="B983" t="inlineStr">
        <is>
          <t>GUCCI FLG EDPI PRFM 100 ML INTENSE IV</t>
        </is>
      </c>
      <c r="C983" t="inlineStr">
        <is>
          <t>P_US_ULTA</t>
        </is>
      </c>
      <c r="D983" t="inlineStr">
        <is>
          <t>Stat Fcst Growth Snaive</t>
        </is>
      </c>
    </row>
    <row r="984">
      <c r="A984" s="1" t="n">
        <v>3616305275745</v>
      </c>
      <c r="B984" t="inlineStr">
        <is>
          <t>GUCCI FLG EDPI PRFM 100 ML INTENSE IV</t>
        </is>
      </c>
      <c r="C984" t="inlineStr">
        <is>
          <t>P_US_ULTA</t>
        </is>
      </c>
      <c r="D984" t="inlineStr">
        <is>
          <t>Stat Fcst Growth AOA</t>
        </is>
      </c>
    </row>
    <row r="985">
      <c r="A985" s="1" t="n">
        <v>3616305275745</v>
      </c>
      <c r="B985" t="inlineStr">
        <is>
          <t>GUCCI FLG EDPI PRFM 100 ML INTENSE IV</t>
        </is>
      </c>
      <c r="C985" t="inlineStr">
        <is>
          <t>P_US_ULTA</t>
        </is>
      </c>
      <c r="D985" t="inlineStr">
        <is>
          <t>System Stat Fcst Bestfit</t>
        </is>
      </c>
      <c r="H985" t="n">
        <v>883.119236376307</v>
      </c>
      <c r="I985" t="n">
        <v>883.11933031022</v>
      </c>
      <c r="J985" t="n">
        <v>883.119236376307</v>
      </c>
      <c r="K985" t="n">
        <v>883.119236376307</v>
      </c>
      <c r="L985" t="n">
        <v>883.119323730468</v>
      </c>
      <c r="M985" t="n">
        <v>883.119236376307</v>
      </c>
      <c r="N985" t="n">
        <v>883.119336889972</v>
      </c>
      <c r="O985" t="n">
        <v>883.119236376307</v>
      </c>
      <c r="P985" t="n">
        <v>883.11933031022</v>
      </c>
    </row>
    <row r="986">
      <c r="A986" s="1" t="n">
        <v>3616305275776</v>
      </c>
      <c r="B986" t="inlineStr">
        <is>
          <t>GUCCI FLG EDPI PRFM 10ML INTEN P/SPRY IV</t>
        </is>
      </c>
      <c r="C986" t="inlineStr">
        <is>
          <t>P_US_ALL_OTHERS</t>
        </is>
      </c>
      <c r="D986" t="inlineStr">
        <is>
          <t>Stat Fcst L1</t>
        </is>
      </c>
      <c r="E986" t="n">
        <v>1689.99994963407</v>
      </c>
      <c r="F986" t="n">
        <v>1735.06446611881</v>
      </c>
      <c r="G986" t="n">
        <v>1826</v>
      </c>
      <c r="H986" t="n">
        <v>1718</v>
      </c>
      <c r="I986" t="n">
        <v>1728</v>
      </c>
      <c r="J986" t="n">
        <v>1723</v>
      </c>
      <c r="K986" t="n">
        <v>1723</v>
      </c>
      <c r="L986" t="n">
        <v>1724</v>
      </c>
      <c r="M986" t="n">
        <v>1723</v>
      </c>
      <c r="N986" t="n">
        <v>1723</v>
      </c>
      <c r="O986" t="n">
        <v>1723</v>
      </c>
      <c r="P986" t="n">
        <v>1723</v>
      </c>
    </row>
    <row r="987">
      <c r="A987" s="1" t="n">
        <v>3616305275776</v>
      </c>
      <c r="B987" t="inlineStr">
        <is>
          <t>GUCCI FLG EDPI PRFM 10ML INTEN P/SPRY IV</t>
        </is>
      </c>
      <c r="C987" t="inlineStr">
        <is>
          <t>P_US_ALL_OTHERS</t>
        </is>
      </c>
      <c r="D987" t="inlineStr">
        <is>
          <t>Stat Fcst AR-NNET</t>
        </is>
      </c>
    </row>
    <row r="988">
      <c r="A988" s="1" t="n">
        <v>3616305275776</v>
      </c>
      <c r="B988" t="inlineStr">
        <is>
          <t>GUCCI FLG EDPI PRFM 10ML INTEN P/SPRY IV</t>
        </is>
      </c>
      <c r="C988" t="inlineStr">
        <is>
          <t>P_US_ALL_OTHERS</t>
        </is>
      </c>
      <c r="D988" t="inlineStr">
        <is>
          <t>Stat Fcst Auto ARIMA</t>
        </is>
      </c>
    </row>
    <row r="989">
      <c r="A989" s="1" t="n">
        <v>3616305275776</v>
      </c>
      <c r="B989" t="inlineStr">
        <is>
          <t>GUCCI FLG EDPI PRFM 10ML INTEN P/SPRY IV</t>
        </is>
      </c>
      <c r="C989" t="inlineStr">
        <is>
          <t>P_US_ALL_OTHERS</t>
        </is>
      </c>
      <c r="D989" t="inlineStr">
        <is>
          <t>Stat Fcst Croston</t>
        </is>
      </c>
    </row>
    <row r="990">
      <c r="A990" s="1" t="n">
        <v>3616305275776</v>
      </c>
      <c r="B990" t="inlineStr">
        <is>
          <t>GUCCI FLG EDPI PRFM 10ML INTEN P/SPRY IV</t>
        </is>
      </c>
      <c r="C990" t="inlineStr">
        <is>
          <t>P_US_ALL_OTHERS</t>
        </is>
      </c>
      <c r="D990" t="inlineStr">
        <is>
          <t>Stat Fcst DES</t>
        </is>
      </c>
      <c r="E990" t="n">
        <v>2110.9941403453</v>
      </c>
      <c r="F990" t="n">
        <v>1981.03579527401</v>
      </c>
      <c r="G990" t="n">
        <v>1886.71217933014</v>
      </c>
      <c r="H990" t="n">
        <v>1855.2386982326</v>
      </c>
      <c r="I990" t="n">
        <v>1839.50206135338</v>
      </c>
      <c r="J990" t="n">
        <v>1831.63364012358</v>
      </c>
      <c r="K990" t="n">
        <v>1827.69946377208</v>
      </c>
      <c r="L990" t="n">
        <v>1825.73243000739</v>
      </c>
      <c r="M990" t="n">
        <v>1824.74883150845</v>
      </c>
      <c r="N990" t="n">
        <v>1824.25714101516</v>
      </c>
      <c r="O990" t="n">
        <v>1824.01117344254</v>
      </c>
      <c r="P990" t="n">
        <v>1823.88829837669</v>
      </c>
    </row>
    <row r="991">
      <c r="A991" s="1" t="n">
        <v>3616305275776</v>
      </c>
      <c r="B991" t="inlineStr">
        <is>
          <t>GUCCI FLG EDPI PRFM 10ML INTEN P/SPRY IV</t>
        </is>
      </c>
      <c r="C991" t="inlineStr">
        <is>
          <t>P_US_ALL_OTHERS</t>
        </is>
      </c>
      <c r="D991" t="inlineStr">
        <is>
          <t>Stat Fcst ETS</t>
        </is>
      </c>
    </row>
    <row r="992">
      <c r="A992" s="1" t="n">
        <v>3616305275776</v>
      </c>
      <c r="B992" t="inlineStr">
        <is>
          <t>GUCCI FLG EDPI PRFM 10ML INTEN P/SPRY IV</t>
        </is>
      </c>
      <c r="C992" t="inlineStr">
        <is>
          <t>P_US_ALL_OTHERS</t>
        </is>
      </c>
      <c r="D992" t="inlineStr">
        <is>
          <t>Stat Fcst Moving Average</t>
        </is>
      </c>
      <c r="E992" t="n">
        <v>2137.33326963583</v>
      </c>
      <c r="F992" t="n">
        <v>2031.66656542817</v>
      </c>
      <c r="G992" t="n">
        <v>1727.00001286715</v>
      </c>
      <c r="H992" t="n">
        <v>1716.99994882941</v>
      </c>
      <c r="I992" t="n">
        <v>1726.0000128597</v>
      </c>
      <c r="J992" t="n">
        <v>1723.32994864076</v>
      </c>
      <c r="K992" t="n">
        <v>1722.10994867712</v>
      </c>
      <c r="L992" t="n">
        <v>1723.81</v>
      </c>
      <c r="M992" t="n">
        <v>1723.07994864821</v>
      </c>
      <c r="N992" t="n">
        <v>1723.0000256747</v>
      </c>
      <c r="O992" t="n">
        <v>1723.29994864165</v>
      </c>
      <c r="P992" t="n">
        <v>1723.13001283831</v>
      </c>
    </row>
    <row r="993">
      <c r="A993" s="1" t="n">
        <v>3616305275776</v>
      </c>
      <c r="B993" t="inlineStr">
        <is>
          <t>GUCCI FLG EDPI PRFM 10ML INTEN P/SPRY IV</t>
        </is>
      </c>
      <c r="C993" t="inlineStr">
        <is>
          <t>P_US_ALL_OTHERS</t>
        </is>
      </c>
      <c r="D993" t="inlineStr">
        <is>
          <t>Stat Fcst Naive Random Walk</t>
        </is>
      </c>
    </row>
    <row r="994">
      <c r="A994" s="1" t="n">
        <v>3616305275776</v>
      </c>
      <c r="B994" t="inlineStr">
        <is>
          <t>GUCCI FLG EDPI PRFM 10ML INTEN P/SPRY IV</t>
        </is>
      </c>
      <c r="C994" t="inlineStr">
        <is>
          <t>P_US_ALL_OTHERS</t>
        </is>
      </c>
      <c r="D994" t="inlineStr">
        <is>
          <t>Stat Fcst Prophet</t>
        </is>
      </c>
    </row>
    <row r="995">
      <c r="A995" s="1" t="n">
        <v>3616305275776</v>
      </c>
      <c r="B995" t="inlineStr">
        <is>
          <t>GUCCI FLG EDPI PRFM 10ML INTEN P/SPRY IV</t>
        </is>
      </c>
      <c r="C995" t="inlineStr">
        <is>
          <t>P_US_ALL_OTHERS</t>
        </is>
      </c>
      <c r="D995" t="inlineStr">
        <is>
          <t>Stat Fcst sARIMA</t>
        </is>
      </c>
    </row>
    <row r="996">
      <c r="A996" s="1" t="n">
        <v>3616305275776</v>
      </c>
      <c r="B996" t="inlineStr">
        <is>
          <t>GUCCI FLG EDPI PRFM 10ML INTEN P/SPRY IV</t>
        </is>
      </c>
      <c r="C996" t="inlineStr">
        <is>
          <t>P_US_ALL_OTHERS</t>
        </is>
      </c>
      <c r="D996" t="inlineStr">
        <is>
          <t>Stat Fcst Seasonal Naive YoY</t>
        </is>
      </c>
    </row>
    <row r="997">
      <c r="A997" s="1" t="n">
        <v>3616305275776</v>
      </c>
      <c r="B997" t="inlineStr">
        <is>
          <t>GUCCI FLG EDPI PRFM 10ML INTEN P/SPRY IV</t>
        </is>
      </c>
      <c r="C997" t="inlineStr">
        <is>
          <t>P_US_ALL_OTHERS</t>
        </is>
      </c>
      <c r="D997" t="inlineStr">
        <is>
          <t>Stat Fcst SES</t>
        </is>
      </c>
      <c r="E997" t="n">
        <v>2786.12127160097</v>
      </c>
      <c r="F997" t="n">
        <v>2558.20543293222</v>
      </c>
      <c r="G997" t="n">
        <v>2386.82897128127</v>
      </c>
      <c r="H997" t="n">
        <v>2386.82888236496</v>
      </c>
      <c r="I997" t="n">
        <v>2386.82897128127</v>
      </c>
      <c r="J997" t="n">
        <v>2386.82888236496</v>
      </c>
      <c r="K997" t="n">
        <v>2386.82888236496</v>
      </c>
      <c r="L997" t="n">
        <v>2386.828953498</v>
      </c>
      <c r="M997" t="n">
        <v>2386.82888236496</v>
      </c>
      <c r="N997" t="n">
        <v>2386.82898906453</v>
      </c>
      <c r="O997" t="n">
        <v>2386.82888236496</v>
      </c>
      <c r="P997" t="n">
        <v>2386.82897128127</v>
      </c>
    </row>
    <row r="998">
      <c r="A998" s="1" t="n">
        <v>3616305275776</v>
      </c>
      <c r="B998" t="inlineStr">
        <is>
          <t>GUCCI FLG EDPI PRFM 10ML INTEN P/SPRY IV</t>
        </is>
      </c>
      <c r="C998" t="inlineStr">
        <is>
          <t>P_US_ALL_OTHERS</t>
        </is>
      </c>
      <c r="D998" t="inlineStr">
        <is>
          <t>Stat Fcst STLF</t>
        </is>
      </c>
    </row>
    <row r="999">
      <c r="A999" s="1" t="n">
        <v>3616305275776</v>
      </c>
      <c r="B999" t="inlineStr">
        <is>
          <t>GUCCI FLG EDPI PRFM 10ML INTEN P/SPRY IV</t>
        </is>
      </c>
      <c r="C999" t="inlineStr">
        <is>
          <t>P_US_ALL_OTHERS</t>
        </is>
      </c>
      <c r="D999" t="inlineStr">
        <is>
          <t>Stat Fcst TBATS</t>
        </is>
      </c>
    </row>
    <row r="1000">
      <c r="A1000" s="1" t="n">
        <v>3616305275776</v>
      </c>
      <c r="B1000" t="inlineStr">
        <is>
          <t>GUCCI FLG EDPI PRFM 10ML INTEN P/SPRY IV</t>
        </is>
      </c>
      <c r="C1000" t="inlineStr">
        <is>
          <t>P_US_ALL_OTHERS</t>
        </is>
      </c>
      <c r="D1000" t="inlineStr">
        <is>
          <t>Stat Fcst TES</t>
        </is>
      </c>
    </row>
    <row r="1001">
      <c r="A1001" s="1" t="n">
        <v>3616305275776</v>
      </c>
      <c r="B1001" t="inlineStr">
        <is>
          <t>GUCCI FLG EDPI PRFM 10ML INTEN P/SPRY IV</t>
        </is>
      </c>
      <c r="C1001" t="inlineStr">
        <is>
          <t>P_US_ALL_OTHERS</t>
        </is>
      </c>
      <c r="D1001" t="inlineStr">
        <is>
          <t>Stat Fcst Theta</t>
        </is>
      </c>
    </row>
    <row r="1002">
      <c r="A1002" s="1" t="n">
        <v>3616305275776</v>
      </c>
      <c r="B1002" t="inlineStr">
        <is>
          <t>GUCCI FLG EDPI PRFM 10ML INTEN P/SPRY IV</t>
        </is>
      </c>
      <c r="C1002" t="inlineStr">
        <is>
          <t>P_US_ALL_OTHERS</t>
        </is>
      </c>
      <c r="D1002" t="inlineStr">
        <is>
          <t>System ML Fcst L1</t>
        </is>
      </c>
    </row>
    <row r="1003">
      <c r="A1003" s="1" t="n">
        <v>3616305275776</v>
      </c>
      <c r="B1003" t="inlineStr">
        <is>
          <t>GUCCI FLG EDPI PRFM 10ML INTEN P/SPRY IV</t>
        </is>
      </c>
      <c r="C1003" t="inlineStr">
        <is>
          <t>P_US_ALL_OTHERS</t>
        </is>
      </c>
      <c r="D1003" t="inlineStr">
        <is>
          <t>Stat Fcst Simple Snaive</t>
        </is>
      </c>
    </row>
    <row r="1004">
      <c r="A1004" s="1" t="n">
        <v>3616305275776</v>
      </c>
      <c r="B1004" t="inlineStr">
        <is>
          <t>GUCCI FLG EDPI PRFM 10ML INTEN P/SPRY IV</t>
        </is>
      </c>
      <c r="C1004" t="inlineStr">
        <is>
          <t>P_US_ALL_OTHERS</t>
        </is>
      </c>
      <c r="D1004" t="inlineStr">
        <is>
          <t>Stat Fcst Simple AOA</t>
        </is>
      </c>
    </row>
    <row r="1005">
      <c r="A1005" s="1" t="n">
        <v>3616305275776</v>
      </c>
      <c r="B1005" t="inlineStr">
        <is>
          <t>GUCCI FLG EDPI PRFM 10ML INTEN P/SPRY IV</t>
        </is>
      </c>
      <c r="C1005" t="inlineStr">
        <is>
          <t>P_US_ALL_OTHERS</t>
        </is>
      </c>
      <c r="D1005" t="inlineStr">
        <is>
          <t>Stat Fcst Weighted Snaive</t>
        </is>
      </c>
    </row>
    <row r="1006">
      <c r="A1006" s="1" t="n">
        <v>3616305275776</v>
      </c>
      <c r="B1006" t="inlineStr">
        <is>
          <t>GUCCI FLG EDPI PRFM 10ML INTEN P/SPRY IV</t>
        </is>
      </c>
      <c r="C1006" t="inlineStr">
        <is>
          <t>P_US_ALL_OTHERS</t>
        </is>
      </c>
      <c r="D1006" t="inlineStr">
        <is>
          <t>Stat Fcst Weighted AOA</t>
        </is>
      </c>
    </row>
    <row r="1007">
      <c r="A1007" s="1" t="n">
        <v>3616305275776</v>
      </c>
      <c r="B1007" t="inlineStr">
        <is>
          <t>GUCCI FLG EDPI PRFM 10ML INTEN P/SPRY IV</t>
        </is>
      </c>
      <c r="C1007" t="inlineStr">
        <is>
          <t>P_US_ALL_OTHERS</t>
        </is>
      </c>
      <c r="D1007" t="inlineStr">
        <is>
          <t>Stat Fcst Growth Snaive</t>
        </is>
      </c>
    </row>
    <row r="1008">
      <c r="A1008" s="1" t="n">
        <v>3616305275776</v>
      </c>
      <c r="B1008" t="inlineStr">
        <is>
          <t>GUCCI FLG EDPI PRFM 10ML INTEN P/SPRY IV</t>
        </is>
      </c>
      <c r="C1008" t="inlineStr">
        <is>
          <t>P_US_ALL_OTHERS</t>
        </is>
      </c>
      <c r="D1008" t="inlineStr">
        <is>
          <t>Stat Fcst Growth AOA</t>
        </is>
      </c>
    </row>
    <row r="1009">
      <c r="A1009" s="1" t="n">
        <v>3616305275776</v>
      </c>
      <c r="B1009" t="inlineStr">
        <is>
          <t>GUCCI FLG EDPI PRFM 10ML INTEN P/SPRY IV</t>
        </is>
      </c>
      <c r="C1009" t="inlineStr">
        <is>
          <t>P_US_ALL_OTHERS</t>
        </is>
      </c>
      <c r="D1009" t="inlineStr">
        <is>
          <t>System Stat Fcst Bestfit</t>
        </is>
      </c>
      <c r="H1009" t="n">
        <v>1716.99994882941</v>
      </c>
      <c r="I1009" t="n">
        <v>1726.0000128597</v>
      </c>
      <c r="J1009" t="n">
        <v>1723.32990469545</v>
      </c>
      <c r="K1009" t="n">
        <v>1722.10981195837</v>
      </c>
      <c r="L1009" t="n">
        <v>1723.81005859375</v>
      </c>
      <c r="M1009" t="n">
        <v>1723.0799047029</v>
      </c>
      <c r="N1009" t="n">
        <v>1723.0000256747</v>
      </c>
      <c r="O1009" t="n">
        <v>1723.29987539947</v>
      </c>
      <c r="P1009" t="n">
        <v>1723.13001772113</v>
      </c>
    </row>
    <row r="1010">
      <c r="A1010" s="1" t="n">
        <v>3616305275776</v>
      </c>
      <c r="B1010" t="inlineStr">
        <is>
          <t>GUCCI FLG EDPI PRFM 10ML INTEN P/SPRY IV</t>
        </is>
      </c>
      <c r="C1010" t="inlineStr">
        <is>
          <t>P_US_ULTA</t>
        </is>
      </c>
      <c r="D1010" t="inlineStr">
        <is>
          <t>Stat Fcst L1</t>
        </is>
      </c>
      <c r="E1010" t="n">
        <v>500.999985069036</v>
      </c>
      <c r="F1010" t="n">
        <v>1301.41931676864</v>
      </c>
      <c r="G1010" t="n">
        <v>579</v>
      </c>
      <c r="H1010" t="n">
        <v>885</v>
      </c>
      <c r="I1010" t="n">
        <v>1012</v>
      </c>
      <c r="J1010" t="n">
        <v>908</v>
      </c>
      <c r="K1010" t="n">
        <v>934</v>
      </c>
      <c r="L1010" t="n">
        <v>952</v>
      </c>
      <c r="M1010" t="n">
        <v>930</v>
      </c>
      <c r="N1010" t="n">
        <v>939</v>
      </c>
      <c r="O1010" t="n">
        <v>939</v>
      </c>
      <c r="P1010" t="n">
        <v>938</v>
      </c>
    </row>
    <row r="1011">
      <c r="A1011" s="1" t="n">
        <v>3616305275776</v>
      </c>
      <c r="B1011" t="inlineStr">
        <is>
          <t>GUCCI FLG EDPI PRFM 10ML INTEN P/SPRY IV</t>
        </is>
      </c>
      <c r="C1011" t="inlineStr">
        <is>
          <t>P_US_ULTA</t>
        </is>
      </c>
      <c r="D1011" t="inlineStr">
        <is>
          <t>Stat Fcst AR-NNET</t>
        </is>
      </c>
    </row>
    <row r="1012">
      <c r="A1012" s="1" t="n">
        <v>3616305275776</v>
      </c>
      <c r="B1012" t="inlineStr">
        <is>
          <t>GUCCI FLG EDPI PRFM 10ML INTEN P/SPRY IV</t>
        </is>
      </c>
      <c r="C1012" t="inlineStr">
        <is>
          <t>P_US_ULTA</t>
        </is>
      </c>
      <c r="D1012" t="inlineStr">
        <is>
          <t>Stat Fcst Auto ARIMA</t>
        </is>
      </c>
    </row>
    <row r="1013">
      <c r="A1013" s="1" t="n">
        <v>3616305275776</v>
      </c>
      <c r="B1013" t="inlineStr">
        <is>
          <t>GUCCI FLG EDPI PRFM 10ML INTEN P/SPRY IV</t>
        </is>
      </c>
      <c r="C1013" t="inlineStr">
        <is>
          <t>P_US_ULTA</t>
        </is>
      </c>
      <c r="D1013" t="inlineStr">
        <is>
          <t>Stat Fcst Croston</t>
        </is>
      </c>
    </row>
    <row r="1014">
      <c r="A1014" s="1" t="n">
        <v>3616305275776</v>
      </c>
      <c r="B1014" t="inlineStr">
        <is>
          <t>GUCCI FLG EDPI PRFM 10ML INTEN P/SPRY IV</t>
        </is>
      </c>
      <c r="C1014" t="inlineStr">
        <is>
          <t>P_US_ULTA</t>
        </is>
      </c>
      <c r="D1014" t="inlineStr">
        <is>
          <t>Stat Fcst DES</t>
        </is>
      </c>
    </row>
    <row r="1015">
      <c r="A1015" s="1" t="n">
        <v>3616305275776</v>
      </c>
      <c r="B1015" t="inlineStr">
        <is>
          <t>GUCCI FLG EDPI PRFM 10ML INTEN P/SPRY IV</t>
        </is>
      </c>
      <c r="C1015" t="inlineStr">
        <is>
          <t>P_US_ULTA</t>
        </is>
      </c>
      <c r="D1015" t="inlineStr">
        <is>
          <t>Stat Fcst ETS</t>
        </is>
      </c>
    </row>
    <row r="1016">
      <c r="A1016" s="1" t="n">
        <v>3616305275776</v>
      </c>
      <c r="B1016" t="inlineStr">
        <is>
          <t>GUCCI FLG EDPI PRFM 10ML INTEN P/SPRY IV</t>
        </is>
      </c>
      <c r="C1016" t="inlineStr">
        <is>
          <t>P_US_ULTA</t>
        </is>
      </c>
      <c r="D1016" t="inlineStr">
        <is>
          <t>Stat Fcst Moving Average</t>
        </is>
      </c>
      <c r="E1016" t="n">
        <v>393.999978085359</v>
      </c>
      <c r="F1016" t="n">
        <v>560.999973108371</v>
      </c>
      <c r="G1016" t="n">
        <v>831.000006191432</v>
      </c>
      <c r="H1016" t="n">
        <v>883.999973654747</v>
      </c>
      <c r="I1016" t="n">
        <v>1011.67000753752</v>
      </c>
      <c r="J1016" t="n">
        <v>908.889972912967</v>
      </c>
      <c r="K1016" t="n">
        <v>934.849972139299</v>
      </c>
      <c r="L1016" t="n">
        <v>951.8</v>
      </c>
      <c r="M1016" t="n">
        <v>931.849972228705</v>
      </c>
      <c r="N1016" t="n">
        <v>939.50001399964</v>
      </c>
      <c r="O1016" t="n">
        <v>941.049971954524</v>
      </c>
      <c r="P1016" t="n">
        <v>937.470006984695</v>
      </c>
    </row>
    <row r="1017">
      <c r="A1017" s="1" t="n">
        <v>3616305275776</v>
      </c>
      <c r="B1017" t="inlineStr">
        <is>
          <t>GUCCI FLG EDPI PRFM 10ML INTEN P/SPRY IV</t>
        </is>
      </c>
      <c r="C1017" t="inlineStr">
        <is>
          <t>P_US_ULTA</t>
        </is>
      </c>
      <c r="D1017" t="inlineStr">
        <is>
          <t>Stat Fcst Naive Random Walk</t>
        </is>
      </c>
    </row>
    <row r="1018">
      <c r="A1018" s="1" t="n">
        <v>3616305275776</v>
      </c>
      <c r="B1018" t="inlineStr">
        <is>
          <t>GUCCI FLG EDPI PRFM 10ML INTEN P/SPRY IV</t>
        </is>
      </c>
      <c r="C1018" t="inlineStr">
        <is>
          <t>P_US_ULTA</t>
        </is>
      </c>
      <c r="D1018" t="inlineStr">
        <is>
          <t>Stat Fcst Prophet</t>
        </is>
      </c>
    </row>
    <row r="1019">
      <c r="A1019" s="1" t="n">
        <v>3616305275776</v>
      </c>
      <c r="B1019" t="inlineStr">
        <is>
          <t>GUCCI FLG EDPI PRFM 10ML INTEN P/SPRY IV</t>
        </is>
      </c>
      <c r="C1019" t="inlineStr">
        <is>
          <t>P_US_ULTA</t>
        </is>
      </c>
      <c r="D1019" t="inlineStr">
        <is>
          <t>Stat Fcst sARIMA</t>
        </is>
      </c>
    </row>
    <row r="1020">
      <c r="A1020" s="1" t="n">
        <v>3616305275776</v>
      </c>
      <c r="B1020" t="inlineStr">
        <is>
          <t>GUCCI FLG EDPI PRFM 10ML INTEN P/SPRY IV</t>
        </is>
      </c>
      <c r="C1020" t="inlineStr">
        <is>
          <t>P_US_ULTA</t>
        </is>
      </c>
      <c r="D1020" t="inlineStr">
        <is>
          <t>Stat Fcst Seasonal Naive YoY</t>
        </is>
      </c>
    </row>
    <row r="1021">
      <c r="A1021" s="1" t="n">
        <v>3616305275776</v>
      </c>
      <c r="B1021" t="inlineStr">
        <is>
          <t>GUCCI FLG EDPI PRFM 10ML INTEN P/SPRY IV</t>
        </is>
      </c>
      <c r="C1021" t="inlineStr">
        <is>
          <t>P_US_ULTA</t>
        </is>
      </c>
      <c r="D1021" t="inlineStr">
        <is>
          <t>Stat Fcst SES</t>
        </is>
      </c>
      <c r="E1021" t="n">
        <v>638.280403565285</v>
      </c>
      <c r="F1021" t="n">
        <v>603.281252612036</v>
      </c>
      <c r="G1021" t="n">
        <v>786.006149203287</v>
      </c>
      <c r="H1021" t="n">
        <v>786.006119922276</v>
      </c>
      <c r="I1021" t="n">
        <v>786.006149203287</v>
      </c>
      <c r="J1021" t="n">
        <v>786.006119922276</v>
      </c>
      <c r="K1021" t="n">
        <v>786.006119922276</v>
      </c>
      <c r="L1021" t="n">
        <v>786.006143347085</v>
      </c>
      <c r="M1021" t="n">
        <v>786.006119922276</v>
      </c>
      <c r="N1021" t="n">
        <v>786.0061550594889</v>
      </c>
      <c r="O1021" t="n">
        <v>786.006119922276</v>
      </c>
      <c r="P1021" t="n">
        <v>786.006149203287</v>
      </c>
    </row>
    <row r="1022">
      <c r="A1022" s="1" t="n">
        <v>3616305275776</v>
      </c>
      <c r="B1022" t="inlineStr">
        <is>
          <t>GUCCI FLG EDPI PRFM 10ML INTEN P/SPRY IV</t>
        </is>
      </c>
      <c r="C1022" t="inlineStr">
        <is>
          <t>P_US_ULTA</t>
        </is>
      </c>
      <c r="D1022" t="inlineStr">
        <is>
          <t>Stat Fcst STLF</t>
        </is>
      </c>
    </row>
    <row r="1023">
      <c r="A1023" s="1" t="n">
        <v>3616305275776</v>
      </c>
      <c r="B1023" t="inlineStr">
        <is>
          <t>GUCCI FLG EDPI PRFM 10ML INTEN P/SPRY IV</t>
        </is>
      </c>
      <c r="C1023" t="inlineStr">
        <is>
          <t>P_US_ULTA</t>
        </is>
      </c>
      <c r="D1023" t="inlineStr">
        <is>
          <t>Stat Fcst TBATS</t>
        </is>
      </c>
    </row>
    <row r="1024">
      <c r="A1024" s="1" t="n">
        <v>3616305275776</v>
      </c>
      <c r="B1024" t="inlineStr">
        <is>
          <t>GUCCI FLG EDPI PRFM 10ML INTEN P/SPRY IV</t>
        </is>
      </c>
      <c r="C1024" t="inlineStr">
        <is>
          <t>P_US_ULTA</t>
        </is>
      </c>
      <c r="D1024" t="inlineStr">
        <is>
          <t>Stat Fcst TES</t>
        </is>
      </c>
    </row>
    <row r="1025">
      <c r="A1025" s="1" t="n">
        <v>3616305275776</v>
      </c>
      <c r="B1025" t="inlineStr">
        <is>
          <t>GUCCI FLG EDPI PRFM 10ML INTEN P/SPRY IV</t>
        </is>
      </c>
      <c r="C1025" t="inlineStr">
        <is>
          <t>P_US_ULTA</t>
        </is>
      </c>
      <c r="D1025" t="inlineStr">
        <is>
          <t>Stat Fcst Theta</t>
        </is>
      </c>
    </row>
    <row r="1026">
      <c r="A1026" s="1" t="n">
        <v>3616305275776</v>
      </c>
      <c r="B1026" t="inlineStr">
        <is>
          <t>GUCCI FLG EDPI PRFM 10ML INTEN P/SPRY IV</t>
        </is>
      </c>
      <c r="C1026" t="inlineStr">
        <is>
          <t>P_US_ULTA</t>
        </is>
      </c>
      <c r="D1026" t="inlineStr">
        <is>
          <t>System ML Fcst L1</t>
        </is>
      </c>
    </row>
    <row r="1027">
      <c r="A1027" s="1" t="n">
        <v>3616305275776</v>
      </c>
      <c r="B1027" t="inlineStr">
        <is>
          <t>GUCCI FLG EDPI PRFM 10ML INTEN P/SPRY IV</t>
        </is>
      </c>
      <c r="C1027" t="inlineStr">
        <is>
          <t>P_US_ULTA</t>
        </is>
      </c>
      <c r="D1027" t="inlineStr">
        <is>
          <t>Stat Fcst Simple Snaive</t>
        </is>
      </c>
    </row>
    <row r="1028">
      <c r="A1028" s="1" t="n">
        <v>3616305275776</v>
      </c>
      <c r="B1028" t="inlineStr">
        <is>
          <t>GUCCI FLG EDPI PRFM 10ML INTEN P/SPRY IV</t>
        </is>
      </c>
      <c r="C1028" t="inlineStr">
        <is>
          <t>P_US_ULTA</t>
        </is>
      </c>
      <c r="D1028" t="inlineStr">
        <is>
          <t>Stat Fcst Simple AOA</t>
        </is>
      </c>
    </row>
    <row r="1029">
      <c r="A1029" s="1" t="n">
        <v>3616305275776</v>
      </c>
      <c r="B1029" t="inlineStr">
        <is>
          <t>GUCCI FLG EDPI PRFM 10ML INTEN P/SPRY IV</t>
        </is>
      </c>
      <c r="C1029" t="inlineStr">
        <is>
          <t>P_US_ULTA</t>
        </is>
      </c>
      <c r="D1029" t="inlineStr">
        <is>
          <t>Stat Fcst Weighted Snaive</t>
        </is>
      </c>
    </row>
    <row r="1030">
      <c r="A1030" s="1" t="n">
        <v>3616305275776</v>
      </c>
      <c r="B1030" t="inlineStr">
        <is>
          <t>GUCCI FLG EDPI PRFM 10ML INTEN P/SPRY IV</t>
        </is>
      </c>
      <c r="C1030" t="inlineStr">
        <is>
          <t>P_US_ULTA</t>
        </is>
      </c>
      <c r="D1030" t="inlineStr">
        <is>
          <t>Stat Fcst Weighted AOA</t>
        </is>
      </c>
    </row>
    <row r="1031">
      <c r="A1031" s="1" t="n">
        <v>3616305275776</v>
      </c>
      <c r="B1031" t="inlineStr">
        <is>
          <t>GUCCI FLG EDPI PRFM 10ML INTEN P/SPRY IV</t>
        </is>
      </c>
      <c r="C1031" t="inlineStr">
        <is>
          <t>P_US_ULTA</t>
        </is>
      </c>
      <c r="D1031" t="inlineStr">
        <is>
          <t>Stat Fcst Growth Snaive</t>
        </is>
      </c>
    </row>
    <row r="1032">
      <c r="A1032" s="1" t="n">
        <v>3616305275776</v>
      </c>
      <c r="B1032" t="inlineStr">
        <is>
          <t>GUCCI FLG EDPI PRFM 10ML INTEN P/SPRY IV</t>
        </is>
      </c>
      <c r="C1032" t="inlineStr">
        <is>
          <t>P_US_ULTA</t>
        </is>
      </c>
      <c r="D1032" t="inlineStr">
        <is>
          <t>Stat Fcst Growth AOA</t>
        </is>
      </c>
    </row>
    <row r="1033">
      <c r="A1033" s="1" t="n">
        <v>3616305275776</v>
      </c>
      <c r="B1033" t="inlineStr">
        <is>
          <t>GUCCI FLG EDPI PRFM 10ML INTEN P/SPRY IV</t>
        </is>
      </c>
      <c r="C1033" t="inlineStr">
        <is>
          <t>P_US_ULTA</t>
        </is>
      </c>
      <c r="D1033" t="inlineStr">
        <is>
          <t>System Stat Fcst Bestfit</t>
        </is>
      </c>
      <c r="H1033" t="n">
        <v>883.999973654747</v>
      </c>
      <c r="I1033" t="n">
        <v>1011.67005148284</v>
      </c>
      <c r="J1033" t="n">
        <v>908.889926526249</v>
      </c>
      <c r="K1033" t="n">
        <v>934.849947725237</v>
      </c>
      <c r="L1033" t="n">
        <v>951.799987792968</v>
      </c>
      <c r="M1033" t="n">
        <v>931.849947814644</v>
      </c>
      <c r="N1033" t="n">
        <v>939.50001399964</v>
      </c>
      <c r="O1033" t="n">
        <v>941.049898712339</v>
      </c>
      <c r="P1033" t="n">
        <v>937.46997768782</v>
      </c>
    </row>
    <row r="1034">
      <c r="A1034" s="1" t="n">
        <v>3616305820846</v>
      </c>
      <c r="B1034" t="inlineStr">
        <is>
          <t>GUCCI G BLK H RG EDT 90 ML ESSENCE IV</t>
        </is>
      </c>
      <c r="C1034" t="inlineStr">
        <is>
          <t>P_US_ALL_OTHERS</t>
        </is>
      </c>
      <c r="D1034" t="inlineStr">
        <is>
          <t>Stat Fcst L1</t>
        </is>
      </c>
      <c r="E1034" t="n">
        <v>4756.99985823035</v>
      </c>
      <c r="F1034" t="n">
        <v>3000.99991056323</v>
      </c>
      <c r="G1034" t="n">
        <v>3222</v>
      </c>
      <c r="H1034" t="n">
        <v>2170</v>
      </c>
      <c r="I1034" t="n">
        <v>1856</v>
      </c>
      <c r="J1034" t="n">
        <v>4225</v>
      </c>
      <c r="K1034" t="n">
        <v>1085</v>
      </c>
      <c r="L1034" t="n">
        <v>724</v>
      </c>
      <c r="M1034" t="n">
        <v>2905</v>
      </c>
      <c r="N1034" t="n">
        <v>1375</v>
      </c>
      <c r="O1034" t="n">
        <v>1776</v>
      </c>
      <c r="P1034" t="n">
        <v>3549</v>
      </c>
    </row>
    <row r="1035">
      <c r="A1035" s="1" t="n">
        <v>3616305820846</v>
      </c>
      <c r="B1035" t="inlineStr">
        <is>
          <t>GUCCI G BLK H RG EDT 90 ML ESSENCE IV</t>
        </is>
      </c>
      <c r="C1035" t="inlineStr">
        <is>
          <t>P_US_ALL_OTHERS</t>
        </is>
      </c>
      <c r="D1035" t="inlineStr">
        <is>
          <t>Stat Fcst AR-NNET</t>
        </is>
      </c>
    </row>
    <row r="1036">
      <c r="A1036" s="1" t="n">
        <v>3616305820846</v>
      </c>
      <c r="B1036" t="inlineStr">
        <is>
          <t>GUCCI G BLK H RG EDT 90 ML ESSENCE IV</t>
        </is>
      </c>
      <c r="C1036" t="inlineStr">
        <is>
          <t>P_US_ALL_OTHERS</t>
        </is>
      </c>
      <c r="D1036" t="inlineStr">
        <is>
          <t>Stat Fcst Auto ARIMA</t>
        </is>
      </c>
    </row>
    <row r="1037">
      <c r="A1037" s="1" t="n">
        <v>3616305820846</v>
      </c>
      <c r="B1037" t="inlineStr">
        <is>
          <t>GUCCI G BLK H RG EDT 90 ML ESSENCE IV</t>
        </is>
      </c>
      <c r="C1037" t="inlineStr">
        <is>
          <t>P_US_ALL_OTHERS</t>
        </is>
      </c>
      <c r="D1037" t="inlineStr">
        <is>
          <t>Stat Fcst Croston</t>
        </is>
      </c>
    </row>
    <row r="1038">
      <c r="A1038" s="1" t="n">
        <v>3616305820846</v>
      </c>
      <c r="B1038" t="inlineStr">
        <is>
          <t>GUCCI G BLK H RG EDT 90 ML ESSENCE IV</t>
        </is>
      </c>
      <c r="C1038" t="inlineStr">
        <is>
          <t>P_US_ALL_OTHERS</t>
        </is>
      </c>
      <c r="D1038" t="inlineStr">
        <is>
          <t>Stat Fcst DES</t>
        </is>
      </c>
    </row>
    <row r="1039">
      <c r="A1039" s="1" t="n">
        <v>3616305820846</v>
      </c>
      <c r="B1039" t="inlineStr">
        <is>
          <t>GUCCI G BLK H RG EDT 90 ML ESSENCE IV</t>
        </is>
      </c>
      <c r="C1039" t="inlineStr">
        <is>
          <t>P_US_ALL_OTHERS</t>
        </is>
      </c>
      <c r="D1039" t="inlineStr">
        <is>
          <t>Stat Fcst ETS</t>
        </is>
      </c>
    </row>
    <row r="1040">
      <c r="A1040" s="1" t="n">
        <v>3616305820846</v>
      </c>
      <c r="B1040" t="inlineStr">
        <is>
          <t>GUCCI G BLK H RG EDT 90 ML ESSENCE IV</t>
        </is>
      </c>
      <c r="C1040" t="inlineStr">
        <is>
          <t>P_US_ALL_OTHERS</t>
        </is>
      </c>
      <c r="D1040" t="inlineStr">
        <is>
          <t>Stat Fcst Moving Average</t>
        </is>
      </c>
    </row>
    <row r="1041">
      <c r="A1041" s="1" t="n">
        <v>3616305820846</v>
      </c>
      <c r="B1041" t="inlineStr">
        <is>
          <t>GUCCI G BLK H RG EDT 90 ML ESSENCE IV</t>
        </is>
      </c>
      <c r="C1041" t="inlineStr">
        <is>
          <t>P_US_ALL_OTHERS</t>
        </is>
      </c>
      <c r="D1041" t="inlineStr">
        <is>
          <t>Stat Fcst Naive Random Walk</t>
        </is>
      </c>
    </row>
    <row r="1042">
      <c r="A1042" s="1" t="n">
        <v>3616305820846</v>
      </c>
      <c r="B1042" t="inlineStr">
        <is>
          <t>GUCCI G BLK H RG EDT 90 ML ESSENCE IV</t>
        </is>
      </c>
      <c r="C1042" t="inlineStr">
        <is>
          <t>P_US_ALL_OTHERS</t>
        </is>
      </c>
      <c r="D1042" t="inlineStr">
        <is>
          <t>Stat Fcst Prophet</t>
        </is>
      </c>
    </row>
    <row r="1043">
      <c r="A1043" s="1" t="n">
        <v>3616305820846</v>
      </c>
      <c r="B1043" t="inlineStr">
        <is>
          <t>GUCCI G BLK H RG EDT 90 ML ESSENCE IV</t>
        </is>
      </c>
      <c r="C1043" t="inlineStr">
        <is>
          <t>P_US_ALL_OTHERS</t>
        </is>
      </c>
      <c r="D1043" t="inlineStr">
        <is>
          <t>Stat Fcst sARIMA</t>
        </is>
      </c>
    </row>
    <row r="1044">
      <c r="A1044" s="1" t="n">
        <v>3616305820846</v>
      </c>
      <c r="B1044" t="inlineStr">
        <is>
          <t>GUCCI G BLK H RG EDT 90 ML ESSENCE IV</t>
        </is>
      </c>
      <c r="C1044" t="inlineStr">
        <is>
          <t>P_US_ALL_OTHERS</t>
        </is>
      </c>
      <c r="D1044" t="inlineStr">
        <is>
          <t>Stat Fcst Seasonal Naive YoY</t>
        </is>
      </c>
    </row>
    <row r="1045">
      <c r="A1045" s="1" t="n">
        <v>3616305820846</v>
      </c>
      <c r="B1045" t="inlineStr">
        <is>
          <t>GUCCI G BLK H RG EDT 90 ML ESSENCE IV</t>
        </is>
      </c>
      <c r="C1045" t="inlineStr">
        <is>
          <t>P_US_ALL_OTHERS</t>
        </is>
      </c>
      <c r="D1045" t="inlineStr">
        <is>
          <t>Stat Fcst SES</t>
        </is>
      </c>
    </row>
    <row r="1046">
      <c r="A1046" s="1" t="n">
        <v>3616305820846</v>
      </c>
      <c r="B1046" t="inlineStr">
        <is>
          <t>GUCCI G BLK H RG EDT 90 ML ESSENCE IV</t>
        </is>
      </c>
      <c r="C1046" t="inlineStr">
        <is>
          <t>P_US_ALL_OTHERS</t>
        </is>
      </c>
      <c r="D1046" t="inlineStr">
        <is>
          <t>Stat Fcst STLF</t>
        </is>
      </c>
      <c r="E1046" t="n">
        <v>708.999978870153</v>
      </c>
      <c r="F1046" t="n">
        <v>6430.18564744167</v>
      </c>
      <c r="G1046" t="n">
        <v>3706.05594622834</v>
      </c>
      <c r="H1046" t="n">
        <v>2168.92227517984</v>
      </c>
      <c r="I1046" t="n">
        <v>1856.30580547521</v>
      </c>
      <c r="J1046" t="n">
        <v>4223.78998178447</v>
      </c>
      <c r="K1046" t="n">
        <v>1084.24041246787</v>
      </c>
      <c r="L1046" t="n">
        <v>722.408753462504</v>
      </c>
      <c r="M1046" t="n">
        <v>2904.26617762092</v>
      </c>
      <c r="N1046" t="n">
        <v>1374.08414521529</v>
      </c>
      <c r="O1046" t="n">
        <v>1777.31140433277</v>
      </c>
      <c r="P1046" t="n">
        <v>3548.21563220531</v>
      </c>
    </row>
    <row r="1047">
      <c r="A1047" s="1" t="n">
        <v>3616305820846</v>
      </c>
      <c r="B1047" t="inlineStr">
        <is>
          <t>GUCCI G BLK H RG EDT 90 ML ESSENCE IV</t>
        </is>
      </c>
      <c r="C1047" t="inlineStr">
        <is>
          <t>P_US_ALL_OTHERS</t>
        </is>
      </c>
      <c r="D1047" t="inlineStr">
        <is>
          <t>Stat Fcst TBATS</t>
        </is>
      </c>
    </row>
    <row r="1048">
      <c r="A1048" s="1" t="n">
        <v>3616305820846</v>
      </c>
      <c r="B1048" t="inlineStr">
        <is>
          <t>GUCCI G BLK H RG EDT 90 ML ESSENCE IV</t>
        </is>
      </c>
      <c r="C1048" t="inlineStr">
        <is>
          <t>P_US_ALL_OTHERS</t>
        </is>
      </c>
      <c r="D1048" t="inlineStr">
        <is>
          <t>Stat Fcst TES</t>
        </is>
      </c>
      <c r="E1048" t="n">
        <v>2185.40475223809</v>
      </c>
      <c r="F1048" t="n">
        <v>3327.83433265069</v>
      </c>
      <c r="G1048" t="n">
        <v>1094.38006805139</v>
      </c>
      <c r="H1048" t="n">
        <v>4818.23681373834</v>
      </c>
      <c r="I1048" t="n">
        <v>6320.33317755675</v>
      </c>
      <c r="J1048" t="n">
        <v>708.999978870153</v>
      </c>
      <c r="K1048" t="n">
        <v>708.999978870153</v>
      </c>
      <c r="L1048" t="n">
        <v>709</v>
      </c>
      <c r="M1048" t="n">
        <v>708.999978870153</v>
      </c>
      <c r="N1048" t="n">
        <v>709.0000105649229</v>
      </c>
      <c r="O1048" t="n">
        <v>708.999978870153</v>
      </c>
      <c r="P1048" t="n">
        <v>4196.49990886727</v>
      </c>
    </row>
    <row r="1049">
      <c r="A1049" s="1" t="n">
        <v>3616305820846</v>
      </c>
      <c r="B1049" t="inlineStr">
        <is>
          <t>GUCCI G BLK H RG EDT 90 ML ESSENCE IV</t>
        </is>
      </c>
      <c r="C1049" t="inlineStr">
        <is>
          <t>P_US_ALL_OTHERS</t>
        </is>
      </c>
      <c r="D1049" t="inlineStr">
        <is>
          <t>Stat Fcst Theta</t>
        </is>
      </c>
    </row>
    <row r="1050">
      <c r="A1050" s="1" t="n">
        <v>3616305820846</v>
      </c>
      <c r="B1050" t="inlineStr">
        <is>
          <t>GUCCI G BLK H RG EDT 90 ML ESSENCE IV</t>
        </is>
      </c>
      <c r="C1050" t="inlineStr">
        <is>
          <t>P_US_ALL_OTHERS</t>
        </is>
      </c>
      <c r="D1050" t="inlineStr">
        <is>
          <t>System ML Fcst L1</t>
        </is>
      </c>
    </row>
    <row r="1051">
      <c r="A1051" s="1" t="n">
        <v>3616305820846</v>
      </c>
      <c r="B1051" t="inlineStr">
        <is>
          <t>GUCCI G BLK H RG EDT 90 ML ESSENCE IV</t>
        </is>
      </c>
      <c r="C1051" t="inlineStr">
        <is>
          <t>P_US_ALL_OTHERS</t>
        </is>
      </c>
      <c r="D1051" t="inlineStr">
        <is>
          <t>Stat Fcst Simple Snaive</t>
        </is>
      </c>
      <c r="E1051" t="n">
        <v>9354.528041525829</v>
      </c>
      <c r="F1051" t="n">
        <v>4117.99987727403</v>
      </c>
      <c r="G1051" t="n">
        <v>6851.33354714016</v>
      </c>
      <c r="H1051" t="n">
        <v>7694.6853175555</v>
      </c>
      <c r="I1051" t="n">
        <v>10048.6856217435</v>
      </c>
      <c r="J1051" t="n">
        <v>4839.66652243336</v>
      </c>
      <c r="K1051" t="n">
        <v>4106.33321095506</v>
      </c>
      <c r="L1051" t="n">
        <v>3521.33317057291</v>
      </c>
      <c r="M1051" t="n">
        <v>5171.66643115878</v>
      </c>
      <c r="N1051" t="n">
        <v>1750.00002607703</v>
      </c>
      <c r="O1051" t="n">
        <v>2701.66658615072</v>
      </c>
      <c r="P1051" t="n">
        <v>8352.333395563061</v>
      </c>
    </row>
    <row r="1052">
      <c r="A1052" s="1" t="n">
        <v>3616305820846</v>
      </c>
      <c r="B1052" t="inlineStr">
        <is>
          <t>GUCCI G BLK H RG EDT 90 ML ESSENCE IV</t>
        </is>
      </c>
      <c r="C1052" t="inlineStr">
        <is>
          <t>P_US_ALL_OTHERS</t>
        </is>
      </c>
      <c r="D1052" t="inlineStr">
        <is>
          <t>Stat Fcst Simple AOA</t>
        </is>
      </c>
    </row>
    <row r="1053">
      <c r="A1053" s="1" t="n">
        <v>3616305820846</v>
      </c>
      <c r="B1053" t="inlineStr">
        <is>
          <t>GUCCI G BLK H RG EDT 90 ML ESSENCE IV</t>
        </is>
      </c>
      <c r="C1053" t="inlineStr">
        <is>
          <t>P_US_ALL_OTHERS</t>
        </is>
      </c>
      <c r="D1053" t="inlineStr">
        <is>
          <t>Stat Fcst Weighted Snaive</t>
        </is>
      </c>
    </row>
    <row r="1054">
      <c r="A1054" s="1" t="n">
        <v>3616305820846</v>
      </c>
      <c r="B1054" t="inlineStr">
        <is>
          <t>GUCCI G BLK H RG EDT 90 ML ESSENCE IV</t>
        </is>
      </c>
      <c r="C1054" t="inlineStr">
        <is>
          <t>P_US_ALL_OTHERS</t>
        </is>
      </c>
      <c r="D1054" t="inlineStr">
        <is>
          <t>Stat Fcst Weighted AOA</t>
        </is>
      </c>
    </row>
    <row r="1055">
      <c r="A1055" s="1" t="n">
        <v>3616305820846</v>
      </c>
      <c r="B1055" t="inlineStr">
        <is>
          <t>GUCCI G BLK H RG EDT 90 ML ESSENCE IV</t>
        </is>
      </c>
      <c r="C1055" t="inlineStr">
        <is>
          <t>P_US_ALL_OTHERS</t>
        </is>
      </c>
      <c r="D1055" t="inlineStr">
        <is>
          <t>Stat Fcst Growth Snaive</t>
        </is>
      </c>
    </row>
    <row r="1056">
      <c r="A1056" s="1" t="n">
        <v>3616305820846</v>
      </c>
      <c r="B1056" t="inlineStr">
        <is>
          <t>GUCCI G BLK H RG EDT 90 ML ESSENCE IV</t>
        </is>
      </c>
      <c r="C1056" t="inlineStr">
        <is>
          <t>P_US_ALL_OTHERS</t>
        </is>
      </c>
      <c r="D1056" t="inlineStr">
        <is>
          <t>Stat Fcst Growth AOA</t>
        </is>
      </c>
    </row>
    <row r="1057">
      <c r="A1057" s="1" t="n">
        <v>3616305820846</v>
      </c>
      <c r="B1057" t="inlineStr">
        <is>
          <t>GUCCI G BLK H RG EDT 90 ML ESSENCE IV</t>
        </is>
      </c>
      <c r="C1057" t="inlineStr">
        <is>
          <t>P_US_ALL_OTHERS</t>
        </is>
      </c>
      <c r="D1057" t="inlineStr">
        <is>
          <t>System Stat Fcst Bestfit</t>
        </is>
      </c>
      <c r="H1057" t="n">
        <v>2168.92229864232</v>
      </c>
      <c r="I1057" t="n">
        <v>1856.30592203368</v>
      </c>
      <c r="J1057" t="n">
        <v>4223.78991318374</v>
      </c>
      <c r="K1057" t="n">
        <v>1084.24032413243</v>
      </c>
      <c r="L1057" t="n">
        <v>722.408752441406</v>
      </c>
      <c r="M1057" t="n">
        <v>2904.26627086799</v>
      </c>
      <c r="N1057" t="n">
        <v>1374.08412692076</v>
      </c>
      <c r="O1057" t="n">
        <v>1777.31134839918</v>
      </c>
      <c r="P1057" t="n">
        <v>3548.21560260814</v>
      </c>
    </row>
    <row r="1058">
      <c r="A1058" s="1" t="n">
        <v>3616305820846</v>
      </c>
      <c r="B1058" t="inlineStr">
        <is>
          <t>GUCCI G BLK H RG EDT 90 ML ESSENCE IV</t>
        </is>
      </c>
      <c r="C1058" t="inlineStr">
        <is>
          <t>P_US_ULTA</t>
        </is>
      </c>
      <c r="D1058" t="inlineStr">
        <is>
          <t>Stat Fcst L1</t>
        </is>
      </c>
      <c r="E1058" t="n">
        <v>1478.99995592236</v>
      </c>
      <c r="F1058" t="n">
        <v>879.387072086334</v>
      </c>
      <c r="G1058" t="n">
        <v>1782</v>
      </c>
      <c r="H1058" t="n">
        <v>2776</v>
      </c>
      <c r="I1058" t="n">
        <v>1466</v>
      </c>
      <c r="J1058" t="n">
        <v>3534</v>
      </c>
      <c r="K1058" t="n">
        <v>1196</v>
      </c>
      <c r="L1058" t="n">
        <v>2768</v>
      </c>
      <c r="M1058" t="n">
        <v>2006</v>
      </c>
      <c r="N1058" t="n">
        <v>415</v>
      </c>
      <c r="O1058" t="n">
        <v>1408</v>
      </c>
      <c r="P1058" t="n">
        <v>750</v>
      </c>
    </row>
    <row r="1059">
      <c r="A1059" s="1" t="n">
        <v>3616305820846</v>
      </c>
      <c r="B1059" t="inlineStr">
        <is>
          <t>GUCCI G BLK H RG EDT 90 ML ESSENCE IV</t>
        </is>
      </c>
      <c r="C1059" t="inlineStr">
        <is>
          <t>P_US_ULTA</t>
        </is>
      </c>
      <c r="D1059" t="inlineStr">
        <is>
          <t>Stat Fcst AR-NNET</t>
        </is>
      </c>
    </row>
    <row r="1060">
      <c r="A1060" s="1" t="n">
        <v>3616305820846</v>
      </c>
      <c r="B1060" t="inlineStr">
        <is>
          <t>GUCCI G BLK H RG EDT 90 ML ESSENCE IV</t>
        </is>
      </c>
      <c r="C1060" t="inlineStr">
        <is>
          <t>P_US_ULTA</t>
        </is>
      </c>
      <c r="D1060" t="inlineStr">
        <is>
          <t>Stat Fcst Auto ARIMA</t>
        </is>
      </c>
    </row>
    <row r="1061">
      <c r="A1061" s="1" t="n">
        <v>3616305820846</v>
      </c>
      <c r="B1061" t="inlineStr">
        <is>
          <t>GUCCI G BLK H RG EDT 90 ML ESSENCE IV</t>
        </is>
      </c>
      <c r="C1061" t="inlineStr">
        <is>
          <t>P_US_ULTA</t>
        </is>
      </c>
      <c r="D1061" t="inlineStr">
        <is>
          <t>Stat Fcst Croston</t>
        </is>
      </c>
    </row>
    <row r="1062">
      <c r="A1062" s="1" t="n">
        <v>3616305820846</v>
      </c>
      <c r="B1062" t="inlineStr">
        <is>
          <t>GUCCI G BLK H RG EDT 90 ML ESSENCE IV</t>
        </is>
      </c>
      <c r="C1062" t="inlineStr">
        <is>
          <t>P_US_ULTA</t>
        </is>
      </c>
      <c r="D1062" t="inlineStr">
        <is>
          <t>Stat Fcst DES</t>
        </is>
      </c>
    </row>
    <row r="1063">
      <c r="A1063" s="1" t="n">
        <v>3616305820846</v>
      </c>
      <c r="B1063" t="inlineStr">
        <is>
          <t>GUCCI G BLK H RG EDT 90 ML ESSENCE IV</t>
        </is>
      </c>
      <c r="C1063" t="inlineStr">
        <is>
          <t>P_US_ULTA</t>
        </is>
      </c>
      <c r="D1063" t="inlineStr">
        <is>
          <t>Stat Fcst ETS</t>
        </is>
      </c>
    </row>
    <row r="1064">
      <c r="A1064" s="1" t="n">
        <v>3616305820846</v>
      </c>
      <c r="B1064" t="inlineStr">
        <is>
          <t>GUCCI G BLK H RG EDT 90 ML ESSENCE IV</t>
        </is>
      </c>
      <c r="C1064" t="inlineStr">
        <is>
          <t>P_US_ULTA</t>
        </is>
      </c>
      <c r="D1064" t="inlineStr">
        <is>
          <t>Stat Fcst Moving Average</t>
        </is>
      </c>
    </row>
    <row r="1065">
      <c r="A1065" s="1" t="n">
        <v>3616305820846</v>
      </c>
      <c r="B1065" t="inlineStr">
        <is>
          <t>GUCCI G BLK H RG EDT 90 ML ESSENCE IV</t>
        </is>
      </c>
      <c r="C1065" t="inlineStr">
        <is>
          <t>P_US_ULTA</t>
        </is>
      </c>
      <c r="D1065" t="inlineStr">
        <is>
          <t>Stat Fcst Naive Random Walk</t>
        </is>
      </c>
    </row>
    <row r="1066">
      <c r="A1066" s="1" t="n">
        <v>3616305820846</v>
      </c>
      <c r="B1066" t="inlineStr">
        <is>
          <t>GUCCI G BLK H RG EDT 90 ML ESSENCE IV</t>
        </is>
      </c>
      <c r="C1066" t="inlineStr">
        <is>
          <t>P_US_ULTA</t>
        </is>
      </c>
      <c r="D1066" t="inlineStr">
        <is>
          <t>Stat Fcst Prophet</t>
        </is>
      </c>
    </row>
    <row r="1067">
      <c r="A1067" s="1" t="n">
        <v>3616305820846</v>
      </c>
      <c r="B1067" t="inlineStr">
        <is>
          <t>GUCCI G BLK H RG EDT 90 ML ESSENCE IV</t>
        </is>
      </c>
      <c r="C1067" t="inlineStr">
        <is>
          <t>P_US_ULTA</t>
        </is>
      </c>
      <c r="D1067" t="inlineStr">
        <is>
          <t>Stat Fcst sARIMA</t>
        </is>
      </c>
    </row>
    <row r="1068">
      <c r="A1068" s="1" t="n">
        <v>3616305820846</v>
      </c>
      <c r="B1068" t="inlineStr">
        <is>
          <t>GUCCI G BLK H RG EDT 90 ML ESSENCE IV</t>
        </is>
      </c>
      <c r="C1068" t="inlineStr">
        <is>
          <t>P_US_ULTA</t>
        </is>
      </c>
      <c r="D1068" t="inlineStr">
        <is>
          <t>Stat Fcst Seasonal Naive YoY</t>
        </is>
      </c>
    </row>
    <row r="1069">
      <c r="A1069" s="1" t="n">
        <v>3616305820846</v>
      </c>
      <c r="B1069" t="inlineStr">
        <is>
          <t>GUCCI G BLK H RG EDT 90 ML ESSENCE IV</t>
        </is>
      </c>
      <c r="C1069" t="inlineStr">
        <is>
          <t>P_US_ULTA</t>
        </is>
      </c>
      <c r="D1069" t="inlineStr">
        <is>
          <t>Stat Fcst SES</t>
        </is>
      </c>
    </row>
    <row r="1070">
      <c r="A1070" s="1" t="n">
        <v>3616305820846</v>
      </c>
      <c r="B1070" t="inlineStr">
        <is>
          <t>GUCCI G BLK H RG EDT 90 ML ESSENCE IV</t>
        </is>
      </c>
      <c r="C1070" t="inlineStr">
        <is>
          <t>P_US_ULTA</t>
        </is>
      </c>
      <c r="D1070" t="inlineStr">
        <is>
          <t>Stat Fcst STLF</t>
        </is>
      </c>
      <c r="E1070" t="n">
        <v>0</v>
      </c>
      <c r="F1070" t="n">
        <v>2389.13513431321</v>
      </c>
      <c r="G1070" t="n">
        <v>1666.31767432293</v>
      </c>
      <c r="H1070" t="n">
        <v>3710.7173861856</v>
      </c>
      <c r="I1070" t="n">
        <v>1024.56119868214</v>
      </c>
      <c r="J1070" t="n">
        <v>3947.76238945337</v>
      </c>
      <c r="K1070" t="n">
        <v>1725.22370935862</v>
      </c>
      <c r="L1070" t="n">
        <v>1113.11437994713</v>
      </c>
      <c r="M1070" t="n">
        <v>1527.5590292764</v>
      </c>
      <c r="N1070" t="n">
        <v>432.754705994383</v>
      </c>
      <c r="O1070" t="n">
        <v>2396.42897400186</v>
      </c>
      <c r="P1070" t="n">
        <v>1702.99314136774</v>
      </c>
    </row>
    <row r="1071">
      <c r="A1071" s="1" t="n">
        <v>3616305820846</v>
      </c>
      <c r="B1071" t="inlineStr">
        <is>
          <t>GUCCI G BLK H RG EDT 90 ML ESSENCE IV</t>
        </is>
      </c>
      <c r="C1071" t="inlineStr">
        <is>
          <t>P_US_ULTA</t>
        </is>
      </c>
      <c r="D1071" t="inlineStr">
        <is>
          <t>Stat Fcst TBATS</t>
        </is>
      </c>
    </row>
    <row r="1072">
      <c r="A1072" s="1" t="n">
        <v>3616305820846</v>
      </c>
      <c r="B1072" t="inlineStr">
        <is>
          <t>GUCCI G BLK H RG EDT 90 ML ESSENCE IV</t>
        </is>
      </c>
      <c r="C1072" t="inlineStr">
        <is>
          <t>P_US_ULTA</t>
        </is>
      </c>
      <c r="D1072" t="inlineStr">
        <is>
          <t>Stat Fcst TES</t>
        </is>
      </c>
      <c r="E1072" t="n">
        <v>1745.90380966025</v>
      </c>
      <c r="F1072" t="n">
        <v>1299.77388100431</v>
      </c>
      <c r="G1072" t="n">
        <v>1512.53726378356</v>
      </c>
      <c r="H1072" t="n">
        <v>2491.71859960677</v>
      </c>
      <c r="I1072" t="n">
        <v>982.64147858015</v>
      </c>
      <c r="J1072" t="n">
        <v>2305.7311526338</v>
      </c>
      <c r="K1072" t="n">
        <v>719.1089459197869</v>
      </c>
      <c r="L1072" t="n">
        <v>2225.88257334774</v>
      </c>
      <c r="M1072" t="n">
        <v>1822.82764231596</v>
      </c>
      <c r="N1072" t="n">
        <v>774.114074881384</v>
      </c>
      <c r="O1072" t="n">
        <v>2732.99174699325</v>
      </c>
      <c r="P1072" t="n">
        <v>1231.2934040678</v>
      </c>
    </row>
    <row r="1073">
      <c r="A1073" s="1" t="n">
        <v>3616305820846</v>
      </c>
      <c r="B1073" t="inlineStr">
        <is>
          <t>GUCCI G BLK H RG EDT 90 ML ESSENCE IV</t>
        </is>
      </c>
      <c r="C1073" t="inlineStr">
        <is>
          <t>P_US_ULTA</t>
        </is>
      </c>
      <c r="D1073" t="inlineStr">
        <is>
          <t>Stat Fcst Theta</t>
        </is>
      </c>
    </row>
    <row r="1074">
      <c r="A1074" s="1" t="n">
        <v>3616305820846</v>
      </c>
      <c r="B1074" t="inlineStr">
        <is>
          <t>GUCCI G BLK H RG EDT 90 ML ESSENCE IV</t>
        </is>
      </c>
      <c r="C1074" t="inlineStr">
        <is>
          <t>P_US_ULTA</t>
        </is>
      </c>
      <c r="D1074" t="inlineStr">
        <is>
          <t>System ML Fcst L1</t>
        </is>
      </c>
    </row>
    <row r="1075">
      <c r="A1075" s="1" t="n">
        <v>3616305820846</v>
      </c>
      <c r="B1075" t="inlineStr">
        <is>
          <t>GUCCI G BLK H RG EDT 90 ML ESSENCE IV</t>
        </is>
      </c>
      <c r="C1075" t="inlineStr">
        <is>
          <t>P_US_ULTA</t>
        </is>
      </c>
      <c r="D1075" t="inlineStr">
        <is>
          <t>Stat Fcst Simple Snaive</t>
        </is>
      </c>
      <c r="E1075" t="n">
        <v>2364.96573457223</v>
      </c>
      <c r="F1075" t="n">
        <v>1548.99983176589</v>
      </c>
      <c r="G1075" t="n">
        <v>1781.00001326948</v>
      </c>
      <c r="H1075" t="n">
        <v>2775.66658394535</v>
      </c>
      <c r="I1075" t="n">
        <v>1465.33334425091</v>
      </c>
      <c r="J1075" t="n">
        <v>3533.66631721457</v>
      </c>
      <c r="K1075" t="n">
        <v>1194.99996438622</v>
      </c>
      <c r="L1075" t="n">
        <v>2769.66666666666</v>
      </c>
      <c r="M1075" t="n">
        <v>2005.66652551293</v>
      </c>
      <c r="N1075" t="n">
        <v>414.00000616908</v>
      </c>
      <c r="O1075" t="n">
        <v>1409.99995797872</v>
      </c>
      <c r="P1075" t="n">
        <v>751.666672267019</v>
      </c>
    </row>
    <row r="1076">
      <c r="A1076" s="1" t="n">
        <v>3616305820846</v>
      </c>
      <c r="B1076" t="inlineStr">
        <is>
          <t>GUCCI G BLK H RG EDT 90 ML ESSENCE IV</t>
        </is>
      </c>
      <c r="C1076" t="inlineStr">
        <is>
          <t>P_US_ULTA</t>
        </is>
      </c>
      <c r="D1076" t="inlineStr">
        <is>
          <t>Stat Fcst Simple AOA</t>
        </is>
      </c>
    </row>
    <row r="1077">
      <c r="A1077" s="1" t="n">
        <v>3616305820846</v>
      </c>
      <c r="B1077" t="inlineStr">
        <is>
          <t>GUCCI G BLK H RG EDT 90 ML ESSENCE IV</t>
        </is>
      </c>
      <c r="C1077" t="inlineStr">
        <is>
          <t>P_US_ULTA</t>
        </is>
      </c>
      <c r="D1077" t="inlineStr">
        <is>
          <t>Stat Fcst Weighted Snaive</t>
        </is>
      </c>
    </row>
    <row r="1078">
      <c r="A1078" s="1" t="n">
        <v>3616305820846</v>
      </c>
      <c r="B1078" t="inlineStr">
        <is>
          <t>GUCCI G BLK H RG EDT 90 ML ESSENCE IV</t>
        </is>
      </c>
      <c r="C1078" t="inlineStr">
        <is>
          <t>P_US_ULTA</t>
        </is>
      </c>
      <c r="D1078" t="inlineStr">
        <is>
          <t>Stat Fcst Weighted AOA</t>
        </is>
      </c>
    </row>
    <row r="1079">
      <c r="A1079" s="1" t="n">
        <v>3616305820846</v>
      </c>
      <c r="B1079" t="inlineStr">
        <is>
          <t>GUCCI G BLK H RG EDT 90 ML ESSENCE IV</t>
        </is>
      </c>
      <c r="C1079" t="inlineStr">
        <is>
          <t>P_US_ULTA</t>
        </is>
      </c>
      <c r="D1079" t="inlineStr">
        <is>
          <t>Stat Fcst Growth Snaive</t>
        </is>
      </c>
    </row>
    <row r="1080">
      <c r="A1080" s="1" t="n">
        <v>3616305820846</v>
      </c>
      <c r="B1080" t="inlineStr">
        <is>
          <t>GUCCI G BLK H RG EDT 90 ML ESSENCE IV</t>
        </is>
      </c>
      <c r="C1080" t="inlineStr">
        <is>
          <t>P_US_ULTA</t>
        </is>
      </c>
      <c r="D1080" t="inlineStr">
        <is>
          <t>Stat Fcst Growth AOA</t>
        </is>
      </c>
    </row>
    <row r="1081">
      <c r="A1081" s="1" t="n">
        <v>3616305820846</v>
      </c>
      <c r="B1081" t="inlineStr">
        <is>
          <t>GUCCI G BLK H RG EDT 90 ML ESSENCE IV</t>
        </is>
      </c>
      <c r="C1081" t="inlineStr">
        <is>
          <t>P_US_ULTA</t>
        </is>
      </c>
      <c r="D1081" t="inlineStr">
        <is>
          <t>System Stat Fcst Bestfit</t>
        </is>
      </c>
      <c r="H1081" t="n">
        <v>2775.66642118494</v>
      </c>
      <c r="I1081" t="n">
        <v>1465.3332628707</v>
      </c>
      <c r="J1081" t="n">
        <v>3533.66639859478</v>
      </c>
      <c r="K1081" t="n">
        <v>1194.99996438622</v>
      </c>
      <c r="L1081" t="n">
        <v>2769.66674804687</v>
      </c>
      <c r="M1081" t="n">
        <v>2005.66656620303</v>
      </c>
      <c r="N1081" t="n">
        <v>414.00000616908</v>
      </c>
      <c r="O1081" t="n">
        <v>1409.99995797872</v>
      </c>
      <c r="P1081" t="n">
        <v>751.6666315769151</v>
      </c>
    </row>
    <row r="1082">
      <c r="A1082" s="1" t="n">
        <v>3616308110289</v>
      </c>
      <c r="B1082" t="inlineStr">
        <is>
          <t>GUCCI BM EDP 30ML GAL VP 24IV</t>
        </is>
      </c>
      <c r="C1082" t="inlineStr">
        <is>
          <t>P_US_ALL_OTHERS</t>
        </is>
      </c>
      <c r="D1082" t="inlineStr">
        <is>
          <t>Stat Fcst L1</t>
        </is>
      </c>
      <c r="E1082" t="n">
        <v>1087.99996757507</v>
      </c>
      <c r="F1082" t="n">
        <v>100.999996989965</v>
      </c>
      <c r="G1082" t="n">
        <v>154</v>
      </c>
      <c r="H1082" t="n">
        <v>0</v>
      </c>
      <c r="I1082" t="n">
        <v>0</v>
      </c>
      <c r="J1082" t="n">
        <v>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77</v>
      </c>
    </row>
    <row r="1083">
      <c r="A1083" s="1" t="n">
        <v>3616308110289</v>
      </c>
      <c r="B1083" t="inlineStr">
        <is>
          <t>GUCCI BM EDP 30ML GAL VP 24IV</t>
        </is>
      </c>
      <c r="C1083" t="inlineStr">
        <is>
          <t>P_US_ALL_OTHERS</t>
        </is>
      </c>
      <c r="D1083" t="inlineStr">
        <is>
          <t>Stat Fcst AR-NNET</t>
        </is>
      </c>
    </row>
    <row r="1084">
      <c r="A1084" s="1" t="n">
        <v>3616308110289</v>
      </c>
      <c r="B1084" t="inlineStr">
        <is>
          <t>GUCCI BM EDP 30ML GAL VP 24IV</t>
        </is>
      </c>
      <c r="C1084" t="inlineStr">
        <is>
          <t>P_US_ALL_OTHERS</t>
        </is>
      </c>
      <c r="D1084" t="inlineStr">
        <is>
          <t>Stat Fcst Auto ARIMA</t>
        </is>
      </c>
    </row>
    <row r="1085">
      <c r="A1085" s="1" t="n">
        <v>3616308110289</v>
      </c>
      <c r="B1085" t="inlineStr">
        <is>
          <t>GUCCI BM EDP 30ML GAL VP 24IV</t>
        </is>
      </c>
      <c r="C1085" t="inlineStr">
        <is>
          <t>P_US_ALL_OTHERS</t>
        </is>
      </c>
      <c r="D1085" t="inlineStr">
        <is>
          <t>Stat Fcst Croston</t>
        </is>
      </c>
    </row>
    <row r="1086">
      <c r="A1086" s="1" t="n">
        <v>3616308110289</v>
      </c>
      <c r="B1086" t="inlineStr">
        <is>
          <t>GUCCI BM EDP 30ML GAL VP 24IV</t>
        </is>
      </c>
      <c r="C1086" t="inlineStr">
        <is>
          <t>P_US_ALL_OTHERS</t>
        </is>
      </c>
      <c r="D1086" t="inlineStr">
        <is>
          <t>Stat Fcst DES</t>
        </is>
      </c>
    </row>
    <row r="1087">
      <c r="A1087" s="1" t="n">
        <v>3616308110289</v>
      </c>
      <c r="B1087" t="inlineStr">
        <is>
          <t>GUCCI BM EDP 30ML GAL VP 24IV</t>
        </is>
      </c>
      <c r="C1087" t="inlineStr">
        <is>
          <t>P_US_ALL_OTHERS</t>
        </is>
      </c>
      <c r="D1087" t="inlineStr">
        <is>
          <t>Stat Fcst ETS</t>
        </is>
      </c>
    </row>
    <row r="1088">
      <c r="A1088" s="1" t="n">
        <v>3616308110289</v>
      </c>
      <c r="B1088" t="inlineStr">
        <is>
          <t>GUCCI BM EDP 30ML GAL VP 24IV</t>
        </is>
      </c>
      <c r="C1088" t="inlineStr">
        <is>
          <t>P_US_ALL_OTHERS</t>
        </is>
      </c>
      <c r="D1088" t="inlineStr">
        <is>
          <t>Stat Fcst Moving Average</t>
        </is>
      </c>
    </row>
    <row r="1089">
      <c r="A1089" s="1" t="n">
        <v>3616308110289</v>
      </c>
      <c r="B1089" t="inlineStr">
        <is>
          <t>GUCCI BM EDP 30ML GAL VP 24IV</t>
        </is>
      </c>
      <c r="C1089" t="inlineStr">
        <is>
          <t>P_US_ALL_OTHERS</t>
        </is>
      </c>
      <c r="D1089" t="inlineStr">
        <is>
          <t>Stat Fcst Naive Random Walk</t>
        </is>
      </c>
    </row>
    <row r="1090">
      <c r="A1090" s="1" t="n">
        <v>3616308110289</v>
      </c>
      <c r="B1090" t="inlineStr">
        <is>
          <t>GUCCI BM EDP 30ML GAL VP 24IV</t>
        </is>
      </c>
      <c r="C1090" t="inlineStr">
        <is>
          <t>P_US_ALL_OTHERS</t>
        </is>
      </c>
      <c r="D1090" t="inlineStr">
        <is>
          <t>Stat Fcst Prophet</t>
        </is>
      </c>
    </row>
    <row r="1091">
      <c r="A1091" s="1" t="n">
        <v>3616308110289</v>
      </c>
      <c r="B1091" t="inlineStr">
        <is>
          <t>GUCCI BM EDP 30ML GAL VP 24IV</t>
        </is>
      </c>
      <c r="C1091" t="inlineStr">
        <is>
          <t>P_US_ALL_OTHERS</t>
        </is>
      </c>
      <c r="D1091" t="inlineStr">
        <is>
          <t>Stat Fcst sARIMA</t>
        </is>
      </c>
    </row>
    <row r="1092">
      <c r="A1092" s="1" t="n">
        <v>3616308110289</v>
      </c>
      <c r="B1092" t="inlineStr">
        <is>
          <t>GUCCI BM EDP 30ML GAL VP 24IV</t>
        </is>
      </c>
      <c r="C1092" t="inlineStr">
        <is>
          <t>P_US_ALL_OTHERS</t>
        </is>
      </c>
      <c r="D1092" t="inlineStr">
        <is>
          <t>Stat Fcst Seasonal Naive YoY</t>
        </is>
      </c>
    </row>
    <row r="1093">
      <c r="A1093" s="1" t="n">
        <v>3616308110289</v>
      </c>
      <c r="B1093" t="inlineStr">
        <is>
          <t>GUCCI BM EDP 30ML GAL VP 24IV</t>
        </is>
      </c>
      <c r="C1093" t="inlineStr">
        <is>
          <t>P_US_ALL_OTHERS</t>
        </is>
      </c>
      <c r="D1093" t="inlineStr">
        <is>
          <t>Stat Fcst SES</t>
        </is>
      </c>
    </row>
    <row r="1094">
      <c r="A1094" s="1" t="n">
        <v>3616308110289</v>
      </c>
      <c r="B1094" t="inlineStr">
        <is>
          <t>GUCCI BM EDP 30ML GAL VP 24IV</t>
        </is>
      </c>
      <c r="C1094" t="inlineStr">
        <is>
          <t>P_US_ALL_OTHERS</t>
        </is>
      </c>
      <c r="D1094" t="inlineStr">
        <is>
          <t>Stat Fcst STLF</t>
        </is>
      </c>
      <c r="E1094" t="n">
        <v>666.644072971981</v>
      </c>
      <c r="F1094" t="n">
        <v>344.277589698426</v>
      </c>
      <c r="G1094" t="n">
        <v>843.335392204983</v>
      </c>
      <c r="H1094" t="n">
        <v>486.374453603926</v>
      </c>
      <c r="I1094" t="n">
        <v>527.400150095157</v>
      </c>
      <c r="J1094" t="n">
        <v>1088.52046842092</v>
      </c>
      <c r="K1094" t="n">
        <v>608.3879388941519</v>
      </c>
      <c r="L1094" t="n">
        <v>552.892856147958</v>
      </c>
      <c r="M1094" t="n">
        <v>1090.4016194466</v>
      </c>
      <c r="N1094" t="n">
        <v>730.6545791051969</v>
      </c>
      <c r="O1094" t="n">
        <v>619.848489486084</v>
      </c>
      <c r="P1094" t="n">
        <v>524.320257970323</v>
      </c>
    </row>
    <row r="1095">
      <c r="A1095" s="1" t="n">
        <v>3616308110289</v>
      </c>
      <c r="B1095" t="inlineStr">
        <is>
          <t>GUCCI BM EDP 30ML GAL VP 24IV</t>
        </is>
      </c>
      <c r="C1095" t="inlineStr">
        <is>
          <t>P_US_ALL_OTHERS</t>
        </is>
      </c>
      <c r="D1095" t="inlineStr">
        <is>
          <t>Stat Fcst TBATS</t>
        </is>
      </c>
    </row>
    <row r="1096">
      <c r="A1096" s="1" t="n">
        <v>3616308110289</v>
      </c>
      <c r="B1096" t="inlineStr">
        <is>
          <t>GUCCI BM EDP 30ML GAL VP 24IV</t>
        </is>
      </c>
      <c r="C1096" t="inlineStr">
        <is>
          <t>P_US_ALL_OTHERS</t>
        </is>
      </c>
      <c r="D1096" t="inlineStr">
        <is>
          <t>Stat Fcst TES</t>
        </is>
      </c>
      <c r="E1096" t="n">
        <v>1279.50306177955</v>
      </c>
      <c r="F1096" t="n">
        <v>1179.96752109289</v>
      </c>
      <c r="G1096" t="n">
        <v>206.802499674289</v>
      </c>
      <c r="H1096" t="n">
        <v>0</v>
      </c>
      <c r="I1096" t="n">
        <v>0</v>
      </c>
      <c r="J1096" t="n">
        <v>5.28722227022517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76.3620719383995</v>
      </c>
    </row>
    <row r="1097">
      <c r="A1097" s="1" t="n">
        <v>3616308110289</v>
      </c>
      <c r="B1097" t="inlineStr">
        <is>
          <t>GUCCI BM EDP 30ML GAL VP 24IV</t>
        </is>
      </c>
      <c r="C1097" t="inlineStr">
        <is>
          <t>P_US_ALL_OTHERS</t>
        </is>
      </c>
      <c r="D1097" t="inlineStr">
        <is>
          <t>Stat Fcst Theta</t>
        </is>
      </c>
    </row>
    <row r="1098">
      <c r="A1098" s="1" t="n">
        <v>3616308110289</v>
      </c>
      <c r="B1098" t="inlineStr">
        <is>
          <t>GUCCI BM EDP 30ML GAL VP 24IV</t>
        </is>
      </c>
      <c r="C1098" t="inlineStr">
        <is>
          <t>P_US_ALL_OTHERS</t>
        </is>
      </c>
      <c r="D1098" t="inlineStr">
        <is>
          <t>System ML Fcst L1</t>
        </is>
      </c>
    </row>
    <row r="1099">
      <c r="A1099" s="1" t="n">
        <v>3616308110289</v>
      </c>
      <c r="B1099" t="inlineStr">
        <is>
          <t>GUCCI BM EDP 30ML GAL VP 24IV</t>
        </is>
      </c>
      <c r="C1099" t="inlineStr">
        <is>
          <t>P_US_ALL_OTHERS</t>
        </is>
      </c>
      <c r="D1099" t="inlineStr">
        <is>
          <t>Stat Fcst Simple Snaive</t>
        </is>
      </c>
      <c r="E1099" t="n">
        <v>1290.4999615401</v>
      </c>
      <c r="F1099" t="n">
        <v>1187.58120240028</v>
      </c>
      <c r="G1099" t="n">
        <v>373.000012951592</v>
      </c>
      <c r="H1099" t="n">
        <v>148.333326369524</v>
      </c>
      <c r="I1099" t="n">
        <v>33.333333581686</v>
      </c>
      <c r="J1099" t="n">
        <v>392.666654964288</v>
      </c>
      <c r="K1099" t="n">
        <v>329.696843811963</v>
      </c>
      <c r="L1099" t="n">
        <v>66.3333307902018</v>
      </c>
      <c r="M1099" t="n">
        <v>325.333323637644</v>
      </c>
      <c r="N1099" t="n">
        <v>206.000003069639</v>
      </c>
      <c r="O1099" t="n">
        <v>407.333321193853</v>
      </c>
      <c r="P1099" t="n">
        <v>679.6666717305779</v>
      </c>
    </row>
    <row r="1100">
      <c r="A1100" s="1" t="n">
        <v>3616308110289</v>
      </c>
      <c r="B1100" t="inlineStr">
        <is>
          <t>GUCCI BM EDP 30ML GAL VP 24IV</t>
        </is>
      </c>
      <c r="C1100" t="inlineStr">
        <is>
          <t>P_US_ALL_OTHERS</t>
        </is>
      </c>
      <c r="D1100" t="inlineStr">
        <is>
          <t>Stat Fcst Simple AOA</t>
        </is>
      </c>
    </row>
    <row r="1101">
      <c r="A1101" s="1" t="n">
        <v>3616308110289</v>
      </c>
      <c r="B1101" t="inlineStr">
        <is>
          <t>GUCCI BM EDP 30ML GAL VP 24IV</t>
        </is>
      </c>
      <c r="C1101" t="inlineStr">
        <is>
          <t>P_US_ALL_OTHERS</t>
        </is>
      </c>
      <c r="D1101" t="inlineStr">
        <is>
          <t>Stat Fcst Weighted Snaive</t>
        </is>
      </c>
    </row>
    <row r="1102">
      <c r="A1102" s="1" t="n">
        <v>3616308110289</v>
      </c>
      <c r="B1102" t="inlineStr">
        <is>
          <t>GUCCI BM EDP 30ML GAL VP 24IV</t>
        </is>
      </c>
      <c r="C1102" t="inlineStr">
        <is>
          <t>P_US_ALL_OTHERS</t>
        </is>
      </c>
      <c r="D1102" t="inlineStr">
        <is>
          <t>Stat Fcst Weighted AOA</t>
        </is>
      </c>
    </row>
    <row r="1103">
      <c r="A1103" s="1" t="n">
        <v>3616308110289</v>
      </c>
      <c r="B1103" t="inlineStr">
        <is>
          <t>GUCCI BM EDP 30ML GAL VP 24IV</t>
        </is>
      </c>
      <c r="C1103" t="inlineStr">
        <is>
          <t>P_US_ALL_OTHERS</t>
        </is>
      </c>
      <c r="D1103" t="inlineStr">
        <is>
          <t>Stat Fcst Growth Snaive</t>
        </is>
      </c>
    </row>
    <row r="1104">
      <c r="A1104" s="1" t="n">
        <v>3616308110289</v>
      </c>
      <c r="B1104" t="inlineStr">
        <is>
          <t>GUCCI BM EDP 30ML GAL VP 24IV</t>
        </is>
      </c>
      <c r="C1104" t="inlineStr">
        <is>
          <t>P_US_ALL_OTHERS</t>
        </is>
      </c>
      <c r="D1104" t="inlineStr">
        <is>
          <t>Stat Fcst Growth AOA</t>
        </is>
      </c>
    </row>
    <row r="1105">
      <c r="A1105" s="1" t="n">
        <v>3616308110289</v>
      </c>
      <c r="B1105" t="inlineStr">
        <is>
          <t>GUCCI BM EDP 30ML GAL VP 24IV</t>
        </is>
      </c>
      <c r="C1105" t="inlineStr">
        <is>
          <t>P_US_ALL_OTHERS</t>
        </is>
      </c>
      <c r="D1105" t="inlineStr">
        <is>
          <t>System Stat Fcst Bestfit</t>
        </is>
      </c>
      <c r="H1105" t="n">
        <v>0</v>
      </c>
      <c r="I1105" t="n">
        <v>0</v>
      </c>
      <c r="J1105" t="n">
        <v>5.28722222783498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76.3620687452112</v>
      </c>
    </row>
    <row r="1106">
      <c r="A1106" s="1" t="n">
        <v>3616308110289</v>
      </c>
      <c r="B1106" t="inlineStr">
        <is>
          <t>GUCCI BM EDP 30ML GAL VP 24IV</t>
        </is>
      </c>
      <c r="C1106" t="inlineStr">
        <is>
          <t>P_US_ULTA</t>
        </is>
      </c>
      <c r="D1106" t="inlineStr">
        <is>
          <t>Stat Fcst L1</t>
        </is>
      </c>
      <c r="E1106" t="n">
        <v>98.99999704957</v>
      </c>
      <c r="F1106" t="n">
        <v>392.999988287687</v>
      </c>
      <c r="G1106" t="n">
        <v>330</v>
      </c>
      <c r="H1106" t="n">
        <v>71</v>
      </c>
      <c r="I1106" t="n">
        <v>146</v>
      </c>
      <c r="J1106" t="n">
        <v>372</v>
      </c>
      <c r="K1106" t="n">
        <v>146</v>
      </c>
      <c r="L1106" t="n">
        <v>456</v>
      </c>
      <c r="M1106" t="n">
        <v>602</v>
      </c>
      <c r="N1106" t="n">
        <v>232</v>
      </c>
      <c r="O1106" t="n">
        <v>558</v>
      </c>
      <c r="P1106" t="n">
        <v>210</v>
      </c>
    </row>
    <row r="1107">
      <c r="A1107" s="1" t="n">
        <v>3616308110289</v>
      </c>
      <c r="B1107" t="inlineStr">
        <is>
          <t>GUCCI BM EDP 30ML GAL VP 24IV</t>
        </is>
      </c>
      <c r="C1107" t="inlineStr">
        <is>
          <t>P_US_ULTA</t>
        </is>
      </c>
      <c r="D1107" t="inlineStr">
        <is>
          <t>Stat Fcst AR-NNET</t>
        </is>
      </c>
    </row>
    <row r="1108">
      <c r="A1108" s="1" t="n">
        <v>3616308110289</v>
      </c>
      <c r="B1108" t="inlineStr">
        <is>
          <t>GUCCI BM EDP 30ML GAL VP 24IV</t>
        </is>
      </c>
      <c r="C1108" t="inlineStr">
        <is>
          <t>P_US_ULTA</t>
        </is>
      </c>
      <c r="D1108" t="inlineStr">
        <is>
          <t>Stat Fcst Auto ARIMA</t>
        </is>
      </c>
    </row>
    <row r="1109">
      <c r="A1109" s="1" t="n">
        <v>3616308110289</v>
      </c>
      <c r="B1109" t="inlineStr">
        <is>
          <t>GUCCI BM EDP 30ML GAL VP 24IV</t>
        </is>
      </c>
      <c r="C1109" t="inlineStr">
        <is>
          <t>P_US_ULTA</t>
        </is>
      </c>
      <c r="D1109" t="inlineStr">
        <is>
          <t>Stat Fcst Croston</t>
        </is>
      </c>
    </row>
    <row r="1110">
      <c r="A1110" s="1" t="n">
        <v>3616308110289</v>
      </c>
      <c r="B1110" t="inlineStr">
        <is>
          <t>GUCCI BM EDP 30ML GAL VP 24IV</t>
        </is>
      </c>
      <c r="C1110" t="inlineStr">
        <is>
          <t>P_US_ULTA</t>
        </is>
      </c>
      <c r="D1110" t="inlineStr">
        <is>
          <t>Stat Fcst DES</t>
        </is>
      </c>
    </row>
    <row r="1111">
      <c r="A1111" s="1" t="n">
        <v>3616308110289</v>
      </c>
      <c r="B1111" t="inlineStr">
        <is>
          <t>GUCCI BM EDP 30ML GAL VP 24IV</t>
        </is>
      </c>
      <c r="C1111" t="inlineStr">
        <is>
          <t>P_US_ULTA</t>
        </is>
      </c>
      <c r="D1111" t="inlineStr">
        <is>
          <t>Stat Fcst ETS</t>
        </is>
      </c>
    </row>
    <row r="1112">
      <c r="A1112" s="1" t="n">
        <v>3616308110289</v>
      </c>
      <c r="B1112" t="inlineStr">
        <is>
          <t>GUCCI BM EDP 30ML GAL VP 24IV</t>
        </is>
      </c>
      <c r="C1112" t="inlineStr">
        <is>
          <t>P_US_ULTA</t>
        </is>
      </c>
      <c r="D1112" t="inlineStr">
        <is>
          <t>Stat Fcst Moving Average</t>
        </is>
      </c>
    </row>
    <row r="1113">
      <c r="A1113" s="1" t="n">
        <v>3616308110289</v>
      </c>
      <c r="B1113" t="inlineStr">
        <is>
          <t>GUCCI BM EDP 30ML GAL VP 24IV</t>
        </is>
      </c>
      <c r="C1113" t="inlineStr">
        <is>
          <t>P_US_ULTA</t>
        </is>
      </c>
      <c r="D1113" t="inlineStr">
        <is>
          <t>Stat Fcst Naive Random Walk</t>
        </is>
      </c>
    </row>
    <row r="1114">
      <c r="A1114" s="1" t="n">
        <v>3616308110289</v>
      </c>
      <c r="B1114" t="inlineStr">
        <is>
          <t>GUCCI BM EDP 30ML GAL VP 24IV</t>
        </is>
      </c>
      <c r="C1114" t="inlineStr">
        <is>
          <t>P_US_ULTA</t>
        </is>
      </c>
      <c r="D1114" t="inlineStr">
        <is>
          <t>Stat Fcst Prophet</t>
        </is>
      </c>
    </row>
    <row r="1115">
      <c r="A1115" s="1" t="n">
        <v>3616308110289</v>
      </c>
      <c r="B1115" t="inlineStr">
        <is>
          <t>GUCCI BM EDP 30ML GAL VP 24IV</t>
        </is>
      </c>
      <c r="C1115" t="inlineStr">
        <is>
          <t>P_US_ULTA</t>
        </is>
      </c>
      <c r="D1115" t="inlineStr">
        <is>
          <t>Stat Fcst sARIMA</t>
        </is>
      </c>
    </row>
    <row r="1116">
      <c r="A1116" s="1" t="n">
        <v>3616308110289</v>
      </c>
      <c r="B1116" t="inlineStr">
        <is>
          <t>GUCCI BM EDP 30ML GAL VP 24IV</t>
        </is>
      </c>
      <c r="C1116" t="inlineStr">
        <is>
          <t>P_US_ULTA</t>
        </is>
      </c>
      <c r="D1116" t="inlineStr">
        <is>
          <t>Stat Fcst Seasonal Naive YoY</t>
        </is>
      </c>
    </row>
    <row r="1117">
      <c r="A1117" s="1" t="n">
        <v>3616308110289</v>
      </c>
      <c r="B1117" t="inlineStr">
        <is>
          <t>GUCCI BM EDP 30ML GAL VP 24IV</t>
        </is>
      </c>
      <c r="C1117" t="inlineStr">
        <is>
          <t>P_US_ULTA</t>
        </is>
      </c>
      <c r="D1117" t="inlineStr">
        <is>
          <t>Stat Fcst SES</t>
        </is>
      </c>
    </row>
    <row r="1118">
      <c r="A1118" s="1" t="n">
        <v>3616308110289</v>
      </c>
      <c r="B1118" t="inlineStr">
        <is>
          <t>GUCCI BM EDP 30ML GAL VP 24IV</t>
        </is>
      </c>
      <c r="C1118" t="inlineStr">
        <is>
          <t>P_US_ULTA</t>
        </is>
      </c>
      <c r="D1118" t="inlineStr">
        <is>
          <t>Stat Fcst STLF</t>
        </is>
      </c>
      <c r="E1118" t="n">
        <v>0</v>
      </c>
      <c r="F1118" t="n">
        <v>396.407310929751</v>
      </c>
      <c r="G1118" t="n">
        <v>472.426707119283</v>
      </c>
      <c r="H1118" t="n">
        <v>49.8993510362044</v>
      </c>
      <c r="I1118" t="n">
        <v>11.5198107860293</v>
      </c>
      <c r="J1118" t="n">
        <v>664.130437562313</v>
      </c>
      <c r="K1118" t="n">
        <v>251.53300746767</v>
      </c>
      <c r="L1118" t="n">
        <v>270.977308695435</v>
      </c>
      <c r="M1118" t="n">
        <v>334.91036381102</v>
      </c>
      <c r="N1118" t="n">
        <v>129.44174184248</v>
      </c>
      <c r="O1118" t="n">
        <v>359.152925104205</v>
      </c>
      <c r="P1118" t="n">
        <v>151.633141796725</v>
      </c>
    </row>
    <row r="1119">
      <c r="A1119" s="1" t="n">
        <v>3616308110289</v>
      </c>
      <c r="B1119" t="inlineStr">
        <is>
          <t>GUCCI BM EDP 30ML GAL VP 24IV</t>
        </is>
      </c>
      <c r="C1119" t="inlineStr">
        <is>
          <t>P_US_ULTA</t>
        </is>
      </c>
      <c r="D1119" t="inlineStr">
        <is>
          <t>Stat Fcst TBATS</t>
        </is>
      </c>
    </row>
    <row r="1120">
      <c r="A1120" s="1" t="n">
        <v>3616308110289</v>
      </c>
      <c r="B1120" t="inlineStr">
        <is>
          <t>GUCCI BM EDP 30ML GAL VP 24IV</t>
        </is>
      </c>
      <c r="C1120" t="inlineStr">
        <is>
          <t>P_US_ULTA</t>
        </is>
      </c>
      <c r="D1120" t="inlineStr">
        <is>
          <t>Stat Fcst TES</t>
        </is>
      </c>
      <c r="E1120" t="n">
        <v>161.04153850495</v>
      </c>
      <c r="F1120" t="n">
        <v>240.485011363274</v>
      </c>
      <c r="G1120" t="n">
        <v>524.90864673667</v>
      </c>
      <c r="H1120" t="n">
        <v>70.5244507862663</v>
      </c>
      <c r="I1120" t="n">
        <v>146.391506047696</v>
      </c>
      <c r="J1120" t="n">
        <v>371.376572476189</v>
      </c>
      <c r="K1120" t="n">
        <v>146.228101487209</v>
      </c>
      <c r="L1120" t="n">
        <v>457.244310016153</v>
      </c>
      <c r="M1120" t="n">
        <v>603.330024312138</v>
      </c>
      <c r="N1120" t="n">
        <v>231.191429756945</v>
      </c>
      <c r="O1120" t="n">
        <v>556.13429892515</v>
      </c>
      <c r="P1120" t="n">
        <v>209.756603917301</v>
      </c>
    </row>
    <row r="1121">
      <c r="A1121" s="1" t="n">
        <v>3616308110289</v>
      </c>
      <c r="B1121" t="inlineStr">
        <is>
          <t>GUCCI BM EDP 30ML GAL VP 24IV</t>
        </is>
      </c>
      <c r="C1121" t="inlineStr">
        <is>
          <t>P_US_ULTA</t>
        </is>
      </c>
      <c r="D1121" t="inlineStr">
        <is>
          <t>Stat Fcst Theta</t>
        </is>
      </c>
    </row>
    <row r="1122">
      <c r="A1122" s="1" t="n">
        <v>3616308110289</v>
      </c>
      <c r="B1122" t="inlineStr">
        <is>
          <t>GUCCI BM EDP 30ML GAL VP 24IV</t>
        </is>
      </c>
      <c r="C1122" t="inlineStr">
        <is>
          <t>P_US_ULTA</t>
        </is>
      </c>
      <c r="D1122" t="inlineStr">
        <is>
          <t>System ML Fcst L1</t>
        </is>
      </c>
    </row>
    <row r="1123">
      <c r="A1123" s="1" t="n">
        <v>3616308110289</v>
      </c>
      <c r="B1123" t="inlineStr">
        <is>
          <t>GUCCI BM EDP 30ML GAL VP 24IV</t>
        </is>
      </c>
      <c r="C1123" t="inlineStr">
        <is>
          <t>P_US_ULTA</t>
        </is>
      </c>
      <c r="D1123" t="inlineStr">
        <is>
          <t>Stat Fcst Simple Snaive</t>
        </is>
      </c>
      <c r="E1123" t="n">
        <v>161.999994218349</v>
      </c>
      <c r="F1123" t="n">
        <v>247.499992623925</v>
      </c>
      <c r="G1123" t="n">
        <v>493.500003676861</v>
      </c>
      <c r="H1123" t="n">
        <v>100.999991903702</v>
      </c>
      <c r="I1123" t="n">
        <v>164.000001221895</v>
      </c>
      <c r="J1123" t="n">
        <v>381.999988297621</v>
      </c>
      <c r="K1123" t="n">
        <v>150.999995499849</v>
      </c>
      <c r="L1123" t="n">
        <v>456.889383951822</v>
      </c>
      <c r="M1123" t="n">
        <v>598.974794895207</v>
      </c>
      <c r="N1123" t="n">
        <v>224.00000333786</v>
      </c>
      <c r="O1123" t="n">
        <v>543.999978701273</v>
      </c>
      <c r="P1123" t="n">
        <v>194.666668117046</v>
      </c>
    </row>
    <row r="1124">
      <c r="A1124" s="1" t="n">
        <v>3616308110289</v>
      </c>
      <c r="B1124" t="inlineStr">
        <is>
          <t>GUCCI BM EDP 30ML GAL VP 24IV</t>
        </is>
      </c>
      <c r="C1124" t="inlineStr">
        <is>
          <t>P_US_ULTA</t>
        </is>
      </c>
      <c r="D1124" t="inlineStr">
        <is>
          <t>Stat Fcst Simple AOA</t>
        </is>
      </c>
    </row>
    <row r="1125">
      <c r="A1125" s="1" t="n">
        <v>3616308110289</v>
      </c>
      <c r="B1125" t="inlineStr">
        <is>
          <t>GUCCI BM EDP 30ML GAL VP 24IV</t>
        </is>
      </c>
      <c r="C1125" t="inlineStr">
        <is>
          <t>P_US_ULTA</t>
        </is>
      </c>
      <c r="D1125" t="inlineStr">
        <is>
          <t>Stat Fcst Weighted Snaive</t>
        </is>
      </c>
    </row>
    <row r="1126">
      <c r="A1126" s="1" t="n">
        <v>3616308110289</v>
      </c>
      <c r="B1126" t="inlineStr">
        <is>
          <t>GUCCI BM EDP 30ML GAL VP 24IV</t>
        </is>
      </c>
      <c r="C1126" t="inlineStr">
        <is>
          <t>P_US_ULTA</t>
        </is>
      </c>
      <c r="D1126" t="inlineStr">
        <is>
          <t>Stat Fcst Weighted AOA</t>
        </is>
      </c>
    </row>
    <row r="1127">
      <c r="A1127" s="1" t="n">
        <v>3616308110289</v>
      </c>
      <c r="B1127" t="inlineStr">
        <is>
          <t>GUCCI BM EDP 30ML GAL VP 24IV</t>
        </is>
      </c>
      <c r="C1127" t="inlineStr">
        <is>
          <t>P_US_ULTA</t>
        </is>
      </c>
      <c r="D1127" t="inlineStr">
        <is>
          <t>Stat Fcst Growth Snaive</t>
        </is>
      </c>
    </row>
    <row r="1128">
      <c r="A1128" s="1" t="n">
        <v>3616308110289</v>
      </c>
      <c r="B1128" t="inlineStr">
        <is>
          <t>GUCCI BM EDP 30ML GAL VP 24IV</t>
        </is>
      </c>
      <c r="C1128" t="inlineStr">
        <is>
          <t>P_US_ULTA</t>
        </is>
      </c>
      <c r="D1128" t="inlineStr">
        <is>
          <t>Stat Fcst Growth AOA</t>
        </is>
      </c>
    </row>
    <row r="1129">
      <c r="A1129" s="1" t="n">
        <v>3616308110289</v>
      </c>
      <c r="B1129" t="inlineStr">
        <is>
          <t>GUCCI BM EDP 30ML GAL VP 24IV</t>
        </is>
      </c>
      <c r="C1129" t="inlineStr">
        <is>
          <t>P_US_ULTA</t>
        </is>
      </c>
      <c r="D1129" t="inlineStr">
        <is>
          <t>System Stat Fcst Bestfit</t>
        </is>
      </c>
      <c r="H1129" t="n">
        <v>70.5244501076802</v>
      </c>
      <c r="I1129" t="n">
        <v>146.391495841678</v>
      </c>
      <c r="J1129" t="n">
        <v>371.3765453286</v>
      </c>
      <c r="K1129" t="n">
        <v>146.228099279758</v>
      </c>
      <c r="L1129" t="n">
        <v>457.244323730468</v>
      </c>
      <c r="M1129" t="n">
        <v>603.329999109208</v>
      </c>
      <c r="N1129" t="n">
        <v>231.191440212599</v>
      </c>
      <c r="O1129" t="n">
        <v>556.134260769657</v>
      </c>
      <c r="P1129" t="n">
        <v>209.756608618472</v>
      </c>
    </row>
    <row r="1130">
      <c r="A1130" s="1" t="n">
        <v>3616308110302</v>
      </c>
      <c r="B1130" t="inlineStr">
        <is>
          <t>GUCCI BM EDP 100 ML IV</t>
        </is>
      </c>
      <c r="C1130" t="inlineStr">
        <is>
          <t>P_US_ALL_OTHERS</t>
        </is>
      </c>
      <c r="D1130" t="inlineStr">
        <is>
          <t>Stat Fcst L1</t>
        </is>
      </c>
      <c r="E1130" t="n">
        <v>3759.99988794326</v>
      </c>
      <c r="F1130" t="n">
        <v>1740.99994811415</v>
      </c>
      <c r="G1130" t="n">
        <v>3522</v>
      </c>
      <c r="H1130" t="n">
        <v>5456</v>
      </c>
      <c r="I1130" t="n">
        <v>1178</v>
      </c>
      <c r="J1130" t="n">
        <v>3596</v>
      </c>
      <c r="K1130" t="n">
        <v>80</v>
      </c>
      <c r="L1130" t="n">
        <v>752</v>
      </c>
      <c r="M1130" t="n">
        <v>3122</v>
      </c>
      <c r="N1130" t="n">
        <v>972</v>
      </c>
      <c r="O1130" t="n">
        <v>2077</v>
      </c>
      <c r="P1130" t="n">
        <v>1397</v>
      </c>
    </row>
    <row r="1131">
      <c r="A1131" s="1" t="n">
        <v>3616308110302</v>
      </c>
      <c r="B1131" t="inlineStr">
        <is>
          <t>GUCCI BM EDP 100 ML IV</t>
        </is>
      </c>
      <c r="C1131" t="inlineStr">
        <is>
          <t>P_US_ALL_OTHERS</t>
        </is>
      </c>
      <c r="D1131" t="inlineStr">
        <is>
          <t>Stat Fcst AR-NNET</t>
        </is>
      </c>
    </row>
    <row r="1132">
      <c r="A1132" s="1" t="n">
        <v>3616308110302</v>
      </c>
      <c r="B1132" t="inlineStr">
        <is>
          <t>GUCCI BM EDP 100 ML IV</t>
        </is>
      </c>
      <c r="C1132" t="inlineStr">
        <is>
          <t>P_US_ALL_OTHERS</t>
        </is>
      </c>
      <c r="D1132" t="inlineStr">
        <is>
          <t>Stat Fcst Auto ARIMA</t>
        </is>
      </c>
    </row>
    <row r="1133">
      <c r="A1133" s="1" t="n">
        <v>3616308110302</v>
      </c>
      <c r="B1133" t="inlineStr">
        <is>
          <t>GUCCI BM EDP 100 ML IV</t>
        </is>
      </c>
      <c r="C1133" t="inlineStr">
        <is>
          <t>P_US_ALL_OTHERS</t>
        </is>
      </c>
      <c r="D1133" t="inlineStr">
        <is>
          <t>Stat Fcst Croston</t>
        </is>
      </c>
    </row>
    <row r="1134">
      <c r="A1134" s="1" t="n">
        <v>3616308110302</v>
      </c>
      <c r="B1134" t="inlineStr">
        <is>
          <t>GUCCI BM EDP 100 ML IV</t>
        </is>
      </c>
      <c r="C1134" t="inlineStr">
        <is>
          <t>P_US_ALL_OTHERS</t>
        </is>
      </c>
      <c r="D1134" t="inlineStr">
        <is>
          <t>Stat Fcst DES</t>
        </is>
      </c>
    </row>
    <row r="1135">
      <c r="A1135" s="1" t="n">
        <v>3616308110302</v>
      </c>
      <c r="B1135" t="inlineStr">
        <is>
          <t>GUCCI BM EDP 100 ML IV</t>
        </is>
      </c>
      <c r="C1135" t="inlineStr">
        <is>
          <t>P_US_ALL_OTHERS</t>
        </is>
      </c>
      <c r="D1135" t="inlineStr">
        <is>
          <t>Stat Fcst ETS</t>
        </is>
      </c>
    </row>
    <row r="1136">
      <c r="A1136" s="1" t="n">
        <v>3616308110302</v>
      </c>
      <c r="B1136" t="inlineStr">
        <is>
          <t>GUCCI BM EDP 100 ML IV</t>
        </is>
      </c>
      <c r="C1136" t="inlineStr">
        <is>
          <t>P_US_ALL_OTHERS</t>
        </is>
      </c>
      <c r="D1136" t="inlineStr">
        <is>
          <t>Stat Fcst Moving Average</t>
        </is>
      </c>
    </row>
    <row r="1137">
      <c r="A1137" s="1" t="n">
        <v>3616308110302</v>
      </c>
      <c r="B1137" t="inlineStr">
        <is>
          <t>GUCCI BM EDP 100 ML IV</t>
        </is>
      </c>
      <c r="C1137" t="inlineStr">
        <is>
          <t>P_US_ALL_OTHERS</t>
        </is>
      </c>
      <c r="D1137" t="inlineStr">
        <is>
          <t>Stat Fcst Naive Random Walk</t>
        </is>
      </c>
    </row>
    <row r="1138">
      <c r="A1138" s="1" t="n">
        <v>3616308110302</v>
      </c>
      <c r="B1138" t="inlineStr">
        <is>
          <t>GUCCI BM EDP 100 ML IV</t>
        </is>
      </c>
      <c r="C1138" t="inlineStr">
        <is>
          <t>P_US_ALL_OTHERS</t>
        </is>
      </c>
      <c r="D1138" t="inlineStr">
        <is>
          <t>Stat Fcst Prophet</t>
        </is>
      </c>
    </row>
    <row r="1139">
      <c r="A1139" s="1" t="n">
        <v>3616308110302</v>
      </c>
      <c r="B1139" t="inlineStr">
        <is>
          <t>GUCCI BM EDP 100 ML IV</t>
        </is>
      </c>
      <c r="C1139" t="inlineStr">
        <is>
          <t>P_US_ALL_OTHERS</t>
        </is>
      </c>
      <c r="D1139" t="inlineStr">
        <is>
          <t>Stat Fcst sARIMA</t>
        </is>
      </c>
    </row>
    <row r="1140">
      <c r="A1140" s="1" t="n">
        <v>3616308110302</v>
      </c>
      <c r="B1140" t="inlineStr">
        <is>
          <t>GUCCI BM EDP 100 ML IV</t>
        </is>
      </c>
      <c r="C1140" t="inlineStr">
        <is>
          <t>P_US_ALL_OTHERS</t>
        </is>
      </c>
      <c r="D1140" t="inlineStr">
        <is>
          <t>Stat Fcst Seasonal Naive YoY</t>
        </is>
      </c>
    </row>
    <row r="1141">
      <c r="A1141" s="1" t="n">
        <v>3616308110302</v>
      </c>
      <c r="B1141" t="inlineStr">
        <is>
          <t>GUCCI BM EDP 100 ML IV</t>
        </is>
      </c>
      <c r="C1141" t="inlineStr">
        <is>
          <t>P_US_ALL_OTHERS</t>
        </is>
      </c>
      <c r="D1141" t="inlineStr">
        <is>
          <t>Stat Fcst SES</t>
        </is>
      </c>
    </row>
    <row r="1142">
      <c r="A1142" s="1" t="n">
        <v>3616308110302</v>
      </c>
      <c r="B1142" t="inlineStr">
        <is>
          <t>GUCCI BM EDP 100 ML IV</t>
        </is>
      </c>
      <c r="C1142" t="inlineStr">
        <is>
          <t>P_US_ALL_OTHERS</t>
        </is>
      </c>
      <c r="D1142" t="inlineStr">
        <is>
          <t>Stat Fcst STLF</t>
        </is>
      </c>
      <c r="E1142" t="n">
        <v>3632.54748950942</v>
      </c>
      <c r="F1142" t="n">
        <v>1833.36768658894</v>
      </c>
      <c r="G1142" t="n">
        <v>3704.10757696915</v>
      </c>
      <c r="H1142" t="n">
        <v>5454.43326134598</v>
      </c>
      <c r="I1142" t="n">
        <v>1178.80483922929</v>
      </c>
      <c r="J1142" t="n">
        <v>3594.54684205136</v>
      </c>
      <c r="K1142" t="n">
        <v>79.99999761581419</v>
      </c>
      <c r="L1142" t="n">
        <v>750.737443567406</v>
      </c>
      <c r="M1142" t="n">
        <v>3120.45130270377</v>
      </c>
      <c r="N1142" t="n">
        <v>971.247456677283</v>
      </c>
      <c r="O1142" t="n">
        <v>2077.8644232734</v>
      </c>
      <c r="P1142" t="n">
        <v>1396.51465278562</v>
      </c>
    </row>
    <row r="1143">
      <c r="A1143" s="1" t="n">
        <v>3616308110302</v>
      </c>
      <c r="B1143" t="inlineStr">
        <is>
          <t>GUCCI BM EDP 100 ML IV</t>
        </is>
      </c>
      <c r="C1143" t="inlineStr">
        <is>
          <t>P_US_ALL_OTHERS</t>
        </is>
      </c>
      <c r="D1143" t="inlineStr">
        <is>
          <t>Stat Fcst TBATS</t>
        </is>
      </c>
    </row>
    <row r="1144">
      <c r="A1144" s="1" t="n">
        <v>3616308110302</v>
      </c>
      <c r="B1144" t="inlineStr">
        <is>
          <t>GUCCI BM EDP 100 ML IV</t>
        </is>
      </c>
      <c r="C1144" t="inlineStr">
        <is>
          <t>P_US_ALL_OTHERS</t>
        </is>
      </c>
      <c r="D1144" t="inlineStr">
        <is>
          <t>Stat Fcst TES</t>
        </is>
      </c>
      <c r="E1144" t="n">
        <v>3206.05082204182</v>
      </c>
      <c r="F1144" t="n">
        <v>1898.33314010244</v>
      </c>
      <c r="G1144" t="n">
        <v>2325.35630254202</v>
      </c>
      <c r="H1144" t="n">
        <v>4173.45671048009</v>
      </c>
      <c r="I1144" t="n">
        <v>1468.43546668479</v>
      </c>
      <c r="J1144" t="n">
        <v>2361.26484359106</v>
      </c>
      <c r="K1144" t="n">
        <v>982.105451601584</v>
      </c>
      <c r="L1144" t="n">
        <v>1776.09463253611</v>
      </c>
      <c r="M1144" t="n">
        <v>2393.41004971887</v>
      </c>
      <c r="N1144" t="n">
        <v>1260.00054084727</v>
      </c>
      <c r="O1144" t="n">
        <v>1505.8990298461</v>
      </c>
      <c r="P1144" t="n">
        <v>1440.28443832798</v>
      </c>
    </row>
    <row r="1145">
      <c r="A1145" s="1" t="n">
        <v>3616308110302</v>
      </c>
      <c r="B1145" t="inlineStr">
        <is>
          <t>GUCCI BM EDP 100 ML IV</t>
        </is>
      </c>
      <c r="C1145" t="inlineStr">
        <is>
          <t>P_US_ALL_OTHERS</t>
        </is>
      </c>
      <c r="D1145" t="inlineStr">
        <is>
          <t>Stat Fcst Theta</t>
        </is>
      </c>
    </row>
    <row r="1146">
      <c r="A1146" s="1" t="n">
        <v>3616308110302</v>
      </c>
      <c r="B1146" t="inlineStr">
        <is>
          <t>GUCCI BM EDP 100 ML IV</t>
        </is>
      </c>
      <c r="C1146" t="inlineStr">
        <is>
          <t>P_US_ALL_OTHERS</t>
        </is>
      </c>
      <c r="D1146" t="inlineStr">
        <is>
          <t>System ML Fcst L1</t>
        </is>
      </c>
    </row>
    <row r="1147">
      <c r="A1147" s="1" t="n">
        <v>3616308110302</v>
      </c>
      <c r="B1147" t="inlineStr">
        <is>
          <t>GUCCI BM EDP 100 ML IV</t>
        </is>
      </c>
      <c r="C1147" t="inlineStr">
        <is>
          <t>P_US_ALL_OTHERS</t>
        </is>
      </c>
      <c r="D1147" t="inlineStr">
        <is>
          <t>Stat Fcst Simple Snaive</t>
        </is>
      </c>
      <c r="E1147" t="n">
        <v>3176.49978326261</v>
      </c>
      <c r="F1147" t="n">
        <v>2039.9998781681</v>
      </c>
      <c r="G1147" t="n">
        <v>3503.00002609938</v>
      </c>
      <c r="H1147" t="n">
        <v>3924.33321637908</v>
      </c>
      <c r="I1147" t="n">
        <v>1294.33334297686</v>
      </c>
      <c r="J1147" t="n">
        <v>2207.66660087307</v>
      </c>
      <c r="K1147" t="n">
        <v>861.333307663599</v>
      </c>
      <c r="L1147" t="n">
        <v>1695.66666666666</v>
      </c>
      <c r="M1147" t="n">
        <v>2311.99993109703</v>
      </c>
      <c r="N1147" t="n">
        <v>1230.00001832842</v>
      </c>
      <c r="O1147" t="n">
        <v>1372.99995908141</v>
      </c>
      <c r="P1147" t="n">
        <v>1427.33334396779</v>
      </c>
    </row>
    <row r="1148">
      <c r="A1148" s="1" t="n">
        <v>3616308110302</v>
      </c>
      <c r="B1148" t="inlineStr">
        <is>
          <t>GUCCI BM EDP 100 ML IV</t>
        </is>
      </c>
      <c r="C1148" t="inlineStr">
        <is>
          <t>P_US_ALL_OTHERS</t>
        </is>
      </c>
      <c r="D1148" t="inlineStr">
        <is>
          <t>Stat Fcst Simple AOA</t>
        </is>
      </c>
    </row>
    <row r="1149">
      <c r="A1149" s="1" t="n">
        <v>3616308110302</v>
      </c>
      <c r="B1149" t="inlineStr">
        <is>
          <t>GUCCI BM EDP 100 ML IV</t>
        </is>
      </c>
      <c r="C1149" t="inlineStr">
        <is>
          <t>P_US_ALL_OTHERS</t>
        </is>
      </c>
      <c r="D1149" t="inlineStr">
        <is>
          <t>Stat Fcst Weighted Snaive</t>
        </is>
      </c>
    </row>
    <row r="1150">
      <c r="A1150" s="1" t="n">
        <v>3616308110302</v>
      </c>
      <c r="B1150" t="inlineStr">
        <is>
          <t>GUCCI BM EDP 100 ML IV</t>
        </is>
      </c>
      <c r="C1150" t="inlineStr">
        <is>
          <t>P_US_ALL_OTHERS</t>
        </is>
      </c>
      <c r="D1150" t="inlineStr">
        <is>
          <t>Stat Fcst Weighted AOA</t>
        </is>
      </c>
    </row>
    <row r="1151">
      <c r="A1151" s="1" t="n">
        <v>3616308110302</v>
      </c>
      <c r="B1151" t="inlineStr">
        <is>
          <t>GUCCI BM EDP 100 ML IV</t>
        </is>
      </c>
      <c r="C1151" t="inlineStr">
        <is>
          <t>P_US_ALL_OTHERS</t>
        </is>
      </c>
      <c r="D1151" t="inlineStr">
        <is>
          <t>Stat Fcst Growth Snaive</t>
        </is>
      </c>
    </row>
    <row r="1152">
      <c r="A1152" s="1" t="n">
        <v>3616308110302</v>
      </c>
      <c r="B1152" t="inlineStr">
        <is>
          <t>GUCCI BM EDP 100 ML IV</t>
        </is>
      </c>
      <c r="C1152" t="inlineStr">
        <is>
          <t>P_US_ALL_OTHERS</t>
        </is>
      </c>
      <c r="D1152" t="inlineStr">
        <is>
          <t>Stat Fcst Growth AOA</t>
        </is>
      </c>
    </row>
    <row r="1153">
      <c r="A1153" s="1" t="n">
        <v>3616308110302</v>
      </c>
      <c r="B1153" t="inlineStr">
        <is>
          <t>GUCCI BM EDP 100 ML IV</t>
        </is>
      </c>
      <c r="C1153" t="inlineStr">
        <is>
          <t>P_US_ALL_OTHERS</t>
        </is>
      </c>
      <c r="D1153" t="inlineStr">
        <is>
          <t>System Stat Fcst Bestfit</t>
        </is>
      </c>
      <c r="H1153" t="n">
        <v>5454.43343119521</v>
      </c>
      <c r="I1153" t="n">
        <v>1178.8049404234</v>
      </c>
      <c r="J1153" t="n">
        <v>3594.54676787415</v>
      </c>
      <c r="K1153" t="n">
        <v>79.99999761581419</v>
      </c>
      <c r="L1153" t="n">
        <v>750.737426757812</v>
      </c>
      <c r="M1153" t="n">
        <v>3120.45132301892</v>
      </c>
      <c r="N1153" t="n">
        <v>971.247450996152</v>
      </c>
      <c r="O1153" t="n">
        <v>2077.86444002793</v>
      </c>
      <c r="P1153" t="n">
        <v>1396.51465884234</v>
      </c>
    </row>
    <row r="1154">
      <c r="A1154" s="1" t="n">
        <v>3616308110302</v>
      </c>
      <c r="B1154" t="inlineStr">
        <is>
          <t>GUCCI BM EDP 100 ML IV</t>
        </is>
      </c>
      <c r="C1154" t="inlineStr">
        <is>
          <t>P_US_ULTA</t>
        </is>
      </c>
      <c r="D1154" t="inlineStr">
        <is>
          <t>Stat Fcst L1</t>
        </is>
      </c>
      <c r="E1154" t="n">
        <v>128.9999961555</v>
      </c>
      <c r="F1154" t="n">
        <v>395.99998819828</v>
      </c>
      <c r="G1154" t="n">
        <v>356</v>
      </c>
      <c r="H1154" t="n">
        <v>558</v>
      </c>
      <c r="I1154" t="n">
        <v>592</v>
      </c>
      <c r="J1154" t="n">
        <v>390</v>
      </c>
      <c r="K1154" t="n">
        <v>288</v>
      </c>
      <c r="L1154" t="n">
        <v>604</v>
      </c>
      <c r="M1154" t="n">
        <v>1094</v>
      </c>
      <c r="N1154" t="n">
        <v>1191</v>
      </c>
      <c r="O1154" t="n">
        <v>473</v>
      </c>
      <c r="P1154" t="n">
        <v>129</v>
      </c>
    </row>
    <row r="1155">
      <c r="A1155" s="1" t="n">
        <v>3616308110302</v>
      </c>
      <c r="B1155" t="inlineStr">
        <is>
          <t>GUCCI BM EDP 100 ML IV</t>
        </is>
      </c>
      <c r="C1155" t="inlineStr">
        <is>
          <t>P_US_ULTA</t>
        </is>
      </c>
      <c r="D1155" t="inlineStr">
        <is>
          <t>Stat Fcst AR-NNET</t>
        </is>
      </c>
    </row>
    <row r="1156">
      <c r="A1156" s="1" t="n">
        <v>3616308110302</v>
      </c>
      <c r="B1156" t="inlineStr">
        <is>
          <t>GUCCI BM EDP 100 ML IV</t>
        </is>
      </c>
      <c r="C1156" t="inlineStr">
        <is>
          <t>P_US_ULTA</t>
        </is>
      </c>
      <c r="D1156" t="inlineStr">
        <is>
          <t>Stat Fcst Auto ARIMA</t>
        </is>
      </c>
    </row>
    <row r="1157">
      <c r="A1157" s="1" t="n">
        <v>3616308110302</v>
      </c>
      <c r="B1157" t="inlineStr">
        <is>
          <t>GUCCI BM EDP 100 ML IV</t>
        </is>
      </c>
      <c r="C1157" t="inlineStr">
        <is>
          <t>P_US_ULTA</t>
        </is>
      </c>
      <c r="D1157" t="inlineStr">
        <is>
          <t>Stat Fcst Croston</t>
        </is>
      </c>
    </row>
    <row r="1158">
      <c r="A1158" s="1" t="n">
        <v>3616308110302</v>
      </c>
      <c r="B1158" t="inlineStr">
        <is>
          <t>GUCCI BM EDP 100 ML IV</t>
        </is>
      </c>
      <c r="C1158" t="inlineStr">
        <is>
          <t>P_US_ULTA</t>
        </is>
      </c>
      <c r="D1158" t="inlineStr">
        <is>
          <t>Stat Fcst DES</t>
        </is>
      </c>
    </row>
    <row r="1159">
      <c r="A1159" s="1" t="n">
        <v>3616308110302</v>
      </c>
      <c r="B1159" t="inlineStr">
        <is>
          <t>GUCCI BM EDP 100 ML IV</t>
        </is>
      </c>
      <c r="C1159" t="inlineStr">
        <is>
          <t>P_US_ULTA</t>
        </is>
      </c>
      <c r="D1159" t="inlineStr">
        <is>
          <t>Stat Fcst ETS</t>
        </is>
      </c>
    </row>
    <row r="1160">
      <c r="A1160" s="1" t="n">
        <v>3616308110302</v>
      </c>
      <c r="B1160" t="inlineStr">
        <is>
          <t>GUCCI BM EDP 100 ML IV</t>
        </is>
      </c>
      <c r="C1160" t="inlineStr">
        <is>
          <t>P_US_ULTA</t>
        </is>
      </c>
      <c r="D1160" t="inlineStr">
        <is>
          <t>Stat Fcst Moving Average</t>
        </is>
      </c>
    </row>
    <row r="1161">
      <c r="A1161" s="1" t="n">
        <v>3616308110302</v>
      </c>
      <c r="B1161" t="inlineStr">
        <is>
          <t>GUCCI BM EDP 100 ML IV</t>
        </is>
      </c>
      <c r="C1161" t="inlineStr">
        <is>
          <t>P_US_ULTA</t>
        </is>
      </c>
      <c r="D1161" t="inlineStr">
        <is>
          <t>Stat Fcst Naive Random Walk</t>
        </is>
      </c>
    </row>
    <row r="1162">
      <c r="A1162" s="1" t="n">
        <v>3616308110302</v>
      </c>
      <c r="B1162" t="inlineStr">
        <is>
          <t>GUCCI BM EDP 100 ML IV</t>
        </is>
      </c>
      <c r="C1162" t="inlineStr">
        <is>
          <t>P_US_ULTA</t>
        </is>
      </c>
      <c r="D1162" t="inlineStr">
        <is>
          <t>Stat Fcst Prophet</t>
        </is>
      </c>
    </row>
    <row r="1163">
      <c r="A1163" s="1" t="n">
        <v>3616308110302</v>
      </c>
      <c r="B1163" t="inlineStr">
        <is>
          <t>GUCCI BM EDP 100 ML IV</t>
        </is>
      </c>
      <c r="C1163" t="inlineStr">
        <is>
          <t>P_US_ULTA</t>
        </is>
      </c>
      <c r="D1163" t="inlineStr">
        <is>
          <t>Stat Fcst sARIMA</t>
        </is>
      </c>
    </row>
    <row r="1164">
      <c r="A1164" s="1" t="n">
        <v>3616308110302</v>
      </c>
      <c r="B1164" t="inlineStr">
        <is>
          <t>GUCCI BM EDP 100 ML IV</t>
        </is>
      </c>
      <c r="C1164" t="inlineStr">
        <is>
          <t>P_US_ULTA</t>
        </is>
      </c>
      <c r="D1164" t="inlineStr">
        <is>
          <t>Stat Fcst Seasonal Naive YoY</t>
        </is>
      </c>
    </row>
    <row r="1165">
      <c r="A1165" s="1" t="n">
        <v>3616308110302</v>
      </c>
      <c r="B1165" t="inlineStr">
        <is>
          <t>GUCCI BM EDP 100 ML IV</t>
        </is>
      </c>
      <c r="C1165" t="inlineStr">
        <is>
          <t>P_US_ULTA</t>
        </is>
      </c>
      <c r="D1165" t="inlineStr">
        <is>
          <t>Stat Fcst SES</t>
        </is>
      </c>
    </row>
    <row r="1166">
      <c r="A1166" s="1" t="n">
        <v>3616308110302</v>
      </c>
      <c r="B1166" t="inlineStr">
        <is>
          <t>GUCCI BM EDP 100 ML IV</t>
        </is>
      </c>
      <c r="C1166" t="inlineStr">
        <is>
          <t>P_US_ULTA</t>
        </is>
      </c>
      <c r="D1166" t="inlineStr">
        <is>
          <t>Stat Fcst STLF</t>
        </is>
      </c>
      <c r="E1166" t="n">
        <v>54.0905237236413</v>
      </c>
      <c r="F1166" t="n">
        <v>416.362725956898</v>
      </c>
      <c r="G1166" t="n">
        <v>650.201974125228</v>
      </c>
      <c r="H1166" t="n">
        <v>80.07112349751711</v>
      </c>
      <c r="I1166" t="n">
        <v>457.533403156163</v>
      </c>
      <c r="J1166" t="n">
        <v>729.497961735059</v>
      </c>
      <c r="K1166" t="n">
        <v>476.356441896317</v>
      </c>
      <c r="L1166" t="n">
        <v>893.593436502774</v>
      </c>
      <c r="M1166" t="n">
        <v>552.839017141151</v>
      </c>
      <c r="N1166" t="n">
        <v>452.801648874215</v>
      </c>
      <c r="O1166" t="n">
        <v>353.032053615645</v>
      </c>
      <c r="P1166" t="n">
        <v>288.759256751434</v>
      </c>
    </row>
    <row r="1167">
      <c r="A1167" s="1" t="n">
        <v>3616308110302</v>
      </c>
      <c r="B1167" t="inlineStr">
        <is>
          <t>GUCCI BM EDP 100 ML IV</t>
        </is>
      </c>
      <c r="C1167" t="inlineStr">
        <is>
          <t>P_US_ULTA</t>
        </is>
      </c>
      <c r="D1167" t="inlineStr">
        <is>
          <t>Stat Fcst TBATS</t>
        </is>
      </c>
    </row>
    <row r="1168">
      <c r="A1168" s="1" t="n">
        <v>3616308110302</v>
      </c>
      <c r="B1168" t="inlineStr">
        <is>
          <t>GUCCI BM EDP 100 ML IV</t>
        </is>
      </c>
      <c r="C1168" t="inlineStr">
        <is>
          <t>P_US_ULTA</t>
        </is>
      </c>
      <c r="D1168" t="inlineStr">
        <is>
          <t>Stat Fcst TES</t>
        </is>
      </c>
      <c r="E1168" t="n">
        <v>44.8795690529936</v>
      </c>
      <c r="F1168" t="n">
        <v>243.733398504516</v>
      </c>
      <c r="G1168" t="n">
        <v>823.388652865928</v>
      </c>
      <c r="H1168" t="n">
        <v>557.354228793118</v>
      </c>
      <c r="I1168" t="n">
        <v>590.178118348506</v>
      </c>
      <c r="J1168" t="n">
        <v>390.338249363449</v>
      </c>
      <c r="K1168" t="n">
        <v>286.741568057412</v>
      </c>
      <c r="L1168" t="n">
        <v>603.315644989566</v>
      </c>
      <c r="M1168" t="n">
        <v>1095.28972391916</v>
      </c>
      <c r="N1168" t="n">
        <v>1190.95988047289</v>
      </c>
      <c r="O1168" t="n">
        <v>472.197670703952</v>
      </c>
      <c r="P1168" t="n">
        <v>129.541419619921</v>
      </c>
    </row>
    <row r="1169">
      <c r="A1169" s="1" t="n">
        <v>3616308110302</v>
      </c>
      <c r="B1169" t="inlineStr">
        <is>
          <t>GUCCI BM EDP 100 ML IV</t>
        </is>
      </c>
      <c r="C1169" t="inlineStr">
        <is>
          <t>P_US_ULTA</t>
        </is>
      </c>
      <c r="D1169" t="inlineStr">
        <is>
          <t>Stat Fcst Theta</t>
        </is>
      </c>
    </row>
    <row r="1170">
      <c r="A1170" s="1" t="n">
        <v>3616308110302</v>
      </c>
      <c r="B1170" t="inlineStr">
        <is>
          <t>GUCCI BM EDP 100 ML IV</t>
        </is>
      </c>
      <c r="C1170" t="inlineStr">
        <is>
          <t>P_US_ULTA</t>
        </is>
      </c>
      <c r="D1170" t="inlineStr">
        <is>
          <t>System ML Fcst L1</t>
        </is>
      </c>
    </row>
    <row r="1171">
      <c r="A1171" s="1" t="n">
        <v>3616308110302</v>
      </c>
      <c r="B1171" t="inlineStr">
        <is>
          <t>GUCCI BM EDP 100 ML IV</t>
        </is>
      </c>
      <c r="C1171" t="inlineStr">
        <is>
          <t>P_US_ULTA</t>
        </is>
      </c>
      <c r="D1171" t="inlineStr">
        <is>
          <t>Stat Fcst Simple Snaive</t>
        </is>
      </c>
      <c r="E1171" t="n">
        <v>92.9999962747097</v>
      </c>
      <c r="F1171" t="n">
        <v>308.999990791082</v>
      </c>
      <c r="G1171" t="n">
        <v>882.000006571412</v>
      </c>
      <c r="H1171" t="n">
        <v>600.999982088804</v>
      </c>
      <c r="I1171" t="n">
        <v>587.00000437349</v>
      </c>
      <c r="J1171" t="n">
        <v>386.999988148609</v>
      </c>
      <c r="K1171" t="n">
        <v>283.666658212741</v>
      </c>
      <c r="L1171" t="n">
        <v>615</v>
      </c>
      <c r="M1171" t="n">
        <v>1117.99993616342</v>
      </c>
      <c r="N1171" t="n">
        <v>1173.00001747906</v>
      </c>
      <c r="O1171" t="n">
        <v>480.999975492557</v>
      </c>
      <c r="P1171" t="n">
        <v>143.000001065433</v>
      </c>
    </row>
    <row r="1172">
      <c r="A1172" s="1" t="n">
        <v>3616308110302</v>
      </c>
      <c r="B1172" t="inlineStr">
        <is>
          <t>GUCCI BM EDP 100 ML IV</t>
        </is>
      </c>
      <c r="C1172" t="inlineStr">
        <is>
          <t>P_US_ULTA</t>
        </is>
      </c>
      <c r="D1172" t="inlineStr">
        <is>
          <t>Stat Fcst Simple AOA</t>
        </is>
      </c>
    </row>
    <row r="1173">
      <c r="A1173" s="1" t="n">
        <v>3616308110302</v>
      </c>
      <c r="B1173" t="inlineStr">
        <is>
          <t>GUCCI BM EDP 100 ML IV</t>
        </is>
      </c>
      <c r="C1173" t="inlineStr">
        <is>
          <t>P_US_ULTA</t>
        </is>
      </c>
      <c r="D1173" t="inlineStr">
        <is>
          <t>Stat Fcst Weighted Snaive</t>
        </is>
      </c>
    </row>
    <row r="1174">
      <c r="A1174" s="1" t="n">
        <v>3616308110302</v>
      </c>
      <c r="B1174" t="inlineStr">
        <is>
          <t>GUCCI BM EDP 100 ML IV</t>
        </is>
      </c>
      <c r="C1174" t="inlineStr">
        <is>
          <t>P_US_ULTA</t>
        </is>
      </c>
      <c r="D1174" t="inlineStr">
        <is>
          <t>Stat Fcst Weighted AOA</t>
        </is>
      </c>
    </row>
    <row r="1175">
      <c r="A1175" s="1" t="n">
        <v>3616308110302</v>
      </c>
      <c r="B1175" t="inlineStr">
        <is>
          <t>GUCCI BM EDP 100 ML IV</t>
        </is>
      </c>
      <c r="C1175" t="inlineStr">
        <is>
          <t>P_US_ULTA</t>
        </is>
      </c>
      <c r="D1175" t="inlineStr">
        <is>
          <t>Stat Fcst Growth Snaive</t>
        </is>
      </c>
    </row>
    <row r="1176">
      <c r="A1176" s="1" t="n">
        <v>3616308110302</v>
      </c>
      <c r="B1176" t="inlineStr">
        <is>
          <t>GUCCI BM EDP 100 ML IV</t>
        </is>
      </c>
      <c r="C1176" t="inlineStr">
        <is>
          <t>P_US_ULTA</t>
        </is>
      </c>
      <c r="D1176" t="inlineStr">
        <is>
          <t>Stat Fcst Growth AOA</t>
        </is>
      </c>
    </row>
    <row r="1177">
      <c r="A1177" s="1" t="n">
        <v>3616308110302</v>
      </c>
      <c r="B1177" t="inlineStr">
        <is>
          <t>GUCCI BM EDP 100 ML IV</t>
        </is>
      </c>
      <c r="C1177" t="inlineStr">
        <is>
          <t>P_US_ULTA</t>
        </is>
      </c>
      <c r="D1177" t="inlineStr">
        <is>
          <t>System Stat Fcst Bestfit</t>
        </is>
      </c>
      <c r="H1177" t="n">
        <v>557.354231436424</v>
      </c>
      <c r="I1177" t="n">
        <v>590.178104983107</v>
      </c>
      <c r="J1177" t="n">
        <v>390.33824520295</v>
      </c>
      <c r="K1177" t="n">
        <v>286.741538085295</v>
      </c>
      <c r="L1177" t="n">
        <v>603.315673828125</v>
      </c>
      <c r="M1177" t="n">
        <v>1095.28964020938</v>
      </c>
      <c r="N1177" t="n">
        <v>1190.95985661387</v>
      </c>
      <c r="O1177" t="n">
        <v>472.197648280928</v>
      </c>
      <c r="P1177" t="n">
        <v>129.541413318674</v>
      </c>
    </row>
    <row r="1178">
      <c r="A1178" s="1" t="n">
        <v>4064941006657</v>
      </c>
      <c r="B1178" t="inlineStr">
        <is>
          <t>KJ MU M LIQ K SET NEW MDIN808 KYLIE 23IV</t>
        </is>
      </c>
      <c r="C1178" t="inlineStr">
        <is>
          <t>P_US_ALL_OTHERS</t>
        </is>
      </c>
      <c r="D1178" t="inlineStr">
        <is>
          <t>Stat Fcst L1</t>
        </is>
      </c>
      <c r="E1178" t="n">
        <v>290.999991327524</v>
      </c>
      <c r="F1178" t="n">
        <v>328.999990195035</v>
      </c>
      <c r="G1178" t="n">
        <v>660</v>
      </c>
      <c r="H1178" t="n">
        <v>496</v>
      </c>
      <c r="I1178" t="n">
        <v>552</v>
      </c>
      <c r="J1178" t="n">
        <v>540</v>
      </c>
      <c r="K1178" t="n">
        <v>616</v>
      </c>
      <c r="L1178" t="n">
        <v>756</v>
      </c>
      <c r="M1178" t="n">
        <v>660</v>
      </c>
      <c r="N1178" t="n">
        <v>540</v>
      </c>
      <c r="O1178" t="n">
        <v>748</v>
      </c>
      <c r="P1178" t="n">
        <v>429</v>
      </c>
    </row>
    <row r="1179">
      <c r="A1179" s="1" t="n">
        <v>4064941006657</v>
      </c>
      <c r="B1179" t="inlineStr">
        <is>
          <t>KJ MU M LIQ K SET NEW MDIN808 KYLIE 23IV</t>
        </is>
      </c>
      <c r="C1179" t="inlineStr">
        <is>
          <t>P_US_ALL_OTHERS</t>
        </is>
      </c>
      <c r="D1179" t="inlineStr">
        <is>
          <t>Stat Fcst AR-NNET</t>
        </is>
      </c>
    </row>
    <row r="1180">
      <c r="A1180" s="1" t="n">
        <v>4064941006657</v>
      </c>
      <c r="B1180" t="inlineStr">
        <is>
          <t>KJ MU M LIQ K SET NEW MDIN808 KYLIE 23IV</t>
        </is>
      </c>
      <c r="C1180" t="inlineStr">
        <is>
          <t>P_US_ALL_OTHERS</t>
        </is>
      </c>
      <c r="D1180" t="inlineStr">
        <is>
          <t>Stat Fcst Auto ARIMA</t>
        </is>
      </c>
    </row>
    <row r="1181">
      <c r="A1181" s="1" t="n">
        <v>4064941006657</v>
      </c>
      <c r="B1181" t="inlineStr">
        <is>
          <t>KJ MU M LIQ K SET NEW MDIN808 KYLIE 23IV</t>
        </is>
      </c>
      <c r="C1181" t="inlineStr">
        <is>
          <t>P_US_ALL_OTHERS</t>
        </is>
      </c>
      <c r="D1181" t="inlineStr">
        <is>
          <t>Stat Fcst Croston</t>
        </is>
      </c>
    </row>
    <row r="1182">
      <c r="A1182" s="1" t="n">
        <v>4064941006657</v>
      </c>
      <c r="B1182" t="inlineStr">
        <is>
          <t>KJ MU M LIQ K SET NEW MDIN808 KYLIE 23IV</t>
        </is>
      </c>
      <c r="C1182" t="inlineStr">
        <is>
          <t>P_US_ALL_OTHERS</t>
        </is>
      </c>
      <c r="D1182" t="inlineStr">
        <is>
          <t>Stat Fcst DES</t>
        </is>
      </c>
    </row>
    <row r="1183">
      <c r="A1183" s="1" t="n">
        <v>4064941006657</v>
      </c>
      <c r="B1183" t="inlineStr">
        <is>
          <t>KJ MU M LIQ K SET NEW MDIN808 KYLIE 23IV</t>
        </is>
      </c>
      <c r="C1183" t="inlineStr">
        <is>
          <t>P_US_ALL_OTHERS</t>
        </is>
      </c>
      <c r="D1183" t="inlineStr">
        <is>
          <t>Stat Fcst ETS</t>
        </is>
      </c>
    </row>
    <row r="1184">
      <c r="A1184" s="1" t="n">
        <v>4064941006657</v>
      </c>
      <c r="B1184" t="inlineStr">
        <is>
          <t>KJ MU M LIQ K SET NEW MDIN808 KYLIE 23IV</t>
        </is>
      </c>
      <c r="C1184" t="inlineStr">
        <is>
          <t>P_US_ALL_OTHERS</t>
        </is>
      </c>
      <c r="D1184" t="inlineStr">
        <is>
          <t>Stat Fcst Moving Average</t>
        </is>
      </c>
    </row>
    <row r="1185">
      <c r="A1185" s="1" t="n">
        <v>4064941006657</v>
      </c>
      <c r="B1185" t="inlineStr">
        <is>
          <t>KJ MU M LIQ K SET NEW MDIN808 KYLIE 23IV</t>
        </is>
      </c>
      <c r="C1185" t="inlineStr">
        <is>
          <t>P_US_ALL_OTHERS</t>
        </is>
      </c>
      <c r="D1185" t="inlineStr">
        <is>
          <t>Stat Fcst Naive Random Walk</t>
        </is>
      </c>
    </row>
    <row r="1186">
      <c r="A1186" s="1" t="n">
        <v>4064941006657</v>
      </c>
      <c r="B1186" t="inlineStr">
        <is>
          <t>KJ MU M LIQ K SET NEW MDIN808 KYLIE 23IV</t>
        </is>
      </c>
      <c r="C1186" t="inlineStr">
        <is>
          <t>P_US_ALL_OTHERS</t>
        </is>
      </c>
      <c r="D1186" t="inlineStr">
        <is>
          <t>Stat Fcst Prophet</t>
        </is>
      </c>
    </row>
    <row r="1187">
      <c r="A1187" s="1" t="n">
        <v>4064941006657</v>
      </c>
      <c r="B1187" t="inlineStr">
        <is>
          <t>KJ MU M LIQ K SET NEW MDIN808 KYLIE 23IV</t>
        </is>
      </c>
      <c r="C1187" t="inlineStr">
        <is>
          <t>P_US_ALL_OTHERS</t>
        </is>
      </c>
      <c r="D1187" t="inlineStr">
        <is>
          <t>Stat Fcst sARIMA</t>
        </is>
      </c>
    </row>
    <row r="1188">
      <c r="A1188" s="1" t="n">
        <v>4064941006657</v>
      </c>
      <c r="B1188" t="inlineStr">
        <is>
          <t>KJ MU M LIQ K SET NEW MDIN808 KYLIE 23IV</t>
        </is>
      </c>
      <c r="C1188" t="inlineStr">
        <is>
          <t>P_US_ALL_OTHERS</t>
        </is>
      </c>
      <c r="D1188" t="inlineStr">
        <is>
          <t>Stat Fcst Seasonal Naive YoY</t>
        </is>
      </c>
    </row>
    <row r="1189">
      <c r="A1189" s="1" t="n">
        <v>4064941006657</v>
      </c>
      <c r="B1189" t="inlineStr">
        <is>
          <t>KJ MU M LIQ K SET NEW MDIN808 KYLIE 23IV</t>
        </is>
      </c>
      <c r="C1189" t="inlineStr">
        <is>
          <t>P_US_ALL_OTHERS</t>
        </is>
      </c>
      <c r="D1189" t="inlineStr">
        <is>
          <t>Stat Fcst SES</t>
        </is>
      </c>
    </row>
    <row r="1190">
      <c r="A1190" s="1" t="n">
        <v>4064941006657</v>
      </c>
      <c r="B1190" t="inlineStr">
        <is>
          <t>KJ MU M LIQ K SET NEW MDIN808 KYLIE 23IV</t>
        </is>
      </c>
      <c r="C1190" t="inlineStr">
        <is>
          <t>P_US_ALL_OTHERS</t>
        </is>
      </c>
      <c r="D1190" t="inlineStr">
        <is>
          <t>Stat Fcst STLF</t>
        </is>
      </c>
      <c r="E1190" t="n">
        <v>737.615248769966</v>
      </c>
      <c r="F1190" t="n">
        <v>709.181595219822</v>
      </c>
      <c r="G1190" t="n">
        <v>565.996017824663</v>
      </c>
      <c r="H1190" t="n">
        <v>572.530571343883</v>
      </c>
      <c r="I1190" t="n">
        <v>380.000182631068</v>
      </c>
      <c r="J1190" t="n">
        <v>433.029418956644</v>
      </c>
      <c r="K1190" t="n">
        <v>565.961610828275</v>
      </c>
      <c r="L1190" t="n">
        <v>803.165696384406</v>
      </c>
      <c r="M1190" t="n">
        <v>697.586684425718</v>
      </c>
      <c r="N1190" t="n">
        <v>571.174734989682</v>
      </c>
      <c r="O1190" t="n">
        <v>876.122879891662</v>
      </c>
      <c r="P1190" t="n">
        <v>391.393741981944</v>
      </c>
    </row>
    <row r="1191">
      <c r="A1191" s="1" t="n">
        <v>4064941006657</v>
      </c>
      <c r="B1191" t="inlineStr">
        <is>
          <t>KJ MU M LIQ K SET NEW MDIN808 KYLIE 23IV</t>
        </is>
      </c>
      <c r="C1191" t="inlineStr">
        <is>
          <t>P_US_ALL_OTHERS</t>
        </is>
      </c>
      <c r="D1191" t="inlineStr">
        <is>
          <t>Stat Fcst TBATS</t>
        </is>
      </c>
    </row>
    <row r="1192">
      <c r="A1192" s="1" t="n">
        <v>4064941006657</v>
      </c>
      <c r="B1192" t="inlineStr">
        <is>
          <t>KJ MU M LIQ K SET NEW MDIN808 KYLIE 23IV</t>
        </is>
      </c>
      <c r="C1192" t="inlineStr">
        <is>
          <t>P_US_ALL_OTHERS</t>
        </is>
      </c>
      <c r="D1192" t="inlineStr">
        <is>
          <t>Stat Fcst TES</t>
        </is>
      </c>
      <c r="E1192" t="n">
        <v>496.659981699786</v>
      </c>
      <c r="F1192" t="n">
        <v>521.678643394714</v>
      </c>
      <c r="G1192" t="n">
        <v>545.882005752011</v>
      </c>
      <c r="H1192" t="n">
        <v>438.997545298751</v>
      </c>
      <c r="I1192" t="n">
        <v>509.180495884372</v>
      </c>
      <c r="J1192" t="n">
        <v>502.271412009628</v>
      </c>
      <c r="K1192" t="n">
        <v>590.78465615318</v>
      </c>
      <c r="L1192" t="n">
        <v>736.082535886207</v>
      </c>
      <c r="M1192" t="n">
        <v>642.230396631433</v>
      </c>
      <c r="N1192" t="n">
        <v>526.7892988853901</v>
      </c>
      <c r="O1192" t="n">
        <v>739.3511881402681</v>
      </c>
      <c r="P1192" t="n">
        <v>423.632523286284</v>
      </c>
    </row>
    <row r="1193">
      <c r="A1193" s="1" t="n">
        <v>4064941006657</v>
      </c>
      <c r="B1193" t="inlineStr">
        <is>
          <t>KJ MU M LIQ K SET NEW MDIN808 KYLIE 23IV</t>
        </is>
      </c>
      <c r="C1193" t="inlineStr">
        <is>
          <t>P_US_ALL_OTHERS</t>
        </is>
      </c>
      <c r="D1193" t="inlineStr">
        <is>
          <t>Stat Fcst Theta</t>
        </is>
      </c>
    </row>
    <row r="1194">
      <c r="A1194" s="1" t="n">
        <v>4064941006657</v>
      </c>
      <c r="B1194" t="inlineStr">
        <is>
          <t>KJ MU M LIQ K SET NEW MDIN808 KYLIE 23IV</t>
        </is>
      </c>
      <c r="C1194" t="inlineStr">
        <is>
          <t>P_US_ALL_OTHERS</t>
        </is>
      </c>
      <c r="D1194" t="inlineStr">
        <is>
          <t>System ML Fcst L1</t>
        </is>
      </c>
    </row>
    <row r="1195">
      <c r="A1195" s="1" t="n">
        <v>4064941006657</v>
      </c>
      <c r="B1195" t="inlineStr">
        <is>
          <t>KJ MU M LIQ K SET NEW MDIN808 KYLIE 23IV</t>
        </is>
      </c>
      <c r="C1195" t="inlineStr">
        <is>
          <t>P_US_ALL_OTHERS</t>
        </is>
      </c>
      <c r="D1195" t="inlineStr">
        <is>
          <t>Stat Fcst Simple Snaive</t>
        </is>
      </c>
      <c r="E1195" t="n">
        <v>524.99998435378</v>
      </c>
      <c r="F1195" t="n">
        <v>559.4999833256001</v>
      </c>
      <c r="G1195" t="n">
        <v>658.333338238298</v>
      </c>
      <c r="H1195" t="n">
        <v>496.66664169232</v>
      </c>
      <c r="I1195" t="n">
        <v>554.000004127621</v>
      </c>
      <c r="J1195" t="n">
        <v>538.999983936548</v>
      </c>
      <c r="K1195" t="n">
        <v>617.427268383087</v>
      </c>
      <c r="L1195" t="n">
        <v>757</v>
      </c>
      <c r="M1195" t="n">
        <v>658.760600484591</v>
      </c>
      <c r="N1195" t="n">
        <v>540.000008046627</v>
      </c>
      <c r="O1195" t="n">
        <v>746.333311090866</v>
      </c>
      <c r="P1195" t="n">
        <v>430.333336539566</v>
      </c>
    </row>
    <row r="1196">
      <c r="A1196" s="1" t="n">
        <v>4064941006657</v>
      </c>
      <c r="B1196" t="inlineStr">
        <is>
          <t>KJ MU M LIQ K SET NEW MDIN808 KYLIE 23IV</t>
        </is>
      </c>
      <c r="C1196" t="inlineStr">
        <is>
          <t>P_US_ALL_OTHERS</t>
        </is>
      </c>
      <c r="D1196" t="inlineStr">
        <is>
          <t>Stat Fcst Simple AOA</t>
        </is>
      </c>
    </row>
    <row r="1197">
      <c r="A1197" s="1" t="n">
        <v>4064941006657</v>
      </c>
      <c r="B1197" t="inlineStr">
        <is>
          <t>KJ MU M LIQ K SET NEW MDIN808 KYLIE 23IV</t>
        </is>
      </c>
      <c r="C1197" t="inlineStr">
        <is>
          <t>P_US_ALL_OTHERS</t>
        </is>
      </c>
      <c r="D1197" t="inlineStr">
        <is>
          <t>Stat Fcst Weighted Snaive</t>
        </is>
      </c>
    </row>
    <row r="1198">
      <c r="A1198" s="1" t="n">
        <v>4064941006657</v>
      </c>
      <c r="B1198" t="inlineStr">
        <is>
          <t>KJ MU M LIQ K SET NEW MDIN808 KYLIE 23IV</t>
        </is>
      </c>
      <c r="C1198" t="inlineStr">
        <is>
          <t>P_US_ALL_OTHERS</t>
        </is>
      </c>
      <c r="D1198" t="inlineStr">
        <is>
          <t>Stat Fcst Weighted AOA</t>
        </is>
      </c>
    </row>
    <row r="1199">
      <c r="A1199" s="1" t="n">
        <v>4064941006657</v>
      </c>
      <c r="B1199" t="inlineStr">
        <is>
          <t>KJ MU M LIQ K SET NEW MDIN808 KYLIE 23IV</t>
        </is>
      </c>
      <c r="C1199" t="inlineStr">
        <is>
          <t>P_US_ALL_OTHERS</t>
        </is>
      </c>
      <c r="D1199" t="inlineStr">
        <is>
          <t>Stat Fcst Growth Snaive</t>
        </is>
      </c>
    </row>
    <row r="1200">
      <c r="A1200" s="1" t="n">
        <v>4064941006657</v>
      </c>
      <c r="B1200" t="inlineStr">
        <is>
          <t>KJ MU M LIQ K SET NEW MDIN808 KYLIE 23IV</t>
        </is>
      </c>
      <c r="C1200" t="inlineStr">
        <is>
          <t>P_US_ALL_OTHERS</t>
        </is>
      </c>
      <c r="D1200" t="inlineStr">
        <is>
          <t>Stat Fcst Growth AOA</t>
        </is>
      </c>
    </row>
    <row r="1201">
      <c r="A1201" s="1" t="n">
        <v>4064941006657</v>
      </c>
      <c r="B1201" t="inlineStr">
        <is>
          <t>KJ MU M LIQ K SET NEW MDIN808 KYLIE 23IV</t>
        </is>
      </c>
      <c r="C1201" t="inlineStr">
        <is>
          <t>P_US_ALL_OTHERS</t>
        </is>
      </c>
      <c r="D1201" t="inlineStr">
        <is>
          <t>System Stat Fcst Bestfit</t>
        </is>
      </c>
      <c r="H1201" t="n">
        <v>496.66664169232</v>
      </c>
      <c r="I1201" t="n">
        <v>554.000004127621</v>
      </c>
      <c r="J1201" t="n">
        <v>538.999983936548</v>
      </c>
      <c r="K1201" t="n">
        <v>617.427288728138</v>
      </c>
      <c r="L1201" t="n">
        <v>757</v>
      </c>
      <c r="M1201" t="n">
        <v>658.760600484591</v>
      </c>
      <c r="N1201" t="n">
        <v>540.000008046627</v>
      </c>
      <c r="O1201" t="n">
        <v>746.333290745815</v>
      </c>
      <c r="P1201" t="n">
        <v>430.333316194514</v>
      </c>
    </row>
    <row r="1202">
      <c r="A1202" s="1" t="n">
        <v>4064941006657</v>
      </c>
      <c r="B1202" t="inlineStr">
        <is>
          <t>KJ MU M LIQ K SET NEW MDIN808 KYLIE 23IV</t>
        </is>
      </c>
      <c r="C1202" t="inlineStr">
        <is>
          <t>P_US_ULTA</t>
        </is>
      </c>
      <c r="D1202" t="inlineStr">
        <is>
          <t>Stat Fcst L1</t>
        </is>
      </c>
      <c r="E1202" t="n">
        <v>5049.99984949827</v>
      </c>
      <c r="F1202" t="n">
        <v>3218.99990406632</v>
      </c>
      <c r="G1202" t="n">
        <v>3900</v>
      </c>
      <c r="H1202" t="n">
        <v>2511</v>
      </c>
      <c r="I1202" t="n">
        <v>2550</v>
      </c>
      <c r="J1202" t="n">
        <v>3134</v>
      </c>
      <c r="K1202" t="n">
        <v>4978</v>
      </c>
      <c r="L1202" t="n">
        <v>5280</v>
      </c>
      <c r="M1202" t="n">
        <v>6094</v>
      </c>
      <c r="N1202" t="n">
        <v>4827</v>
      </c>
      <c r="O1202" t="n">
        <v>3902</v>
      </c>
      <c r="P1202" t="n">
        <v>3347</v>
      </c>
    </row>
    <row r="1203">
      <c r="A1203" s="1" t="n">
        <v>4064941006657</v>
      </c>
      <c r="B1203" t="inlineStr">
        <is>
          <t>KJ MU M LIQ K SET NEW MDIN808 KYLIE 23IV</t>
        </is>
      </c>
      <c r="C1203" t="inlineStr">
        <is>
          <t>P_US_ULTA</t>
        </is>
      </c>
      <c r="D1203" t="inlineStr">
        <is>
          <t>Stat Fcst AR-NNET</t>
        </is>
      </c>
    </row>
    <row r="1204">
      <c r="A1204" s="1" t="n">
        <v>4064941006657</v>
      </c>
      <c r="B1204" t="inlineStr">
        <is>
          <t>KJ MU M LIQ K SET NEW MDIN808 KYLIE 23IV</t>
        </is>
      </c>
      <c r="C1204" t="inlineStr">
        <is>
          <t>P_US_ULTA</t>
        </is>
      </c>
      <c r="D1204" t="inlineStr">
        <is>
          <t>Stat Fcst Auto ARIMA</t>
        </is>
      </c>
    </row>
    <row r="1205">
      <c r="A1205" s="1" t="n">
        <v>4064941006657</v>
      </c>
      <c r="B1205" t="inlineStr">
        <is>
          <t>KJ MU M LIQ K SET NEW MDIN808 KYLIE 23IV</t>
        </is>
      </c>
      <c r="C1205" t="inlineStr">
        <is>
          <t>P_US_ULTA</t>
        </is>
      </c>
      <c r="D1205" t="inlineStr">
        <is>
          <t>Stat Fcst Croston</t>
        </is>
      </c>
    </row>
    <row r="1206">
      <c r="A1206" s="1" t="n">
        <v>4064941006657</v>
      </c>
      <c r="B1206" t="inlineStr">
        <is>
          <t>KJ MU M LIQ K SET NEW MDIN808 KYLIE 23IV</t>
        </is>
      </c>
      <c r="C1206" t="inlineStr">
        <is>
          <t>P_US_ULTA</t>
        </is>
      </c>
      <c r="D1206" t="inlineStr">
        <is>
          <t>Stat Fcst DES</t>
        </is>
      </c>
    </row>
    <row r="1207">
      <c r="A1207" s="1" t="n">
        <v>4064941006657</v>
      </c>
      <c r="B1207" t="inlineStr">
        <is>
          <t>KJ MU M LIQ K SET NEW MDIN808 KYLIE 23IV</t>
        </is>
      </c>
      <c r="C1207" t="inlineStr">
        <is>
          <t>P_US_ULTA</t>
        </is>
      </c>
      <c r="D1207" t="inlineStr">
        <is>
          <t>Stat Fcst ETS</t>
        </is>
      </c>
    </row>
    <row r="1208">
      <c r="A1208" s="1" t="n">
        <v>4064941006657</v>
      </c>
      <c r="B1208" t="inlineStr">
        <is>
          <t>KJ MU M LIQ K SET NEW MDIN808 KYLIE 23IV</t>
        </is>
      </c>
      <c r="C1208" t="inlineStr">
        <is>
          <t>P_US_ULTA</t>
        </is>
      </c>
      <c r="D1208" t="inlineStr">
        <is>
          <t>Stat Fcst Moving Average</t>
        </is>
      </c>
    </row>
    <row r="1209">
      <c r="A1209" s="1" t="n">
        <v>4064941006657</v>
      </c>
      <c r="B1209" t="inlineStr">
        <is>
          <t>KJ MU M LIQ K SET NEW MDIN808 KYLIE 23IV</t>
        </is>
      </c>
      <c r="C1209" t="inlineStr">
        <is>
          <t>P_US_ULTA</t>
        </is>
      </c>
      <c r="D1209" t="inlineStr">
        <is>
          <t>Stat Fcst Naive Random Walk</t>
        </is>
      </c>
    </row>
    <row r="1210">
      <c r="A1210" s="1" t="n">
        <v>4064941006657</v>
      </c>
      <c r="B1210" t="inlineStr">
        <is>
          <t>KJ MU M LIQ K SET NEW MDIN808 KYLIE 23IV</t>
        </is>
      </c>
      <c r="C1210" t="inlineStr">
        <is>
          <t>P_US_ULTA</t>
        </is>
      </c>
      <c r="D1210" t="inlineStr">
        <is>
          <t>Stat Fcst Prophet</t>
        </is>
      </c>
    </row>
    <row r="1211">
      <c r="A1211" s="1" t="n">
        <v>4064941006657</v>
      </c>
      <c r="B1211" t="inlineStr">
        <is>
          <t>KJ MU M LIQ K SET NEW MDIN808 KYLIE 23IV</t>
        </is>
      </c>
      <c r="C1211" t="inlineStr">
        <is>
          <t>P_US_ULTA</t>
        </is>
      </c>
      <c r="D1211" t="inlineStr">
        <is>
          <t>Stat Fcst sARIMA</t>
        </is>
      </c>
    </row>
    <row r="1212">
      <c r="A1212" s="1" t="n">
        <v>4064941006657</v>
      </c>
      <c r="B1212" t="inlineStr">
        <is>
          <t>KJ MU M LIQ K SET NEW MDIN808 KYLIE 23IV</t>
        </is>
      </c>
      <c r="C1212" t="inlineStr">
        <is>
          <t>P_US_ULTA</t>
        </is>
      </c>
      <c r="D1212" t="inlineStr">
        <is>
          <t>Stat Fcst Seasonal Naive YoY</t>
        </is>
      </c>
    </row>
    <row r="1213">
      <c r="A1213" s="1" t="n">
        <v>4064941006657</v>
      </c>
      <c r="B1213" t="inlineStr">
        <is>
          <t>KJ MU M LIQ K SET NEW MDIN808 KYLIE 23IV</t>
        </is>
      </c>
      <c r="C1213" t="inlineStr">
        <is>
          <t>P_US_ULTA</t>
        </is>
      </c>
      <c r="D1213" t="inlineStr">
        <is>
          <t>Stat Fcst SES</t>
        </is>
      </c>
    </row>
    <row r="1214">
      <c r="A1214" s="1" t="n">
        <v>4064941006657</v>
      </c>
      <c r="B1214" t="inlineStr">
        <is>
          <t>KJ MU M LIQ K SET NEW MDIN808 KYLIE 23IV</t>
        </is>
      </c>
      <c r="C1214" t="inlineStr">
        <is>
          <t>P_US_ULTA</t>
        </is>
      </c>
      <c r="D1214" t="inlineStr">
        <is>
          <t>Stat Fcst STLF</t>
        </is>
      </c>
      <c r="E1214" t="n">
        <v>2.99999967217446</v>
      </c>
      <c r="F1214" t="n">
        <v>2.99999967217446</v>
      </c>
      <c r="G1214" t="n">
        <v>3112.65438873707</v>
      </c>
      <c r="H1214" t="n">
        <v>3835.32872595466</v>
      </c>
      <c r="I1214" t="n">
        <v>3896.62820280227</v>
      </c>
      <c r="J1214" t="n">
        <v>2478.81662468928</v>
      </c>
      <c r="K1214" t="n">
        <v>7329.68476497873</v>
      </c>
      <c r="L1214" t="n">
        <v>7064.91373655509</v>
      </c>
      <c r="M1214" t="n">
        <v>7332.499068631</v>
      </c>
      <c r="N1214" t="n">
        <v>4563.95481736071</v>
      </c>
      <c r="O1214" t="n">
        <v>3017.3448394131</v>
      </c>
      <c r="P1214" t="n">
        <v>2292.94463915415</v>
      </c>
    </row>
    <row r="1215">
      <c r="A1215" s="1" t="n">
        <v>4064941006657</v>
      </c>
      <c r="B1215" t="inlineStr">
        <is>
          <t>KJ MU M LIQ K SET NEW MDIN808 KYLIE 23IV</t>
        </is>
      </c>
      <c r="C1215" t="inlineStr">
        <is>
          <t>P_US_ULTA</t>
        </is>
      </c>
      <c r="D1215" t="inlineStr">
        <is>
          <t>Stat Fcst TBATS</t>
        </is>
      </c>
    </row>
    <row r="1216">
      <c r="A1216" s="1" t="n">
        <v>4064941006657</v>
      </c>
      <c r="B1216" t="inlineStr">
        <is>
          <t>KJ MU M LIQ K SET NEW MDIN808 KYLIE 23IV</t>
        </is>
      </c>
      <c r="C1216" t="inlineStr">
        <is>
          <t>P_US_ULTA</t>
        </is>
      </c>
      <c r="D1216" t="inlineStr">
        <is>
          <t>Stat Fcst TES</t>
        </is>
      </c>
      <c r="E1216" t="n">
        <v>2344.07715657606</v>
      </c>
      <c r="F1216" t="n">
        <v>3.23751912869372</v>
      </c>
      <c r="G1216" t="n">
        <v>379.751880019018</v>
      </c>
      <c r="H1216" t="n">
        <v>2512.66823215977</v>
      </c>
      <c r="I1216" t="n">
        <v>2548.03516315427</v>
      </c>
      <c r="J1216" t="n">
        <v>3133.22126838688</v>
      </c>
      <c r="K1216" t="n">
        <v>4978.04787129027</v>
      </c>
      <c r="L1216" t="n">
        <v>5279.32300141963</v>
      </c>
      <c r="M1216" t="n">
        <v>6095.2425774624</v>
      </c>
      <c r="N1216" t="n">
        <v>4827.10246095111</v>
      </c>
      <c r="O1216" t="n">
        <v>3900.23730258961</v>
      </c>
      <c r="P1216" t="n">
        <v>3345.15751693169</v>
      </c>
    </row>
    <row r="1217">
      <c r="A1217" s="1" t="n">
        <v>4064941006657</v>
      </c>
      <c r="B1217" t="inlineStr">
        <is>
          <t>KJ MU M LIQ K SET NEW MDIN808 KYLIE 23IV</t>
        </is>
      </c>
      <c r="C1217" t="inlineStr">
        <is>
          <t>P_US_ULTA</t>
        </is>
      </c>
      <c r="D1217" t="inlineStr">
        <is>
          <t>Stat Fcst Theta</t>
        </is>
      </c>
    </row>
    <row r="1218">
      <c r="A1218" s="1" t="n">
        <v>4064941006657</v>
      </c>
      <c r="B1218" t="inlineStr">
        <is>
          <t>KJ MU M LIQ K SET NEW MDIN808 KYLIE 23IV</t>
        </is>
      </c>
      <c r="C1218" t="inlineStr">
        <is>
          <t>P_US_ULTA</t>
        </is>
      </c>
      <c r="D1218" t="inlineStr">
        <is>
          <t>System ML Fcst L1</t>
        </is>
      </c>
    </row>
    <row r="1219">
      <c r="A1219" s="1" t="n">
        <v>4064941006657</v>
      </c>
      <c r="B1219" t="inlineStr">
        <is>
          <t>KJ MU M LIQ K SET NEW MDIN808 KYLIE 23IV</t>
        </is>
      </c>
      <c r="C1219" t="inlineStr">
        <is>
          <t>P_US_ULTA</t>
        </is>
      </c>
      <c r="D1219" t="inlineStr">
        <is>
          <t>Stat Fcst Simple Snaive</t>
        </is>
      </c>
      <c r="E1219" t="n">
        <v>7266.49978344142</v>
      </c>
      <c r="F1219" t="n">
        <v>906.999972969293</v>
      </c>
      <c r="G1219" t="n">
        <v>2332.66668404638</v>
      </c>
      <c r="H1219" t="n">
        <v>1778.33319887519</v>
      </c>
      <c r="I1219" t="n">
        <v>2315.66668391972</v>
      </c>
      <c r="J1219" t="n">
        <v>2860.99987404545</v>
      </c>
      <c r="K1219" t="n">
        <v>6908.66646077235</v>
      </c>
      <c r="L1219" t="n">
        <v>4490.33333333333</v>
      </c>
      <c r="M1219" t="n">
        <v>7480.66644372542</v>
      </c>
      <c r="N1219" t="n">
        <v>4239.00006316602</v>
      </c>
      <c r="O1219" t="n">
        <v>6171.99981606006</v>
      </c>
      <c r="P1219" t="n">
        <v>5069.84964714832</v>
      </c>
    </row>
    <row r="1220">
      <c r="A1220" s="1" t="n">
        <v>4064941006657</v>
      </c>
      <c r="B1220" t="inlineStr">
        <is>
          <t>KJ MU M LIQ K SET NEW MDIN808 KYLIE 23IV</t>
        </is>
      </c>
      <c r="C1220" t="inlineStr">
        <is>
          <t>P_US_ULTA</t>
        </is>
      </c>
      <c r="D1220" t="inlineStr">
        <is>
          <t>Stat Fcst Simple AOA</t>
        </is>
      </c>
    </row>
    <row r="1221">
      <c r="A1221" s="1" t="n">
        <v>4064941006657</v>
      </c>
      <c r="B1221" t="inlineStr">
        <is>
          <t>KJ MU M LIQ K SET NEW MDIN808 KYLIE 23IV</t>
        </is>
      </c>
      <c r="C1221" t="inlineStr">
        <is>
          <t>P_US_ULTA</t>
        </is>
      </c>
      <c r="D1221" t="inlineStr">
        <is>
          <t>Stat Fcst Weighted Snaive</t>
        </is>
      </c>
    </row>
    <row r="1222">
      <c r="A1222" s="1" t="n">
        <v>4064941006657</v>
      </c>
      <c r="B1222" t="inlineStr">
        <is>
          <t>KJ MU M LIQ K SET NEW MDIN808 KYLIE 23IV</t>
        </is>
      </c>
      <c r="C1222" t="inlineStr">
        <is>
          <t>P_US_ULTA</t>
        </is>
      </c>
      <c r="D1222" t="inlineStr">
        <is>
          <t>Stat Fcst Weighted AOA</t>
        </is>
      </c>
    </row>
    <row r="1223">
      <c r="A1223" s="1" t="n">
        <v>4064941006657</v>
      </c>
      <c r="B1223" t="inlineStr">
        <is>
          <t>KJ MU M LIQ K SET NEW MDIN808 KYLIE 23IV</t>
        </is>
      </c>
      <c r="C1223" t="inlineStr">
        <is>
          <t>P_US_ULTA</t>
        </is>
      </c>
      <c r="D1223" t="inlineStr">
        <is>
          <t>Stat Fcst Growth Snaive</t>
        </is>
      </c>
    </row>
    <row r="1224">
      <c r="A1224" s="1" t="n">
        <v>4064941006657</v>
      </c>
      <c r="B1224" t="inlineStr">
        <is>
          <t>KJ MU M LIQ K SET NEW MDIN808 KYLIE 23IV</t>
        </is>
      </c>
      <c r="C1224" t="inlineStr">
        <is>
          <t>P_US_ULTA</t>
        </is>
      </c>
      <c r="D1224" t="inlineStr">
        <is>
          <t>Stat Fcst Growth AOA</t>
        </is>
      </c>
    </row>
    <row r="1225">
      <c r="A1225" s="1" t="n">
        <v>4064941006657</v>
      </c>
      <c r="B1225" t="inlineStr">
        <is>
          <t>KJ MU M LIQ K SET NEW MDIN808 KYLIE 23IV</t>
        </is>
      </c>
      <c r="C1225" t="inlineStr">
        <is>
          <t>P_US_ULTA</t>
        </is>
      </c>
      <c r="D1225" t="inlineStr">
        <is>
          <t>System Stat Fcst Bestfit</t>
        </is>
      </c>
      <c r="H1225" t="n">
        <v>2512.66813800727</v>
      </c>
      <c r="I1225" t="n">
        <v>2548.03517523434</v>
      </c>
      <c r="J1225" t="n">
        <v>3133.22109802898</v>
      </c>
      <c r="K1225" t="n">
        <v>4978.04770320511</v>
      </c>
      <c r="L1225" t="n">
        <v>5279.3232421875</v>
      </c>
      <c r="M1225" t="n">
        <v>6095.24249412886</v>
      </c>
      <c r="N1225" t="n">
        <v>4827.10261099193</v>
      </c>
      <c r="O1225" t="n">
        <v>3900.23718845137</v>
      </c>
      <c r="P1225" t="n">
        <v>3345.15749562649</v>
      </c>
    </row>
    <row r="1226">
      <c r="A1226" s="1" t="n">
        <v>4064941006671</v>
      </c>
      <c r="B1226" t="inlineStr">
        <is>
          <t>KJ MU M LIQ K SET NWMDIN802 CANDY K 23IV</t>
        </is>
      </c>
      <c r="C1226" t="inlineStr">
        <is>
          <t>P_US_ALL_OTHERS</t>
        </is>
      </c>
      <c r="D1226" t="inlineStr">
        <is>
          <t>Stat Fcst L1</t>
        </is>
      </c>
      <c r="E1226" t="n">
        <v>149.999995529651</v>
      </c>
      <c r="F1226" t="n">
        <v>168.999994963407</v>
      </c>
      <c r="G1226" t="n">
        <v>193</v>
      </c>
      <c r="H1226" t="n">
        <v>119</v>
      </c>
      <c r="I1226" t="n">
        <v>176</v>
      </c>
      <c r="J1226" t="n">
        <v>222</v>
      </c>
      <c r="K1226" t="n">
        <v>199</v>
      </c>
      <c r="L1226" t="n">
        <v>272</v>
      </c>
      <c r="M1226" t="n">
        <v>279</v>
      </c>
      <c r="N1226" t="n">
        <v>150</v>
      </c>
      <c r="O1226" t="n">
        <v>323</v>
      </c>
      <c r="P1226" t="n">
        <v>133</v>
      </c>
    </row>
    <row r="1227">
      <c r="A1227" s="1" t="n">
        <v>4064941006671</v>
      </c>
      <c r="B1227" t="inlineStr">
        <is>
          <t>KJ MU M LIQ K SET NWMDIN802 CANDY K 23IV</t>
        </is>
      </c>
      <c r="C1227" t="inlineStr">
        <is>
          <t>P_US_ALL_OTHERS</t>
        </is>
      </c>
      <c r="D1227" t="inlineStr">
        <is>
          <t>Stat Fcst AR-NNET</t>
        </is>
      </c>
    </row>
    <row r="1228">
      <c r="A1228" s="1" t="n">
        <v>4064941006671</v>
      </c>
      <c r="B1228" t="inlineStr">
        <is>
          <t>KJ MU M LIQ K SET NWMDIN802 CANDY K 23IV</t>
        </is>
      </c>
      <c r="C1228" t="inlineStr">
        <is>
          <t>P_US_ALL_OTHERS</t>
        </is>
      </c>
      <c r="D1228" t="inlineStr">
        <is>
          <t>Stat Fcst Auto ARIMA</t>
        </is>
      </c>
    </row>
    <row r="1229">
      <c r="A1229" s="1" t="n">
        <v>4064941006671</v>
      </c>
      <c r="B1229" t="inlineStr">
        <is>
          <t>KJ MU M LIQ K SET NWMDIN802 CANDY K 23IV</t>
        </is>
      </c>
      <c r="C1229" t="inlineStr">
        <is>
          <t>P_US_ALL_OTHERS</t>
        </is>
      </c>
      <c r="D1229" t="inlineStr">
        <is>
          <t>Stat Fcst Croston</t>
        </is>
      </c>
    </row>
    <row r="1230">
      <c r="A1230" s="1" t="n">
        <v>4064941006671</v>
      </c>
      <c r="B1230" t="inlineStr">
        <is>
          <t>KJ MU M LIQ K SET NWMDIN802 CANDY K 23IV</t>
        </is>
      </c>
      <c r="C1230" t="inlineStr">
        <is>
          <t>P_US_ALL_OTHERS</t>
        </is>
      </c>
      <c r="D1230" t="inlineStr">
        <is>
          <t>Stat Fcst DES</t>
        </is>
      </c>
    </row>
    <row r="1231">
      <c r="A1231" s="1" t="n">
        <v>4064941006671</v>
      </c>
      <c r="B1231" t="inlineStr">
        <is>
          <t>KJ MU M LIQ K SET NWMDIN802 CANDY K 23IV</t>
        </is>
      </c>
      <c r="C1231" t="inlineStr">
        <is>
          <t>P_US_ALL_OTHERS</t>
        </is>
      </c>
      <c r="D1231" t="inlineStr">
        <is>
          <t>Stat Fcst ETS</t>
        </is>
      </c>
    </row>
    <row r="1232">
      <c r="A1232" s="1" t="n">
        <v>4064941006671</v>
      </c>
      <c r="B1232" t="inlineStr">
        <is>
          <t>KJ MU M LIQ K SET NWMDIN802 CANDY K 23IV</t>
        </is>
      </c>
      <c r="C1232" t="inlineStr">
        <is>
          <t>P_US_ALL_OTHERS</t>
        </is>
      </c>
      <c r="D1232" t="inlineStr">
        <is>
          <t>Stat Fcst Moving Average</t>
        </is>
      </c>
    </row>
    <row r="1233">
      <c r="A1233" s="1" t="n">
        <v>4064941006671</v>
      </c>
      <c r="B1233" t="inlineStr">
        <is>
          <t>KJ MU M LIQ K SET NWMDIN802 CANDY K 23IV</t>
        </is>
      </c>
      <c r="C1233" t="inlineStr">
        <is>
          <t>P_US_ALL_OTHERS</t>
        </is>
      </c>
      <c r="D1233" t="inlineStr">
        <is>
          <t>Stat Fcst Naive Random Walk</t>
        </is>
      </c>
    </row>
    <row r="1234">
      <c r="A1234" s="1" t="n">
        <v>4064941006671</v>
      </c>
      <c r="B1234" t="inlineStr">
        <is>
          <t>KJ MU M LIQ K SET NWMDIN802 CANDY K 23IV</t>
        </is>
      </c>
      <c r="C1234" t="inlineStr">
        <is>
          <t>P_US_ALL_OTHERS</t>
        </is>
      </c>
      <c r="D1234" t="inlineStr">
        <is>
          <t>Stat Fcst Prophet</t>
        </is>
      </c>
    </row>
    <row r="1235">
      <c r="A1235" s="1" t="n">
        <v>4064941006671</v>
      </c>
      <c r="B1235" t="inlineStr">
        <is>
          <t>KJ MU M LIQ K SET NWMDIN802 CANDY K 23IV</t>
        </is>
      </c>
      <c r="C1235" t="inlineStr">
        <is>
          <t>P_US_ALL_OTHERS</t>
        </is>
      </c>
      <c r="D1235" t="inlineStr">
        <is>
          <t>Stat Fcst sARIMA</t>
        </is>
      </c>
    </row>
    <row r="1236">
      <c r="A1236" s="1" t="n">
        <v>4064941006671</v>
      </c>
      <c r="B1236" t="inlineStr">
        <is>
          <t>KJ MU M LIQ K SET NWMDIN802 CANDY K 23IV</t>
        </is>
      </c>
      <c r="C1236" t="inlineStr">
        <is>
          <t>P_US_ALL_OTHERS</t>
        </is>
      </c>
      <c r="D1236" t="inlineStr">
        <is>
          <t>Stat Fcst Seasonal Naive YoY</t>
        </is>
      </c>
    </row>
    <row r="1237">
      <c r="A1237" s="1" t="n">
        <v>4064941006671</v>
      </c>
      <c r="B1237" t="inlineStr">
        <is>
          <t>KJ MU M LIQ K SET NWMDIN802 CANDY K 23IV</t>
        </is>
      </c>
      <c r="C1237" t="inlineStr">
        <is>
          <t>P_US_ALL_OTHERS</t>
        </is>
      </c>
      <c r="D1237" t="inlineStr">
        <is>
          <t>Stat Fcst SES</t>
        </is>
      </c>
    </row>
    <row r="1238">
      <c r="A1238" s="1" t="n">
        <v>4064941006671</v>
      </c>
      <c r="B1238" t="inlineStr">
        <is>
          <t>KJ MU M LIQ K SET NWMDIN802 CANDY K 23IV</t>
        </is>
      </c>
      <c r="C1238" t="inlineStr">
        <is>
          <t>P_US_ALL_OTHERS</t>
        </is>
      </c>
      <c r="D1238" t="inlineStr">
        <is>
          <t>Stat Fcst STLF</t>
        </is>
      </c>
      <c r="E1238" t="n">
        <v>243.448768733044</v>
      </c>
      <c r="F1238" t="n">
        <v>145.763605227012</v>
      </c>
      <c r="G1238" t="n">
        <v>152.997901384965</v>
      </c>
      <c r="H1238" t="n">
        <v>197.011193481207</v>
      </c>
      <c r="I1238" t="n">
        <v>144.992822007125</v>
      </c>
      <c r="J1238" t="n">
        <v>182.79730011454</v>
      </c>
      <c r="K1238" t="n">
        <v>235.812264744681</v>
      </c>
      <c r="L1238" t="n">
        <v>271.654002527502</v>
      </c>
      <c r="M1238" t="n">
        <v>270.050483336503</v>
      </c>
      <c r="N1238" t="n">
        <v>204.800132617428</v>
      </c>
      <c r="O1238" t="n">
        <v>320.048826899346</v>
      </c>
      <c r="P1238" t="n">
        <v>132.050642521906</v>
      </c>
    </row>
    <row r="1239">
      <c r="A1239" s="1" t="n">
        <v>4064941006671</v>
      </c>
      <c r="B1239" t="inlineStr">
        <is>
          <t>KJ MU M LIQ K SET NWMDIN802 CANDY K 23IV</t>
        </is>
      </c>
      <c r="C1239" t="inlineStr">
        <is>
          <t>P_US_ALL_OTHERS</t>
        </is>
      </c>
      <c r="D1239" t="inlineStr">
        <is>
          <t>Stat Fcst TBATS</t>
        </is>
      </c>
    </row>
    <row r="1240">
      <c r="A1240" s="1" t="n">
        <v>4064941006671</v>
      </c>
      <c r="B1240" t="inlineStr">
        <is>
          <t>KJ MU M LIQ K SET NWMDIN802 CANDY K 23IV</t>
        </is>
      </c>
      <c r="C1240" t="inlineStr">
        <is>
          <t>P_US_ALL_OTHERS</t>
        </is>
      </c>
      <c r="D1240" t="inlineStr">
        <is>
          <t>Stat Fcst TES</t>
        </is>
      </c>
      <c r="E1240" t="n">
        <v>255.2385362599</v>
      </c>
      <c r="F1240" t="n">
        <v>176.90727969254</v>
      </c>
      <c r="G1240" t="n">
        <v>162.776114062598</v>
      </c>
      <c r="H1240" t="n">
        <v>118.572797988999</v>
      </c>
      <c r="I1240" t="n">
        <v>177.356220417754</v>
      </c>
      <c r="J1240" t="n">
        <v>221.139113708173</v>
      </c>
      <c r="K1240" t="n">
        <v>200.538390408664</v>
      </c>
      <c r="L1240" t="n">
        <v>271.345731939134</v>
      </c>
      <c r="M1240" t="n">
        <v>278.920790101803</v>
      </c>
      <c r="N1240" t="n">
        <v>151.577069392545</v>
      </c>
      <c r="O1240" t="n">
        <v>324.785727894574</v>
      </c>
      <c r="P1240" t="n">
        <v>134.034128128061</v>
      </c>
    </row>
    <row r="1241">
      <c r="A1241" s="1" t="n">
        <v>4064941006671</v>
      </c>
      <c r="B1241" t="inlineStr">
        <is>
          <t>KJ MU M LIQ K SET NWMDIN802 CANDY K 23IV</t>
        </is>
      </c>
      <c r="C1241" t="inlineStr">
        <is>
          <t>P_US_ALL_OTHERS</t>
        </is>
      </c>
      <c r="D1241" t="inlineStr">
        <is>
          <t>Stat Fcst Theta</t>
        </is>
      </c>
    </row>
    <row r="1242">
      <c r="A1242" s="1" t="n">
        <v>4064941006671</v>
      </c>
      <c r="B1242" t="inlineStr">
        <is>
          <t>KJ MU M LIQ K SET NWMDIN802 CANDY K 23IV</t>
        </is>
      </c>
      <c r="C1242" t="inlineStr">
        <is>
          <t>P_US_ALL_OTHERS</t>
        </is>
      </c>
      <c r="D1242" t="inlineStr">
        <is>
          <t>System ML Fcst L1</t>
        </is>
      </c>
    </row>
    <row r="1243">
      <c r="A1243" s="1" t="n">
        <v>4064941006671</v>
      </c>
      <c r="B1243" t="inlineStr">
        <is>
          <t>KJ MU M LIQ K SET NWMDIN802 CANDY K 23IV</t>
        </is>
      </c>
      <c r="C1243" t="inlineStr">
        <is>
          <t>P_US_ALL_OTHERS</t>
        </is>
      </c>
      <c r="D1243" t="inlineStr">
        <is>
          <t>Stat Fcst Simple Snaive</t>
        </is>
      </c>
      <c r="E1243" t="n">
        <v>299.499991074204</v>
      </c>
      <c r="F1243" t="n">
        <v>216.499993547797</v>
      </c>
      <c r="G1243" t="n">
        <v>295.333340620001</v>
      </c>
      <c r="H1243" t="n">
        <v>222.999988267819</v>
      </c>
      <c r="I1243" t="n">
        <v>271.666678863267</v>
      </c>
      <c r="J1243" t="n">
        <v>304.666657586892</v>
      </c>
      <c r="K1243" t="n">
        <v>275.666658451159</v>
      </c>
      <c r="L1243" t="n">
        <v>337.839385986328</v>
      </c>
      <c r="M1243" t="n">
        <v>338.506032392202</v>
      </c>
      <c r="N1243" t="n">
        <v>204.3333414644</v>
      </c>
      <c r="O1243" t="n">
        <v>373.333322207132</v>
      </c>
      <c r="P1243" t="n">
        <v>176.666667982935</v>
      </c>
    </row>
    <row r="1244">
      <c r="A1244" s="1" t="n">
        <v>4064941006671</v>
      </c>
      <c r="B1244" t="inlineStr">
        <is>
          <t>KJ MU M LIQ K SET NWMDIN802 CANDY K 23IV</t>
        </is>
      </c>
      <c r="C1244" t="inlineStr">
        <is>
          <t>P_US_ALL_OTHERS</t>
        </is>
      </c>
      <c r="D1244" t="inlineStr">
        <is>
          <t>Stat Fcst Simple AOA</t>
        </is>
      </c>
    </row>
    <row r="1245">
      <c r="A1245" s="1" t="n">
        <v>4064941006671</v>
      </c>
      <c r="B1245" t="inlineStr">
        <is>
          <t>KJ MU M LIQ K SET NWMDIN802 CANDY K 23IV</t>
        </is>
      </c>
      <c r="C1245" t="inlineStr">
        <is>
          <t>P_US_ALL_OTHERS</t>
        </is>
      </c>
      <c r="D1245" t="inlineStr">
        <is>
          <t>Stat Fcst Weighted Snaive</t>
        </is>
      </c>
    </row>
    <row r="1246">
      <c r="A1246" s="1" t="n">
        <v>4064941006671</v>
      </c>
      <c r="B1246" t="inlineStr">
        <is>
          <t>KJ MU M LIQ K SET NWMDIN802 CANDY K 23IV</t>
        </is>
      </c>
      <c r="C1246" t="inlineStr">
        <is>
          <t>P_US_ALL_OTHERS</t>
        </is>
      </c>
      <c r="D1246" t="inlineStr">
        <is>
          <t>Stat Fcst Weighted AOA</t>
        </is>
      </c>
    </row>
    <row r="1247">
      <c r="A1247" s="1" t="n">
        <v>4064941006671</v>
      </c>
      <c r="B1247" t="inlineStr">
        <is>
          <t>KJ MU M LIQ K SET NWMDIN802 CANDY K 23IV</t>
        </is>
      </c>
      <c r="C1247" t="inlineStr">
        <is>
          <t>P_US_ALL_OTHERS</t>
        </is>
      </c>
      <c r="D1247" t="inlineStr">
        <is>
          <t>Stat Fcst Growth Snaive</t>
        </is>
      </c>
    </row>
    <row r="1248">
      <c r="A1248" s="1" t="n">
        <v>4064941006671</v>
      </c>
      <c r="B1248" t="inlineStr">
        <is>
          <t>KJ MU M LIQ K SET NWMDIN802 CANDY K 23IV</t>
        </is>
      </c>
      <c r="C1248" t="inlineStr">
        <is>
          <t>P_US_ALL_OTHERS</t>
        </is>
      </c>
      <c r="D1248" t="inlineStr">
        <is>
          <t>Stat Fcst Growth AOA</t>
        </is>
      </c>
    </row>
    <row r="1249">
      <c r="A1249" s="1" t="n">
        <v>4064941006671</v>
      </c>
      <c r="B1249" t="inlineStr">
        <is>
          <t>KJ MU M LIQ K SET NWMDIN802 CANDY K 23IV</t>
        </is>
      </c>
      <c r="C1249" t="inlineStr">
        <is>
          <t>P_US_ALL_OTHERS</t>
        </is>
      </c>
      <c r="D1249" t="inlineStr">
        <is>
          <t>System Stat Fcst Bestfit</t>
        </is>
      </c>
      <c r="H1249" t="n">
        <v>118.572796148872</v>
      </c>
      <c r="I1249" t="n">
        <v>177.35621775207</v>
      </c>
      <c r="J1249" t="n">
        <v>221.139107789423</v>
      </c>
      <c r="K1249" t="n">
        <v>200.538385136771</v>
      </c>
      <c r="L1249" t="n">
        <v>271.345733642578</v>
      </c>
      <c r="M1249" t="n">
        <v>278.9207680547</v>
      </c>
      <c r="N1249" t="n">
        <v>151.577074402229</v>
      </c>
      <c r="O1249" t="n">
        <v>324.785726404615</v>
      </c>
      <c r="P1249" t="n">
        <v>134.034134909764</v>
      </c>
    </row>
    <row r="1250">
      <c r="A1250" s="1" t="n">
        <v>4064941006671</v>
      </c>
      <c r="B1250" t="inlineStr">
        <is>
          <t>KJ MU M LIQ K SET NWMDIN802 CANDY K 23IV</t>
        </is>
      </c>
      <c r="C1250" t="inlineStr">
        <is>
          <t>P_US_ULTA</t>
        </is>
      </c>
      <c r="D1250" t="inlineStr">
        <is>
          <t>Stat Fcst L1</t>
        </is>
      </c>
      <c r="E1250" t="n">
        <v>3671.99989056587</v>
      </c>
      <c r="F1250" t="n">
        <v>3108.99990734457</v>
      </c>
      <c r="G1250" t="n">
        <v>1329</v>
      </c>
      <c r="H1250" t="n">
        <v>200</v>
      </c>
      <c r="I1250" t="n">
        <v>138</v>
      </c>
      <c r="J1250" t="n">
        <v>771</v>
      </c>
      <c r="K1250" t="n">
        <v>3038</v>
      </c>
      <c r="L1250" t="n">
        <v>2824</v>
      </c>
      <c r="M1250" t="n">
        <v>1696</v>
      </c>
      <c r="N1250" t="n">
        <v>1282</v>
      </c>
      <c r="O1250" t="n">
        <v>2379</v>
      </c>
      <c r="P1250" t="n">
        <v>2739</v>
      </c>
    </row>
    <row r="1251">
      <c r="A1251" s="1" t="n">
        <v>4064941006671</v>
      </c>
      <c r="B1251" t="inlineStr">
        <is>
          <t>KJ MU M LIQ K SET NWMDIN802 CANDY K 23IV</t>
        </is>
      </c>
      <c r="C1251" t="inlineStr">
        <is>
          <t>P_US_ULTA</t>
        </is>
      </c>
      <c r="D1251" t="inlineStr">
        <is>
          <t>Stat Fcst AR-NNET</t>
        </is>
      </c>
    </row>
    <row r="1252">
      <c r="A1252" s="1" t="n">
        <v>4064941006671</v>
      </c>
      <c r="B1252" t="inlineStr">
        <is>
          <t>KJ MU M LIQ K SET NWMDIN802 CANDY K 23IV</t>
        </is>
      </c>
      <c r="C1252" t="inlineStr">
        <is>
          <t>P_US_ULTA</t>
        </is>
      </c>
      <c r="D1252" t="inlineStr">
        <is>
          <t>Stat Fcst Auto ARIMA</t>
        </is>
      </c>
    </row>
    <row r="1253">
      <c r="A1253" s="1" t="n">
        <v>4064941006671</v>
      </c>
      <c r="B1253" t="inlineStr">
        <is>
          <t>KJ MU M LIQ K SET NWMDIN802 CANDY K 23IV</t>
        </is>
      </c>
      <c r="C1253" t="inlineStr">
        <is>
          <t>P_US_ULTA</t>
        </is>
      </c>
      <c r="D1253" t="inlineStr">
        <is>
          <t>Stat Fcst Croston</t>
        </is>
      </c>
    </row>
    <row r="1254">
      <c r="A1254" s="1" t="n">
        <v>4064941006671</v>
      </c>
      <c r="B1254" t="inlineStr">
        <is>
          <t>KJ MU M LIQ K SET NWMDIN802 CANDY K 23IV</t>
        </is>
      </c>
      <c r="C1254" t="inlineStr">
        <is>
          <t>P_US_ULTA</t>
        </is>
      </c>
      <c r="D1254" t="inlineStr">
        <is>
          <t>Stat Fcst DES</t>
        </is>
      </c>
    </row>
    <row r="1255">
      <c r="A1255" s="1" t="n">
        <v>4064941006671</v>
      </c>
      <c r="B1255" t="inlineStr">
        <is>
          <t>KJ MU M LIQ K SET NWMDIN802 CANDY K 23IV</t>
        </is>
      </c>
      <c r="C1255" t="inlineStr">
        <is>
          <t>P_US_ULTA</t>
        </is>
      </c>
      <c r="D1255" t="inlineStr">
        <is>
          <t>Stat Fcst ETS</t>
        </is>
      </c>
    </row>
    <row r="1256">
      <c r="A1256" s="1" t="n">
        <v>4064941006671</v>
      </c>
      <c r="B1256" t="inlineStr">
        <is>
          <t>KJ MU M LIQ K SET NWMDIN802 CANDY K 23IV</t>
        </is>
      </c>
      <c r="C1256" t="inlineStr">
        <is>
          <t>P_US_ULTA</t>
        </is>
      </c>
      <c r="D1256" t="inlineStr">
        <is>
          <t>Stat Fcst Moving Average</t>
        </is>
      </c>
    </row>
    <row r="1257">
      <c r="A1257" s="1" t="n">
        <v>4064941006671</v>
      </c>
      <c r="B1257" t="inlineStr">
        <is>
          <t>KJ MU M LIQ K SET NWMDIN802 CANDY K 23IV</t>
        </is>
      </c>
      <c r="C1257" t="inlineStr">
        <is>
          <t>P_US_ULTA</t>
        </is>
      </c>
      <c r="D1257" t="inlineStr">
        <is>
          <t>Stat Fcst Naive Random Walk</t>
        </is>
      </c>
    </row>
    <row r="1258">
      <c r="A1258" s="1" t="n">
        <v>4064941006671</v>
      </c>
      <c r="B1258" t="inlineStr">
        <is>
          <t>KJ MU M LIQ K SET NWMDIN802 CANDY K 23IV</t>
        </is>
      </c>
      <c r="C1258" t="inlineStr">
        <is>
          <t>P_US_ULTA</t>
        </is>
      </c>
      <c r="D1258" t="inlineStr">
        <is>
          <t>Stat Fcst Prophet</t>
        </is>
      </c>
    </row>
    <row r="1259">
      <c r="A1259" s="1" t="n">
        <v>4064941006671</v>
      </c>
      <c r="B1259" t="inlineStr">
        <is>
          <t>KJ MU M LIQ K SET NWMDIN802 CANDY K 23IV</t>
        </is>
      </c>
      <c r="C1259" t="inlineStr">
        <is>
          <t>P_US_ULTA</t>
        </is>
      </c>
      <c r="D1259" t="inlineStr">
        <is>
          <t>Stat Fcst sARIMA</t>
        </is>
      </c>
    </row>
    <row r="1260">
      <c r="A1260" s="1" t="n">
        <v>4064941006671</v>
      </c>
      <c r="B1260" t="inlineStr">
        <is>
          <t>KJ MU M LIQ K SET NWMDIN802 CANDY K 23IV</t>
        </is>
      </c>
      <c r="C1260" t="inlineStr">
        <is>
          <t>P_US_ULTA</t>
        </is>
      </c>
      <c r="D1260" t="inlineStr">
        <is>
          <t>Stat Fcst Seasonal Naive YoY</t>
        </is>
      </c>
    </row>
    <row r="1261">
      <c r="A1261" s="1" t="n">
        <v>4064941006671</v>
      </c>
      <c r="B1261" t="inlineStr">
        <is>
          <t>KJ MU M LIQ K SET NWMDIN802 CANDY K 23IV</t>
        </is>
      </c>
      <c r="C1261" t="inlineStr">
        <is>
          <t>P_US_ULTA</t>
        </is>
      </c>
      <c r="D1261" t="inlineStr">
        <is>
          <t>Stat Fcst SES</t>
        </is>
      </c>
    </row>
    <row r="1262">
      <c r="A1262" s="1" t="n">
        <v>4064941006671</v>
      </c>
      <c r="B1262" t="inlineStr">
        <is>
          <t>KJ MU M LIQ K SET NWMDIN802 CANDY K 23IV</t>
        </is>
      </c>
      <c r="C1262" t="inlineStr">
        <is>
          <t>P_US_ULTA</t>
        </is>
      </c>
      <c r="D1262" t="inlineStr">
        <is>
          <t>Stat Fcst STLF</t>
        </is>
      </c>
      <c r="E1262" t="n">
        <v>20.9999974668026</v>
      </c>
      <c r="F1262" t="n">
        <v>20.9999974668026</v>
      </c>
      <c r="G1262" t="n">
        <v>837.766552337731</v>
      </c>
      <c r="H1262" t="n">
        <v>919.976147406231</v>
      </c>
      <c r="I1262" t="n">
        <v>1459.45039042237</v>
      </c>
      <c r="J1262" t="n">
        <v>1306.00732884502</v>
      </c>
      <c r="K1262" t="n">
        <v>3135.93299393136</v>
      </c>
      <c r="L1262" t="n">
        <v>2609.27614657848</v>
      </c>
      <c r="M1262" t="n">
        <v>1465.02922554336</v>
      </c>
      <c r="N1262" t="n">
        <v>469.914186551345</v>
      </c>
      <c r="O1262" t="n">
        <v>1221.52691951531</v>
      </c>
      <c r="P1262" t="n">
        <v>647.236459892938</v>
      </c>
    </row>
    <row r="1263">
      <c r="A1263" s="1" t="n">
        <v>4064941006671</v>
      </c>
      <c r="B1263" t="inlineStr">
        <is>
          <t>KJ MU M LIQ K SET NWMDIN802 CANDY K 23IV</t>
        </is>
      </c>
      <c r="C1263" t="inlineStr">
        <is>
          <t>P_US_ULTA</t>
        </is>
      </c>
      <c r="D1263" t="inlineStr">
        <is>
          <t>Stat Fcst TBATS</t>
        </is>
      </c>
    </row>
    <row r="1264">
      <c r="A1264" s="1" t="n">
        <v>4064941006671</v>
      </c>
      <c r="B1264" t="inlineStr">
        <is>
          <t>KJ MU M LIQ K SET NWMDIN802 CANDY K 23IV</t>
        </is>
      </c>
      <c r="C1264" t="inlineStr">
        <is>
          <t>P_US_ULTA</t>
        </is>
      </c>
      <c r="D1264" t="inlineStr">
        <is>
          <t>Stat Fcst TES</t>
        </is>
      </c>
      <c r="E1264" t="n">
        <v>1342.3812561937</v>
      </c>
      <c r="F1264" t="n">
        <v>395.366468208005</v>
      </c>
      <c r="G1264" t="n">
        <v>190.275055562458</v>
      </c>
      <c r="H1264" t="n">
        <v>199.746881837045</v>
      </c>
      <c r="I1264" t="n">
        <v>137.07689612344</v>
      </c>
      <c r="J1264" t="n">
        <v>772.35373849916</v>
      </c>
      <c r="K1264" t="n">
        <v>3036.22842523407</v>
      </c>
      <c r="L1264" t="n">
        <v>2825.8645708056</v>
      </c>
      <c r="M1264" t="n">
        <v>1697.24226576308</v>
      </c>
      <c r="N1264" t="n">
        <v>1282.05839507027</v>
      </c>
      <c r="O1264" t="n">
        <v>2379.61995037023</v>
      </c>
      <c r="P1264" t="n">
        <v>2738.20075666252</v>
      </c>
    </row>
    <row r="1265">
      <c r="A1265" s="1" t="n">
        <v>4064941006671</v>
      </c>
      <c r="B1265" t="inlineStr">
        <is>
          <t>KJ MU M LIQ K SET NWMDIN802 CANDY K 23IV</t>
        </is>
      </c>
      <c r="C1265" t="inlineStr">
        <is>
          <t>P_US_ULTA</t>
        </is>
      </c>
      <c r="D1265" t="inlineStr">
        <is>
          <t>Stat Fcst Theta</t>
        </is>
      </c>
    </row>
    <row r="1266">
      <c r="A1266" s="1" t="n">
        <v>4064941006671</v>
      </c>
      <c r="B1266" t="inlineStr">
        <is>
          <t>KJ MU M LIQ K SET NWMDIN802 CANDY K 23IV</t>
        </is>
      </c>
      <c r="C1266" t="inlineStr">
        <is>
          <t>P_US_ULTA</t>
        </is>
      </c>
      <c r="D1266" t="inlineStr">
        <is>
          <t>System ML Fcst L1</t>
        </is>
      </c>
    </row>
    <row r="1267">
      <c r="A1267" s="1" t="n">
        <v>4064941006671</v>
      </c>
      <c r="B1267" t="inlineStr">
        <is>
          <t>KJ MU M LIQ K SET NWMDIN802 CANDY K 23IV</t>
        </is>
      </c>
      <c r="C1267" t="inlineStr">
        <is>
          <t>P_US_ULTA</t>
        </is>
      </c>
      <c r="D1267" t="inlineStr">
        <is>
          <t>Stat Fcst Simple Snaive</t>
        </is>
      </c>
      <c r="E1267" t="n">
        <v>1019.49996961653</v>
      </c>
      <c r="F1267" t="n">
        <v>423.499987378716</v>
      </c>
      <c r="G1267" t="n">
        <v>747.500005569309</v>
      </c>
      <c r="H1267" t="n">
        <v>456.333319097757</v>
      </c>
      <c r="I1267" t="n">
        <v>739.666672177612</v>
      </c>
      <c r="J1267" t="n">
        <v>1311.66662757595</v>
      </c>
      <c r="K1267" t="n">
        <v>2326.99991030494</v>
      </c>
      <c r="L1267" t="n">
        <v>1787.33333333333</v>
      </c>
      <c r="M1267" t="n">
        <v>1985.66660748918</v>
      </c>
      <c r="N1267" t="n">
        <v>976.000014543533</v>
      </c>
      <c r="O1267" t="n">
        <v>3346.92779738919</v>
      </c>
      <c r="P1267" t="n">
        <v>2888.26141474839</v>
      </c>
    </row>
    <row r="1268">
      <c r="A1268" s="1" t="n">
        <v>4064941006671</v>
      </c>
      <c r="B1268" t="inlineStr">
        <is>
          <t>KJ MU M LIQ K SET NWMDIN802 CANDY K 23IV</t>
        </is>
      </c>
      <c r="C1268" t="inlineStr">
        <is>
          <t>P_US_ULTA</t>
        </is>
      </c>
      <c r="D1268" t="inlineStr">
        <is>
          <t>Stat Fcst Simple AOA</t>
        </is>
      </c>
    </row>
    <row r="1269">
      <c r="A1269" s="1" t="n">
        <v>4064941006671</v>
      </c>
      <c r="B1269" t="inlineStr">
        <is>
          <t>KJ MU M LIQ K SET NWMDIN802 CANDY K 23IV</t>
        </is>
      </c>
      <c r="C1269" t="inlineStr">
        <is>
          <t>P_US_ULTA</t>
        </is>
      </c>
      <c r="D1269" t="inlineStr">
        <is>
          <t>Stat Fcst Weighted Snaive</t>
        </is>
      </c>
    </row>
    <row r="1270">
      <c r="A1270" s="1" t="n">
        <v>4064941006671</v>
      </c>
      <c r="B1270" t="inlineStr">
        <is>
          <t>KJ MU M LIQ K SET NWMDIN802 CANDY K 23IV</t>
        </is>
      </c>
      <c r="C1270" t="inlineStr">
        <is>
          <t>P_US_ULTA</t>
        </is>
      </c>
      <c r="D1270" t="inlineStr">
        <is>
          <t>Stat Fcst Weighted AOA</t>
        </is>
      </c>
    </row>
    <row r="1271">
      <c r="A1271" s="1" t="n">
        <v>4064941006671</v>
      </c>
      <c r="B1271" t="inlineStr">
        <is>
          <t>KJ MU M LIQ K SET NWMDIN802 CANDY K 23IV</t>
        </is>
      </c>
      <c r="C1271" t="inlineStr">
        <is>
          <t>P_US_ULTA</t>
        </is>
      </c>
      <c r="D1271" t="inlineStr">
        <is>
          <t>Stat Fcst Growth Snaive</t>
        </is>
      </c>
    </row>
    <row r="1272">
      <c r="A1272" s="1" t="n">
        <v>4064941006671</v>
      </c>
      <c r="B1272" t="inlineStr">
        <is>
          <t>KJ MU M LIQ K SET NWMDIN802 CANDY K 23IV</t>
        </is>
      </c>
      <c r="C1272" t="inlineStr">
        <is>
          <t>P_US_ULTA</t>
        </is>
      </c>
      <c r="D1272" t="inlineStr">
        <is>
          <t>Stat Fcst Growth AOA</t>
        </is>
      </c>
    </row>
    <row r="1273">
      <c r="A1273" s="1" t="n">
        <v>4064941006671</v>
      </c>
      <c r="B1273" t="inlineStr">
        <is>
          <t>KJ MU M LIQ K SET NWMDIN802 CANDY K 23IV</t>
        </is>
      </c>
      <c r="C1273" t="inlineStr">
        <is>
          <t>P_US_ULTA</t>
        </is>
      </c>
      <c r="D1273" t="inlineStr">
        <is>
          <t>System Stat Fcst Bestfit</t>
        </is>
      </c>
      <c r="H1273" t="n">
        <v>199.746865995321</v>
      </c>
      <c r="I1273" t="n">
        <v>137.076905318177</v>
      </c>
      <c r="J1273" t="n">
        <v>772.353675712534</v>
      </c>
      <c r="K1273" t="n">
        <v>3036.22842513833</v>
      </c>
      <c r="L1273" t="n">
        <v>2825.86450195312</v>
      </c>
      <c r="M1273" t="n">
        <v>1697.24225898855</v>
      </c>
      <c r="N1273" t="n">
        <v>1282.05836871353</v>
      </c>
      <c r="O1273" t="n">
        <v>2379.62004626929</v>
      </c>
      <c r="P1273" t="n">
        <v>2738.20070399493</v>
      </c>
    </row>
    <row r="1274">
      <c r="A1274" s="1" t="n">
        <v>4064941006701</v>
      </c>
      <c r="B1274" t="inlineStr">
        <is>
          <t>KJ MU M LIQ K SET MLTLPK 3ml1.1g 600 IV</t>
        </is>
      </c>
      <c r="C1274" t="inlineStr">
        <is>
          <t>P_US_ALL_OTHERS</t>
        </is>
      </c>
      <c r="D1274" t="inlineStr">
        <is>
          <t>Stat Fcst L1</t>
        </is>
      </c>
      <c r="E1274" t="n">
        <v>272.999991863966</v>
      </c>
      <c r="F1274" t="n">
        <v>287.999991416931</v>
      </c>
      <c r="G1274" t="n">
        <v>428</v>
      </c>
      <c r="H1274" t="n">
        <v>389</v>
      </c>
      <c r="I1274" t="n">
        <v>390</v>
      </c>
      <c r="J1274" t="n">
        <v>399</v>
      </c>
      <c r="K1274" t="n">
        <v>279</v>
      </c>
      <c r="L1274" t="n">
        <v>420</v>
      </c>
      <c r="M1274" t="n">
        <v>257</v>
      </c>
      <c r="N1274" t="n">
        <v>273</v>
      </c>
      <c r="O1274" t="n">
        <v>550</v>
      </c>
      <c r="P1274" t="n">
        <v>257</v>
      </c>
    </row>
    <row r="1275">
      <c r="A1275" s="1" t="n">
        <v>4064941006701</v>
      </c>
      <c r="B1275" t="inlineStr">
        <is>
          <t>KJ MU M LIQ K SET MLTLPK 3ml1.1g 600 IV</t>
        </is>
      </c>
      <c r="C1275" t="inlineStr">
        <is>
          <t>P_US_ALL_OTHERS</t>
        </is>
      </c>
      <c r="D1275" t="inlineStr">
        <is>
          <t>Stat Fcst AR-NNET</t>
        </is>
      </c>
    </row>
    <row r="1276">
      <c r="A1276" s="1" t="n">
        <v>4064941006701</v>
      </c>
      <c r="B1276" t="inlineStr">
        <is>
          <t>KJ MU M LIQ K SET MLTLPK 3ml1.1g 600 IV</t>
        </is>
      </c>
      <c r="C1276" t="inlineStr">
        <is>
          <t>P_US_ALL_OTHERS</t>
        </is>
      </c>
      <c r="D1276" t="inlineStr">
        <is>
          <t>Stat Fcst Auto ARIMA</t>
        </is>
      </c>
    </row>
    <row r="1277">
      <c r="A1277" s="1" t="n">
        <v>4064941006701</v>
      </c>
      <c r="B1277" t="inlineStr">
        <is>
          <t>KJ MU M LIQ K SET MLTLPK 3ml1.1g 600 IV</t>
        </is>
      </c>
      <c r="C1277" t="inlineStr">
        <is>
          <t>P_US_ALL_OTHERS</t>
        </is>
      </c>
      <c r="D1277" t="inlineStr">
        <is>
          <t>Stat Fcst Croston</t>
        </is>
      </c>
    </row>
    <row r="1278">
      <c r="A1278" s="1" t="n">
        <v>4064941006701</v>
      </c>
      <c r="B1278" t="inlineStr">
        <is>
          <t>KJ MU M LIQ K SET MLTLPK 3ml1.1g 600 IV</t>
        </is>
      </c>
      <c r="C1278" t="inlineStr">
        <is>
          <t>P_US_ALL_OTHERS</t>
        </is>
      </c>
      <c r="D1278" t="inlineStr">
        <is>
          <t>Stat Fcst DES</t>
        </is>
      </c>
    </row>
    <row r="1279">
      <c r="A1279" s="1" t="n">
        <v>4064941006701</v>
      </c>
      <c r="B1279" t="inlineStr">
        <is>
          <t>KJ MU M LIQ K SET MLTLPK 3ml1.1g 600 IV</t>
        </is>
      </c>
      <c r="C1279" t="inlineStr">
        <is>
          <t>P_US_ALL_OTHERS</t>
        </is>
      </c>
      <c r="D1279" t="inlineStr">
        <is>
          <t>Stat Fcst ETS</t>
        </is>
      </c>
    </row>
    <row r="1280">
      <c r="A1280" s="1" t="n">
        <v>4064941006701</v>
      </c>
      <c r="B1280" t="inlineStr">
        <is>
          <t>KJ MU M LIQ K SET MLTLPK 3ml1.1g 600 IV</t>
        </is>
      </c>
      <c r="C1280" t="inlineStr">
        <is>
          <t>P_US_ALL_OTHERS</t>
        </is>
      </c>
      <c r="D1280" t="inlineStr">
        <is>
          <t>Stat Fcst Moving Average</t>
        </is>
      </c>
    </row>
    <row r="1281">
      <c r="A1281" s="1" t="n">
        <v>4064941006701</v>
      </c>
      <c r="B1281" t="inlineStr">
        <is>
          <t>KJ MU M LIQ K SET MLTLPK 3ml1.1g 600 IV</t>
        </is>
      </c>
      <c r="C1281" t="inlineStr">
        <is>
          <t>P_US_ALL_OTHERS</t>
        </is>
      </c>
      <c r="D1281" t="inlineStr">
        <is>
          <t>Stat Fcst Naive Random Walk</t>
        </is>
      </c>
    </row>
    <row r="1282">
      <c r="A1282" s="1" t="n">
        <v>4064941006701</v>
      </c>
      <c r="B1282" t="inlineStr">
        <is>
          <t>KJ MU M LIQ K SET MLTLPK 3ml1.1g 600 IV</t>
        </is>
      </c>
      <c r="C1282" t="inlineStr">
        <is>
          <t>P_US_ALL_OTHERS</t>
        </is>
      </c>
      <c r="D1282" t="inlineStr">
        <is>
          <t>Stat Fcst Prophet</t>
        </is>
      </c>
    </row>
    <row r="1283">
      <c r="A1283" s="1" t="n">
        <v>4064941006701</v>
      </c>
      <c r="B1283" t="inlineStr">
        <is>
          <t>KJ MU M LIQ K SET MLTLPK 3ml1.1g 600 IV</t>
        </is>
      </c>
      <c r="C1283" t="inlineStr">
        <is>
          <t>P_US_ALL_OTHERS</t>
        </is>
      </c>
      <c r="D1283" t="inlineStr">
        <is>
          <t>Stat Fcst sARIMA</t>
        </is>
      </c>
    </row>
    <row r="1284">
      <c r="A1284" s="1" t="n">
        <v>4064941006701</v>
      </c>
      <c r="B1284" t="inlineStr">
        <is>
          <t>KJ MU M LIQ K SET MLTLPK 3ml1.1g 600 IV</t>
        </is>
      </c>
      <c r="C1284" t="inlineStr">
        <is>
          <t>P_US_ALL_OTHERS</t>
        </is>
      </c>
      <c r="D1284" t="inlineStr">
        <is>
          <t>Stat Fcst Seasonal Naive YoY</t>
        </is>
      </c>
    </row>
    <row r="1285">
      <c r="A1285" s="1" t="n">
        <v>4064941006701</v>
      </c>
      <c r="B1285" t="inlineStr">
        <is>
          <t>KJ MU M LIQ K SET MLTLPK 3ml1.1g 600 IV</t>
        </is>
      </c>
      <c r="C1285" t="inlineStr">
        <is>
          <t>P_US_ALL_OTHERS</t>
        </is>
      </c>
      <c r="D1285" t="inlineStr">
        <is>
          <t>Stat Fcst SES</t>
        </is>
      </c>
    </row>
    <row r="1286">
      <c r="A1286" s="1" t="n">
        <v>4064941006701</v>
      </c>
      <c r="B1286" t="inlineStr">
        <is>
          <t>KJ MU M LIQ K SET MLTLPK 3ml1.1g 600 IV</t>
        </is>
      </c>
      <c r="C1286" t="inlineStr">
        <is>
          <t>P_US_ALL_OTHERS</t>
        </is>
      </c>
      <c r="D1286" t="inlineStr">
        <is>
          <t>Stat Fcst STLF</t>
        </is>
      </c>
      <c r="E1286" t="n">
        <v>710.706356819607</v>
      </c>
      <c r="F1286" t="n">
        <v>471.062364634252</v>
      </c>
      <c r="G1286" t="n">
        <v>446.759409295519</v>
      </c>
      <c r="H1286" t="n">
        <v>398.197165242574</v>
      </c>
      <c r="I1286" t="n">
        <v>193.020737571583</v>
      </c>
      <c r="J1286" t="n">
        <v>341.49375602034</v>
      </c>
      <c r="K1286" t="n">
        <v>287.925666463027</v>
      </c>
      <c r="L1286" t="n">
        <v>337.349138229217</v>
      </c>
      <c r="M1286" t="n">
        <v>213.115683843747</v>
      </c>
      <c r="N1286" t="n">
        <v>291.756961417562</v>
      </c>
      <c r="O1286" t="n">
        <v>585.223310893939</v>
      </c>
      <c r="P1286" t="n">
        <v>224.130867096502</v>
      </c>
    </row>
    <row r="1287">
      <c r="A1287" s="1" t="n">
        <v>4064941006701</v>
      </c>
      <c r="B1287" t="inlineStr">
        <is>
          <t>KJ MU M LIQ K SET MLTLPK 3ml1.1g 600 IV</t>
        </is>
      </c>
      <c r="C1287" t="inlineStr">
        <is>
          <t>P_US_ALL_OTHERS</t>
        </is>
      </c>
      <c r="D1287" t="inlineStr">
        <is>
          <t>Stat Fcst TBATS</t>
        </is>
      </c>
    </row>
    <row r="1288">
      <c r="A1288" s="1" t="n">
        <v>4064941006701</v>
      </c>
      <c r="B1288" t="inlineStr">
        <is>
          <t>KJ MU M LIQ K SET MLTLPK 3ml1.1g 600 IV</t>
        </is>
      </c>
      <c r="C1288" t="inlineStr">
        <is>
          <t>P_US_ALL_OTHERS</t>
        </is>
      </c>
      <c r="D1288" t="inlineStr">
        <is>
          <t>Stat Fcst TES</t>
        </is>
      </c>
      <c r="E1288" t="n">
        <v>486.590236394906</v>
      </c>
      <c r="F1288" t="n">
        <v>397.395264307416</v>
      </c>
      <c r="G1288" t="n">
        <v>343.60092257034</v>
      </c>
      <c r="H1288" t="n">
        <v>332.371891205425</v>
      </c>
      <c r="I1288" t="n">
        <v>346.147119928586</v>
      </c>
      <c r="J1288" t="n">
        <v>358.211589869081</v>
      </c>
      <c r="K1288" t="n">
        <v>237.261735739727</v>
      </c>
      <c r="L1288" t="n">
        <v>384.608805686783</v>
      </c>
      <c r="M1288" t="n">
        <v>225.162131487581</v>
      </c>
      <c r="N1288" t="n">
        <v>238.502540608596</v>
      </c>
      <c r="O1288" t="n">
        <v>516.04746285326</v>
      </c>
      <c r="P1288" t="n">
        <v>227.880006250443</v>
      </c>
    </row>
    <row r="1289">
      <c r="A1289" s="1" t="n">
        <v>4064941006701</v>
      </c>
      <c r="B1289" t="inlineStr">
        <is>
          <t>KJ MU M LIQ K SET MLTLPK 3ml1.1g 600 IV</t>
        </is>
      </c>
      <c r="C1289" t="inlineStr">
        <is>
          <t>P_US_ALL_OTHERS</t>
        </is>
      </c>
      <c r="D1289" t="inlineStr">
        <is>
          <t>Stat Fcst Theta</t>
        </is>
      </c>
    </row>
    <row r="1290">
      <c r="A1290" s="1" t="n">
        <v>4064941006701</v>
      </c>
      <c r="B1290" t="inlineStr">
        <is>
          <t>KJ MU M LIQ K SET MLTLPK 3ml1.1g 600 IV</t>
        </is>
      </c>
      <c r="C1290" t="inlineStr">
        <is>
          <t>P_US_ALL_OTHERS</t>
        </is>
      </c>
      <c r="D1290" t="inlineStr">
        <is>
          <t>System ML Fcst L1</t>
        </is>
      </c>
    </row>
    <row r="1291">
      <c r="A1291" s="1" t="n">
        <v>4064941006701</v>
      </c>
      <c r="B1291" t="inlineStr">
        <is>
          <t>KJ MU M LIQ K SET MLTLPK 3ml1.1g 600 IV</t>
        </is>
      </c>
      <c r="C1291" t="inlineStr">
        <is>
          <t>P_US_ALL_OTHERS</t>
        </is>
      </c>
      <c r="D1291" t="inlineStr">
        <is>
          <t>Stat Fcst Simple Snaive</t>
        </is>
      </c>
      <c r="E1291" t="n">
        <v>466.999970823526</v>
      </c>
      <c r="F1291" t="n">
        <v>358.999958783389</v>
      </c>
      <c r="G1291" t="n">
        <v>426.666669845581</v>
      </c>
      <c r="H1291" t="n">
        <v>387.999978264173</v>
      </c>
      <c r="I1291" t="n">
        <v>388.125165652174</v>
      </c>
      <c r="J1291" t="n">
        <v>400.33332140247</v>
      </c>
      <c r="K1291" t="n">
        <v>279.999981482823</v>
      </c>
      <c r="L1291" t="n">
        <v>418.615580240885</v>
      </c>
      <c r="M1291" t="n">
        <v>258.61557253354</v>
      </c>
      <c r="N1291" t="n">
        <v>272.282250964873</v>
      </c>
      <c r="O1291" t="n">
        <v>550.6666502555209</v>
      </c>
      <c r="P1291" t="n">
        <v>256.000001907348</v>
      </c>
    </row>
    <row r="1292">
      <c r="A1292" s="1" t="n">
        <v>4064941006701</v>
      </c>
      <c r="B1292" t="inlineStr">
        <is>
          <t>KJ MU M LIQ K SET MLTLPK 3ml1.1g 600 IV</t>
        </is>
      </c>
      <c r="C1292" t="inlineStr">
        <is>
          <t>P_US_ALL_OTHERS</t>
        </is>
      </c>
      <c r="D1292" t="inlineStr">
        <is>
          <t>Stat Fcst Simple AOA</t>
        </is>
      </c>
    </row>
    <row r="1293">
      <c r="A1293" s="1" t="n">
        <v>4064941006701</v>
      </c>
      <c r="B1293" t="inlineStr">
        <is>
          <t>KJ MU M LIQ K SET MLTLPK 3ml1.1g 600 IV</t>
        </is>
      </c>
      <c r="C1293" t="inlineStr">
        <is>
          <t>P_US_ALL_OTHERS</t>
        </is>
      </c>
      <c r="D1293" t="inlineStr">
        <is>
          <t>Stat Fcst Weighted Snaive</t>
        </is>
      </c>
    </row>
    <row r="1294">
      <c r="A1294" s="1" t="n">
        <v>4064941006701</v>
      </c>
      <c r="B1294" t="inlineStr">
        <is>
          <t>KJ MU M LIQ K SET MLTLPK 3ml1.1g 600 IV</t>
        </is>
      </c>
      <c r="C1294" t="inlineStr">
        <is>
          <t>P_US_ALL_OTHERS</t>
        </is>
      </c>
      <c r="D1294" t="inlineStr">
        <is>
          <t>Stat Fcst Weighted AOA</t>
        </is>
      </c>
    </row>
    <row r="1295">
      <c r="A1295" s="1" t="n">
        <v>4064941006701</v>
      </c>
      <c r="B1295" t="inlineStr">
        <is>
          <t>KJ MU M LIQ K SET MLTLPK 3ml1.1g 600 IV</t>
        </is>
      </c>
      <c r="C1295" t="inlineStr">
        <is>
          <t>P_US_ALL_OTHERS</t>
        </is>
      </c>
      <c r="D1295" t="inlineStr">
        <is>
          <t>Stat Fcst Growth Snaive</t>
        </is>
      </c>
    </row>
    <row r="1296">
      <c r="A1296" s="1" t="n">
        <v>4064941006701</v>
      </c>
      <c r="B1296" t="inlineStr">
        <is>
          <t>KJ MU M LIQ K SET MLTLPK 3ml1.1g 600 IV</t>
        </is>
      </c>
      <c r="C1296" t="inlineStr">
        <is>
          <t>P_US_ALL_OTHERS</t>
        </is>
      </c>
      <c r="D1296" t="inlineStr">
        <is>
          <t>Stat Fcst Growth AOA</t>
        </is>
      </c>
    </row>
    <row r="1297">
      <c r="A1297" s="1" t="n">
        <v>4064941006701</v>
      </c>
      <c r="B1297" t="inlineStr">
        <is>
          <t>KJ MU M LIQ K SET MLTLPK 3ml1.1g 600 IV</t>
        </is>
      </c>
      <c r="C1297" t="inlineStr">
        <is>
          <t>P_US_ALL_OTHERS</t>
        </is>
      </c>
      <c r="D1297" t="inlineStr">
        <is>
          <t>System Stat Fcst Bestfit</t>
        </is>
      </c>
      <c r="H1297" t="n">
        <v>387.999988436698</v>
      </c>
      <c r="I1297" t="n">
        <v>388.125155479648</v>
      </c>
      <c r="J1297" t="n">
        <v>400.333331574996</v>
      </c>
      <c r="K1297" t="n">
        <v>279.999991655349</v>
      </c>
      <c r="L1297" t="n">
        <v>418.615570068359</v>
      </c>
      <c r="M1297" t="n">
        <v>258.615562361014</v>
      </c>
      <c r="N1297" t="n">
        <v>272.282261137399</v>
      </c>
      <c r="O1297" t="n">
        <v>550.666670600572</v>
      </c>
      <c r="P1297" t="n">
        <v>256.000001907348</v>
      </c>
    </row>
    <row r="1298">
      <c r="A1298" s="1" t="n">
        <v>4064941006701</v>
      </c>
      <c r="B1298" t="inlineStr">
        <is>
          <t>KJ MU M LIQ K SET MLTLPK 3ml1.1g 600 IV</t>
        </is>
      </c>
      <c r="C1298" t="inlineStr">
        <is>
          <t>P_US_ULTA</t>
        </is>
      </c>
      <c r="D1298" t="inlineStr">
        <is>
          <t>Stat Fcst L1</t>
        </is>
      </c>
      <c r="E1298" t="n">
        <v>4319.99987125396</v>
      </c>
      <c r="F1298" t="n">
        <v>4286.99987223744</v>
      </c>
      <c r="G1298" t="n">
        <v>1890</v>
      </c>
      <c r="H1298" t="n">
        <v>1856</v>
      </c>
      <c r="I1298" t="n">
        <v>2868</v>
      </c>
      <c r="J1298" t="n">
        <v>2901</v>
      </c>
      <c r="K1298" t="n">
        <v>2883</v>
      </c>
      <c r="L1298" t="n">
        <v>2032</v>
      </c>
      <c r="M1298" t="n">
        <v>1909</v>
      </c>
      <c r="N1298" t="n">
        <v>1093</v>
      </c>
      <c r="O1298" t="n">
        <v>2108</v>
      </c>
      <c r="P1298" t="n">
        <v>1265</v>
      </c>
    </row>
    <row r="1299">
      <c r="A1299" s="1" t="n">
        <v>4064941006701</v>
      </c>
      <c r="B1299" t="inlineStr">
        <is>
          <t>KJ MU M LIQ K SET MLTLPK 3ml1.1g 600 IV</t>
        </is>
      </c>
      <c r="C1299" t="inlineStr">
        <is>
          <t>P_US_ULTA</t>
        </is>
      </c>
      <c r="D1299" t="inlineStr">
        <is>
          <t>Stat Fcst AR-NNET</t>
        </is>
      </c>
    </row>
    <row r="1300">
      <c r="A1300" s="1" t="n">
        <v>4064941006701</v>
      </c>
      <c r="B1300" t="inlineStr">
        <is>
          <t>KJ MU M LIQ K SET MLTLPK 3ml1.1g 600 IV</t>
        </is>
      </c>
      <c r="C1300" t="inlineStr">
        <is>
          <t>P_US_ULTA</t>
        </is>
      </c>
      <c r="D1300" t="inlineStr">
        <is>
          <t>Stat Fcst Auto ARIMA</t>
        </is>
      </c>
    </row>
    <row r="1301">
      <c r="A1301" s="1" t="n">
        <v>4064941006701</v>
      </c>
      <c r="B1301" t="inlineStr">
        <is>
          <t>KJ MU M LIQ K SET MLTLPK 3ml1.1g 600 IV</t>
        </is>
      </c>
      <c r="C1301" t="inlineStr">
        <is>
          <t>P_US_ULTA</t>
        </is>
      </c>
      <c r="D1301" t="inlineStr">
        <is>
          <t>Stat Fcst Croston</t>
        </is>
      </c>
    </row>
    <row r="1302">
      <c r="A1302" s="1" t="n">
        <v>4064941006701</v>
      </c>
      <c r="B1302" t="inlineStr">
        <is>
          <t>KJ MU M LIQ K SET MLTLPK 3ml1.1g 600 IV</t>
        </is>
      </c>
      <c r="C1302" t="inlineStr">
        <is>
          <t>P_US_ULTA</t>
        </is>
      </c>
      <c r="D1302" t="inlineStr">
        <is>
          <t>Stat Fcst DES</t>
        </is>
      </c>
    </row>
    <row r="1303">
      <c r="A1303" s="1" t="n">
        <v>4064941006701</v>
      </c>
      <c r="B1303" t="inlineStr">
        <is>
          <t>KJ MU M LIQ K SET MLTLPK 3ml1.1g 600 IV</t>
        </is>
      </c>
      <c r="C1303" t="inlineStr">
        <is>
          <t>P_US_ULTA</t>
        </is>
      </c>
      <c r="D1303" t="inlineStr">
        <is>
          <t>Stat Fcst ETS</t>
        </is>
      </c>
    </row>
    <row r="1304">
      <c r="A1304" s="1" t="n">
        <v>4064941006701</v>
      </c>
      <c r="B1304" t="inlineStr">
        <is>
          <t>KJ MU M LIQ K SET MLTLPK 3ml1.1g 600 IV</t>
        </is>
      </c>
      <c r="C1304" t="inlineStr">
        <is>
          <t>P_US_ULTA</t>
        </is>
      </c>
      <c r="D1304" t="inlineStr">
        <is>
          <t>Stat Fcst Moving Average</t>
        </is>
      </c>
    </row>
    <row r="1305">
      <c r="A1305" s="1" t="n">
        <v>4064941006701</v>
      </c>
      <c r="B1305" t="inlineStr">
        <is>
          <t>KJ MU M LIQ K SET MLTLPK 3ml1.1g 600 IV</t>
        </is>
      </c>
      <c r="C1305" t="inlineStr">
        <is>
          <t>P_US_ULTA</t>
        </is>
      </c>
      <c r="D1305" t="inlineStr">
        <is>
          <t>Stat Fcst Naive Random Walk</t>
        </is>
      </c>
    </row>
    <row r="1306">
      <c r="A1306" s="1" t="n">
        <v>4064941006701</v>
      </c>
      <c r="B1306" t="inlineStr">
        <is>
          <t>KJ MU M LIQ K SET MLTLPK 3ml1.1g 600 IV</t>
        </is>
      </c>
      <c r="C1306" t="inlineStr">
        <is>
          <t>P_US_ULTA</t>
        </is>
      </c>
      <c r="D1306" t="inlineStr">
        <is>
          <t>Stat Fcst Prophet</t>
        </is>
      </c>
    </row>
    <row r="1307">
      <c r="A1307" s="1" t="n">
        <v>4064941006701</v>
      </c>
      <c r="B1307" t="inlineStr">
        <is>
          <t>KJ MU M LIQ K SET MLTLPK 3ml1.1g 600 IV</t>
        </is>
      </c>
      <c r="C1307" t="inlineStr">
        <is>
          <t>P_US_ULTA</t>
        </is>
      </c>
      <c r="D1307" t="inlineStr">
        <is>
          <t>Stat Fcst sARIMA</t>
        </is>
      </c>
    </row>
    <row r="1308">
      <c r="A1308" s="1" t="n">
        <v>4064941006701</v>
      </c>
      <c r="B1308" t="inlineStr">
        <is>
          <t>KJ MU M LIQ K SET MLTLPK 3ml1.1g 600 IV</t>
        </is>
      </c>
      <c r="C1308" t="inlineStr">
        <is>
          <t>P_US_ULTA</t>
        </is>
      </c>
      <c r="D1308" t="inlineStr">
        <is>
          <t>Stat Fcst Seasonal Naive YoY</t>
        </is>
      </c>
    </row>
    <row r="1309">
      <c r="A1309" s="1" t="n">
        <v>4064941006701</v>
      </c>
      <c r="B1309" t="inlineStr">
        <is>
          <t>KJ MU M LIQ K SET MLTLPK 3ml1.1g 600 IV</t>
        </is>
      </c>
      <c r="C1309" t="inlineStr">
        <is>
          <t>P_US_ULTA</t>
        </is>
      </c>
      <c r="D1309" t="inlineStr">
        <is>
          <t>Stat Fcst SES</t>
        </is>
      </c>
    </row>
    <row r="1310">
      <c r="A1310" s="1" t="n">
        <v>4064941006701</v>
      </c>
      <c r="B1310" t="inlineStr">
        <is>
          <t>KJ MU M LIQ K SET MLTLPK 3ml1.1g 600 IV</t>
        </is>
      </c>
      <c r="C1310" t="inlineStr">
        <is>
          <t>P_US_ULTA</t>
        </is>
      </c>
      <c r="D1310" t="inlineStr">
        <is>
          <t>Stat Fcst STLF</t>
        </is>
      </c>
      <c r="E1310" t="n">
        <v>3719.99355305518</v>
      </c>
      <c r="F1310" t="n">
        <v>1771.69028721269</v>
      </c>
      <c r="G1310" t="n">
        <v>2653.21622206764</v>
      </c>
      <c r="H1310" t="n">
        <v>1857.02115181572</v>
      </c>
      <c r="I1310" t="n">
        <v>2865.43582657011</v>
      </c>
      <c r="J1310" t="n">
        <v>2901.15361254826</v>
      </c>
      <c r="K1310" t="n">
        <v>2883.8048026925</v>
      </c>
      <c r="L1310" t="n">
        <v>2033.1832522291</v>
      </c>
      <c r="M1310" t="n">
        <v>1909.03746870594</v>
      </c>
      <c r="N1310" t="n">
        <v>1094.43041657068</v>
      </c>
      <c r="O1310" t="n">
        <v>2109.63352085885</v>
      </c>
      <c r="P1310" t="n">
        <v>1265.46507041529</v>
      </c>
    </row>
    <row r="1311">
      <c r="A1311" s="1" t="n">
        <v>4064941006701</v>
      </c>
      <c r="B1311" t="inlineStr">
        <is>
          <t>KJ MU M LIQ K SET MLTLPK 3ml1.1g 600 IV</t>
        </is>
      </c>
      <c r="C1311" t="inlineStr">
        <is>
          <t>P_US_ULTA</t>
        </is>
      </c>
      <c r="D1311" t="inlineStr">
        <is>
          <t>Stat Fcst TBATS</t>
        </is>
      </c>
    </row>
    <row r="1312">
      <c r="A1312" s="1" t="n">
        <v>4064941006701</v>
      </c>
      <c r="B1312" t="inlineStr">
        <is>
          <t>KJ MU M LIQ K SET MLTLPK 3ml1.1g 600 IV</t>
        </is>
      </c>
      <c r="C1312" t="inlineStr">
        <is>
          <t>P_US_ULTA</t>
        </is>
      </c>
      <c r="D1312" t="inlineStr">
        <is>
          <t>Stat Fcst TES</t>
        </is>
      </c>
      <c r="E1312" t="n">
        <v>1687.2203527845</v>
      </c>
      <c r="F1312" t="n">
        <v>2149.56881338955</v>
      </c>
      <c r="G1312" t="n">
        <v>1589.86243539557</v>
      </c>
      <c r="H1312" t="n">
        <v>1535.65711128655</v>
      </c>
      <c r="I1312" t="n">
        <v>2112.03581022207</v>
      </c>
      <c r="J1312" t="n">
        <v>2901.37290448222</v>
      </c>
      <c r="K1312" t="n">
        <v>1546.62874674478</v>
      </c>
      <c r="L1312" t="n">
        <v>1293.08176252394</v>
      </c>
      <c r="M1312" t="n">
        <v>1337.53003160664</v>
      </c>
      <c r="N1312" t="n">
        <v>1270.31602209782</v>
      </c>
      <c r="O1312" t="n">
        <v>2899.4685750715</v>
      </c>
      <c r="P1312" t="n">
        <v>2061.08414486999</v>
      </c>
    </row>
    <row r="1313">
      <c r="A1313" s="1" t="n">
        <v>4064941006701</v>
      </c>
      <c r="B1313" t="inlineStr">
        <is>
          <t>KJ MU M LIQ K SET MLTLPK 3ml1.1g 600 IV</t>
        </is>
      </c>
      <c r="C1313" t="inlineStr">
        <is>
          <t>P_US_ULTA</t>
        </is>
      </c>
      <c r="D1313" t="inlineStr">
        <is>
          <t>Stat Fcst Theta</t>
        </is>
      </c>
    </row>
    <row r="1314">
      <c r="A1314" s="1" t="n">
        <v>4064941006701</v>
      </c>
      <c r="B1314" t="inlineStr">
        <is>
          <t>KJ MU M LIQ K SET MLTLPK 3ml1.1g 600 IV</t>
        </is>
      </c>
      <c r="C1314" t="inlineStr">
        <is>
          <t>P_US_ULTA</t>
        </is>
      </c>
      <c r="D1314" t="inlineStr">
        <is>
          <t>System ML Fcst L1</t>
        </is>
      </c>
    </row>
    <row r="1315">
      <c r="A1315" s="1" t="n">
        <v>4064941006701</v>
      </c>
      <c r="B1315" t="inlineStr">
        <is>
          <t>KJ MU M LIQ K SET MLTLPK 3ml1.1g 600 IV</t>
        </is>
      </c>
      <c r="C1315" t="inlineStr">
        <is>
          <t>P_US_ULTA</t>
        </is>
      </c>
      <c r="D1315" t="inlineStr">
        <is>
          <t>Stat Fcst Simple Snaive</t>
        </is>
      </c>
      <c r="E1315" t="n">
        <v>2056.49981664121</v>
      </c>
      <c r="F1315" t="n">
        <v>1322.49996058642</v>
      </c>
      <c r="G1315" t="n">
        <v>1344.00009139378</v>
      </c>
      <c r="H1315" t="n">
        <v>840.666641612847</v>
      </c>
      <c r="I1315" t="n">
        <v>1486.00001107156</v>
      </c>
      <c r="J1315" t="n">
        <v>1970.99990056951</v>
      </c>
      <c r="K1315" t="n">
        <v>1387.99995863437</v>
      </c>
      <c r="L1315" t="n">
        <v>996.333312988281</v>
      </c>
      <c r="M1315" t="n">
        <v>1159.3332987825</v>
      </c>
      <c r="N1315" t="n">
        <v>710.666677256425</v>
      </c>
      <c r="O1315" t="n">
        <v>3064.15257795196</v>
      </c>
      <c r="P1315" t="n">
        <v>2018.6666817069</v>
      </c>
    </row>
    <row r="1316">
      <c r="A1316" s="1" t="n">
        <v>4064941006701</v>
      </c>
      <c r="B1316" t="inlineStr">
        <is>
          <t>KJ MU M LIQ K SET MLTLPK 3ml1.1g 600 IV</t>
        </is>
      </c>
      <c r="C1316" t="inlineStr">
        <is>
          <t>P_US_ULTA</t>
        </is>
      </c>
      <c r="D1316" t="inlineStr">
        <is>
          <t>Stat Fcst Simple AOA</t>
        </is>
      </c>
    </row>
    <row r="1317">
      <c r="A1317" s="1" t="n">
        <v>4064941006701</v>
      </c>
      <c r="B1317" t="inlineStr">
        <is>
          <t>KJ MU M LIQ K SET MLTLPK 3ml1.1g 600 IV</t>
        </is>
      </c>
      <c r="C1317" t="inlineStr">
        <is>
          <t>P_US_ULTA</t>
        </is>
      </c>
      <c r="D1317" t="inlineStr">
        <is>
          <t>Stat Fcst Weighted Snaive</t>
        </is>
      </c>
    </row>
    <row r="1318">
      <c r="A1318" s="1" t="n">
        <v>4064941006701</v>
      </c>
      <c r="B1318" t="inlineStr">
        <is>
          <t>KJ MU M LIQ K SET MLTLPK 3ml1.1g 600 IV</t>
        </is>
      </c>
      <c r="C1318" t="inlineStr">
        <is>
          <t>P_US_ULTA</t>
        </is>
      </c>
      <c r="D1318" t="inlineStr">
        <is>
          <t>Stat Fcst Weighted AOA</t>
        </is>
      </c>
    </row>
    <row r="1319">
      <c r="A1319" s="1" t="n">
        <v>4064941006701</v>
      </c>
      <c r="B1319" t="inlineStr">
        <is>
          <t>KJ MU M LIQ K SET MLTLPK 3ml1.1g 600 IV</t>
        </is>
      </c>
      <c r="C1319" t="inlineStr">
        <is>
          <t>P_US_ULTA</t>
        </is>
      </c>
      <c r="D1319" t="inlineStr">
        <is>
          <t>Stat Fcst Growth Snaive</t>
        </is>
      </c>
    </row>
    <row r="1320">
      <c r="A1320" s="1" t="n">
        <v>4064941006701</v>
      </c>
      <c r="B1320" t="inlineStr">
        <is>
          <t>KJ MU M LIQ K SET MLTLPK 3ml1.1g 600 IV</t>
        </is>
      </c>
      <c r="C1320" t="inlineStr">
        <is>
          <t>P_US_ULTA</t>
        </is>
      </c>
      <c r="D1320" t="inlineStr">
        <is>
          <t>Stat Fcst Growth AOA</t>
        </is>
      </c>
    </row>
    <row r="1321">
      <c r="A1321" s="1" t="n">
        <v>4064941006701</v>
      </c>
      <c r="B1321" t="inlineStr">
        <is>
          <t>KJ MU M LIQ K SET MLTLPK 3ml1.1g 600 IV</t>
        </is>
      </c>
      <c r="C1321" t="inlineStr">
        <is>
          <t>P_US_ULTA</t>
        </is>
      </c>
      <c r="D1321" t="inlineStr">
        <is>
          <t>System Stat Fcst Bestfit</t>
        </is>
      </c>
      <c r="H1321" t="n">
        <v>1857.02118489082</v>
      </c>
      <c r="I1321" t="n">
        <v>2865.43581236478</v>
      </c>
      <c r="J1321" t="n">
        <v>2901.15347799201</v>
      </c>
      <c r="K1321" t="n">
        <v>2883.80460155592</v>
      </c>
      <c r="L1321" t="n">
        <v>2033.18322753906</v>
      </c>
      <c r="M1321" t="n">
        <v>1909.03741869218</v>
      </c>
      <c r="N1321" t="n">
        <v>1094.43043623015</v>
      </c>
      <c r="O1321" t="n">
        <v>2109.63348204989</v>
      </c>
      <c r="P1321" t="n">
        <v>1265.46509731907</v>
      </c>
    </row>
    <row r="1322">
      <c r="A1322" s="1" t="n">
        <v>4064941006800</v>
      </c>
      <c r="B1322" t="inlineStr">
        <is>
          <t>KJ MU M LIQ K SET NMDIN 302 SNWWYBA 23IV</t>
        </is>
      </c>
      <c r="C1322" t="inlineStr">
        <is>
          <t>P_US_ALL_OTHERS</t>
        </is>
      </c>
      <c r="D1322" t="inlineStr">
        <is>
          <t>Stat Fcst L1</t>
        </is>
      </c>
      <c r="E1322" t="n">
        <v>155.999995350837</v>
      </c>
      <c r="F1322" t="n">
        <v>194.999994188547</v>
      </c>
      <c r="G1322" t="n">
        <v>159</v>
      </c>
      <c r="H1322" t="n">
        <v>186</v>
      </c>
      <c r="I1322" t="n">
        <v>176</v>
      </c>
      <c r="J1322" t="n">
        <v>231</v>
      </c>
      <c r="K1322" t="n">
        <v>177</v>
      </c>
      <c r="L1322" t="n">
        <v>264</v>
      </c>
      <c r="M1322" t="n">
        <v>252</v>
      </c>
      <c r="N1322" t="n">
        <v>141</v>
      </c>
      <c r="O1322" t="n">
        <v>337</v>
      </c>
      <c r="P1322" t="n">
        <v>150</v>
      </c>
    </row>
    <row r="1323">
      <c r="A1323" s="1" t="n">
        <v>4064941006800</v>
      </c>
      <c r="B1323" t="inlineStr">
        <is>
          <t>KJ MU M LIQ K SET NMDIN 302 SNWWYBA 23IV</t>
        </is>
      </c>
      <c r="C1323" t="inlineStr">
        <is>
          <t>P_US_ALL_OTHERS</t>
        </is>
      </c>
      <c r="D1323" t="inlineStr">
        <is>
          <t>Stat Fcst AR-NNET</t>
        </is>
      </c>
    </row>
    <row r="1324">
      <c r="A1324" s="1" t="n">
        <v>4064941006800</v>
      </c>
      <c r="B1324" t="inlineStr">
        <is>
          <t>KJ MU M LIQ K SET NMDIN 302 SNWWYBA 23IV</t>
        </is>
      </c>
      <c r="C1324" t="inlineStr">
        <is>
          <t>P_US_ALL_OTHERS</t>
        </is>
      </c>
      <c r="D1324" t="inlineStr">
        <is>
          <t>Stat Fcst Auto ARIMA</t>
        </is>
      </c>
    </row>
    <row r="1325">
      <c r="A1325" s="1" t="n">
        <v>4064941006800</v>
      </c>
      <c r="B1325" t="inlineStr">
        <is>
          <t>KJ MU M LIQ K SET NMDIN 302 SNWWYBA 23IV</t>
        </is>
      </c>
      <c r="C1325" t="inlineStr">
        <is>
          <t>P_US_ALL_OTHERS</t>
        </is>
      </c>
      <c r="D1325" t="inlineStr">
        <is>
          <t>Stat Fcst Croston</t>
        </is>
      </c>
    </row>
    <row r="1326">
      <c r="A1326" s="1" t="n">
        <v>4064941006800</v>
      </c>
      <c r="B1326" t="inlineStr">
        <is>
          <t>KJ MU M LIQ K SET NMDIN 302 SNWWYBA 23IV</t>
        </is>
      </c>
      <c r="C1326" t="inlineStr">
        <is>
          <t>P_US_ALL_OTHERS</t>
        </is>
      </c>
      <c r="D1326" t="inlineStr">
        <is>
          <t>Stat Fcst DES</t>
        </is>
      </c>
    </row>
    <row r="1327">
      <c r="A1327" s="1" t="n">
        <v>4064941006800</v>
      </c>
      <c r="B1327" t="inlineStr">
        <is>
          <t>KJ MU M LIQ K SET NMDIN 302 SNWWYBA 23IV</t>
        </is>
      </c>
      <c r="C1327" t="inlineStr">
        <is>
          <t>P_US_ALL_OTHERS</t>
        </is>
      </c>
      <c r="D1327" t="inlineStr">
        <is>
          <t>Stat Fcst ETS</t>
        </is>
      </c>
    </row>
    <row r="1328">
      <c r="A1328" s="1" t="n">
        <v>4064941006800</v>
      </c>
      <c r="B1328" t="inlineStr">
        <is>
          <t>KJ MU M LIQ K SET NMDIN 302 SNWWYBA 23IV</t>
        </is>
      </c>
      <c r="C1328" t="inlineStr">
        <is>
          <t>P_US_ALL_OTHERS</t>
        </is>
      </c>
      <c r="D1328" t="inlineStr">
        <is>
          <t>Stat Fcst Moving Average</t>
        </is>
      </c>
    </row>
    <row r="1329">
      <c r="A1329" s="1" t="n">
        <v>4064941006800</v>
      </c>
      <c r="B1329" t="inlineStr">
        <is>
          <t>KJ MU M LIQ K SET NMDIN 302 SNWWYBA 23IV</t>
        </is>
      </c>
      <c r="C1329" t="inlineStr">
        <is>
          <t>P_US_ALL_OTHERS</t>
        </is>
      </c>
      <c r="D1329" t="inlineStr">
        <is>
          <t>Stat Fcst Naive Random Walk</t>
        </is>
      </c>
    </row>
    <row r="1330">
      <c r="A1330" s="1" t="n">
        <v>4064941006800</v>
      </c>
      <c r="B1330" t="inlineStr">
        <is>
          <t>KJ MU M LIQ K SET NMDIN 302 SNWWYBA 23IV</t>
        </is>
      </c>
      <c r="C1330" t="inlineStr">
        <is>
          <t>P_US_ALL_OTHERS</t>
        </is>
      </c>
      <c r="D1330" t="inlineStr">
        <is>
          <t>Stat Fcst Prophet</t>
        </is>
      </c>
    </row>
    <row r="1331">
      <c r="A1331" s="1" t="n">
        <v>4064941006800</v>
      </c>
      <c r="B1331" t="inlineStr">
        <is>
          <t>KJ MU M LIQ K SET NMDIN 302 SNWWYBA 23IV</t>
        </is>
      </c>
      <c r="C1331" t="inlineStr">
        <is>
          <t>P_US_ALL_OTHERS</t>
        </is>
      </c>
      <c r="D1331" t="inlineStr">
        <is>
          <t>Stat Fcst sARIMA</t>
        </is>
      </c>
    </row>
    <row r="1332">
      <c r="A1332" s="1" t="n">
        <v>4064941006800</v>
      </c>
      <c r="B1332" t="inlineStr">
        <is>
          <t>KJ MU M LIQ K SET NMDIN 302 SNWWYBA 23IV</t>
        </is>
      </c>
      <c r="C1332" t="inlineStr">
        <is>
          <t>P_US_ALL_OTHERS</t>
        </is>
      </c>
      <c r="D1332" t="inlineStr">
        <is>
          <t>Stat Fcst Seasonal Naive YoY</t>
        </is>
      </c>
    </row>
    <row r="1333">
      <c r="A1333" s="1" t="n">
        <v>4064941006800</v>
      </c>
      <c r="B1333" t="inlineStr">
        <is>
          <t>KJ MU M LIQ K SET NMDIN 302 SNWWYBA 23IV</t>
        </is>
      </c>
      <c r="C1333" t="inlineStr">
        <is>
          <t>P_US_ALL_OTHERS</t>
        </is>
      </c>
      <c r="D1333" t="inlineStr">
        <is>
          <t>Stat Fcst SES</t>
        </is>
      </c>
    </row>
    <row r="1334">
      <c r="A1334" s="1" t="n">
        <v>4064941006800</v>
      </c>
      <c r="B1334" t="inlineStr">
        <is>
          <t>KJ MU M LIQ K SET NMDIN 302 SNWWYBA 23IV</t>
        </is>
      </c>
      <c r="C1334" t="inlineStr">
        <is>
          <t>P_US_ALL_OTHERS</t>
        </is>
      </c>
      <c r="D1334" t="inlineStr">
        <is>
          <t>Stat Fcst STLF</t>
        </is>
      </c>
      <c r="E1334" t="n">
        <v>195.124446821657</v>
      </c>
      <c r="F1334" t="n">
        <v>184.480398031701</v>
      </c>
      <c r="G1334" t="n">
        <v>172.548721506431</v>
      </c>
      <c r="H1334" t="n">
        <v>231.898107859556</v>
      </c>
      <c r="I1334" t="n">
        <v>141.270848240089</v>
      </c>
      <c r="J1334" t="n">
        <v>183.299385579722</v>
      </c>
      <c r="K1334" t="n">
        <v>178.982243498423</v>
      </c>
      <c r="L1334" t="n">
        <v>229.295439529288</v>
      </c>
      <c r="M1334" t="n">
        <v>236.78282602074</v>
      </c>
      <c r="N1334" t="n">
        <v>196.929183386198</v>
      </c>
      <c r="O1334" t="n">
        <v>353.917779983817</v>
      </c>
      <c r="P1334" t="n">
        <v>142.034896439671</v>
      </c>
    </row>
    <row r="1335">
      <c r="A1335" s="1" t="n">
        <v>4064941006800</v>
      </c>
      <c r="B1335" t="inlineStr">
        <is>
          <t>KJ MU M LIQ K SET NMDIN 302 SNWWYBA 23IV</t>
        </is>
      </c>
      <c r="C1335" t="inlineStr">
        <is>
          <t>P_US_ALL_OTHERS</t>
        </is>
      </c>
      <c r="D1335" t="inlineStr">
        <is>
          <t>Stat Fcst TBATS</t>
        </is>
      </c>
    </row>
    <row r="1336">
      <c r="A1336" s="1" t="n">
        <v>4064941006800</v>
      </c>
      <c r="B1336" t="inlineStr">
        <is>
          <t>KJ MU M LIQ K SET NMDIN 302 SNWWYBA 23IV</t>
        </is>
      </c>
      <c r="C1336" t="inlineStr">
        <is>
          <t>P_US_ALL_OTHERS</t>
        </is>
      </c>
      <c r="D1336" t="inlineStr">
        <is>
          <t>Stat Fcst TES</t>
        </is>
      </c>
      <c r="E1336" t="n">
        <v>167.742525050007</v>
      </c>
      <c r="F1336" t="n">
        <v>199.303692904231</v>
      </c>
      <c r="G1336" t="n">
        <v>144.433593955973</v>
      </c>
      <c r="H1336" t="n">
        <v>185.278044487439</v>
      </c>
      <c r="I1336" t="n">
        <v>176.324655273209</v>
      </c>
      <c r="J1336" t="n">
        <v>231.707732667189</v>
      </c>
      <c r="K1336" t="n">
        <v>179.242711800584</v>
      </c>
      <c r="L1336" t="n">
        <v>264.335508363723</v>
      </c>
      <c r="M1336" t="n">
        <v>250.494364243703</v>
      </c>
      <c r="N1336" t="n">
        <v>140.659988408455</v>
      </c>
      <c r="O1336" t="n">
        <v>337.252624236578</v>
      </c>
      <c r="P1336" t="n">
        <v>150.858372174931</v>
      </c>
    </row>
    <row r="1337">
      <c r="A1337" s="1" t="n">
        <v>4064941006800</v>
      </c>
      <c r="B1337" t="inlineStr">
        <is>
          <t>KJ MU M LIQ K SET NMDIN 302 SNWWYBA 23IV</t>
        </is>
      </c>
      <c r="C1337" t="inlineStr">
        <is>
          <t>P_US_ALL_OTHERS</t>
        </is>
      </c>
      <c r="D1337" t="inlineStr">
        <is>
          <t>Stat Fcst Theta</t>
        </is>
      </c>
    </row>
    <row r="1338">
      <c r="A1338" s="1" t="n">
        <v>4064941006800</v>
      </c>
      <c r="B1338" t="inlineStr">
        <is>
          <t>KJ MU M LIQ K SET NMDIN 302 SNWWYBA 23IV</t>
        </is>
      </c>
      <c r="C1338" t="inlineStr">
        <is>
          <t>P_US_ALL_OTHERS</t>
        </is>
      </c>
      <c r="D1338" t="inlineStr">
        <is>
          <t>System ML Fcst L1</t>
        </is>
      </c>
    </row>
    <row r="1339">
      <c r="A1339" s="1" t="n">
        <v>4064941006800</v>
      </c>
      <c r="B1339" t="inlineStr">
        <is>
          <t>KJ MU M LIQ K SET NMDIN 302 SNWWYBA 23IV</t>
        </is>
      </c>
      <c r="C1339" t="inlineStr">
        <is>
          <t>P_US_ALL_OTHERS</t>
        </is>
      </c>
      <c r="D1339" t="inlineStr">
        <is>
          <t>Stat Fcst Simple Snaive</t>
        </is>
      </c>
      <c r="E1339" t="n">
        <v>189.499986723065</v>
      </c>
      <c r="F1339" t="n">
        <v>219.999985814094</v>
      </c>
      <c r="G1339" t="n">
        <v>192.000001430511</v>
      </c>
      <c r="H1339" t="n">
        <v>229.666644563278</v>
      </c>
      <c r="I1339" t="n">
        <v>219.000001631677</v>
      </c>
      <c r="J1339" t="n">
        <v>270.666643341382</v>
      </c>
      <c r="K1339" t="n">
        <v>214.666655182838</v>
      </c>
      <c r="L1339" t="n">
        <v>297.999989827473</v>
      </c>
      <c r="M1339" t="n">
        <v>280.694764990763</v>
      </c>
      <c r="N1339" t="n">
        <v>168.000002503395</v>
      </c>
      <c r="O1339" t="n">
        <v>365.333312273025</v>
      </c>
      <c r="P1339" t="n">
        <v>177.666667990386</v>
      </c>
    </row>
    <row r="1340">
      <c r="A1340" s="1" t="n">
        <v>4064941006800</v>
      </c>
      <c r="B1340" t="inlineStr">
        <is>
          <t>KJ MU M LIQ K SET NMDIN 302 SNWWYBA 23IV</t>
        </is>
      </c>
      <c r="C1340" t="inlineStr">
        <is>
          <t>P_US_ALL_OTHERS</t>
        </is>
      </c>
      <c r="D1340" t="inlineStr">
        <is>
          <t>Stat Fcst Simple AOA</t>
        </is>
      </c>
    </row>
    <row r="1341">
      <c r="A1341" s="1" t="n">
        <v>4064941006800</v>
      </c>
      <c r="B1341" t="inlineStr">
        <is>
          <t>KJ MU M LIQ K SET NMDIN 302 SNWWYBA 23IV</t>
        </is>
      </c>
      <c r="C1341" t="inlineStr">
        <is>
          <t>P_US_ALL_OTHERS</t>
        </is>
      </c>
      <c r="D1341" t="inlineStr">
        <is>
          <t>Stat Fcst Weighted Snaive</t>
        </is>
      </c>
    </row>
    <row r="1342">
      <c r="A1342" s="1" t="n">
        <v>4064941006800</v>
      </c>
      <c r="B1342" t="inlineStr">
        <is>
          <t>KJ MU M LIQ K SET NMDIN 302 SNWWYBA 23IV</t>
        </is>
      </c>
      <c r="C1342" t="inlineStr">
        <is>
          <t>P_US_ALL_OTHERS</t>
        </is>
      </c>
      <c r="D1342" t="inlineStr">
        <is>
          <t>Stat Fcst Weighted AOA</t>
        </is>
      </c>
    </row>
    <row r="1343">
      <c r="A1343" s="1" t="n">
        <v>4064941006800</v>
      </c>
      <c r="B1343" t="inlineStr">
        <is>
          <t>KJ MU M LIQ K SET NMDIN 302 SNWWYBA 23IV</t>
        </is>
      </c>
      <c r="C1343" t="inlineStr">
        <is>
          <t>P_US_ALL_OTHERS</t>
        </is>
      </c>
      <c r="D1343" t="inlineStr">
        <is>
          <t>Stat Fcst Growth Snaive</t>
        </is>
      </c>
    </row>
    <row r="1344">
      <c r="A1344" s="1" t="n">
        <v>4064941006800</v>
      </c>
      <c r="B1344" t="inlineStr">
        <is>
          <t>KJ MU M LIQ K SET NMDIN 302 SNWWYBA 23IV</t>
        </is>
      </c>
      <c r="C1344" t="inlineStr">
        <is>
          <t>P_US_ALL_OTHERS</t>
        </is>
      </c>
      <c r="D1344" t="inlineStr">
        <is>
          <t>Stat Fcst Growth AOA</t>
        </is>
      </c>
    </row>
    <row r="1345">
      <c r="A1345" s="1" t="n">
        <v>4064941006800</v>
      </c>
      <c r="B1345" t="inlineStr">
        <is>
          <t>KJ MU M LIQ K SET NMDIN 302 SNWWYBA 23IV</t>
        </is>
      </c>
      <c r="C1345" t="inlineStr">
        <is>
          <t>P_US_ALL_OTHERS</t>
        </is>
      </c>
      <c r="D1345" t="inlineStr">
        <is>
          <t>System Stat Fcst Bestfit</t>
        </is>
      </c>
      <c r="H1345" t="n">
        <v>185.27804013258</v>
      </c>
      <c r="I1345" t="n">
        <v>176.324647309814</v>
      </c>
      <c r="J1345" t="n">
        <v>231.707726248868</v>
      </c>
      <c r="K1345" t="n">
        <v>179.242700956979</v>
      </c>
      <c r="L1345" t="n">
        <v>264.335510253906</v>
      </c>
      <c r="M1345" t="n">
        <v>250.494362041521</v>
      </c>
      <c r="N1345" t="n">
        <v>140.659990499317</v>
      </c>
      <c r="O1345" t="n">
        <v>337.252614460807</v>
      </c>
      <c r="P1345" t="n">
        <v>150.858369043904</v>
      </c>
    </row>
    <row r="1346">
      <c r="A1346" s="1" t="n">
        <v>4064941006800</v>
      </c>
      <c r="B1346" t="inlineStr">
        <is>
          <t>KJ MU M LIQ K SET NMDIN 302 SNWWYBA 23IV</t>
        </is>
      </c>
      <c r="C1346" t="inlineStr">
        <is>
          <t>P_US_ULTA</t>
        </is>
      </c>
      <c r="D1346" t="inlineStr">
        <is>
          <t>Stat Fcst L1</t>
        </is>
      </c>
      <c r="E1346" t="n">
        <v>922.999972492456</v>
      </c>
      <c r="F1346" t="n">
        <v>969.9999710917471</v>
      </c>
      <c r="G1346" t="n">
        <v>1016</v>
      </c>
      <c r="H1346" t="n">
        <v>1183</v>
      </c>
      <c r="I1346" t="n">
        <v>1302</v>
      </c>
      <c r="J1346" t="n">
        <v>1438</v>
      </c>
      <c r="K1346" t="n">
        <v>802</v>
      </c>
      <c r="L1346" t="n">
        <v>1140</v>
      </c>
      <c r="M1346" t="n">
        <v>1306</v>
      </c>
      <c r="N1346" t="n">
        <v>775</v>
      </c>
      <c r="O1346" t="n">
        <v>1523</v>
      </c>
      <c r="P1346" t="n">
        <v>1256</v>
      </c>
    </row>
    <row r="1347">
      <c r="A1347" s="1" t="n">
        <v>4064941006800</v>
      </c>
      <c r="B1347" t="inlineStr">
        <is>
          <t>KJ MU M LIQ K SET NMDIN 302 SNWWYBA 23IV</t>
        </is>
      </c>
      <c r="C1347" t="inlineStr">
        <is>
          <t>P_US_ULTA</t>
        </is>
      </c>
      <c r="D1347" t="inlineStr">
        <is>
          <t>Stat Fcst AR-NNET</t>
        </is>
      </c>
    </row>
    <row r="1348">
      <c r="A1348" s="1" t="n">
        <v>4064941006800</v>
      </c>
      <c r="B1348" t="inlineStr">
        <is>
          <t>KJ MU M LIQ K SET NMDIN 302 SNWWYBA 23IV</t>
        </is>
      </c>
      <c r="C1348" t="inlineStr">
        <is>
          <t>P_US_ULTA</t>
        </is>
      </c>
      <c r="D1348" t="inlineStr">
        <is>
          <t>Stat Fcst Auto ARIMA</t>
        </is>
      </c>
    </row>
    <row r="1349">
      <c r="A1349" s="1" t="n">
        <v>4064941006800</v>
      </c>
      <c r="B1349" t="inlineStr">
        <is>
          <t>KJ MU M LIQ K SET NMDIN 302 SNWWYBA 23IV</t>
        </is>
      </c>
      <c r="C1349" t="inlineStr">
        <is>
          <t>P_US_ULTA</t>
        </is>
      </c>
      <c r="D1349" t="inlineStr">
        <is>
          <t>Stat Fcst Croston</t>
        </is>
      </c>
    </row>
    <row r="1350">
      <c r="A1350" s="1" t="n">
        <v>4064941006800</v>
      </c>
      <c r="B1350" t="inlineStr">
        <is>
          <t>KJ MU M LIQ K SET NMDIN 302 SNWWYBA 23IV</t>
        </is>
      </c>
      <c r="C1350" t="inlineStr">
        <is>
          <t>P_US_ULTA</t>
        </is>
      </c>
      <c r="D1350" t="inlineStr">
        <is>
          <t>Stat Fcst DES</t>
        </is>
      </c>
    </row>
    <row r="1351">
      <c r="A1351" s="1" t="n">
        <v>4064941006800</v>
      </c>
      <c r="B1351" t="inlineStr">
        <is>
          <t>KJ MU M LIQ K SET NMDIN 302 SNWWYBA 23IV</t>
        </is>
      </c>
      <c r="C1351" t="inlineStr">
        <is>
          <t>P_US_ULTA</t>
        </is>
      </c>
      <c r="D1351" t="inlineStr">
        <is>
          <t>Stat Fcst ETS</t>
        </is>
      </c>
    </row>
    <row r="1352">
      <c r="A1352" s="1" t="n">
        <v>4064941006800</v>
      </c>
      <c r="B1352" t="inlineStr">
        <is>
          <t>KJ MU M LIQ K SET NMDIN 302 SNWWYBA 23IV</t>
        </is>
      </c>
      <c r="C1352" t="inlineStr">
        <is>
          <t>P_US_ULTA</t>
        </is>
      </c>
      <c r="D1352" t="inlineStr">
        <is>
          <t>Stat Fcst Moving Average</t>
        </is>
      </c>
    </row>
    <row r="1353">
      <c r="A1353" s="1" t="n">
        <v>4064941006800</v>
      </c>
      <c r="B1353" t="inlineStr">
        <is>
          <t>KJ MU M LIQ K SET NMDIN 302 SNWWYBA 23IV</t>
        </is>
      </c>
      <c r="C1353" t="inlineStr">
        <is>
          <t>P_US_ULTA</t>
        </is>
      </c>
      <c r="D1353" t="inlineStr">
        <is>
          <t>Stat Fcst Naive Random Walk</t>
        </is>
      </c>
    </row>
    <row r="1354">
      <c r="A1354" s="1" t="n">
        <v>4064941006800</v>
      </c>
      <c r="B1354" t="inlineStr">
        <is>
          <t>KJ MU M LIQ K SET NMDIN 302 SNWWYBA 23IV</t>
        </is>
      </c>
      <c r="C1354" t="inlineStr">
        <is>
          <t>P_US_ULTA</t>
        </is>
      </c>
      <c r="D1354" t="inlineStr">
        <is>
          <t>Stat Fcst Prophet</t>
        </is>
      </c>
    </row>
    <row r="1355">
      <c r="A1355" s="1" t="n">
        <v>4064941006800</v>
      </c>
      <c r="B1355" t="inlineStr">
        <is>
          <t>KJ MU M LIQ K SET NMDIN 302 SNWWYBA 23IV</t>
        </is>
      </c>
      <c r="C1355" t="inlineStr">
        <is>
          <t>P_US_ULTA</t>
        </is>
      </c>
      <c r="D1355" t="inlineStr">
        <is>
          <t>Stat Fcst sARIMA</t>
        </is>
      </c>
    </row>
    <row r="1356">
      <c r="A1356" s="1" t="n">
        <v>4064941006800</v>
      </c>
      <c r="B1356" t="inlineStr">
        <is>
          <t>KJ MU M LIQ K SET NMDIN 302 SNWWYBA 23IV</t>
        </is>
      </c>
      <c r="C1356" t="inlineStr">
        <is>
          <t>P_US_ULTA</t>
        </is>
      </c>
      <c r="D1356" t="inlineStr">
        <is>
          <t>Stat Fcst Seasonal Naive YoY</t>
        </is>
      </c>
    </row>
    <row r="1357">
      <c r="A1357" s="1" t="n">
        <v>4064941006800</v>
      </c>
      <c r="B1357" t="inlineStr">
        <is>
          <t>KJ MU M LIQ K SET NMDIN 302 SNWWYBA 23IV</t>
        </is>
      </c>
      <c r="C1357" t="inlineStr">
        <is>
          <t>P_US_ULTA</t>
        </is>
      </c>
      <c r="D1357" t="inlineStr">
        <is>
          <t>Stat Fcst SES</t>
        </is>
      </c>
    </row>
    <row r="1358">
      <c r="A1358" s="1" t="n">
        <v>4064941006800</v>
      </c>
      <c r="B1358" t="inlineStr">
        <is>
          <t>KJ MU M LIQ K SET NMDIN 302 SNWWYBA 23IV</t>
        </is>
      </c>
      <c r="C1358" t="inlineStr">
        <is>
          <t>P_US_ULTA</t>
        </is>
      </c>
      <c r="D1358" t="inlineStr">
        <is>
          <t>Stat Fcst STLF</t>
        </is>
      </c>
      <c r="E1358" t="n">
        <v>2760.56780029936</v>
      </c>
      <c r="F1358" t="n">
        <v>1255.29824767259</v>
      </c>
      <c r="G1358" t="n">
        <v>1645.25925276691</v>
      </c>
      <c r="H1358" t="n">
        <v>1576.76496739005</v>
      </c>
      <c r="I1358" t="n">
        <v>1964.36996626927</v>
      </c>
      <c r="J1358" t="n">
        <v>1213.37597158765</v>
      </c>
      <c r="K1358" t="n">
        <v>2496.77020821493</v>
      </c>
      <c r="L1358" t="n">
        <v>2220.37403401573</v>
      </c>
      <c r="M1358" t="n">
        <v>2139.43475605116</v>
      </c>
      <c r="N1358" t="n">
        <v>1539.29931367111</v>
      </c>
      <c r="O1358" t="n">
        <v>1528.27816352363</v>
      </c>
      <c r="P1358" t="n">
        <v>884.847464460304</v>
      </c>
    </row>
    <row r="1359">
      <c r="A1359" s="1" t="n">
        <v>4064941006800</v>
      </c>
      <c r="B1359" t="inlineStr">
        <is>
          <t>KJ MU M LIQ K SET NMDIN 302 SNWWYBA 23IV</t>
        </is>
      </c>
      <c r="C1359" t="inlineStr">
        <is>
          <t>P_US_ULTA</t>
        </is>
      </c>
      <c r="D1359" t="inlineStr">
        <is>
          <t>Stat Fcst TBATS</t>
        </is>
      </c>
    </row>
    <row r="1360">
      <c r="A1360" s="1" t="n">
        <v>4064941006800</v>
      </c>
      <c r="B1360" t="inlineStr">
        <is>
          <t>KJ MU M LIQ K SET NMDIN 302 SNWWYBA 23IV</t>
        </is>
      </c>
      <c r="C1360" t="inlineStr">
        <is>
          <t>P_US_ULTA</t>
        </is>
      </c>
      <c r="D1360" t="inlineStr">
        <is>
          <t>Stat Fcst TES</t>
        </is>
      </c>
      <c r="E1360" t="n">
        <v>1408.926968088</v>
      </c>
      <c r="F1360" t="n">
        <v>633.903533893758</v>
      </c>
      <c r="G1360" t="n">
        <v>463.345084518045</v>
      </c>
      <c r="H1360" t="n">
        <v>1183.63472298625</v>
      </c>
      <c r="I1360" t="n">
        <v>1303.33908336212</v>
      </c>
      <c r="J1360" t="n">
        <v>1437.60921170439</v>
      </c>
      <c r="K1360" t="n">
        <v>802.488542418797</v>
      </c>
      <c r="L1360" t="n">
        <v>1139.63944615833</v>
      </c>
      <c r="M1360" t="n">
        <v>1306.05744932789</v>
      </c>
      <c r="N1360" t="n">
        <v>773.786636327442</v>
      </c>
      <c r="O1360" t="n">
        <v>1522.99671259519</v>
      </c>
      <c r="P1360" t="n">
        <v>1256.65297597189</v>
      </c>
    </row>
    <row r="1361">
      <c r="A1361" s="1" t="n">
        <v>4064941006800</v>
      </c>
      <c r="B1361" t="inlineStr">
        <is>
          <t>KJ MU M LIQ K SET NMDIN 302 SNWWYBA 23IV</t>
        </is>
      </c>
      <c r="C1361" t="inlineStr">
        <is>
          <t>P_US_ULTA</t>
        </is>
      </c>
      <c r="D1361" t="inlineStr">
        <is>
          <t>Stat Fcst Theta</t>
        </is>
      </c>
    </row>
    <row r="1362">
      <c r="A1362" s="1" t="n">
        <v>4064941006800</v>
      </c>
      <c r="B1362" t="inlineStr">
        <is>
          <t>KJ MU M LIQ K SET NMDIN 302 SNWWYBA 23IV</t>
        </is>
      </c>
      <c r="C1362" t="inlineStr">
        <is>
          <t>P_US_ULTA</t>
        </is>
      </c>
      <c r="D1362" t="inlineStr">
        <is>
          <t>System ML Fcst L1</t>
        </is>
      </c>
    </row>
    <row r="1363">
      <c r="A1363" s="1" t="n">
        <v>4064941006800</v>
      </c>
      <c r="B1363" t="inlineStr">
        <is>
          <t>KJ MU M LIQ K SET NMDIN 302 SNWWYBA 23IV</t>
        </is>
      </c>
      <c r="C1363" t="inlineStr">
        <is>
          <t>P_US_ULTA</t>
        </is>
      </c>
      <c r="D1363" t="inlineStr">
        <is>
          <t>Stat Fcst Simple Snaive</t>
        </is>
      </c>
      <c r="E1363" t="n">
        <v>4083.59460486189</v>
      </c>
      <c r="F1363" t="n">
        <v>1799.49994637072</v>
      </c>
      <c r="G1363" t="n">
        <v>621.666671298444</v>
      </c>
      <c r="H1363" t="n">
        <v>502.666631340981</v>
      </c>
      <c r="I1363" t="n">
        <v>1133.33334177732</v>
      </c>
      <c r="J1363" t="n">
        <v>1049.33330206076</v>
      </c>
      <c r="K1363" t="n">
        <v>1655.33324331045</v>
      </c>
      <c r="L1363" t="n">
        <v>1146</v>
      </c>
      <c r="M1363" t="n">
        <v>2194.6666012605</v>
      </c>
      <c r="N1363" t="n">
        <v>882.0000131428239</v>
      </c>
      <c r="O1363" t="n">
        <v>3147.39630919506</v>
      </c>
      <c r="P1363" t="n">
        <v>2472.06316945997</v>
      </c>
    </row>
    <row r="1364">
      <c r="A1364" s="1" t="n">
        <v>4064941006800</v>
      </c>
      <c r="B1364" t="inlineStr">
        <is>
          <t>KJ MU M LIQ K SET NMDIN 302 SNWWYBA 23IV</t>
        </is>
      </c>
      <c r="C1364" t="inlineStr">
        <is>
          <t>P_US_ULTA</t>
        </is>
      </c>
      <c r="D1364" t="inlineStr">
        <is>
          <t>Stat Fcst Simple AOA</t>
        </is>
      </c>
    </row>
    <row r="1365">
      <c r="A1365" s="1" t="n">
        <v>4064941006800</v>
      </c>
      <c r="B1365" t="inlineStr">
        <is>
          <t>KJ MU M LIQ K SET NMDIN 302 SNWWYBA 23IV</t>
        </is>
      </c>
      <c r="C1365" t="inlineStr">
        <is>
          <t>P_US_ULTA</t>
        </is>
      </c>
      <c r="D1365" t="inlineStr">
        <is>
          <t>Stat Fcst Weighted Snaive</t>
        </is>
      </c>
    </row>
    <row r="1366">
      <c r="A1366" s="1" t="n">
        <v>4064941006800</v>
      </c>
      <c r="B1366" t="inlineStr">
        <is>
          <t>KJ MU M LIQ K SET NMDIN 302 SNWWYBA 23IV</t>
        </is>
      </c>
      <c r="C1366" t="inlineStr">
        <is>
          <t>P_US_ULTA</t>
        </is>
      </c>
      <c r="D1366" t="inlineStr">
        <is>
          <t>Stat Fcst Weighted AOA</t>
        </is>
      </c>
    </row>
    <row r="1367">
      <c r="A1367" s="1" t="n">
        <v>4064941006800</v>
      </c>
      <c r="B1367" t="inlineStr">
        <is>
          <t>KJ MU M LIQ K SET NMDIN 302 SNWWYBA 23IV</t>
        </is>
      </c>
      <c r="C1367" t="inlineStr">
        <is>
          <t>P_US_ULTA</t>
        </is>
      </c>
      <c r="D1367" t="inlineStr">
        <is>
          <t>Stat Fcst Growth Snaive</t>
        </is>
      </c>
    </row>
    <row r="1368">
      <c r="A1368" s="1" t="n">
        <v>4064941006800</v>
      </c>
      <c r="B1368" t="inlineStr">
        <is>
          <t>KJ MU M LIQ K SET NMDIN 302 SNWWYBA 23IV</t>
        </is>
      </c>
      <c r="C1368" t="inlineStr">
        <is>
          <t>P_US_ULTA</t>
        </is>
      </c>
      <c r="D1368" t="inlineStr">
        <is>
          <t>Stat Fcst Growth AOA</t>
        </is>
      </c>
    </row>
    <row r="1369">
      <c r="A1369" s="1" t="n">
        <v>4064941006800</v>
      </c>
      <c r="B1369" t="inlineStr">
        <is>
          <t>KJ MU M LIQ K SET NMDIN 302 SNWWYBA 23IV</t>
        </is>
      </c>
      <c r="C1369" t="inlineStr">
        <is>
          <t>P_US_ULTA</t>
        </is>
      </c>
      <c r="D1369" t="inlineStr">
        <is>
          <t>System Stat Fcst Bestfit</t>
        </is>
      </c>
      <c r="H1369" t="n">
        <v>1183.63473034993</v>
      </c>
      <c r="I1369" t="n">
        <v>1303.33912103875</v>
      </c>
      <c r="J1369" t="n">
        <v>1437.60908801528</v>
      </c>
      <c r="K1369" t="n">
        <v>802.488501474603</v>
      </c>
      <c r="L1369" t="n">
        <v>1139.63940429687</v>
      </c>
      <c r="M1369" t="n">
        <v>1306.05745619364</v>
      </c>
      <c r="N1369" t="n">
        <v>773.7866326240689</v>
      </c>
      <c r="O1369" t="n">
        <v>1522.99665871272</v>
      </c>
      <c r="P1369" t="n">
        <v>1256.65296346435</v>
      </c>
    </row>
    <row r="1370">
      <c r="A1370" s="1" t="n">
        <v>4064941006824</v>
      </c>
      <c r="B1370" t="inlineStr">
        <is>
          <t>KJ MU M LIQ K SET NEWMDIN300 KOKO K 23IV</t>
        </is>
      </c>
      <c r="C1370" t="inlineStr">
        <is>
          <t>P_US_ALL_OTHERS</t>
        </is>
      </c>
      <c r="D1370" t="inlineStr">
        <is>
          <t>Stat Fcst L1</t>
        </is>
      </c>
      <c r="E1370" t="n">
        <v>143.999995708465</v>
      </c>
      <c r="F1370" t="n">
        <v>153.999995410442</v>
      </c>
      <c r="G1370" t="n">
        <v>175</v>
      </c>
      <c r="H1370" t="n">
        <v>150</v>
      </c>
      <c r="I1370" t="n">
        <v>168</v>
      </c>
      <c r="J1370" t="n">
        <v>222</v>
      </c>
      <c r="K1370" t="n">
        <v>208</v>
      </c>
      <c r="L1370" t="n">
        <v>296</v>
      </c>
      <c r="M1370" t="n">
        <v>292</v>
      </c>
      <c r="N1370" t="n">
        <v>206</v>
      </c>
      <c r="O1370" t="n">
        <v>261</v>
      </c>
      <c r="P1370" t="n">
        <v>180</v>
      </c>
    </row>
    <row r="1371">
      <c r="A1371" s="1" t="n">
        <v>4064941006824</v>
      </c>
      <c r="B1371" t="inlineStr">
        <is>
          <t>KJ MU M LIQ K SET NEWMDIN300 KOKO K 23IV</t>
        </is>
      </c>
      <c r="C1371" t="inlineStr">
        <is>
          <t>P_US_ALL_OTHERS</t>
        </is>
      </c>
      <c r="D1371" t="inlineStr">
        <is>
          <t>Stat Fcst AR-NNET</t>
        </is>
      </c>
    </row>
    <row r="1372">
      <c r="A1372" s="1" t="n">
        <v>4064941006824</v>
      </c>
      <c r="B1372" t="inlineStr">
        <is>
          <t>KJ MU M LIQ K SET NEWMDIN300 KOKO K 23IV</t>
        </is>
      </c>
      <c r="C1372" t="inlineStr">
        <is>
          <t>P_US_ALL_OTHERS</t>
        </is>
      </c>
      <c r="D1372" t="inlineStr">
        <is>
          <t>Stat Fcst Auto ARIMA</t>
        </is>
      </c>
    </row>
    <row r="1373">
      <c r="A1373" s="1" t="n">
        <v>4064941006824</v>
      </c>
      <c r="B1373" t="inlineStr">
        <is>
          <t>KJ MU M LIQ K SET NEWMDIN300 KOKO K 23IV</t>
        </is>
      </c>
      <c r="C1373" t="inlineStr">
        <is>
          <t>P_US_ALL_OTHERS</t>
        </is>
      </c>
      <c r="D1373" t="inlineStr">
        <is>
          <t>Stat Fcst Croston</t>
        </is>
      </c>
    </row>
    <row r="1374">
      <c r="A1374" s="1" t="n">
        <v>4064941006824</v>
      </c>
      <c r="B1374" t="inlineStr">
        <is>
          <t>KJ MU M LIQ K SET NEWMDIN300 KOKO K 23IV</t>
        </is>
      </c>
      <c r="C1374" t="inlineStr">
        <is>
          <t>P_US_ALL_OTHERS</t>
        </is>
      </c>
      <c r="D1374" t="inlineStr">
        <is>
          <t>Stat Fcst DES</t>
        </is>
      </c>
    </row>
    <row r="1375">
      <c r="A1375" s="1" t="n">
        <v>4064941006824</v>
      </c>
      <c r="B1375" t="inlineStr">
        <is>
          <t>KJ MU M LIQ K SET NEWMDIN300 KOKO K 23IV</t>
        </is>
      </c>
      <c r="C1375" t="inlineStr">
        <is>
          <t>P_US_ALL_OTHERS</t>
        </is>
      </c>
      <c r="D1375" t="inlineStr">
        <is>
          <t>Stat Fcst ETS</t>
        </is>
      </c>
    </row>
    <row r="1376">
      <c r="A1376" s="1" t="n">
        <v>4064941006824</v>
      </c>
      <c r="B1376" t="inlineStr">
        <is>
          <t>KJ MU M LIQ K SET NEWMDIN300 KOKO K 23IV</t>
        </is>
      </c>
      <c r="C1376" t="inlineStr">
        <is>
          <t>P_US_ALL_OTHERS</t>
        </is>
      </c>
      <c r="D1376" t="inlineStr">
        <is>
          <t>Stat Fcst Moving Average</t>
        </is>
      </c>
    </row>
    <row r="1377">
      <c r="A1377" s="1" t="n">
        <v>4064941006824</v>
      </c>
      <c r="B1377" t="inlineStr">
        <is>
          <t>KJ MU M LIQ K SET NEWMDIN300 KOKO K 23IV</t>
        </is>
      </c>
      <c r="C1377" t="inlineStr">
        <is>
          <t>P_US_ALL_OTHERS</t>
        </is>
      </c>
      <c r="D1377" t="inlineStr">
        <is>
          <t>Stat Fcst Naive Random Walk</t>
        </is>
      </c>
    </row>
    <row r="1378">
      <c r="A1378" s="1" t="n">
        <v>4064941006824</v>
      </c>
      <c r="B1378" t="inlineStr">
        <is>
          <t>KJ MU M LIQ K SET NEWMDIN300 KOKO K 23IV</t>
        </is>
      </c>
      <c r="C1378" t="inlineStr">
        <is>
          <t>P_US_ALL_OTHERS</t>
        </is>
      </c>
      <c r="D1378" t="inlineStr">
        <is>
          <t>Stat Fcst Prophet</t>
        </is>
      </c>
    </row>
    <row r="1379">
      <c r="A1379" s="1" t="n">
        <v>4064941006824</v>
      </c>
      <c r="B1379" t="inlineStr">
        <is>
          <t>KJ MU M LIQ K SET NEWMDIN300 KOKO K 23IV</t>
        </is>
      </c>
      <c r="C1379" t="inlineStr">
        <is>
          <t>P_US_ALL_OTHERS</t>
        </is>
      </c>
      <c r="D1379" t="inlineStr">
        <is>
          <t>Stat Fcst sARIMA</t>
        </is>
      </c>
    </row>
    <row r="1380">
      <c r="A1380" s="1" t="n">
        <v>4064941006824</v>
      </c>
      <c r="B1380" t="inlineStr">
        <is>
          <t>KJ MU M LIQ K SET NEWMDIN300 KOKO K 23IV</t>
        </is>
      </c>
      <c r="C1380" t="inlineStr">
        <is>
          <t>P_US_ALL_OTHERS</t>
        </is>
      </c>
      <c r="D1380" t="inlineStr">
        <is>
          <t>Stat Fcst Seasonal Naive YoY</t>
        </is>
      </c>
    </row>
    <row r="1381">
      <c r="A1381" s="1" t="n">
        <v>4064941006824</v>
      </c>
      <c r="B1381" t="inlineStr">
        <is>
          <t>KJ MU M LIQ K SET NEWMDIN300 KOKO K 23IV</t>
        </is>
      </c>
      <c r="C1381" t="inlineStr">
        <is>
          <t>P_US_ALL_OTHERS</t>
        </is>
      </c>
      <c r="D1381" t="inlineStr">
        <is>
          <t>Stat Fcst SES</t>
        </is>
      </c>
    </row>
    <row r="1382">
      <c r="A1382" s="1" t="n">
        <v>4064941006824</v>
      </c>
      <c r="B1382" t="inlineStr">
        <is>
          <t>KJ MU M LIQ K SET NEWMDIN300 KOKO K 23IV</t>
        </is>
      </c>
      <c r="C1382" t="inlineStr">
        <is>
          <t>P_US_ALL_OTHERS</t>
        </is>
      </c>
      <c r="D1382" t="inlineStr">
        <is>
          <t>Stat Fcst STLF</t>
        </is>
      </c>
      <c r="E1382" t="n">
        <v>166.31556254006</v>
      </c>
      <c r="F1382" t="n">
        <v>107.999996781349</v>
      </c>
      <c r="G1382" t="n">
        <v>153.480705212104</v>
      </c>
      <c r="H1382" t="n">
        <v>121.040540832386</v>
      </c>
      <c r="I1382" t="n">
        <v>108.000000804662</v>
      </c>
      <c r="J1382" t="n">
        <v>150.689135566884</v>
      </c>
      <c r="K1382" t="n">
        <v>218.920836785841</v>
      </c>
      <c r="L1382" t="n">
        <v>228.965866616776</v>
      </c>
      <c r="M1382" t="n">
        <v>223.051599976654</v>
      </c>
      <c r="N1382" t="n">
        <v>172.538543407808</v>
      </c>
      <c r="O1382" t="n">
        <v>232.532956561832</v>
      </c>
      <c r="P1382" t="n">
        <v>108.000000804662</v>
      </c>
    </row>
    <row r="1383">
      <c r="A1383" s="1" t="n">
        <v>4064941006824</v>
      </c>
      <c r="B1383" t="inlineStr">
        <is>
          <t>KJ MU M LIQ K SET NEWMDIN300 KOKO K 23IV</t>
        </is>
      </c>
      <c r="C1383" t="inlineStr">
        <is>
          <t>P_US_ALL_OTHERS</t>
        </is>
      </c>
      <c r="D1383" t="inlineStr">
        <is>
          <t>Stat Fcst TBATS</t>
        </is>
      </c>
    </row>
    <row r="1384">
      <c r="A1384" s="1" t="n">
        <v>4064941006824</v>
      </c>
      <c r="B1384" t="inlineStr">
        <is>
          <t>KJ MU M LIQ K SET NEWMDIN300 KOKO K 23IV</t>
        </is>
      </c>
      <c r="C1384" t="inlineStr">
        <is>
          <t>P_US_ALL_OTHERS</t>
        </is>
      </c>
      <c r="D1384" t="inlineStr">
        <is>
          <t>Stat Fcst TES</t>
        </is>
      </c>
      <c r="E1384" t="n">
        <v>156.723365343791</v>
      </c>
      <c r="F1384" t="n">
        <v>124.368386966901</v>
      </c>
      <c r="G1384" t="n">
        <v>178.370320169286</v>
      </c>
      <c r="H1384" t="n">
        <v>149.850092593815</v>
      </c>
      <c r="I1384" t="n">
        <v>166.494147273355</v>
      </c>
      <c r="J1384" t="n">
        <v>223.190970041026</v>
      </c>
      <c r="K1384" t="n">
        <v>208.475953978388</v>
      </c>
      <c r="L1384" t="n">
        <v>297.599101441393</v>
      </c>
      <c r="M1384" t="n">
        <v>290.421482184626</v>
      </c>
      <c r="N1384" t="n">
        <v>206.302272845681</v>
      </c>
      <c r="O1384" t="n">
        <v>260.03440418587</v>
      </c>
      <c r="P1384" t="n">
        <v>179.623016962989</v>
      </c>
    </row>
    <row r="1385">
      <c r="A1385" s="1" t="n">
        <v>4064941006824</v>
      </c>
      <c r="B1385" t="inlineStr">
        <is>
          <t>KJ MU M LIQ K SET NEWMDIN300 KOKO K 23IV</t>
        </is>
      </c>
      <c r="C1385" t="inlineStr">
        <is>
          <t>P_US_ALL_OTHERS</t>
        </is>
      </c>
      <c r="D1385" t="inlineStr">
        <is>
          <t>Stat Fcst Theta</t>
        </is>
      </c>
    </row>
    <row r="1386">
      <c r="A1386" s="1" t="n">
        <v>4064941006824</v>
      </c>
      <c r="B1386" t="inlineStr">
        <is>
          <t>KJ MU M LIQ K SET NEWMDIN300 KOKO K 23IV</t>
        </is>
      </c>
      <c r="C1386" t="inlineStr">
        <is>
          <t>P_US_ALL_OTHERS</t>
        </is>
      </c>
      <c r="D1386" t="inlineStr">
        <is>
          <t>System ML Fcst L1</t>
        </is>
      </c>
    </row>
    <row r="1387">
      <c r="A1387" s="1" t="n">
        <v>4064941006824</v>
      </c>
      <c r="B1387" t="inlineStr">
        <is>
          <t>KJ MU M LIQ K SET NEWMDIN300 KOKO K 23IV</t>
        </is>
      </c>
      <c r="C1387" t="inlineStr">
        <is>
          <t>P_US_ALL_OTHERS</t>
        </is>
      </c>
      <c r="D1387" t="inlineStr">
        <is>
          <t>Stat Fcst Simple Snaive</t>
        </is>
      </c>
      <c r="E1387" t="n">
        <v>239.499992862343</v>
      </c>
      <c r="F1387" t="n">
        <v>202.999993950128</v>
      </c>
      <c r="G1387" t="n">
        <v>273.333335369825</v>
      </c>
      <c r="H1387" t="n">
        <v>209.999993741512</v>
      </c>
      <c r="I1387" t="n">
        <v>234.333335079252</v>
      </c>
      <c r="J1387" t="n">
        <v>267.666653603315</v>
      </c>
      <c r="K1387" t="n">
        <v>302.666657646497</v>
      </c>
      <c r="L1387" t="n">
        <v>314.064697265625</v>
      </c>
      <c r="M1387" t="n">
        <v>340.333318104346</v>
      </c>
      <c r="N1387" t="n">
        <v>177.000002637505</v>
      </c>
      <c r="O1387" t="n">
        <v>309.06467279599</v>
      </c>
      <c r="P1387" t="n">
        <v>207.00000154227</v>
      </c>
    </row>
    <row r="1388">
      <c r="A1388" s="1" t="n">
        <v>4064941006824</v>
      </c>
      <c r="B1388" t="inlineStr">
        <is>
          <t>KJ MU M LIQ K SET NEWMDIN300 KOKO K 23IV</t>
        </is>
      </c>
      <c r="C1388" t="inlineStr">
        <is>
          <t>P_US_ALL_OTHERS</t>
        </is>
      </c>
      <c r="D1388" t="inlineStr">
        <is>
          <t>Stat Fcst Simple AOA</t>
        </is>
      </c>
    </row>
    <row r="1389">
      <c r="A1389" s="1" t="n">
        <v>4064941006824</v>
      </c>
      <c r="B1389" t="inlineStr">
        <is>
          <t>KJ MU M LIQ K SET NEWMDIN300 KOKO K 23IV</t>
        </is>
      </c>
      <c r="C1389" t="inlineStr">
        <is>
          <t>P_US_ALL_OTHERS</t>
        </is>
      </c>
      <c r="D1389" t="inlineStr">
        <is>
          <t>Stat Fcst Weighted Snaive</t>
        </is>
      </c>
    </row>
    <row r="1390">
      <c r="A1390" s="1" t="n">
        <v>4064941006824</v>
      </c>
      <c r="B1390" t="inlineStr">
        <is>
          <t>KJ MU M LIQ K SET NEWMDIN300 KOKO K 23IV</t>
        </is>
      </c>
      <c r="C1390" t="inlineStr">
        <is>
          <t>P_US_ALL_OTHERS</t>
        </is>
      </c>
      <c r="D1390" t="inlineStr">
        <is>
          <t>Stat Fcst Weighted AOA</t>
        </is>
      </c>
    </row>
    <row r="1391">
      <c r="A1391" s="1" t="n">
        <v>4064941006824</v>
      </c>
      <c r="B1391" t="inlineStr">
        <is>
          <t>KJ MU M LIQ K SET NEWMDIN300 KOKO K 23IV</t>
        </is>
      </c>
      <c r="C1391" t="inlineStr">
        <is>
          <t>P_US_ALL_OTHERS</t>
        </is>
      </c>
      <c r="D1391" t="inlineStr">
        <is>
          <t>Stat Fcst Growth Snaive</t>
        </is>
      </c>
    </row>
    <row r="1392">
      <c r="A1392" s="1" t="n">
        <v>4064941006824</v>
      </c>
      <c r="B1392" t="inlineStr">
        <is>
          <t>KJ MU M LIQ K SET NEWMDIN300 KOKO K 23IV</t>
        </is>
      </c>
      <c r="C1392" t="inlineStr">
        <is>
          <t>P_US_ALL_OTHERS</t>
        </is>
      </c>
      <c r="D1392" t="inlineStr">
        <is>
          <t>Stat Fcst Growth AOA</t>
        </is>
      </c>
    </row>
    <row r="1393">
      <c r="A1393" s="1" t="n">
        <v>4064941006824</v>
      </c>
      <c r="B1393" t="inlineStr">
        <is>
          <t>KJ MU M LIQ K SET NEWMDIN300 KOKO K 23IV</t>
        </is>
      </c>
      <c r="C1393" t="inlineStr">
        <is>
          <t>P_US_ALL_OTHERS</t>
        </is>
      </c>
      <c r="D1393" t="inlineStr">
        <is>
          <t>System Stat Fcst Bestfit</t>
        </is>
      </c>
      <c r="H1393" t="n">
        <v>149.85007793158</v>
      </c>
      <c r="I1393" t="n">
        <v>166.494141865478</v>
      </c>
      <c r="J1393" t="n">
        <v>223.190972352296</v>
      </c>
      <c r="K1393" t="n">
        <v>208.475945935369</v>
      </c>
      <c r="L1393" t="n">
        <v>297.599090576171</v>
      </c>
      <c r="M1393" t="n">
        <v>290.421500133827</v>
      </c>
      <c r="N1393" t="n">
        <v>206.302279685471</v>
      </c>
      <c r="O1393" t="n">
        <v>260.034385560918</v>
      </c>
      <c r="P1393" t="n">
        <v>179.623017695717</v>
      </c>
    </row>
    <row r="1394">
      <c r="A1394" s="1" t="n">
        <v>4064941006824</v>
      </c>
      <c r="B1394" t="inlineStr">
        <is>
          <t>KJ MU M LIQ K SET NEWMDIN300 KOKO K 23IV</t>
        </is>
      </c>
      <c r="C1394" t="inlineStr">
        <is>
          <t>P_US_ULTA</t>
        </is>
      </c>
      <c r="D1394" t="inlineStr">
        <is>
          <t>Stat Fcst L1</t>
        </is>
      </c>
      <c r="E1394" t="n">
        <v>694.999979287385</v>
      </c>
      <c r="F1394" t="n">
        <v>682.999979645013</v>
      </c>
      <c r="G1394" t="n">
        <v>558</v>
      </c>
      <c r="H1394" t="n">
        <v>801</v>
      </c>
      <c r="I1394" t="n">
        <v>892</v>
      </c>
      <c r="J1394" t="n">
        <v>809</v>
      </c>
      <c r="K1394" t="n">
        <v>2874</v>
      </c>
      <c r="L1394" t="n">
        <v>1708</v>
      </c>
      <c r="M1394" t="n">
        <v>1293</v>
      </c>
      <c r="N1394" t="n">
        <v>1149</v>
      </c>
      <c r="O1394" t="n">
        <v>1005</v>
      </c>
      <c r="P1394" t="n">
        <v>917</v>
      </c>
    </row>
    <row r="1395">
      <c r="A1395" s="1" t="n">
        <v>4064941006824</v>
      </c>
      <c r="B1395" t="inlineStr">
        <is>
          <t>KJ MU M LIQ K SET NEWMDIN300 KOKO K 23IV</t>
        </is>
      </c>
      <c r="C1395" t="inlineStr">
        <is>
          <t>P_US_ULTA</t>
        </is>
      </c>
      <c r="D1395" t="inlineStr">
        <is>
          <t>Stat Fcst AR-NNET</t>
        </is>
      </c>
    </row>
    <row r="1396">
      <c r="A1396" s="1" t="n">
        <v>4064941006824</v>
      </c>
      <c r="B1396" t="inlineStr">
        <is>
          <t>KJ MU M LIQ K SET NEWMDIN300 KOKO K 23IV</t>
        </is>
      </c>
      <c r="C1396" t="inlineStr">
        <is>
          <t>P_US_ULTA</t>
        </is>
      </c>
      <c r="D1396" t="inlineStr">
        <is>
          <t>Stat Fcst Auto ARIMA</t>
        </is>
      </c>
    </row>
    <row r="1397">
      <c r="A1397" s="1" t="n">
        <v>4064941006824</v>
      </c>
      <c r="B1397" t="inlineStr">
        <is>
          <t>KJ MU M LIQ K SET NEWMDIN300 KOKO K 23IV</t>
        </is>
      </c>
      <c r="C1397" t="inlineStr">
        <is>
          <t>P_US_ULTA</t>
        </is>
      </c>
      <c r="D1397" t="inlineStr">
        <is>
          <t>Stat Fcst Croston</t>
        </is>
      </c>
    </row>
    <row r="1398">
      <c r="A1398" s="1" t="n">
        <v>4064941006824</v>
      </c>
      <c r="B1398" t="inlineStr">
        <is>
          <t>KJ MU M LIQ K SET NEWMDIN300 KOKO K 23IV</t>
        </is>
      </c>
      <c r="C1398" t="inlineStr">
        <is>
          <t>P_US_ULTA</t>
        </is>
      </c>
      <c r="D1398" t="inlineStr">
        <is>
          <t>Stat Fcst DES</t>
        </is>
      </c>
      <c r="E1398" t="n">
        <v>1706.34873778304</v>
      </c>
      <c r="F1398" t="n">
        <v>1706.60646507297</v>
      </c>
      <c r="G1398" t="n">
        <v>1257.3511097375</v>
      </c>
      <c r="H1398" t="n">
        <v>1257.9342907214</v>
      </c>
      <c r="I1398" t="n">
        <v>1258.42125142752</v>
      </c>
      <c r="J1398" t="n">
        <v>1258.82770962942</v>
      </c>
      <c r="K1398" t="n">
        <v>1259.16708463289</v>
      </c>
      <c r="L1398" t="n">
        <v>1259.45045292554</v>
      </c>
      <c r="M1398" t="n">
        <v>1259.68695702683</v>
      </c>
      <c r="N1398" t="n">
        <v>1259.88449259761</v>
      </c>
      <c r="O1398" t="n">
        <v>1260.0493038857</v>
      </c>
      <c r="P1398" t="n">
        <v>1260.18699227296</v>
      </c>
    </row>
    <row r="1399">
      <c r="A1399" s="1" t="n">
        <v>4064941006824</v>
      </c>
      <c r="B1399" t="inlineStr">
        <is>
          <t>KJ MU M LIQ K SET NEWMDIN300 KOKO K 23IV</t>
        </is>
      </c>
      <c r="C1399" t="inlineStr">
        <is>
          <t>P_US_ULTA</t>
        </is>
      </c>
      <c r="D1399" t="inlineStr">
        <is>
          <t>Stat Fcst ETS</t>
        </is>
      </c>
    </row>
    <row r="1400">
      <c r="A1400" s="1" t="n">
        <v>4064941006824</v>
      </c>
      <c r="B1400" t="inlineStr">
        <is>
          <t>KJ MU M LIQ K SET NEWMDIN300 KOKO K 23IV</t>
        </is>
      </c>
      <c r="C1400" t="inlineStr">
        <is>
          <t>P_US_ULTA</t>
        </is>
      </c>
      <c r="D1400" t="inlineStr">
        <is>
          <t>Stat Fcst Moving Average</t>
        </is>
      </c>
    </row>
    <row r="1401">
      <c r="A1401" s="1" t="n">
        <v>4064941006824</v>
      </c>
      <c r="B1401" t="inlineStr">
        <is>
          <t>KJ MU M LIQ K SET NEWMDIN300 KOKO K 23IV</t>
        </is>
      </c>
      <c r="C1401" t="inlineStr">
        <is>
          <t>P_US_ULTA</t>
        </is>
      </c>
      <c r="D1401" t="inlineStr">
        <is>
          <t>Stat Fcst Naive Random Walk</t>
        </is>
      </c>
    </row>
    <row r="1402">
      <c r="A1402" s="1" t="n">
        <v>4064941006824</v>
      </c>
      <c r="B1402" t="inlineStr">
        <is>
          <t>KJ MU M LIQ K SET NEWMDIN300 KOKO K 23IV</t>
        </is>
      </c>
      <c r="C1402" t="inlineStr">
        <is>
          <t>P_US_ULTA</t>
        </is>
      </c>
      <c r="D1402" t="inlineStr">
        <is>
          <t>Stat Fcst Prophet</t>
        </is>
      </c>
    </row>
    <row r="1403">
      <c r="A1403" s="1" t="n">
        <v>4064941006824</v>
      </c>
      <c r="B1403" t="inlineStr">
        <is>
          <t>KJ MU M LIQ K SET NEWMDIN300 KOKO K 23IV</t>
        </is>
      </c>
      <c r="C1403" t="inlineStr">
        <is>
          <t>P_US_ULTA</t>
        </is>
      </c>
      <c r="D1403" t="inlineStr">
        <is>
          <t>Stat Fcst sARIMA</t>
        </is>
      </c>
    </row>
    <row r="1404">
      <c r="A1404" s="1" t="n">
        <v>4064941006824</v>
      </c>
      <c r="B1404" t="inlineStr">
        <is>
          <t>KJ MU M LIQ K SET NEWMDIN300 KOKO K 23IV</t>
        </is>
      </c>
      <c r="C1404" t="inlineStr">
        <is>
          <t>P_US_ULTA</t>
        </is>
      </c>
      <c r="D1404" t="inlineStr">
        <is>
          <t>Stat Fcst Seasonal Naive YoY</t>
        </is>
      </c>
    </row>
    <row r="1405">
      <c r="A1405" s="1" t="n">
        <v>4064941006824</v>
      </c>
      <c r="B1405" t="inlineStr">
        <is>
          <t>KJ MU M LIQ K SET NEWMDIN300 KOKO K 23IV</t>
        </is>
      </c>
      <c r="C1405" t="inlineStr">
        <is>
          <t>P_US_ULTA</t>
        </is>
      </c>
      <c r="D1405" t="inlineStr">
        <is>
          <t>Stat Fcst SES</t>
        </is>
      </c>
    </row>
    <row r="1406">
      <c r="A1406" s="1" t="n">
        <v>4064941006824</v>
      </c>
      <c r="B1406" t="inlineStr">
        <is>
          <t>KJ MU M LIQ K SET NEWMDIN300 KOKO K 23IV</t>
        </is>
      </c>
      <c r="C1406" t="inlineStr">
        <is>
          <t>P_US_ULTA</t>
        </is>
      </c>
      <c r="D1406" t="inlineStr">
        <is>
          <t>Stat Fcst STLF</t>
        </is>
      </c>
      <c r="E1406" t="n">
        <v>15.9999995231628</v>
      </c>
      <c r="F1406" t="n">
        <v>273.663990232833</v>
      </c>
      <c r="G1406" t="n">
        <v>757.295975888395</v>
      </c>
      <c r="H1406" t="n">
        <v>799.520932030999</v>
      </c>
      <c r="I1406" t="n">
        <v>889.760714446506</v>
      </c>
      <c r="J1406" t="n">
        <v>808.422682899151</v>
      </c>
      <c r="K1406" t="n">
        <v>2874.238846738</v>
      </c>
      <c r="L1406" t="n">
        <v>1706.27167266596</v>
      </c>
      <c r="M1406" t="n">
        <v>1293.86638522444</v>
      </c>
      <c r="N1406" t="n">
        <v>1149.99801890359</v>
      </c>
      <c r="O1406" t="n">
        <v>1004.94807261598</v>
      </c>
      <c r="P1406" t="n">
        <v>915.971395067474</v>
      </c>
    </row>
    <row r="1407">
      <c r="A1407" s="1" t="n">
        <v>4064941006824</v>
      </c>
      <c r="B1407" t="inlineStr">
        <is>
          <t>KJ MU M LIQ K SET NEWMDIN300 KOKO K 23IV</t>
        </is>
      </c>
      <c r="C1407" t="inlineStr">
        <is>
          <t>P_US_ULTA</t>
        </is>
      </c>
      <c r="D1407" t="inlineStr">
        <is>
          <t>Stat Fcst TBATS</t>
        </is>
      </c>
    </row>
    <row r="1408">
      <c r="A1408" s="1" t="n">
        <v>4064941006824</v>
      </c>
      <c r="B1408" t="inlineStr">
        <is>
          <t>KJ MU M LIQ K SET NEWMDIN300 KOKO K 23IV</t>
        </is>
      </c>
      <c r="C1408" t="inlineStr">
        <is>
          <t>P_US_ULTA</t>
        </is>
      </c>
      <c r="D1408" t="inlineStr">
        <is>
          <t>Stat Fcst TES</t>
        </is>
      </c>
    </row>
    <row r="1409">
      <c r="A1409" s="1" t="n">
        <v>4064941006824</v>
      </c>
      <c r="B1409" t="inlineStr">
        <is>
          <t>KJ MU M LIQ K SET NEWMDIN300 KOKO K 23IV</t>
        </is>
      </c>
      <c r="C1409" t="inlineStr">
        <is>
          <t>P_US_ULTA</t>
        </is>
      </c>
      <c r="D1409" t="inlineStr">
        <is>
          <t>Stat Fcst Theta</t>
        </is>
      </c>
    </row>
    <row r="1410">
      <c r="A1410" s="1" t="n">
        <v>4064941006824</v>
      </c>
      <c r="B1410" t="inlineStr">
        <is>
          <t>KJ MU M LIQ K SET NEWMDIN300 KOKO K 23IV</t>
        </is>
      </c>
      <c r="C1410" t="inlineStr">
        <is>
          <t>P_US_ULTA</t>
        </is>
      </c>
      <c r="D1410" t="inlineStr">
        <is>
          <t>System ML Fcst L1</t>
        </is>
      </c>
    </row>
    <row r="1411">
      <c r="A1411" s="1" t="n">
        <v>4064941006824</v>
      </c>
      <c r="B1411" t="inlineStr">
        <is>
          <t>KJ MU M LIQ K SET NEWMDIN300 KOKO K 23IV</t>
        </is>
      </c>
      <c r="C1411" t="inlineStr">
        <is>
          <t>P_US_ULTA</t>
        </is>
      </c>
      <c r="D1411" t="inlineStr">
        <is>
          <t>Stat Fcst Simple Snaive</t>
        </is>
      </c>
    </row>
    <row r="1412">
      <c r="A1412" s="1" t="n">
        <v>4064941006824</v>
      </c>
      <c r="B1412" t="inlineStr">
        <is>
          <t>KJ MU M LIQ K SET NEWMDIN300 KOKO K 23IV</t>
        </is>
      </c>
      <c r="C1412" t="inlineStr">
        <is>
          <t>P_US_ULTA</t>
        </is>
      </c>
      <c r="D1412" t="inlineStr">
        <is>
          <t>Stat Fcst Simple AOA</t>
        </is>
      </c>
    </row>
    <row r="1413">
      <c r="A1413" s="1" t="n">
        <v>4064941006824</v>
      </c>
      <c r="B1413" t="inlineStr">
        <is>
          <t>KJ MU M LIQ K SET NEWMDIN300 KOKO K 23IV</t>
        </is>
      </c>
      <c r="C1413" t="inlineStr">
        <is>
          <t>P_US_ULTA</t>
        </is>
      </c>
      <c r="D1413" t="inlineStr">
        <is>
          <t>Stat Fcst Weighted Snaive</t>
        </is>
      </c>
    </row>
    <row r="1414">
      <c r="A1414" s="1" t="n">
        <v>4064941006824</v>
      </c>
      <c r="B1414" t="inlineStr">
        <is>
          <t>KJ MU M LIQ K SET NEWMDIN300 KOKO K 23IV</t>
        </is>
      </c>
      <c r="C1414" t="inlineStr">
        <is>
          <t>P_US_ULTA</t>
        </is>
      </c>
      <c r="D1414" t="inlineStr">
        <is>
          <t>Stat Fcst Weighted AOA</t>
        </is>
      </c>
      <c r="E1414" t="n">
        <v>927.499972358346</v>
      </c>
      <c r="F1414" t="n">
        <v>340.499989852309</v>
      </c>
      <c r="G1414" t="n">
        <v>546.333337403833</v>
      </c>
      <c r="H1414" t="n">
        <v>380.333321998516</v>
      </c>
      <c r="I1414" t="n">
        <v>467.333336815237</v>
      </c>
      <c r="J1414" t="n">
        <v>463.333299179872</v>
      </c>
      <c r="K1414" t="n">
        <v>2398.6665850083</v>
      </c>
      <c r="L1414" t="n">
        <v>1120.33333333333</v>
      </c>
      <c r="M1414" t="n">
        <v>1862.66661115487</v>
      </c>
      <c r="N1414" t="n">
        <v>991.0000147670499</v>
      </c>
      <c r="O1414" t="n">
        <v>2750.87605734041</v>
      </c>
      <c r="P1414" t="n">
        <v>2787.20965618299</v>
      </c>
    </row>
    <row r="1415">
      <c r="A1415" s="1" t="n">
        <v>4064941006824</v>
      </c>
      <c r="B1415" t="inlineStr">
        <is>
          <t>KJ MU M LIQ K SET NEWMDIN300 KOKO K 23IV</t>
        </is>
      </c>
      <c r="C1415" t="inlineStr">
        <is>
          <t>P_US_ULTA</t>
        </is>
      </c>
      <c r="D1415" t="inlineStr">
        <is>
          <t>Stat Fcst Growth Snaive</t>
        </is>
      </c>
    </row>
    <row r="1416">
      <c r="A1416" s="1" t="n">
        <v>4064941006824</v>
      </c>
      <c r="B1416" t="inlineStr">
        <is>
          <t>KJ MU M LIQ K SET NEWMDIN300 KOKO K 23IV</t>
        </is>
      </c>
      <c r="C1416" t="inlineStr">
        <is>
          <t>P_US_ULTA</t>
        </is>
      </c>
      <c r="D1416" t="inlineStr">
        <is>
          <t>Stat Fcst Growth AOA</t>
        </is>
      </c>
    </row>
    <row r="1417">
      <c r="A1417" s="1" t="n">
        <v>4064941006824</v>
      </c>
      <c r="B1417" t="inlineStr">
        <is>
          <t>KJ MU M LIQ K SET NEWMDIN300 KOKO K 23IV</t>
        </is>
      </c>
      <c r="C1417" t="inlineStr">
        <is>
          <t>P_US_ULTA</t>
        </is>
      </c>
      <c r="D1417" t="inlineStr">
        <is>
          <t>System Stat Fcst Bestfit</t>
        </is>
      </c>
      <c r="H1417" t="n">
        <v>799.520911231013</v>
      </c>
      <c r="I1417" t="n">
        <v>889.760748816734</v>
      </c>
      <c r="J1417" t="n">
        <v>808.422644364158</v>
      </c>
      <c r="K1417" t="n">
        <v>2874.23868387225</v>
      </c>
      <c r="L1417" t="n">
        <v>1706.27172851562</v>
      </c>
      <c r="M1417" t="n">
        <v>1293.86641651789</v>
      </c>
      <c r="N1417" t="n">
        <v>1149.99794194099</v>
      </c>
      <c r="O1417" t="n">
        <v>1004.94802913224</v>
      </c>
      <c r="P1417" t="n">
        <v>915.971381336237</v>
      </c>
    </row>
    <row r="1418">
      <c r="A1418" s="1" t="n">
        <v>4064941006923</v>
      </c>
      <c r="B1418" t="inlineStr">
        <is>
          <t>KJ MU M LIQ K SET NWMDIN100 POSIE K 23IV</t>
        </is>
      </c>
      <c r="C1418" t="inlineStr">
        <is>
          <t>P_US_ALL_OTHERS</t>
        </is>
      </c>
      <c r="D1418" t="inlineStr">
        <is>
          <t>Stat Fcst L1</t>
        </is>
      </c>
      <c r="E1418" t="n">
        <v>215.999993562698</v>
      </c>
      <c r="F1418" t="n">
        <v>220.999993413686</v>
      </c>
      <c r="G1418" t="n">
        <v>352</v>
      </c>
      <c r="H1418" t="n">
        <v>284</v>
      </c>
      <c r="I1418" t="n">
        <v>368</v>
      </c>
      <c r="J1418" t="n">
        <v>376</v>
      </c>
      <c r="K1418" t="n">
        <v>226</v>
      </c>
      <c r="L1418" t="n">
        <v>424</v>
      </c>
      <c r="M1418" t="n">
        <v>243</v>
      </c>
      <c r="N1418" t="n">
        <v>270</v>
      </c>
      <c r="O1418" t="n">
        <v>550</v>
      </c>
      <c r="P1418" t="n">
        <v>228</v>
      </c>
    </row>
    <row r="1419">
      <c r="A1419" s="1" t="n">
        <v>4064941006923</v>
      </c>
      <c r="B1419" t="inlineStr">
        <is>
          <t>KJ MU M LIQ K SET NWMDIN100 POSIE K 23IV</t>
        </is>
      </c>
      <c r="C1419" t="inlineStr">
        <is>
          <t>P_US_ALL_OTHERS</t>
        </is>
      </c>
      <c r="D1419" t="inlineStr">
        <is>
          <t>Stat Fcst AR-NNET</t>
        </is>
      </c>
    </row>
    <row r="1420">
      <c r="A1420" s="1" t="n">
        <v>4064941006923</v>
      </c>
      <c r="B1420" t="inlineStr">
        <is>
          <t>KJ MU M LIQ K SET NWMDIN100 POSIE K 23IV</t>
        </is>
      </c>
      <c r="C1420" t="inlineStr">
        <is>
          <t>P_US_ALL_OTHERS</t>
        </is>
      </c>
      <c r="D1420" t="inlineStr">
        <is>
          <t>Stat Fcst Auto ARIMA</t>
        </is>
      </c>
    </row>
    <row r="1421">
      <c r="A1421" s="1" t="n">
        <v>4064941006923</v>
      </c>
      <c r="B1421" t="inlineStr">
        <is>
          <t>KJ MU M LIQ K SET NWMDIN100 POSIE K 23IV</t>
        </is>
      </c>
      <c r="C1421" t="inlineStr">
        <is>
          <t>P_US_ALL_OTHERS</t>
        </is>
      </c>
      <c r="D1421" t="inlineStr">
        <is>
          <t>Stat Fcst Croston</t>
        </is>
      </c>
    </row>
    <row r="1422">
      <c r="A1422" s="1" t="n">
        <v>4064941006923</v>
      </c>
      <c r="B1422" t="inlineStr">
        <is>
          <t>KJ MU M LIQ K SET NWMDIN100 POSIE K 23IV</t>
        </is>
      </c>
      <c r="C1422" t="inlineStr">
        <is>
          <t>P_US_ALL_OTHERS</t>
        </is>
      </c>
      <c r="D1422" t="inlineStr">
        <is>
          <t>Stat Fcst DES</t>
        </is>
      </c>
    </row>
    <row r="1423">
      <c r="A1423" s="1" t="n">
        <v>4064941006923</v>
      </c>
      <c r="B1423" t="inlineStr">
        <is>
          <t>KJ MU M LIQ K SET NWMDIN100 POSIE K 23IV</t>
        </is>
      </c>
      <c r="C1423" t="inlineStr">
        <is>
          <t>P_US_ALL_OTHERS</t>
        </is>
      </c>
      <c r="D1423" t="inlineStr">
        <is>
          <t>Stat Fcst ETS</t>
        </is>
      </c>
    </row>
    <row r="1424">
      <c r="A1424" s="1" t="n">
        <v>4064941006923</v>
      </c>
      <c r="B1424" t="inlineStr">
        <is>
          <t>KJ MU M LIQ K SET NWMDIN100 POSIE K 23IV</t>
        </is>
      </c>
      <c r="C1424" t="inlineStr">
        <is>
          <t>P_US_ALL_OTHERS</t>
        </is>
      </c>
      <c r="D1424" t="inlineStr">
        <is>
          <t>Stat Fcst Moving Average</t>
        </is>
      </c>
    </row>
    <row r="1425">
      <c r="A1425" s="1" t="n">
        <v>4064941006923</v>
      </c>
      <c r="B1425" t="inlineStr">
        <is>
          <t>KJ MU M LIQ K SET NWMDIN100 POSIE K 23IV</t>
        </is>
      </c>
      <c r="C1425" t="inlineStr">
        <is>
          <t>P_US_ALL_OTHERS</t>
        </is>
      </c>
      <c r="D1425" t="inlineStr">
        <is>
          <t>Stat Fcst Naive Random Walk</t>
        </is>
      </c>
    </row>
    <row r="1426">
      <c r="A1426" s="1" t="n">
        <v>4064941006923</v>
      </c>
      <c r="B1426" t="inlineStr">
        <is>
          <t>KJ MU M LIQ K SET NWMDIN100 POSIE K 23IV</t>
        </is>
      </c>
      <c r="C1426" t="inlineStr">
        <is>
          <t>P_US_ALL_OTHERS</t>
        </is>
      </c>
      <c r="D1426" t="inlineStr">
        <is>
          <t>Stat Fcst Prophet</t>
        </is>
      </c>
    </row>
    <row r="1427">
      <c r="A1427" s="1" t="n">
        <v>4064941006923</v>
      </c>
      <c r="B1427" t="inlineStr">
        <is>
          <t>KJ MU M LIQ K SET NWMDIN100 POSIE K 23IV</t>
        </is>
      </c>
      <c r="C1427" t="inlineStr">
        <is>
          <t>P_US_ALL_OTHERS</t>
        </is>
      </c>
      <c r="D1427" t="inlineStr">
        <is>
          <t>Stat Fcst sARIMA</t>
        </is>
      </c>
    </row>
    <row r="1428">
      <c r="A1428" s="1" t="n">
        <v>4064941006923</v>
      </c>
      <c r="B1428" t="inlineStr">
        <is>
          <t>KJ MU M LIQ K SET NWMDIN100 POSIE K 23IV</t>
        </is>
      </c>
      <c r="C1428" t="inlineStr">
        <is>
          <t>P_US_ALL_OTHERS</t>
        </is>
      </c>
      <c r="D1428" t="inlineStr">
        <is>
          <t>Stat Fcst Seasonal Naive YoY</t>
        </is>
      </c>
    </row>
    <row r="1429">
      <c r="A1429" s="1" t="n">
        <v>4064941006923</v>
      </c>
      <c r="B1429" t="inlineStr">
        <is>
          <t>KJ MU M LIQ K SET NWMDIN100 POSIE K 23IV</t>
        </is>
      </c>
      <c r="C1429" t="inlineStr">
        <is>
          <t>P_US_ALL_OTHERS</t>
        </is>
      </c>
      <c r="D1429" t="inlineStr">
        <is>
          <t>Stat Fcst SES</t>
        </is>
      </c>
    </row>
    <row r="1430">
      <c r="A1430" s="1" t="n">
        <v>4064941006923</v>
      </c>
      <c r="B1430" t="inlineStr">
        <is>
          <t>KJ MU M LIQ K SET NWMDIN100 POSIE K 23IV</t>
        </is>
      </c>
      <c r="C1430" t="inlineStr">
        <is>
          <t>P_US_ALL_OTHERS</t>
        </is>
      </c>
      <c r="D1430" t="inlineStr">
        <is>
          <t>Stat Fcst STLF</t>
        </is>
      </c>
      <c r="E1430" t="n">
        <v>577.3857169611121</v>
      </c>
      <c r="F1430" t="n">
        <v>378.635297091759</v>
      </c>
      <c r="G1430" t="n">
        <v>464.903821431933</v>
      </c>
      <c r="H1430" t="n">
        <v>304.154550032472</v>
      </c>
      <c r="I1430" t="n">
        <v>250.407289935569</v>
      </c>
      <c r="J1430" t="n">
        <v>304.219407238751</v>
      </c>
      <c r="K1430" t="n">
        <v>196.028719983864</v>
      </c>
      <c r="L1430" t="n">
        <v>402.186490747405</v>
      </c>
      <c r="M1430" t="n">
        <v>217.661101979115</v>
      </c>
      <c r="N1430" t="n">
        <v>307.641425989844</v>
      </c>
      <c r="O1430" t="n">
        <v>576.702496008986</v>
      </c>
      <c r="P1430" t="n">
        <v>180.599025335157</v>
      </c>
    </row>
    <row r="1431">
      <c r="A1431" s="1" t="n">
        <v>4064941006923</v>
      </c>
      <c r="B1431" t="inlineStr">
        <is>
          <t>KJ MU M LIQ K SET NWMDIN100 POSIE K 23IV</t>
        </is>
      </c>
      <c r="C1431" t="inlineStr">
        <is>
          <t>P_US_ALL_OTHERS</t>
        </is>
      </c>
      <c r="D1431" t="inlineStr">
        <is>
          <t>Stat Fcst TBATS</t>
        </is>
      </c>
    </row>
    <row r="1432">
      <c r="A1432" s="1" t="n">
        <v>4064941006923</v>
      </c>
      <c r="B1432" t="inlineStr">
        <is>
          <t>KJ MU M LIQ K SET NWMDIN100 POSIE K 23IV</t>
        </is>
      </c>
      <c r="C1432" t="inlineStr">
        <is>
          <t>P_US_ALL_OTHERS</t>
        </is>
      </c>
      <c r="D1432" t="inlineStr">
        <is>
          <t>Stat Fcst TES</t>
        </is>
      </c>
      <c r="E1432" t="n">
        <v>388.317409880544</v>
      </c>
      <c r="F1432" t="n">
        <v>368.248142304709</v>
      </c>
      <c r="G1432" t="n">
        <v>366.135162246304</v>
      </c>
      <c r="H1432" t="n">
        <v>285.5080963587</v>
      </c>
      <c r="I1432" t="n">
        <v>366.656930434012</v>
      </c>
      <c r="J1432" t="n">
        <v>375.07437354999</v>
      </c>
      <c r="K1432" t="n">
        <v>225.175190033732</v>
      </c>
      <c r="L1432" t="n">
        <v>423.749256029882</v>
      </c>
      <c r="M1432" t="n">
        <v>242.776046538995</v>
      </c>
      <c r="N1432" t="n">
        <v>269.120618022474</v>
      </c>
      <c r="O1432" t="n">
        <v>550.7237807725789</v>
      </c>
      <c r="P1432" t="n">
        <v>228.944393845737</v>
      </c>
    </row>
    <row r="1433">
      <c r="A1433" s="1" t="n">
        <v>4064941006923</v>
      </c>
      <c r="B1433" t="inlineStr">
        <is>
          <t>KJ MU M LIQ K SET NWMDIN100 POSIE K 23IV</t>
        </is>
      </c>
      <c r="C1433" t="inlineStr">
        <is>
          <t>P_US_ALL_OTHERS</t>
        </is>
      </c>
      <c r="D1433" t="inlineStr">
        <is>
          <t>Stat Fcst Theta</t>
        </is>
      </c>
    </row>
    <row r="1434">
      <c r="A1434" s="1" t="n">
        <v>4064941006923</v>
      </c>
      <c r="B1434" t="inlineStr">
        <is>
          <t>KJ MU M LIQ K SET NWMDIN100 POSIE K 23IV</t>
        </is>
      </c>
      <c r="C1434" t="inlineStr">
        <is>
          <t>P_US_ALL_OTHERS</t>
        </is>
      </c>
      <c r="D1434" t="inlineStr">
        <is>
          <t>System ML Fcst L1</t>
        </is>
      </c>
    </row>
    <row r="1435">
      <c r="A1435" s="1" t="n">
        <v>4064941006923</v>
      </c>
      <c r="B1435" t="inlineStr">
        <is>
          <t>KJ MU M LIQ K SET NWMDIN100 POSIE K 23IV</t>
        </is>
      </c>
      <c r="C1435" t="inlineStr">
        <is>
          <t>P_US_ALL_OTHERS</t>
        </is>
      </c>
      <c r="D1435" t="inlineStr">
        <is>
          <t>Stat Fcst Simple Snaive</t>
        </is>
      </c>
      <c r="E1435" t="n">
        <v>422.999987393617</v>
      </c>
      <c r="F1435" t="n">
        <v>399.499988093972</v>
      </c>
      <c r="G1435" t="n">
        <v>440.000003278255</v>
      </c>
      <c r="H1435" t="n">
        <v>379.333311855793</v>
      </c>
      <c r="I1435" t="n">
        <v>455.000003390014</v>
      </c>
      <c r="J1435" t="n">
        <v>439.884203199022</v>
      </c>
      <c r="K1435" t="n">
        <v>280.333314806223</v>
      </c>
      <c r="L1435" t="n">
        <v>474.666666666666</v>
      </c>
      <c r="M1435" t="n">
        <v>276.333314925432</v>
      </c>
      <c r="N1435" t="n">
        <v>298.800958635423</v>
      </c>
      <c r="O1435" t="n">
        <v>578.550886078152</v>
      </c>
      <c r="P1435" t="n">
        <v>248.000006934007</v>
      </c>
    </row>
    <row r="1436">
      <c r="A1436" s="1" t="n">
        <v>4064941006923</v>
      </c>
      <c r="B1436" t="inlineStr">
        <is>
          <t>KJ MU M LIQ K SET NWMDIN100 POSIE K 23IV</t>
        </is>
      </c>
      <c r="C1436" t="inlineStr">
        <is>
          <t>P_US_ALL_OTHERS</t>
        </is>
      </c>
      <c r="D1436" t="inlineStr">
        <is>
          <t>Stat Fcst Simple AOA</t>
        </is>
      </c>
    </row>
    <row r="1437">
      <c r="A1437" s="1" t="n">
        <v>4064941006923</v>
      </c>
      <c r="B1437" t="inlineStr">
        <is>
          <t>KJ MU M LIQ K SET NWMDIN100 POSIE K 23IV</t>
        </is>
      </c>
      <c r="C1437" t="inlineStr">
        <is>
          <t>P_US_ALL_OTHERS</t>
        </is>
      </c>
      <c r="D1437" t="inlineStr">
        <is>
          <t>Stat Fcst Weighted Snaive</t>
        </is>
      </c>
    </row>
    <row r="1438">
      <c r="A1438" s="1" t="n">
        <v>4064941006923</v>
      </c>
      <c r="B1438" t="inlineStr">
        <is>
          <t>KJ MU M LIQ K SET NWMDIN100 POSIE K 23IV</t>
        </is>
      </c>
      <c r="C1438" t="inlineStr">
        <is>
          <t>P_US_ALL_OTHERS</t>
        </is>
      </c>
      <c r="D1438" t="inlineStr">
        <is>
          <t>Stat Fcst Weighted AOA</t>
        </is>
      </c>
    </row>
    <row r="1439">
      <c r="A1439" s="1" t="n">
        <v>4064941006923</v>
      </c>
      <c r="B1439" t="inlineStr">
        <is>
          <t>KJ MU M LIQ K SET NWMDIN100 POSIE K 23IV</t>
        </is>
      </c>
      <c r="C1439" t="inlineStr">
        <is>
          <t>P_US_ALL_OTHERS</t>
        </is>
      </c>
      <c r="D1439" t="inlineStr">
        <is>
          <t>Stat Fcst Growth Snaive</t>
        </is>
      </c>
    </row>
    <row r="1440">
      <c r="A1440" s="1" t="n">
        <v>4064941006923</v>
      </c>
      <c r="B1440" t="inlineStr">
        <is>
          <t>KJ MU M LIQ K SET NWMDIN100 POSIE K 23IV</t>
        </is>
      </c>
      <c r="C1440" t="inlineStr">
        <is>
          <t>P_US_ALL_OTHERS</t>
        </is>
      </c>
      <c r="D1440" t="inlineStr">
        <is>
          <t>Stat Fcst Growth AOA</t>
        </is>
      </c>
    </row>
    <row r="1441">
      <c r="A1441" s="1" t="n">
        <v>4064941006923</v>
      </c>
      <c r="B1441" t="inlineStr">
        <is>
          <t>KJ MU M LIQ K SET NWMDIN100 POSIE K 23IV</t>
        </is>
      </c>
      <c r="C1441" t="inlineStr">
        <is>
          <t>P_US_ALL_OTHERS</t>
        </is>
      </c>
      <c r="D1441" t="inlineStr">
        <is>
          <t>System Stat Fcst Bestfit</t>
        </is>
      </c>
      <c r="H1441" t="n">
        <v>285.508078649399</v>
      </c>
      <c r="I1441" t="n">
        <v>366.656924118525</v>
      </c>
      <c r="J1441" t="n">
        <v>375.074360159803</v>
      </c>
      <c r="K1441" t="n">
        <v>225.175194705271</v>
      </c>
      <c r="L1441" t="n">
        <v>423.749267578125</v>
      </c>
      <c r="M1441" t="n">
        <v>242.776039517639</v>
      </c>
      <c r="N1441" t="n">
        <v>269.120609478959</v>
      </c>
      <c r="O1441" t="n">
        <v>550.723738469965</v>
      </c>
      <c r="P1441" t="n">
        <v>228.944398678424</v>
      </c>
    </row>
    <row r="1442">
      <c r="A1442" s="1" t="n">
        <v>4064941006923</v>
      </c>
      <c r="B1442" t="inlineStr">
        <is>
          <t>KJ MU M LIQ K SET NWMDIN100 POSIE K 23IV</t>
        </is>
      </c>
      <c r="C1442" t="inlineStr">
        <is>
          <t>P_US_ULTA</t>
        </is>
      </c>
      <c r="D1442" t="inlineStr">
        <is>
          <t>Stat Fcst L1</t>
        </is>
      </c>
      <c r="E1442" t="n">
        <v>5638.9998319447</v>
      </c>
      <c r="F1442" t="n">
        <v>4054.99987915158</v>
      </c>
      <c r="G1442" t="n">
        <v>2395</v>
      </c>
      <c r="H1442" t="n">
        <v>2125</v>
      </c>
      <c r="I1442" t="n">
        <v>2782</v>
      </c>
      <c r="J1442" t="n">
        <v>3720</v>
      </c>
      <c r="K1442" t="n">
        <v>2852</v>
      </c>
      <c r="L1442" t="n">
        <v>3996</v>
      </c>
      <c r="M1442" t="n">
        <v>3888</v>
      </c>
      <c r="N1442" t="n">
        <v>2455</v>
      </c>
      <c r="O1442" t="n">
        <v>4495</v>
      </c>
      <c r="P1442" t="n">
        <v>3086</v>
      </c>
    </row>
    <row r="1443">
      <c r="A1443" s="1" t="n">
        <v>4064941006923</v>
      </c>
      <c r="B1443" t="inlineStr">
        <is>
          <t>KJ MU M LIQ K SET NWMDIN100 POSIE K 23IV</t>
        </is>
      </c>
      <c r="C1443" t="inlineStr">
        <is>
          <t>P_US_ULTA</t>
        </is>
      </c>
      <c r="D1443" t="inlineStr">
        <is>
          <t>Stat Fcst AR-NNET</t>
        </is>
      </c>
    </row>
    <row r="1444">
      <c r="A1444" s="1" t="n">
        <v>4064941006923</v>
      </c>
      <c r="B1444" t="inlineStr">
        <is>
          <t>KJ MU M LIQ K SET NWMDIN100 POSIE K 23IV</t>
        </is>
      </c>
      <c r="C1444" t="inlineStr">
        <is>
          <t>P_US_ULTA</t>
        </is>
      </c>
      <c r="D1444" t="inlineStr">
        <is>
          <t>Stat Fcst Auto ARIMA</t>
        </is>
      </c>
    </row>
    <row r="1445">
      <c r="A1445" s="1" t="n">
        <v>4064941006923</v>
      </c>
      <c r="B1445" t="inlineStr">
        <is>
          <t>KJ MU M LIQ K SET NWMDIN100 POSIE K 23IV</t>
        </is>
      </c>
      <c r="C1445" t="inlineStr">
        <is>
          <t>P_US_ULTA</t>
        </is>
      </c>
      <c r="D1445" t="inlineStr">
        <is>
          <t>Stat Fcst Croston</t>
        </is>
      </c>
    </row>
    <row r="1446">
      <c r="A1446" s="1" t="n">
        <v>4064941006923</v>
      </c>
      <c r="B1446" t="inlineStr">
        <is>
          <t>KJ MU M LIQ K SET NWMDIN100 POSIE K 23IV</t>
        </is>
      </c>
      <c r="C1446" t="inlineStr">
        <is>
          <t>P_US_ULTA</t>
        </is>
      </c>
      <c r="D1446" t="inlineStr">
        <is>
          <t>Stat Fcst DES</t>
        </is>
      </c>
    </row>
    <row r="1447">
      <c r="A1447" s="1" t="n">
        <v>4064941006923</v>
      </c>
      <c r="B1447" t="inlineStr">
        <is>
          <t>KJ MU M LIQ K SET NWMDIN100 POSIE K 23IV</t>
        </is>
      </c>
      <c r="C1447" t="inlineStr">
        <is>
          <t>P_US_ULTA</t>
        </is>
      </c>
      <c r="D1447" t="inlineStr">
        <is>
          <t>Stat Fcst ETS</t>
        </is>
      </c>
    </row>
    <row r="1448">
      <c r="A1448" s="1" t="n">
        <v>4064941006923</v>
      </c>
      <c r="B1448" t="inlineStr">
        <is>
          <t>KJ MU M LIQ K SET NWMDIN100 POSIE K 23IV</t>
        </is>
      </c>
      <c r="C1448" t="inlineStr">
        <is>
          <t>P_US_ULTA</t>
        </is>
      </c>
      <c r="D1448" t="inlineStr">
        <is>
          <t>Stat Fcst Moving Average</t>
        </is>
      </c>
    </row>
    <row r="1449">
      <c r="A1449" s="1" t="n">
        <v>4064941006923</v>
      </c>
      <c r="B1449" t="inlineStr">
        <is>
          <t>KJ MU M LIQ K SET NWMDIN100 POSIE K 23IV</t>
        </is>
      </c>
      <c r="C1449" t="inlineStr">
        <is>
          <t>P_US_ULTA</t>
        </is>
      </c>
      <c r="D1449" t="inlineStr">
        <is>
          <t>Stat Fcst Naive Random Walk</t>
        </is>
      </c>
    </row>
    <row r="1450">
      <c r="A1450" s="1" t="n">
        <v>4064941006923</v>
      </c>
      <c r="B1450" t="inlineStr">
        <is>
          <t>KJ MU M LIQ K SET NWMDIN100 POSIE K 23IV</t>
        </is>
      </c>
      <c r="C1450" t="inlineStr">
        <is>
          <t>P_US_ULTA</t>
        </is>
      </c>
      <c r="D1450" t="inlineStr">
        <is>
          <t>Stat Fcst Prophet</t>
        </is>
      </c>
    </row>
    <row r="1451">
      <c r="A1451" s="1" t="n">
        <v>4064941006923</v>
      </c>
      <c r="B1451" t="inlineStr">
        <is>
          <t>KJ MU M LIQ K SET NWMDIN100 POSIE K 23IV</t>
        </is>
      </c>
      <c r="C1451" t="inlineStr">
        <is>
          <t>P_US_ULTA</t>
        </is>
      </c>
      <c r="D1451" t="inlineStr">
        <is>
          <t>Stat Fcst sARIMA</t>
        </is>
      </c>
    </row>
    <row r="1452">
      <c r="A1452" s="1" t="n">
        <v>4064941006923</v>
      </c>
      <c r="B1452" t="inlineStr">
        <is>
          <t>KJ MU M LIQ K SET NWMDIN100 POSIE K 23IV</t>
        </is>
      </c>
      <c r="C1452" t="inlineStr">
        <is>
          <t>P_US_ULTA</t>
        </is>
      </c>
      <c r="D1452" t="inlineStr">
        <is>
          <t>Stat Fcst Seasonal Naive YoY</t>
        </is>
      </c>
    </row>
    <row r="1453">
      <c r="A1453" s="1" t="n">
        <v>4064941006923</v>
      </c>
      <c r="B1453" t="inlineStr">
        <is>
          <t>KJ MU M LIQ K SET NWMDIN100 POSIE K 23IV</t>
        </is>
      </c>
      <c r="C1453" t="inlineStr">
        <is>
          <t>P_US_ULTA</t>
        </is>
      </c>
      <c r="D1453" t="inlineStr">
        <is>
          <t>Stat Fcst SES</t>
        </is>
      </c>
    </row>
    <row r="1454">
      <c r="A1454" s="1" t="n">
        <v>4064941006923</v>
      </c>
      <c r="B1454" t="inlineStr">
        <is>
          <t>KJ MU M LIQ K SET NWMDIN100 POSIE K 23IV</t>
        </is>
      </c>
      <c r="C1454" t="inlineStr">
        <is>
          <t>P_US_ULTA</t>
        </is>
      </c>
      <c r="D1454" t="inlineStr">
        <is>
          <t>Stat Fcst STLF</t>
        </is>
      </c>
      <c r="E1454" t="n">
        <v>2040.33656714432</v>
      </c>
      <c r="F1454" t="n">
        <v>2130.20159465262</v>
      </c>
      <c r="G1454" t="n">
        <v>2211.90227183336</v>
      </c>
      <c r="H1454" t="n">
        <v>2999.75709866117</v>
      </c>
      <c r="I1454" t="n">
        <v>1801.54877034747</v>
      </c>
      <c r="J1454" t="n">
        <v>2317.83642042504</v>
      </c>
      <c r="K1454" t="n">
        <v>3790.12303884403</v>
      </c>
      <c r="L1454" t="n">
        <v>4357.82538058234</v>
      </c>
      <c r="M1454" t="n">
        <v>3726.96268665539</v>
      </c>
      <c r="N1454" t="n">
        <v>1295.97575336644</v>
      </c>
      <c r="O1454" t="n">
        <v>3655.3316047022</v>
      </c>
      <c r="P1454" t="n">
        <v>1267.40333532227</v>
      </c>
    </row>
    <row r="1455">
      <c r="A1455" s="1" t="n">
        <v>4064941006923</v>
      </c>
      <c r="B1455" t="inlineStr">
        <is>
          <t>KJ MU M LIQ K SET NWMDIN100 POSIE K 23IV</t>
        </is>
      </c>
      <c r="C1455" t="inlineStr">
        <is>
          <t>P_US_ULTA</t>
        </is>
      </c>
      <c r="D1455" t="inlineStr">
        <is>
          <t>Stat Fcst TBATS</t>
        </is>
      </c>
    </row>
    <row r="1456">
      <c r="A1456" s="1" t="n">
        <v>4064941006923</v>
      </c>
      <c r="B1456" t="inlineStr">
        <is>
          <t>KJ MU M LIQ K SET NWMDIN100 POSIE K 23IV</t>
        </is>
      </c>
      <c r="C1456" t="inlineStr">
        <is>
          <t>P_US_ULTA</t>
        </is>
      </c>
      <c r="D1456" t="inlineStr">
        <is>
          <t>Stat Fcst TES</t>
        </is>
      </c>
      <c r="E1456" t="n">
        <v>1652.02938123779</v>
      </c>
      <c r="F1456" t="n">
        <v>1284.49579902656</v>
      </c>
      <c r="G1456" t="n">
        <v>1464.57124188701</v>
      </c>
      <c r="H1456" t="n">
        <v>2124.61019858618</v>
      </c>
      <c r="I1456" t="n">
        <v>2782.63063441339</v>
      </c>
      <c r="J1456" t="n">
        <v>3721.61997752863</v>
      </c>
      <c r="K1456" t="n">
        <v>2851.23408036089</v>
      </c>
      <c r="L1456" t="n">
        <v>3996.37641644117</v>
      </c>
      <c r="M1456" t="n">
        <v>3886.33051115233</v>
      </c>
      <c r="N1456" t="n">
        <v>2455.79172419957</v>
      </c>
      <c r="O1456" t="n">
        <v>4493.71900722297</v>
      </c>
      <c r="P1456" t="n">
        <v>3086.30912678235</v>
      </c>
    </row>
    <row r="1457">
      <c r="A1457" s="1" t="n">
        <v>4064941006923</v>
      </c>
      <c r="B1457" t="inlineStr">
        <is>
          <t>KJ MU M LIQ K SET NWMDIN100 POSIE K 23IV</t>
        </is>
      </c>
      <c r="C1457" t="inlineStr">
        <is>
          <t>P_US_ULTA</t>
        </is>
      </c>
      <c r="D1457" t="inlineStr">
        <is>
          <t>Stat Fcst Theta</t>
        </is>
      </c>
    </row>
    <row r="1458">
      <c r="A1458" s="1" t="n">
        <v>4064941006923</v>
      </c>
      <c r="B1458" t="inlineStr">
        <is>
          <t>KJ MU M LIQ K SET NWMDIN100 POSIE K 23IV</t>
        </is>
      </c>
      <c r="C1458" t="inlineStr">
        <is>
          <t>P_US_ULTA</t>
        </is>
      </c>
      <c r="D1458" t="inlineStr">
        <is>
          <t>System ML Fcst L1</t>
        </is>
      </c>
    </row>
    <row r="1459">
      <c r="A1459" s="1" t="n">
        <v>4064941006923</v>
      </c>
      <c r="B1459" t="inlineStr">
        <is>
          <t>KJ MU M LIQ K SET NWMDIN100 POSIE K 23IV</t>
        </is>
      </c>
      <c r="C1459" t="inlineStr">
        <is>
          <t>P_US_ULTA</t>
        </is>
      </c>
      <c r="D1459" t="inlineStr">
        <is>
          <t>Stat Fcst Simple Snaive</t>
        </is>
      </c>
      <c r="E1459" t="n">
        <v>2269.49993236362</v>
      </c>
      <c r="F1459" t="n">
        <v>1243.99996292591</v>
      </c>
      <c r="G1459" t="n">
        <v>1042.66667443513</v>
      </c>
      <c r="H1459" t="n">
        <v>1325.33327349027</v>
      </c>
      <c r="I1459" t="n">
        <v>1556.0000115931</v>
      </c>
      <c r="J1459" t="n">
        <v>1923.99994266033</v>
      </c>
      <c r="K1459" t="n">
        <v>2862.33324802915</v>
      </c>
      <c r="L1459" t="n">
        <v>3841.37662760416</v>
      </c>
      <c r="M1459" t="n">
        <v>2828.66658236583</v>
      </c>
      <c r="N1459" t="n">
        <v>1140.00001698732</v>
      </c>
      <c r="O1459" t="n">
        <v>5253.70980436474</v>
      </c>
      <c r="P1459" t="n">
        <v>3516.71006851924</v>
      </c>
    </row>
    <row r="1460">
      <c r="A1460" s="1" t="n">
        <v>4064941006923</v>
      </c>
      <c r="B1460" t="inlineStr">
        <is>
          <t>KJ MU M LIQ K SET NWMDIN100 POSIE K 23IV</t>
        </is>
      </c>
      <c r="C1460" t="inlineStr">
        <is>
          <t>P_US_ULTA</t>
        </is>
      </c>
      <c r="D1460" t="inlineStr">
        <is>
          <t>Stat Fcst Simple AOA</t>
        </is>
      </c>
    </row>
    <row r="1461">
      <c r="A1461" s="1" t="n">
        <v>4064941006923</v>
      </c>
      <c r="B1461" t="inlineStr">
        <is>
          <t>KJ MU M LIQ K SET NWMDIN100 POSIE K 23IV</t>
        </is>
      </c>
      <c r="C1461" t="inlineStr">
        <is>
          <t>P_US_ULTA</t>
        </is>
      </c>
      <c r="D1461" t="inlineStr">
        <is>
          <t>Stat Fcst Weighted Snaive</t>
        </is>
      </c>
    </row>
    <row r="1462">
      <c r="A1462" s="1" t="n">
        <v>4064941006923</v>
      </c>
      <c r="B1462" t="inlineStr">
        <is>
          <t>KJ MU M LIQ K SET NWMDIN100 POSIE K 23IV</t>
        </is>
      </c>
      <c r="C1462" t="inlineStr">
        <is>
          <t>P_US_ULTA</t>
        </is>
      </c>
      <c r="D1462" t="inlineStr">
        <is>
          <t>Stat Fcst Weighted AOA</t>
        </is>
      </c>
    </row>
    <row r="1463">
      <c r="A1463" s="1" t="n">
        <v>4064941006923</v>
      </c>
      <c r="B1463" t="inlineStr">
        <is>
          <t>KJ MU M LIQ K SET NWMDIN100 POSIE K 23IV</t>
        </is>
      </c>
      <c r="C1463" t="inlineStr">
        <is>
          <t>P_US_ULTA</t>
        </is>
      </c>
      <c r="D1463" t="inlineStr">
        <is>
          <t>Stat Fcst Growth Snaive</t>
        </is>
      </c>
    </row>
    <row r="1464">
      <c r="A1464" s="1" t="n">
        <v>4064941006923</v>
      </c>
      <c r="B1464" t="inlineStr">
        <is>
          <t>KJ MU M LIQ K SET NWMDIN100 POSIE K 23IV</t>
        </is>
      </c>
      <c r="C1464" t="inlineStr">
        <is>
          <t>P_US_ULTA</t>
        </is>
      </c>
      <c r="D1464" t="inlineStr">
        <is>
          <t>Stat Fcst Growth AOA</t>
        </is>
      </c>
    </row>
    <row r="1465">
      <c r="A1465" s="1" t="n">
        <v>4064941006923</v>
      </c>
      <c r="B1465" t="inlineStr">
        <is>
          <t>KJ MU M LIQ K SET NWMDIN100 POSIE K 23IV</t>
        </is>
      </c>
      <c r="C1465" t="inlineStr">
        <is>
          <t>P_US_ULTA</t>
        </is>
      </c>
      <c r="D1465" t="inlineStr">
        <is>
          <t>System Stat Fcst Bestfit</t>
        </is>
      </c>
      <c r="H1465" t="n">
        <v>2124.61028824417</v>
      </c>
      <c r="I1465" t="n">
        <v>2782.63063596658</v>
      </c>
      <c r="J1465" t="n">
        <v>3721.61976213395</v>
      </c>
      <c r="K1465" t="n">
        <v>2851.23380174535</v>
      </c>
      <c r="L1465" t="n">
        <v>3996.37646484375</v>
      </c>
      <c r="M1465" t="n">
        <v>3886.33045058457</v>
      </c>
      <c r="N1465" t="n">
        <v>2455.79178464102</v>
      </c>
      <c r="O1465" t="n">
        <v>4493.71910435798</v>
      </c>
      <c r="P1465" t="n">
        <v>3086.30910502604</v>
      </c>
    </row>
    <row r="1466">
      <c r="A1466" s="1" t="n">
        <v>4064941006985</v>
      </c>
      <c r="B1466" t="inlineStr">
        <is>
          <t>KJ MU V LIQ K MLTLPK 3ML 1.1G CHARM IV</t>
        </is>
      </c>
      <c r="C1466" t="inlineStr">
        <is>
          <t>P_US_ALL_OTHERS</t>
        </is>
      </c>
      <c r="D1466" t="inlineStr">
        <is>
          <t>Stat Fcst L1</t>
        </is>
      </c>
      <c r="E1466" t="n">
        <v>101.999996960163</v>
      </c>
      <c r="F1466" t="n">
        <v>172.999994844198</v>
      </c>
      <c r="G1466" t="n">
        <v>159</v>
      </c>
      <c r="H1466" t="n">
        <v>75</v>
      </c>
      <c r="I1466" t="n">
        <v>120</v>
      </c>
      <c r="J1466" t="n">
        <v>133</v>
      </c>
      <c r="K1466" t="n">
        <v>49</v>
      </c>
      <c r="L1466" t="n">
        <v>116</v>
      </c>
      <c r="M1466" t="n">
        <v>146</v>
      </c>
      <c r="N1466" t="n">
        <v>81</v>
      </c>
      <c r="O1466" t="n">
        <v>155</v>
      </c>
      <c r="P1466" t="n">
        <v>51</v>
      </c>
    </row>
    <row r="1467">
      <c r="A1467" s="1" t="n">
        <v>4064941006985</v>
      </c>
      <c r="B1467" t="inlineStr">
        <is>
          <t>KJ MU V LIQ K MLTLPK 3ML 1.1G CHARM IV</t>
        </is>
      </c>
      <c r="C1467" t="inlineStr">
        <is>
          <t>P_US_ALL_OTHERS</t>
        </is>
      </c>
      <c r="D1467" t="inlineStr">
        <is>
          <t>Stat Fcst AR-NNET</t>
        </is>
      </c>
    </row>
    <row r="1468">
      <c r="A1468" s="1" t="n">
        <v>4064941006985</v>
      </c>
      <c r="B1468" t="inlineStr">
        <is>
          <t>KJ MU V LIQ K MLTLPK 3ML 1.1G CHARM IV</t>
        </is>
      </c>
      <c r="C1468" t="inlineStr">
        <is>
          <t>P_US_ALL_OTHERS</t>
        </is>
      </c>
      <c r="D1468" t="inlineStr">
        <is>
          <t>Stat Fcst Auto ARIMA</t>
        </is>
      </c>
    </row>
    <row r="1469">
      <c r="A1469" s="1" t="n">
        <v>4064941006985</v>
      </c>
      <c r="B1469" t="inlineStr">
        <is>
          <t>KJ MU V LIQ K MLTLPK 3ML 1.1G CHARM IV</t>
        </is>
      </c>
      <c r="C1469" t="inlineStr">
        <is>
          <t>P_US_ALL_OTHERS</t>
        </is>
      </c>
      <c r="D1469" t="inlineStr">
        <is>
          <t>Stat Fcst Croston</t>
        </is>
      </c>
    </row>
    <row r="1470">
      <c r="A1470" s="1" t="n">
        <v>4064941006985</v>
      </c>
      <c r="B1470" t="inlineStr">
        <is>
          <t>KJ MU V LIQ K MLTLPK 3ML 1.1G CHARM IV</t>
        </is>
      </c>
      <c r="C1470" t="inlineStr">
        <is>
          <t>P_US_ALL_OTHERS</t>
        </is>
      </c>
      <c r="D1470" t="inlineStr">
        <is>
          <t>Stat Fcst DES</t>
        </is>
      </c>
    </row>
    <row r="1471">
      <c r="A1471" s="1" t="n">
        <v>4064941006985</v>
      </c>
      <c r="B1471" t="inlineStr">
        <is>
          <t>KJ MU V LIQ K MLTLPK 3ML 1.1G CHARM IV</t>
        </is>
      </c>
      <c r="C1471" t="inlineStr">
        <is>
          <t>P_US_ALL_OTHERS</t>
        </is>
      </c>
      <c r="D1471" t="inlineStr">
        <is>
          <t>Stat Fcst ETS</t>
        </is>
      </c>
    </row>
    <row r="1472">
      <c r="A1472" s="1" t="n">
        <v>4064941006985</v>
      </c>
      <c r="B1472" t="inlineStr">
        <is>
          <t>KJ MU V LIQ K MLTLPK 3ML 1.1G CHARM IV</t>
        </is>
      </c>
      <c r="C1472" t="inlineStr">
        <is>
          <t>P_US_ALL_OTHERS</t>
        </is>
      </c>
      <c r="D1472" t="inlineStr">
        <is>
          <t>Stat Fcst Moving Average</t>
        </is>
      </c>
    </row>
    <row r="1473">
      <c r="A1473" s="1" t="n">
        <v>4064941006985</v>
      </c>
      <c r="B1473" t="inlineStr">
        <is>
          <t>KJ MU V LIQ K MLTLPK 3ML 1.1G CHARM IV</t>
        </is>
      </c>
      <c r="C1473" t="inlineStr">
        <is>
          <t>P_US_ALL_OTHERS</t>
        </is>
      </c>
      <c r="D1473" t="inlineStr">
        <is>
          <t>Stat Fcst Naive Random Walk</t>
        </is>
      </c>
    </row>
    <row r="1474">
      <c r="A1474" s="1" t="n">
        <v>4064941006985</v>
      </c>
      <c r="B1474" t="inlineStr">
        <is>
          <t>KJ MU V LIQ K MLTLPK 3ML 1.1G CHARM IV</t>
        </is>
      </c>
      <c r="C1474" t="inlineStr">
        <is>
          <t>P_US_ALL_OTHERS</t>
        </is>
      </c>
      <c r="D1474" t="inlineStr">
        <is>
          <t>Stat Fcst Prophet</t>
        </is>
      </c>
    </row>
    <row r="1475">
      <c r="A1475" s="1" t="n">
        <v>4064941006985</v>
      </c>
      <c r="B1475" t="inlineStr">
        <is>
          <t>KJ MU V LIQ K MLTLPK 3ML 1.1G CHARM IV</t>
        </is>
      </c>
      <c r="C1475" t="inlineStr">
        <is>
          <t>P_US_ALL_OTHERS</t>
        </is>
      </c>
      <c r="D1475" t="inlineStr">
        <is>
          <t>Stat Fcst sARIMA</t>
        </is>
      </c>
    </row>
    <row r="1476">
      <c r="A1476" s="1" t="n">
        <v>4064941006985</v>
      </c>
      <c r="B1476" t="inlineStr">
        <is>
          <t>KJ MU V LIQ K MLTLPK 3ML 1.1G CHARM IV</t>
        </is>
      </c>
      <c r="C1476" t="inlineStr">
        <is>
          <t>P_US_ALL_OTHERS</t>
        </is>
      </c>
      <c r="D1476" t="inlineStr">
        <is>
          <t>Stat Fcst Seasonal Naive YoY</t>
        </is>
      </c>
    </row>
    <row r="1477">
      <c r="A1477" s="1" t="n">
        <v>4064941006985</v>
      </c>
      <c r="B1477" t="inlineStr">
        <is>
          <t>KJ MU V LIQ K MLTLPK 3ML 1.1G CHARM IV</t>
        </is>
      </c>
      <c r="C1477" t="inlineStr">
        <is>
          <t>P_US_ALL_OTHERS</t>
        </is>
      </c>
      <c r="D1477" t="inlineStr">
        <is>
          <t>Stat Fcst SES</t>
        </is>
      </c>
    </row>
    <row r="1478">
      <c r="A1478" s="1" t="n">
        <v>4064941006985</v>
      </c>
      <c r="B1478" t="inlineStr">
        <is>
          <t>KJ MU V LIQ K MLTLPK 3ML 1.1G CHARM IV</t>
        </is>
      </c>
      <c r="C1478" t="inlineStr">
        <is>
          <t>P_US_ALL_OTHERS</t>
        </is>
      </c>
      <c r="D1478" t="inlineStr">
        <is>
          <t>Stat Fcst STLF</t>
        </is>
      </c>
      <c r="E1478" t="n">
        <v>120.754092898553</v>
      </c>
      <c r="F1478" t="n">
        <v>232.007132486891</v>
      </c>
      <c r="G1478" t="n">
        <v>193.620768820066</v>
      </c>
      <c r="H1478" t="n">
        <v>90.9798233886202</v>
      </c>
      <c r="I1478" t="n">
        <v>86.0627515285194</v>
      </c>
      <c r="J1478" t="n">
        <v>104.515613495337</v>
      </c>
      <c r="K1478" t="n">
        <v>88.2479949664468</v>
      </c>
      <c r="L1478" t="n">
        <v>181.077461813342</v>
      </c>
      <c r="M1478" t="n">
        <v>136.713173331709</v>
      </c>
      <c r="N1478" t="n">
        <v>120.222632587791</v>
      </c>
      <c r="O1478" t="n">
        <v>113.468768865238</v>
      </c>
      <c r="P1478" t="n">
        <v>62.1994744037634</v>
      </c>
    </row>
    <row r="1479">
      <c r="A1479" s="1" t="n">
        <v>4064941006985</v>
      </c>
      <c r="B1479" t="inlineStr">
        <is>
          <t>KJ MU V LIQ K MLTLPK 3ML 1.1G CHARM IV</t>
        </is>
      </c>
      <c r="C1479" t="inlineStr">
        <is>
          <t>P_US_ALL_OTHERS</t>
        </is>
      </c>
      <c r="D1479" t="inlineStr">
        <is>
          <t>Stat Fcst TBATS</t>
        </is>
      </c>
    </row>
    <row r="1480">
      <c r="A1480" s="1" t="n">
        <v>4064941006985</v>
      </c>
      <c r="B1480" t="inlineStr">
        <is>
          <t>KJ MU V LIQ K MLTLPK 3ML 1.1G CHARM IV</t>
        </is>
      </c>
      <c r="C1480" t="inlineStr">
        <is>
          <t>P_US_ALL_OTHERS</t>
        </is>
      </c>
      <c r="D1480" t="inlineStr">
        <is>
          <t>Stat Fcst TES</t>
        </is>
      </c>
      <c r="E1480" t="n">
        <v>99.4146517298265</v>
      </c>
      <c r="F1480" t="n">
        <v>190.658662508911</v>
      </c>
      <c r="G1480" t="n">
        <v>130.05139099852</v>
      </c>
      <c r="H1480" t="n">
        <v>73.812784919227</v>
      </c>
      <c r="I1480" t="n">
        <v>119.977459499451</v>
      </c>
      <c r="J1480" t="n">
        <v>134.309462872665</v>
      </c>
      <c r="K1480" t="n">
        <v>47.9999947547913</v>
      </c>
      <c r="L1480" t="n">
        <v>117.003636788008</v>
      </c>
      <c r="M1480" t="n">
        <v>146.450305099933</v>
      </c>
      <c r="N1480" t="n">
        <v>80.5715484763756</v>
      </c>
      <c r="O1480" t="n">
        <v>155.267821310413</v>
      </c>
      <c r="P1480" t="n">
        <v>50.0687173416752</v>
      </c>
    </row>
    <row r="1481">
      <c r="A1481" s="1" t="n">
        <v>4064941006985</v>
      </c>
      <c r="B1481" t="inlineStr">
        <is>
          <t>KJ MU V LIQ K MLTLPK 3ML 1.1G CHARM IV</t>
        </is>
      </c>
      <c r="C1481" t="inlineStr">
        <is>
          <t>P_US_ALL_OTHERS</t>
        </is>
      </c>
      <c r="D1481" t="inlineStr">
        <is>
          <t>Stat Fcst Theta</t>
        </is>
      </c>
    </row>
    <row r="1482">
      <c r="A1482" s="1" t="n">
        <v>4064941006985</v>
      </c>
      <c r="B1482" t="inlineStr">
        <is>
          <t>KJ MU V LIQ K MLTLPK 3ML 1.1G CHARM IV</t>
        </is>
      </c>
      <c r="C1482" t="inlineStr">
        <is>
          <t>P_US_ALL_OTHERS</t>
        </is>
      </c>
      <c r="D1482" t="inlineStr">
        <is>
          <t>System ML Fcst L1</t>
        </is>
      </c>
    </row>
    <row r="1483">
      <c r="A1483" s="1" t="n">
        <v>4064941006985</v>
      </c>
      <c r="B1483" t="inlineStr">
        <is>
          <t>KJ MU V LIQ K MLTLPK 3ML 1.1G CHARM IV</t>
        </is>
      </c>
      <c r="C1483" t="inlineStr">
        <is>
          <t>P_US_ALL_OTHERS</t>
        </is>
      </c>
      <c r="D1483" t="inlineStr">
        <is>
          <t>Stat Fcst Simple Snaive</t>
        </is>
      </c>
      <c r="E1483" t="n">
        <v>124.49999628961</v>
      </c>
      <c r="F1483" t="n">
        <v>216.499985918402</v>
      </c>
      <c r="G1483" t="n">
        <v>194.000001445412</v>
      </c>
      <c r="H1483" t="n">
        <v>136.333329270283</v>
      </c>
      <c r="I1483" t="n">
        <v>178.666667997837</v>
      </c>
      <c r="J1483" t="n">
        <v>190.333327660957</v>
      </c>
      <c r="K1483" t="n">
        <v>98.6666599114737</v>
      </c>
      <c r="L1483" t="n">
        <v>167</v>
      </c>
      <c r="M1483" t="n">
        <v>193.333314855893</v>
      </c>
      <c r="N1483" t="n">
        <v>125.000001862645</v>
      </c>
      <c r="O1483" t="n">
        <v>197.37734142808</v>
      </c>
      <c r="P1483" t="n">
        <v>90.6666673421859</v>
      </c>
    </row>
    <row r="1484">
      <c r="A1484" s="1" t="n">
        <v>4064941006985</v>
      </c>
      <c r="B1484" t="inlineStr">
        <is>
          <t>KJ MU V LIQ K MLTLPK 3ML 1.1G CHARM IV</t>
        </is>
      </c>
      <c r="C1484" t="inlineStr">
        <is>
          <t>P_US_ALL_OTHERS</t>
        </is>
      </c>
      <c r="D1484" t="inlineStr">
        <is>
          <t>Stat Fcst Simple AOA</t>
        </is>
      </c>
    </row>
    <row r="1485">
      <c r="A1485" s="1" t="n">
        <v>4064941006985</v>
      </c>
      <c r="B1485" t="inlineStr">
        <is>
          <t>KJ MU V LIQ K MLTLPK 3ML 1.1G CHARM IV</t>
        </is>
      </c>
      <c r="C1485" t="inlineStr">
        <is>
          <t>P_US_ALL_OTHERS</t>
        </is>
      </c>
      <c r="D1485" t="inlineStr">
        <is>
          <t>Stat Fcst Weighted Snaive</t>
        </is>
      </c>
    </row>
    <row r="1486">
      <c r="A1486" s="1" t="n">
        <v>4064941006985</v>
      </c>
      <c r="B1486" t="inlineStr">
        <is>
          <t>KJ MU V LIQ K MLTLPK 3ML 1.1G CHARM IV</t>
        </is>
      </c>
      <c r="C1486" t="inlineStr">
        <is>
          <t>P_US_ALL_OTHERS</t>
        </is>
      </c>
      <c r="D1486" t="inlineStr">
        <is>
          <t>Stat Fcst Weighted AOA</t>
        </is>
      </c>
    </row>
    <row r="1487">
      <c r="A1487" s="1" t="n">
        <v>4064941006985</v>
      </c>
      <c r="B1487" t="inlineStr">
        <is>
          <t>KJ MU V LIQ K MLTLPK 3ML 1.1G CHARM IV</t>
        </is>
      </c>
      <c r="C1487" t="inlineStr">
        <is>
          <t>P_US_ALL_OTHERS</t>
        </is>
      </c>
      <c r="D1487" t="inlineStr">
        <is>
          <t>Stat Fcst Growth Snaive</t>
        </is>
      </c>
    </row>
    <row r="1488">
      <c r="A1488" s="1" t="n">
        <v>4064941006985</v>
      </c>
      <c r="B1488" t="inlineStr">
        <is>
          <t>KJ MU V LIQ K MLTLPK 3ML 1.1G CHARM IV</t>
        </is>
      </c>
      <c r="C1488" t="inlineStr">
        <is>
          <t>P_US_ALL_OTHERS</t>
        </is>
      </c>
      <c r="D1488" t="inlineStr">
        <is>
          <t>Stat Fcst Growth AOA</t>
        </is>
      </c>
    </row>
    <row r="1489">
      <c r="A1489" s="1" t="n">
        <v>4064941006985</v>
      </c>
      <c r="B1489" t="inlineStr">
        <is>
          <t>KJ MU V LIQ K MLTLPK 3ML 1.1G CHARM IV</t>
        </is>
      </c>
      <c r="C1489" t="inlineStr">
        <is>
          <t>P_US_ALL_OTHERS</t>
        </is>
      </c>
      <c r="D1489" t="inlineStr">
        <is>
          <t>System Stat Fcst Bestfit</t>
        </is>
      </c>
      <c r="H1489" t="n">
        <v>73.81278008780529</v>
      </c>
      <c r="I1489" t="n">
        <v>119.977456033061</v>
      </c>
      <c r="J1489" t="n">
        <v>134.309459498242</v>
      </c>
      <c r="K1489" t="n">
        <v>47.9999947547913</v>
      </c>
      <c r="L1489" t="n">
        <v>117.003639221191</v>
      </c>
      <c r="M1489" t="n">
        <v>146.450297759464</v>
      </c>
      <c r="N1489" t="n">
        <v>80.57154966252369</v>
      </c>
      <c r="O1489" t="n">
        <v>155.267817638283</v>
      </c>
      <c r="P1489" t="n">
        <v>50.0687183295839</v>
      </c>
    </row>
    <row r="1490">
      <c r="A1490" s="1" t="n">
        <v>4064941006985</v>
      </c>
      <c r="B1490" t="inlineStr">
        <is>
          <t>KJ MU V LIQ K MLTLPK 3ML 1.1G CHARM IV</t>
        </is>
      </c>
      <c r="C1490" t="inlineStr">
        <is>
          <t>P_US_ULTA</t>
        </is>
      </c>
      <c r="D1490" t="inlineStr">
        <is>
          <t>Stat Fcst L1</t>
        </is>
      </c>
      <c r="E1490" t="n">
        <v>523.999984383583</v>
      </c>
      <c r="F1490" t="n">
        <v>684.9999795854091</v>
      </c>
      <c r="G1490" t="n">
        <v>1260</v>
      </c>
      <c r="H1490" t="n">
        <v>1285</v>
      </c>
      <c r="I1490" t="n">
        <v>960</v>
      </c>
      <c r="J1490" t="n">
        <v>1346</v>
      </c>
      <c r="K1490" t="n">
        <v>1041</v>
      </c>
      <c r="L1490" t="n">
        <v>2120</v>
      </c>
      <c r="M1490" t="n">
        <v>1169</v>
      </c>
      <c r="N1490" t="n">
        <v>693</v>
      </c>
      <c r="O1490" t="n">
        <v>2054</v>
      </c>
      <c r="P1490" t="n">
        <v>883</v>
      </c>
    </row>
    <row r="1491">
      <c r="A1491" s="1" t="n">
        <v>4064941006985</v>
      </c>
      <c r="B1491" t="inlineStr">
        <is>
          <t>KJ MU V LIQ K MLTLPK 3ML 1.1G CHARM IV</t>
        </is>
      </c>
      <c r="C1491" t="inlineStr">
        <is>
          <t>P_US_ULTA</t>
        </is>
      </c>
      <c r="D1491" t="inlineStr">
        <is>
          <t>Stat Fcst AR-NNET</t>
        </is>
      </c>
    </row>
    <row r="1492">
      <c r="A1492" s="1" t="n">
        <v>4064941006985</v>
      </c>
      <c r="B1492" t="inlineStr">
        <is>
          <t>KJ MU V LIQ K MLTLPK 3ML 1.1G CHARM IV</t>
        </is>
      </c>
      <c r="C1492" t="inlineStr">
        <is>
          <t>P_US_ULTA</t>
        </is>
      </c>
      <c r="D1492" t="inlineStr">
        <is>
          <t>Stat Fcst Auto ARIMA</t>
        </is>
      </c>
    </row>
    <row r="1493">
      <c r="A1493" s="1" t="n">
        <v>4064941006985</v>
      </c>
      <c r="B1493" t="inlineStr">
        <is>
          <t>KJ MU V LIQ K MLTLPK 3ML 1.1G CHARM IV</t>
        </is>
      </c>
      <c r="C1493" t="inlineStr">
        <is>
          <t>P_US_ULTA</t>
        </is>
      </c>
      <c r="D1493" t="inlineStr">
        <is>
          <t>Stat Fcst Croston</t>
        </is>
      </c>
    </row>
    <row r="1494">
      <c r="A1494" s="1" t="n">
        <v>4064941006985</v>
      </c>
      <c r="B1494" t="inlineStr">
        <is>
          <t>KJ MU V LIQ K MLTLPK 3ML 1.1G CHARM IV</t>
        </is>
      </c>
      <c r="C1494" t="inlineStr">
        <is>
          <t>P_US_ULTA</t>
        </is>
      </c>
      <c r="D1494" t="inlineStr">
        <is>
          <t>Stat Fcst DES</t>
        </is>
      </c>
    </row>
    <row r="1495">
      <c r="A1495" s="1" t="n">
        <v>4064941006985</v>
      </c>
      <c r="B1495" t="inlineStr">
        <is>
          <t>KJ MU V LIQ K MLTLPK 3ML 1.1G CHARM IV</t>
        </is>
      </c>
      <c r="C1495" t="inlineStr">
        <is>
          <t>P_US_ULTA</t>
        </is>
      </c>
      <c r="D1495" t="inlineStr">
        <is>
          <t>Stat Fcst ETS</t>
        </is>
      </c>
    </row>
    <row r="1496">
      <c r="A1496" s="1" t="n">
        <v>4064941006985</v>
      </c>
      <c r="B1496" t="inlineStr">
        <is>
          <t>KJ MU V LIQ K MLTLPK 3ML 1.1G CHARM IV</t>
        </is>
      </c>
      <c r="C1496" t="inlineStr">
        <is>
          <t>P_US_ULTA</t>
        </is>
      </c>
      <c r="D1496" t="inlineStr">
        <is>
          <t>Stat Fcst Moving Average</t>
        </is>
      </c>
    </row>
    <row r="1497">
      <c r="A1497" s="1" t="n">
        <v>4064941006985</v>
      </c>
      <c r="B1497" t="inlineStr">
        <is>
          <t>KJ MU V LIQ K MLTLPK 3ML 1.1G CHARM IV</t>
        </is>
      </c>
      <c r="C1497" t="inlineStr">
        <is>
          <t>P_US_ULTA</t>
        </is>
      </c>
      <c r="D1497" t="inlineStr">
        <is>
          <t>Stat Fcst Naive Random Walk</t>
        </is>
      </c>
    </row>
    <row r="1498">
      <c r="A1498" s="1" t="n">
        <v>4064941006985</v>
      </c>
      <c r="B1498" t="inlineStr">
        <is>
          <t>KJ MU V LIQ K MLTLPK 3ML 1.1G CHARM IV</t>
        </is>
      </c>
      <c r="C1498" t="inlineStr">
        <is>
          <t>P_US_ULTA</t>
        </is>
      </c>
      <c r="D1498" t="inlineStr">
        <is>
          <t>Stat Fcst Prophet</t>
        </is>
      </c>
    </row>
    <row r="1499">
      <c r="A1499" s="1" t="n">
        <v>4064941006985</v>
      </c>
      <c r="B1499" t="inlineStr">
        <is>
          <t>KJ MU V LIQ K MLTLPK 3ML 1.1G CHARM IV</t>
        </is>
      </c>
      <c r="C1499" t="inlineStr">
        <is>
          <t>P_US_ULTA</t>
        </is>
      </c>
      <c r="D1499" t="inlineStr">
        <is>
          <t>Stat Fcst sARIMA</t>
        </is>
      </c>
    </row>
    <row r="1500">
      <c r="A1500" s="1" t="n">
        <v>4064941006985</v>
      </c>
      <c r="B1500" t="inlineStr">
        <is>
          <t>KJ MU V LIQ K MLTLPK 3ML 1.1G CHARM IV</t>
        </is>
      </c>
      <c r="C1500" t="inlineStr">
        <is>
          <t>P_US_ULTA</t>
        </is>
      </c>
      <c r="D1500" t="inlineStr">
        <is>
          <t>Stat Fcst Seasonal Naive YoY</t>
        </is>
      </c>
    </row>
    <row r="1501">
      <c r="A1501" s="1" t="n">
        <v>4064941006985</v>
      </c>
      <c r="B1501" t="inlineStr">
        <is>
          <t>KJ MU V LIQ K MLTLPK 3ML 1.1G CHARM IV</t>
        </is>
      </c>
      <c r="C1501" t="inlineStr">
        <is>
          <t>P_US_ULTA</t>
        </is>
      </c>
      <c r="D1501" t="inlineStr">
        <is>
          <t>Stat Fcst SES</t>
        </is>
      </c>
    </row>
    <row r="1502">
      <c r="A1502" s="1" t="n">
        <v>4064941006985</v>
      </c>
      <c r="B1502" t="inlineStr">
        <is>
          <t>KJ MU V LIQ K MLTLPK 3ML 1.1G CHARM IV</t>
        </is>
      </c>
      <c r="C1502" t="inlineStr">
        <is>
          <t>P_US_ULTA</t>
        </is>
      </c>
      <c r="D1502" t="inlineStr">
        <is>
          <t>Stat Fcst STLF</t>
        </is>
      </c>
      <c r="E1502" t="n">
        <v>2698.80707467303</v>
      </c>
      <c r="F1502" t="n">
        <v>807.931117307105</v>
      </c>
      <c r="G1502" t="n">
        <v>247.731893506425</v>
      </c>
      <c r="H1502" t="n">
        <v>331.321805041818</v>
      </c>
      <c r="I1502" t="n">
        <v>807.1747415315619</v>
      </c>
      <c r="J1502" t="n">
        <v>562.507908817489</v>
      </c>
      <c r="K1502" t="n">
        <v>0</v>
      </c>
      <c r="L1502" t="n">
        <v>0</v>
      </c>
      <c r="M1502" t="n">
        <v>0</v>
      </c>
      <c r="N1502" t="n">
        <v>0</v>
      </c>
      <c r="O1502" t="n">
        <v>712.444213760921</v>
      </c>
      <c r="P1502" t="n">
        <v>0</v>
      </c>
    </row>
    <row r="1503">
      <c r="A1503" s="1" t="n">
        <v>4064941006985</v>
      </c>
      <c r="B1503" t="inlineStr">
        <is>
          <t>KJ MU V LIQ K MLTLPK 3ML 1.1G CHARM IV</t>
        </is>
      </c>
      <c r="C1503" t="inlineStr">
        <is>
          <t>P_US_ULTA</t>
        </is>
      </c>
      <c r="D1503" t="inlineStr">
        <is>
          <t>Stat Fcst TBATS</t>
        </is>
      </c>
    </row>
    <row r="1504">
      <c r="A1504" s="1" t="n">
        <v>4064941006985</v>
      </c>
      <c r="B1504" t="inlineStr">
        <is>
          <t>KJ MU V LIQ K MLTLPK 3ML 1.1G CHARM IV</t>
        </is>
      </c>
      <c r="C1504" t="inlineStr">
        <is>
          <t>P_US_ULTA</t>
        </is>
      </c>
      <c r="D1504" t="inlineStr">
        <is>
          <t>Stat Fcst TES</t>
        </is>
      </c>
      <c r="E1504" t="n">
        <v>2058.83762569597</v>
      </c>
      <c r="F1504" t="n">
        <v>951.327813189837</v>
      </c>
      <c r="G1504" t="n">
        <v>1057.88374922786</v>
      </c>
      <c r="H1504" t="n">
        <v>1286.33042773003</v>
      </c>
      <c r="I1504" t="n">
        <v>958.11729943315</v>
      </c>
      <c r="J1504" t="n">
        <v>1344.86880820386</v>
      </c>
      <c r="K1504" t="n">
        <v>1038.76225024329</v>
      </c>
      <c r="L1504" t="n">
        <v>2120.36982320346</v>
      </c>
      <c r="M1504" t="n">
        <v>1167.29674249569</v>
      </c>
      <c r="N1504" t="n">
        <v>692.223921450079</v>
      </c>
      <c r="O1504" t="n">
        <v>2053.24021235002</v>
      </c>
      <c r="P1504" t="n">
        <v>884.027738036369</v>
      </c>
    </row>
    <row r="1505">
      <c r="A1505" s="1" t="n">
        <v>4064941006985</v>
      </c>
      <c r="B1505" t="inlineStr">
        <is>
          <t>KJ MU V LIQ K MLTLPK 3ML 1.1G CHARM IV</t>
        </is>
      </c>
      <c r="C1505" t="inlineStr">
        <is>
          <t>P_US_ULTA</t>
        </is>
      </c>
      <c r="D1505" t="inlineStr">
        <is>
          <t>Stat Fcst Theta</t>
        </is>
      </c>
    </row>
    <row r="1506">
      <c r="A1506" s="1" t="n">
        <v>4064941006985</v>
      </c>
      <c r="B1506" t="inlineStr">
        <is>
          <t>KJ MU V LIQ K MLTLPK 3ML 1.1G CHARM IV</t>
        </is>
      </c>
      <c r="C1506" t="inlineStr">
        <is>
          <t>P_US_ULTA</t>
        </is>
      </c>
      <c r="D1506" t="inlineStr">
        <is>
          <t>System ML Fcst L1</t>
        </is>
      </c>
    </row>
    <row r="1507">
      <c r="A1507" s="1" t="n">
        <v>4064941006985</v>
      </c>
      <c r="B1507" t="inlineStr">
        <is>
          <t>KJ MU V LIQ K MLTLPK 3ML 1.1G CHARM IV</t>
        </is>
      </c>
      <c r="C1507" t="inlineStr">
        <is>
          <t>P_US_ULTA</t>
        </is>
      </c>
      <c r="D1507" t="inlineStr">
        <is>
          <t>Stat Fcst Simple Snaive</t>
        </is>
      </c>
      <c r="E1507" t="n">
        <v>2095.99987649917</v>
      </c>
      <c r="F1507" t="n">
        <v>587.999982476234</v>
      </c>
      <c r="G1507" t="n">
        <v>1568.00001168251</v>
      </c>
      <c r="H1507" t="n">
        <v>527.666628052791</v>
      </c>
      <c r="I1507" t="n">
        <v>997.0000074282279</v>
      </c>
      <c r="J1507" t="n">
        <v>1153.33327861627</v>
      </c>
      <c r="K1507" t="n">
        <v>575.666639337937</v>
      </c>
      <c r="L1507" t="n">
        <v>835.333333333333</v>
      </c>
      <c r="M1507" t="n">
        <v>1070.33330143491</v>
      </c>
      <c r="N1507" t="n">
        <v>1041.3333488504</v>
      </c>
      <c r="O1507" t="n">
        <v>3499.18023425796</v>
      </c>
      <c r="P1507" t="n">
        <v>1133.66667511314</v>
      </c>
    </row>
    <row r="1508">
      <c r="A1508" s="1" t="n">
        <v>4064941006985</v>
      </c>
      <c r="B1508" t="inlineStr">
        <is>
          <t>KJ MU V LIQ K MLTLPK 3ML 1.1G CHARM IV</t>
        </is>
      </c>
      <c r="C1508" t="inlineStr">
        <is>
          <t>P_US_ULTA</t>
        </is>
      </c>
      <c r="D1508" t="inlineStr">
        <is>
          <t>Stat Fcst Simple AOA</t>
        </is>
      </c>
    </row>
    <row r="1509">
      <c r="A1509" s="1" t="n">
        <v>4064941006985</v>
      </c>
      <c r="B1509" t="inlineStr">
        <is>
          <t>KJ MU V LIQ K MLTLPK 3ML 1.1G CHARM IV</t>
        </is>
      </c>
      <c r="C1509" t="inlineStr">
        <is>
          <t>P_US_ULTA</t>
        </is>
      </c>
      <c r="D1509" t="inlineStr">
        <is>
          <t>Stat Fcst Weighted Snaive</t>
        </is>
      </c>
    </row>
    <row r="1510">
      <c r="A1510" s="1" t="n">
        <v>4064941006985</v>
      </c>
      <c r="B1510" t="inlineStr">
        <is>
          <t>KJ MU V LIQ K MLTLPK 3ML 1.1G CHARM IV</t>
        </is>
      </c>
      <c r="C1510" t="inlineStr">
        <is>
          <t>P_US_ULTA</t>
        </is>
      </c>
      <c r="D1510" t="inlineStr">
        <is>
          <t>Stat Fcst Weighted AOA</t>
        </is>
      </c>
    </row>
    <row r="1511">
      <c r="A1511" s="1" t="n">
        <v>4064941006985</v>
      </c>
      <c r="B1511" t="inlineStr">
        <is>
          <t>KJ MU V LIQ K MLTLPK 3ML 1.1G CHARM IV</t>
        </is>
      </c>
      <c r="C1511" t="inlineStr">
        <is>
          <t>P_US_ULTA</t>
        </is>
      </c>
      <c r="D1511" t="inlineStr">
        <is>
          <t>Stat Fcst Growth Snaive</t>
        </is>
      </c>
    </row>
    <row r="1512">
      <c r="A1512" s="1" t="n">
        <v>4064941006985</v>
      </c>
      <c r="B1512" t="inlineStr">
        <is>
          <t>KJ MU V LIQ K MLTLPK 3ML 1.1G CHARM IV</t>
        </is>
      </c>
      <c r="C1512" t="inlineStr">
        <is>
          <t>P_US_ULTA</t>
        </is>
      </c>
      <c r="D1512" t="inlineStr">
        <is>
          <t>Stat Fcst Growth AOA</t>
        </is>
      </c>
    </row>
    <row r="1513">
      <c r="A1513" s="1" t="n">
        <v>4064941006985</v>
      </c>
      <c r="B1513" t="inlineStr">
        <is>
          <t>KJ MU V LIQ K MLTLPK 3ML 1.1G CHARM IV</t>
        </is>
      </c>
      <c r="C1513" t="inlineStr">
        <is>
          <t>P_US_ULTA</t>
        </is>
      </c>
      <c r="D1513" t="inlineStr">
        <is>
          <t>System Stat Fcst Bestfit</t>
        </is>
      </c>
      <c r="H1513" t="n">
        <v>1286.3304060003</v>
      </c>
      <c r="I1513" t="n">
        <v>958.1173167088421</v>
      </c>
      <c r="J1513" t="n">
        <v>1344.86873433384</v>
      </c>
      <c r="K1513" t="n">
        <v>1038.76217607372</v>
      </c>
      <c r="L1513" t="n">
        <v>2120.36987304687</v>
      </c>
      <c r="M1513" t="n">
        <v>1167.29671814153</v>
      </c>
      <c r="N1513" t="n">
        <v>692.2239483032211</v>
      </c>
      <c r="O1513" t="n">
        <v>2053.24017318367</v>
      </c>
      <c r="P1513" t="n">
        <v>884.027716547457</v>
      </c>
    </row>
    <row r="1514">
      <c r="A1514" s="1" t="n">
        <v>4064941006992</v>
      </c>
      <c r="B1514" t="inlineStr">
        <is>
          <t>KJ MU V LIQ K MLTLPK 3ML 1.1G BARE IV</t>
        </is>
      </c>
      <c r="C1514" t="inlineStr">
        <is>
          <t>P_US_ALL_OTHERS</t>
        </is>
      </c>
      <c r="D1514" t="inlineStr">
        <is>
          <t>Stat Fcst L1</t>
        </is>
      </c>
      <c r="E1514" t="n">
        <v>82.9999975264072</v>
      </c>
      <c r="F1514" t="n">
        <v>114.999996572732</v>
      </c>
      <c r="G1514" t="n">
        <v>124</v>
      </c>
      <c r="H1514" t="n">
        <v>127</v>
      </c>
      <c r="I1514" t="n">
        <v>108</v>
      </c>
      <c r="J1514" t="n">
        <v>111</v>
      </c>
      <c r="K1514" t="n">
        <v>53</v>
      </c>
      <c r="L1514" t="n">
        <v>136</v>
      </c>
      <c r="M1514" t="n">
        <v>84</v>
      </c>
      <c r="N1514" t="n">
        <v>60</v>
      </c>
      <c r="O1514" t="n">
        <v>142</v>
      </c>
      <c r="P1514" t="n">
        <v>48</v>
      </c>
    </row>
    <row r="1515">
      <c r="A1515" s="1" t="n">
        <v>4064941006992</v>
      </c>
      <c r="B1515" t="inlineStr">
        <is>
          <t>KJ MU V LIQ K MLTLPK 3ML 1.1G BARE IV</t>
        </is>
      </c>
      <c r="C1515" t="inlineStr">
        <is>
          <t>P_US_ALL_OTHERS</t>
        </is>
      </c>
      <c r="D1515" t="inlineStr">
        <is>
          <t>Stat Fcst AR-NNET</t>
        </is>
      </c>
    </row>
    <row r="1516">
      <c r="A1516" s="1" t="n">
        <v>4064941006992</v>
      </c>
      <c r="B1516" t="inlineStr">
        <is>
          <t>KJ MU V LIQ K MLTLPK 3ML 1.1G BARE IV</t>
        </is>
      </c>
      <c r="C1516" t="inlineStr">
        <is>
          <t>P_US_ALL_OTHERS</t>
        </is>
      </c>
      <c r="D1516" t="inlineStr">
        <is>
          <t>Stat Fcst Auto ARIMA</t>
        </is>
      </c>
    </row>
    <row r="1517">
      <c r="A1517" s="1" t="n">
        <v>4064941006992</v>
      </c>
      <c r="B1517" t="inlineStr">
        <is>
          <t>KJ MU V LIQ K MLTLPK 3ML 1.1G BARE IV</t>
        </is>
      </c>
      <c r="C1517" t="inlineStr">
        <is>
          <t>P_US_ALL_OTHERS</t>
        </is>
      </c>
      <c r="D1517" t="inlineStr">
        <is>
          <t>Stat Fcst Croston</t>
        </is>
      </c>
    </row>
    <row r="1518">
      <c r="A1518" s="1" t="n">
        <v>4064941006992</v>
      </c>
      <c r="B1518" t="inlineStr">
        <is>
          <t>KJ MU V LIQ K MLTLPK 3ML 1.1G BARE IV</t>
        </is>
      </c>
      <c r="C1518" t="inlineStr">
        <is>
          <t>P_US_ALL_OTHERS</t>
        </is>
      </c>
      <c r="D1518" t="inlineStr">
        <is>
          <t>Stat Fcst DES</t>
        </is>
      </c>
    </row>
    <row r="1519">
      <c r="A1519" s="1" t="n">
        <v>4064941006992</v>
      </c>
      <c r="B1519" t="inlineStr">
        <is>
          <t>KJ MU V LIQ K MLTLPK 3ML 1.1G BARE IV</t>
        </is>
      </c>
      <c r="C1519" t="inlineStr">
        <is>
          <t>P_US_ALL_OTHERS</t>
        </is>
      </c>
      <c r="D1519" t="inlineStr">
        <is>
          <t>Stat Fcst ETS</t>
        </is>
      </c>
    </row>
    <row r="1520">
      <c r="A1520" s="1" t="n">
        <v>4064941006992</v>
      </c>
      <c r="B1520" t="inlineStr">
        <is>
          <t>KJ MU V LIQ K MLTLPK 3ML 1.1G BARE IV</t>
        </is>
      </c>
      <c r="C1520" t="inlineStr">
        <is>
          <t>P_US_ALL_OTHERS</t>
        </is>
      </c>
      <c r="D1520" t="inlineStr">
        <is>
          <t>Stat Fcst Moving Average</t>
        </is>
      </c>
    </row>
    <row r="1521">
      <c r="A1521" s="1" t="n">
        <v>4064941006992</v>
      </c>
      <c r="B1521" t="inlineStr">
        <is>
          <t>KJ MU V LIQ K MLTLPK 3ML 1.1G BARE IV</t>
        </is>
      </c>
      <c r="C1521" t="inlineStr">
        <is>
          <t>P_US_ALL_OTHERS</t>
        </is>
      </c>
      <c r="D1521" t="inlineStr">
        <is>
          <t>Stat Fcst Naive Random Walk</t>
        </is>
      </c>
    </row>
    <row r="1522">
      <c r="A1522" s="1" t="n">
        <v>4064941006992</v>
      </c>
      <c r="B1522" t="inlineStr">
        <is>
          <t>KJ MU V LIQ K MLTLPK 3ML 1.1G BARE IV</t>
        </is>
      </c>
      <c r="C1522" t="inlineStr">
        <is>
          <t>P_US_ALL_OTHERS</t>
        </is>
      </c>
      <c r="D1522" t="inlineStr">
        <is>
          <t>Stat Fcst Prophet</t>
        </is>
      </c>
    </row>
    <row r="1523">
      <c r="A1523" s="1" t="n">
        <v>4064941006992</v>
      </c>
      <c r="B1523" t="inlineStr">
        <is>
          <t>KJ MU V LIQ K MLTLPK 3ML 1.1G BARE IV</t>
        </is>
      </c>
      <c r="C1523" t="inlineStr">
        <is>
          <t>P_US_ALL_OTHERS</t>
        </is>
      </c>
      <c r="D1523" t="inlineStr">
        <is>
          <t>Stat Fcst sARIMA</t>
        </is>
      </c>
    </row>
    <row r="1524">
      <c r="A1524" s="1" t="n">
        <v>4064941006992</v>
      </c>
      <c r="B1524" t="inlineStr">
        <is>
          <t>KJ MU V LIQ K MLTLPK 3ML 1.1G BARE IV</t>
        </is>
      </c>
      <c r="C1524" t="inlineStr">
        <is>
          <t>P_US_ALL_OTHERS</t>
        </is>
      </c>
      <c r="D1524" t="inlineStr">
        <is>
          <t>Stat Fcst Seasonal Naive YoY</t>
        </is>
      </c>
    </row>
    <row r="1525">
      <c r="A1525" s="1" t="n">
        <v>4064941006992</v>
      </c>
      <c r="B1525" t="inlineStr">
        <is>
          <t>KJ MU V LIQ K MLTLPK 3ML 1.1G BARE IV</t>
        </is>
      </c>
      <c r="C1525" t="inlineStr">
        <is>
          <t>P_US_ALL_OTHERS</t>
        </is>
      </c>
      <c r="D1525" t="inlineStr">
        <is>
          <t>Stat Fcst SES</t>
        </is>
      </c>
    </row>
    <row r="1526">
      <c r="A1526" s="1" t="n">
        <v>4064941006992</v>
      </c>
      <c r="B1526" t="inlineStr">
        <is>
          <t>KJ MU V LIQ K MLTLPK 3ML 1.1G BARE IV</t>
        </is>
      </c>
      <c r="C1526" t="inlineStr">
        <is>
          <t>P_US_ALL_OTHERS</t>
        </is>
      </c>
      <c r="D1526" t="inlineStr">
        <is>
          <t>Stat Fcst STLF</t>
        </is>
      </c>
      <c r="E1526" t="n">
        <v>96.58013570280831</v>
      </c>
      <c r="F1526" t="n">
        <v>164.831905395046</v>
      </c>
      <c r="G1526" t="n">
        <v>143.535245676308</v>
      </c>
      <c r="H1526" t="n">
        <v>85.37955754870499</v>
      </c>
      <c r="I1526" t="n">
        <v>52.4844228715347</v>
      </c>
      <c r="J1526" t="n">
        <v>108.361255626507</v>
      </c>
      <c r="K1526" t="n">
        <v>54.1889559844835</v>
      </c>
      <c r="L1526" t="n">
        <v>168.038799162718</v>
      </c>
      <c r="M1526" t="n">
        <v>80.06498414962959</v>
      </c>
      <c r="N1526" t="n">
        <v>82.1744216347376</v>
      </c>
      <c r="O1526" t="n">
        <v>82.3795224159383</v>
      </c>
      <c r="P1526" t="n">
        <v>49.0000003650784</v>
      </c>
    </row>
    <row r="1527">
      <c r="A1527" s="1" t="n">
        <v>4064941006992</v>
      </c>
      <c r="B1527" t="inlineStr">
        <is>
          <t>KJ MU V LIQ K MLTLPK 3ML 1.1G BARE IV</t>
        </is>
      </c>
      <c r="C1527" t="inlineStr">
        <is>
          <t>P_US_ALL_OTHERS</t>
        </is>
      </c>
      <c r="D1527" t="inlineStr">
        <is>
          <t>Stat Fcst TBATS</t>
        </is>
      </c>
    </row>
    <row r="1528">
      <c r="A1528" s="1" t="n">
        <v>4064941006992</v>
      </c>
      <c r="B1528" t="inlineStr">
        <is>
          <t>KJ MU V LIQ K MLTLPK 3ML 1.1G BARE IV</t>
        </is>
      </c>
      <c r="C1528" t="inlineStr">
        <is>
          <t>P_US_ALL_OTHERS</t>
        </is>
      </c>
      <c r="D1528" t="inlineStr">
        <is>
          <t>Stat Fcst TES</t>
        </is>
      </c>
      <c r="E1528" t="n">
        <v>96.58225694050989</v>
      </c>
      <c r="F1528" t="n">
        <v>144.343186023836</v>
      </c>
      <c r="G1528" t="n">
        <v>120.523544762969</v>
      </c>
      <c r="H1528" t="n">
        <v>126.29073917861</v>
      </c>
      <c r="I1528" t="n">
        <v>105.172056684988</v>
      </c>
      <c r="J1528" t="n">
        <v>112.304820274002</v>
      </c>
      <c r="K1528" t="n">
        <v>54.7169895811813</v>
      </c>
      <c r="L1528" t="n">
        <v>137.329937321067</v>
      </c>
      <c r="M1528" t="n">
        <v>85.1187284540603</v>
      </c>
      <c r="N1528" t="n">
        <v>60.9717733364031</v>
      </c>
      <c r="O1528" t="n">
        <v>141.684333133972</v>
      </c>
      <c r="P1528" t="n">
        <v>49.0000003650784</v>
      </c>
    </row>
    <row r="1529">
      <c r="A1529" s="1" t="n">
        <v>4064941006992</v>
      </c>
      <c r="B1529" t="inlineStr">
        <is>
          <t>KJ MU V LIQ K MLTLPK 3ML 1.1G BARE IV</t>
        </is>
      </c>
      <c r="C1529" t="inlineStr">
        <is>
          <t>P_US_ALL_OTHERS</t>
        </is>
      </c>
      <c r="D1529" t="inlineStr">
        <is>
          <t>Stat Fcst Theta</t>
        </is>
      </c>
    </row>
    <row r="1530">
      <c r="A1530" s="1" t="n">
        <v>4064941006992</v>
      </c>
      <c r="B1530" t="inlineStr">
        <is>
          <t>KJ MU V LIQ K MLTLPK 3ML 1.1G BARE IV</t>
        </is>
      </c>
      <c r="C1530" t="inlineStr">
        <is>
          <t>P_US_ALL_OTHERS</t>
        </is>
      </c>
      <c r="D1530" t="inlineStr">
        <is>
          <t>System ML Fcst L1</t>
        </is>
      </c>
    </row>
    <row r="1531">
      <c r="A1531" s="1" t="n">
        <v>4064941006992</v>
      </c>
      <c r="B1531" t="inlineStr">
        <is>
          <t>KJ MU V LIQ K MLTLPK 3ML 1.1G BARE IV</t>
        </is>
      </c>
      <c r="C1531" t="inlineStr">
        <is>
          <t>P_US_ALL_OTHERS</t>
        </is>
      </c>
      <c r="D1531" t="inlineStr">
        <is>
          <t>Stat Fcst Simple Snaive</t>
        </is>
      </c>
      <c r="E1531" t="n">
        <v>110.499989077449</v>
      </c>
      <c r="F1531" t="n">
        <v>160.999995201826</v>
      </c>
      <c r="G1531" t="n">
        <v>192.781241263806</v>
      </c>
      <c r="H1531" t="n">
        <v>192.999986618757</v>
      </c>
      <c r="I1531" t="n">
        <v>165.000001229345</v>
      </c>
      <c r="J1531" t="n">
        <v>165.999992509683</v>
      </c>
      <c r="K1531" t="n">
        <v>102.666663606961</v>
      </c>
      <c r="L1531" t="n">
        <v>180.333333333333</v>
      </c>
      <c r="M1531" t="n">
        <v>123.666659166415</v>
      </c>
      <c r="N1531" t="n">
        <v>95.33333475391061</v>
      </c>
      <c r="O1531" t="n">
        <v>172.333323111136</v>
      </c>
      <c r="P1531" t="n">
        <v>67.0000004991889</v>
      </c>
    </row>
    <row r="1532">
      <c r="A1532" s="1" t="n">
        <v>4064941006992</v>
      </c>
      <c r="B1532" t="inlineStr">
        <is>
          <t>KJ MU V LIQ K MLTLPK 3ML 1.1G BARE IV</t>
        </is>
      </c>
      <c r="C1532" t="inlineStr">
        <is>
          <t>P_US_ALL_OTHERS</t>
        </is>
      </c>
      <c r="D1532" t="inlineStr">
        <is>
          <t>Stat Fcst Simple AOA</t>
        </is>
      </c>
    </row>
    <row r="1533">
      <c r="A1533" s="1" t="n">
        <v>4064941006992</v>
      </c>
      <c r="B1533" t="inlineStr">
        <is>
          <t>KJ MU V LIQ K MLTLPK 3ML 1.1G BARE IV</t>
        </is>
      </c>
      <c r="C1533" t="inlineStr">
        <is>
          <t>P_US_ALL_OTHERS</t>
        </is>
      </c>
      <c r="D1533" t="inlineStr">
        <is>
          <t>Stat Fcst Weighted Snaive</t>
        </is>
      </c>
    </row>
    <row r="1534">
      <c r="A1534" s="1" t="n">
        <v>4064941006992</v>
      </c>
      <c r="B1534" t="inlineStr">
        <is>
          <t>KJ MU V LIQ K MLTLPK 3ML 1.1G BARE IV</t>
        </is>
      </c>
      <c r="C1534" t="inlineStr">
        <is>
          <t>P_US_ALL_OTHERS</t>
        </is>
      </c>
      <c r="D1534" t="inlineStr">
        <is>
          <t>Stat Fcst Weighted AOA</t>
        </is>
      </c>
    </row>
    <row r="1535">
      <c r="A1535" s="1" t="n">
        <v>4064941006992</v>
      </c>
      <c r="B1535" t="inlineStr">
        <is>
          <t>KJ MU V LIQ K MLTLPK 3ML 1.1G BARE IV</t>
        </is>
      </c>
      <c r="C1535" t="inlineStr">
        <is>
          <t>P_US_ALL_OTHERS</t>
        </is>
      </c>
      <c r="D1535" t="inlineStr">
        <is>
          <t>Stat Fcst Growth Snaive</t>
        </is>
      </c>
    </row>
    <row r="1536">
      <c r="A1536" s="1" t="n">
        <v>4064941006992</v>
      </c>
      <c r="B1536" t="inlineStr">
        <is>
          <t>KJ MU V LIQ K MLTLPK 3ML 1.1G BARE IV</t>
        </is>
      </c>
      <c r="C1536" t="inlineStr">
        <is>
          <t>P_US_ALL_OTHERS</t>
        </is>
      </c>
      <c r="D1536" t="inlineStr">
        <is>
          <t>Stat Fcst Growth AOA</t>
        </is>
      </c>
    </row>
    <row r="1537">
      <c r="A1537" s="1" t="n">
        <v>4064941006992</v>
      </c>
      <c r="B1537" t="inlineStr">
        <is>
          <t>KJ MU V LIQ K MLTLPK 3ML 1.1G BARE IV</t>
        </is>
      </c>
      <c r="C1537" t="inlineStr">
        <is>
          <t>P_US_ALL_OTHERS</t>
        </is>
      </c>
      <c r="D1537" t="inlineStr">
        <is>
          <t>System Stat Fcst Bestfit</t>
        </is>
      </c>
      <c r="H1537" t="n">
        <v>126.290737203039</v>
      </c>
      <c r="I1537" t="n">
        <v>105.172058889061</v>
      </c>
      <c r="J1537" t="n">
        <v>112.304821482156</v>
      </c>
      <c r="K1537" t="n">
        <v>54.7169897938671</v>
      </c>
      <c r="L1537" t="n">
        <v>137.329940795898</v>
      </c>
      <c r="M1537" t="n">
        <v>85.11872610095951</v>
      </c>
      <c r="N1537" t="n">
        <v>60.9717721487845</v>
      </c>
      <c r="O1537" t="n">
        <v>141.684321949353</v>
      </c>
      <c r="P1537" t="n">
        <v>49.0000003650784</v>
      </c>
    </row>
    <row r="1538">
      <c r="A1538" s="1" t="n">
        <v>4064941006992</v>
      </c>
      <c r="B1538" t="inlineStr">
        <is>
          <t>KJ MU V LIQ K MLTLPK 3ML 1.1G BARE IV</t>
        </is>
      </c>
      <c r="C1538" t="inlineStr">
        <is>
          <t>P_US_ULTA</t>
        </is>
      </c>
      <c r="D1538" t="inlineStr">
        <is>
          <t>Stat Fcst L1</t>
        </is>
      </c>
      <c r="E1538" t="n">
        <v>538.999983936548</v>
      </c>
      <c r="F1538" t="n">
        <v>565.999983131885</v>
      </c>
      <c r="G1538" t="n">
        <v>2121</v>
      </c>
      <c r="H1538" t="n">
        <v>682</v>
      </c>
      <c r="I1538" t="n">
        <v>956</v>
      </c>
      <c r="J1538" t="n">
        <v>1671</v>
      </c>
      <c r="K1538" t="n">
        <v>655</v>
      </c>
      <c r="L1538" t="n">
        <v>412</v>
      </c>
      <c r="M1538" t="n">
        <v>633</v>
      </c>
      <c r="N1538" t="n">
        <v>802</v>
      </c>
      <c r="O1538" t="n">
        <v>1842</v>
      </c>
      <c r="P1538" t="n">
        <v>900</v>
      </c>
    </row>
    <row r="1539">
      <c r="A1539" s="1" t="n">
        <v>4064941006992</v>
      </c>
      <c r="B1539" t="inlineStr">
        <is>
          <t>KJ MU V LIQ K MLTLPK 3ML 1.1G BARE IV</t>
        </is>
      </c>
      <c r="C1539" t="inlineStr">
        <is>
          <t>P_US_ULTA</t>
        </is>
      </c>
      <c r="D1539" t="inlineStr">
        <is>
          <t>Stat Fcst AR-NNET</t>
        </is>
      </c>
    </row>
    <row r="1540">
      <c r="A1540" s="1" t="n">
        <v>4064941006992</v>
      </c>
      <c r="B1540" t="inlineStr">
        <is>
          <t>KJ MU V LIQ K MLTLPK 3ML 1.1G BARE IV</t>
        </is>
      </c>
      <c r="C1540" t="inlineStr">
        <is>
          <t>P_US_ULTA</t>
        </is>
      </c>
      <c r="D1540" t="inlineStr">
        <is>
          <t>Stat Fcst Auto ARIMA</t>
        </is>
      </c>
    </row>
    <row r="1541">
      <c r="A1541" s="1" t="n">
        <v>4064941006992</v>
      </c>
      <c r="B1541" t="inlineStr">
        <is>
          <t>KJ MU V LIQ K MLTLPK 3ML 1.1G BARE IV</t>
        </is>
      </c>
      <c r="C1541" t="inlineStr">
        <is>
          <t>P_US_ULTA</t>
        </is>
      </c>
      <c r="D1541" t="inlineStr">
        <is>
          <t>Stat Fcst Croston</t>
        </is>
      </c>
    </row>
    <row r="1542">
      <c r="A1542" s="1" t="n">
        <v>4064941006992</v>
      </c>
      <c r="B1542" t="inlineStr">
        <is>
          <t>KJ MU V LIQ K MLTLPK 3ML 1.1G BARE IV</t>
        </is>
      </c>
      <c r="C1542" t="inlineStr">
        <is>
          <t>P_US_ULTA</t>
        </is>
      </c>
      <c r="D1542" t="inlineStr">
        <is>
          <t>Stat Fcst DES</t>
        </is>
      </c>
    </row>
    <row r="1543">
      <c r="A1543" s="1" t="n">
        <v>4064941006992</v>
      </c>
      <c r="B1543" t="inlineStr">
        <is>
          <t>KJ MU V LIQ K MLTLPK 3ML 1.1G BARE IV</t>
        </is>
      </c>
      <c r="C1543" t="inlineStr">
        <is>
          <t>P_US_ULTA</t>
        </is>
      </c>
      <c r="D1543" t="inlineStr">
        <is>
          <t>Stat Fcst ETS</t>
        </is>
      </c>
    </row>
    <row r="1544">
      <c r="A1544" s="1" t="n">
        <v>4064941006992</v>
      </c>
      <c r="B1544" t="inlineStr">
        <is>
          <t>KJ MU V LIQ K MLTLPK 3ML 1.1G BARE IV</t>
        </is>
      </c>
      <c r="C1544" t="inlineStr">
        <is>
          <t>P_US_ULTA</t>
        </is>
      </c>
      <c r="D1544" t="inlineStr">
        <is>
          <t>Stat Fcst Moving Average</t>
        </is>
      </c>
    </row>
    <row r="1545">
      <c r="A1545" s="1" t="n">
        <v>4064941006992</v>
      </c>
      <c r="B1545" t="inlineStr">
        <is>
          <t>KJ MU V LIQ K MLTLPK 3ML 1.1G BARE IV</t>
        </is>
      </c>
      <c r="C1545" t="inlineStr">
        <is>
          <t>P_US_ULTA</t>
        </is>
      </c>
      <c r="D1545" t="inlineStr">
        <is>
          <t>Stat Fcst Naive Random Walk</t>
        </is>
      </c>
    </row>
    <row r="1546">
      <c r="A1546" s="1" t="n">
        <v>4064941006992</v>
      </c>
      <c r="B1546" t="inlineStr">
        <is>
          <t>KJ MU V LIQ K MLTLPK 3ML 1.1G BARE IV</t>
        </is>
      </c>
      <c r="C1546" t="inlineStr">
        <is>
          <t>P_US_ULTA</t>
        </is>
      </c>
      <c r="D1546" t="inlineStr">
        <is>
          <t>Stat Fcst Prophet</t>
        </is>
      </c>
    </row>
    <row r="1547">
      <c r="A1547" s="1" t="n">
        <v>4064941006992</v>
      </c>
      <c r="B1547" t="inlineStr">
        <is>
          <t>KJ MU V LIQ K MLTLPK 3ML 1.1G BARE IV</t>
        </is>
      </c>
      <c r="C1547" t="inlineStr">
        <is>
          <t>P_US_ULTA</t>
        </is>
      </c>
      <c r="D1547" t="inlineStr">
        <is>
          <t>Stat Fcst sARIMA</t>
        </is>
      </c>
    </row>
    <row r="1548">
      <c r="A1548" s="1" t="n">
        <v>4064941006992</v>
      </c>
      <c r="B1548" t="inlineStr">
        <is>
          <t>KJ MU V LIQ K MLTLPK 3ML 1.1G BARE IV</t>
        </is>
      </c>
      <c r="C1548" t="inlineStr">
        <is>
          <t>P_US_ULTA</t>
        </is>
      </c>
      <c r="D1548" t="inlineStr">
        <is>
          <t>Stat Fcst Seasonal Naive YoY</t>
        </is>
      </c>
    </row>
    <row r="1549">
      <c r="A1549" s="1" t="n">
        <v>4064941006992</v>
      </c>
      <c r="B1549" t="inlineStr">
        <is>
          <t>KJ MU V LIQ K MLTLPK 3ML 1.1G BARE IV</t>
        </is>
      </c>
      <c r="C1549" t="inlineStr">
        <is>
          <t>P_US_ULTA</t>
        </is>
      </c>
      <c r="D1549" t="inlineStr">
        <is>
          <t>Stat Fcst SES</t>
        </is>
      </c>
    </row>
    <row r="1550">
      <c r="A1550" s="1" t="n">
        <v>4064941006992</v>
      </c>
      <c r="B1550" t="inlineStr">
        <is>
          <t>KJ MU V LIQ K MLTLPK 3ML 1.1G BARE IV</t>
        </is>
      </c>
      <c r="C1550" t="inlineStr">
        <is>
          <t>P_US_ULTA</t>
        </is>
      </c>
      <c r="D1550" t="inlineStr">
        <is>
          <t>Stat Fcst STLF</t>
        </is>
      </c>
      <c r="E1550" t="n">
        <v>1434.5645147154</v>
      </c>
      <c r="F1550" t="n">
        <v>731.684055052398</v>
      </c>
      <c r="G1550" t="n">
        <v>1928.0969416071</v>
      </c>
      <c r="H1550" t="n">
        <v>876.526091908255</v>
      </c>
      <c r="I1550" t="n">
        <v>1387.02231227998</v>
      </c>
      <c r="J1550" t="n">
        <v>1258.34799396789</v>
      </c>
      <c r="K1550" t="n">
        <v>951.754904251292</v>
      </c>
      <c r="L1550" t="n">
        <v>777.432722887506</v>
      </c>
      <c r="M1550" t="n">
        <v>1153.85548437476</v>
      </c>
      <c r="N1550" t="n">
        <v>1331.11790245116</v>
      </c>
      <c r="O1550" t="n">
        <v>1291.35423621003</v>
      </c>
      <c r="P1550" t="n">
        <v>740.073150987208</v>
      </c>
    </row>
    <row r="1551">
      <c r="A1551" s="1" t="n">
        <v>4064941006992</v>
      </c>
      <c r="B1551" t="inlineStr">
        <is>
          <t>KJ MU V LIQ K MLTLPK 3ML 1.1G BARE IV</t>
        </is>
      </c>
      <c r="C1551" t="inlineStr">
        <is>
          <t>P_US_ULTA</t>
        </is>
      </c>
      <c r="D1551" t="inlineStr">
        <is>
          <t>Stat Fcst TBATS</t>
        </is>
      </c>
    </row>
    <row r="1552">
      <c r="A1552" s="1" t="n">
        <v>4064941006992</v>
      </c>
      <c r="B1552" t="inlineStr">
        <is>
          <t>KJ MU V LIQ K MLTLPK 3ML 1.1G BARE IV</t>
        </is>
      </c>
      <c r="C1552" t="inlineStr">
        <is>
          <t>P_US_ULTA</t>
        </is>
      </c>
      <c r="D1552" t="inlineStr">
        <is>
          <t>Stat Fcst TES</t>
        </is>
      </c>
      <c r="E1552" t="n">
        <v>988.612518067794</v>
      </c>
      <c r="F1552" t="n">
        <v>1148.81313897468</v>
      </c>
      <c r="G1552" t="n">
        <v>1812.39856088728</v>
      </c>
      <c r="H1552" t="n">
        <v>682.310184623047</v>
      </c>
      <c r="I1552" t="n">
        <v>956.990307054091</v>
      </c>
      <c r="J1552" t="n">
        <v>1671.62251745984</v>
      </c>
      <c r="K1552" t="n">
        <v>655.922093529485</v>
      </c>
      <c r="L1552" t="n">
        <v>412.878761685934</v>
      </c>
      <c r="M1552" t="n">
        <v>634.345170586622</v>
      </c>
      <c r="N1552" t="n">
        <v>803.380440345425</v>
      </c>
      <c r="O1552" t="n">
        <v>1844.46210546457</v>
      </c>
      <c r="P1552" t="n">
        <v>901.552932071957</v>
      </c>
    </row>
    <row r="1553">
      <c r="A1553" s="1" t="n">
        <v>4064941006992</v>
      </c>
      <c r="B1553" t="inlineStr">
        <is>
          <t>KJ MU V LIQ K MLTLPK 3ML 1.1G BARE IV</t>
        </is>
      </c>
      <c r="C1553" t="inlineStr">
        <is>
          <t>P_US_ULTA</t>
        </is>
      </c>
      <c r="D1553" t="inlineStr">
        <is>
          <t>Stat Fcst Theta</t>
        </is>
      </c>
    </row>
    <row r="1554">
      <c r="A1554" s="1" t="n">
        <v>4064941006992</v>
      </c>
      <c r="B1554" t="inlineStr">
        <is>
          <t>KJ MU V LIQ K MLTLPK 3ML 1.1G BARE IV</t>
        </is>
      </c>
      <c r="C1554" t="inlineStr">
        <is>
          <t>P_US_ULTA</t>
        </is>
      </c>
      <c r="D1554" t="inlineStr">
        <is>
          <t>System ML Fcst L1</t>
        </is>
      </c>
    </row>
    <row r="1555">
      <c r="A1555" s="1" t="n">
        <v>4064941006992</v>
      </c>
      <c r="B1555" t="inlineStr">
        <is>
          <t>KJ MU V LIQ K MLTLPK 3ML 1.1G BARE IV</t>
        </is>
      </c>
      <c r="C1555" t="inlineStr">
        <is>
          <t>P_US_ULTA</t>
        </is>
      </c>
      <c r="D1555" t="inlineStr">
        <is>
          <t>Stat Fcst Simple Snaive</t>
        </is>
      </c>
      <c r="E1555" t="n">
        <v>1236.49996314942</v>
      </c>
      <c r="F1555" t="n">
        <v>455.999986410141</v>
      </c>
      <c r="G1555" t="n">
        <v>2855.0000212714</v>
      </c>
      <c r="H1555" t="n">
        <v>501.999985039234</v>
      </c>
      <c r="I1555" t="n">
        <v>958.333340473473</v>
      </c>
      <c r="J1555" t="n">
        <v>656.666647096475</v>
      </c>
      <c r="K1555" t="n">
        <v>642.333304017782</v>
      </c>
      <c r="L1555" t="n">
        <v>413</v>
      </c>
      <c r="M1555" t="n">
        <v>592.666648685932</v>
      </c>
      <c r="N1555" t="n">
        <v>723.33334411184</v>
      </c>
      <c r="O1555" t="n">
        <v>2759.3540844315</v>
      </c>
      <c r="P1555" t="n">
        <v>871.333360170324</v>
      </c>
    </row>
    <row r="1556">
      <c r="A1556" s="1" t="n">
        <v>4064941006992</v>
      </c>
      <c r="B1556" t="inlineStr">
        <is>
          <t>KJ MU V LIQ K MLTLPK 3ML 1.1G BARE IV</t>
        </is>
      </c>
      <c r="C1556" t="inlineStr">
        <is>
          <t>P_US_ULTA</t>
        </is>
      </c>
      <c r="D1556" t="inlineStr">
        <is>
          <t>Stat Fcst Simple AOA</t>
        </is>
      </c>
    </row>
    <row r="1557">
      <c r="A1557" s="1" t="n">
        <v>4064941006992</v>
      </c>
      <c r="B1557" t="inlineStr">
        <is>
          <t>KJ MU V LIQ K MLTLPK 3ML 1.1G BARE IV</t>
        </is>
      </c>
      <c r="C1557" t="inlineStr">
        <is>
          <t>P_US_ULTA</t>
        </is>
      </c>
      <c r="D1557" t="inlineStr">
        <is>
          <t>Stat Fcst Weighted Snaive</t>
        </is>
      </c>
    </row>
    <row r="1558">
      <c r="A1558" s="1" t="n">
        <v>4064941006992</v>
      </c>
      <c r="B1558" t="inlineStr">
        <is>
          <t>KJ MU V LIQ K MLTLPK 3ML 1.1G BARE IV</t>
        </is>
      </c>
      <c r="C1558" t="inlineStr">
        <is>
          <t>P_US_ULTA</t>
        </is>
      </c>
      <c r="D1558" t="inlineStr">
        <is>
          <t>Stat Fcst Weighted AOA</t>
        </is>
      </c>
    </row>
    <row r="1559">
      <c r="A1559" s="1" t="n">
        <v>4064941006992</v>
      </c>
      <c r="B1559" t="inlineStr">
        <is>
          <t>KJ MU V LIQ K MLTLPK 3ML 1.1G BARE IV</t>
        </is>
      </c>
      <c r="C1559" t="inlineStr">
        <is>
          <t>P_US_ULTA</t>
        </is>
      </c>
      <c r="D1559" t="inlineStr">
        <is>
          <t>Stat Fcst Growth Snaive</t>
        </is>
      </c>
    </row>
    <row r="1560">
      <c r="A1560" s="1" t="n">
        <v>4064941006992</v>
      </c>
      <c r="B1560" t="inlineStr">
        <is>
          <t>KJ MU V LIQ K MLTLPK 3ML 1.1G BARE IV</t>
        </is>
      </c>
      <c r="C1560" t="inlineStr">
        <is>
          <t>P_US_ULTA</t>
        </is>
      </c>
      <c r="D1560" t="inlineStr">
        <is>
          <t>Stat Fcst Growth AOA</t>
        </is>
      </c>
    </row>
    <row r="1561">
      <c r="A1561" s="1" t="n">
        <v>4064941006992</v>
      </c>
      <c r="B1561" t="inlineStr">
        <is>
          <t>KJ MU V LIQ K MLTLPK 3ML 1.1G BARE IV</t>
        </is>
      </c>
      <c r="C1561" t="inlineStr">
        <is>
          <t>P_US_ULTA</t>
        </is>
      </c>
      <c r="D1561" t="inlineStr">
        <is>
          <t>System Stat Fcst Bestfit</t>
        </is>
      </c>
      <c r="H1561" t="n">
        <v>682.310160329634</v>
      </c>
      <c r="I1561" t="n">
        <v>956.9903635754461</v>
      </c>
      <c r="J1561" t="n">
        <v>1671.6223867052</v>
      </c>
      <c r="K1561" t="n">
        <v>655.922038557468</v>
      </c>
      <c r="L1561" t="n">
        <v>412.878753662109</v>
      </c>
      <c r="M1561" t="n">
        <v>634.345134903635</v>
      </c>
      <c r="N1561" t="n">
        <v>803.380444100207</v>
      </c>
      <c r="O1561" t="n">
        <v>1844.46210323386</v>
      </c>
      <c r="P1561" t="n">
        <v>901.552924197561</v>
      </c>
    </row>
    <row r="1562">
      <c r="A1562" s="1" t="n">
        <v>4064941008552</v>
      </c>
      <c r="B1562" t="inlineStr">
        <is>
          <t>KJ MU M LIQ K SET NWMDIN403 BITE ME 23IV</t>
        </is>
      </c>
      <c r="C1562" t="inlineStr">
        <is>
          <t>P_US_ALL_OTHERS</t>
        </is>
      </c>
      <c r="D1562" t="inlineStr">
        <is>
          <t>Stat Fcst L1</t>
        </is>
      </c>
      <c r="E1562" t="n">
        <v>167.999994993209</v>
      </c>
      <c r="F1562" t="n">
        <v>190.999994307756</v>
      </c>
      <c r="G1562" t="n">
        <v>180</v>
      </c>
      <c r="H1562" t="n">
        <v>213</v>
      </c>
      <c r="I1562" t="n">
        <v>232</v>
      </c>
      <c r="J1562" t="n">
        <v>275</v>
      </c>
      <c r="K1562" t="n">
        <v>394</v>
      </c>
      <c r="L1562" t="n">
        <v>340</v>
      </c>
      <c r="M1562" t="n">
        <v>151</v>
      </c>
      <c r="N1562" t="n">
        <v>210</v>
      </c>
      <c r="O1562" t="n">
        <v>385</v>
      </c>
      <c r="P1562" t="n">
        <v>129</v>
      </c>
    </row>
    <row r="1563">
      <c r="A1563" s="1" t="n">
        <v>4064941008552</v>
      </c>
      <c r="B1563" t="inlineStr">
        <is>
          <t>KJ MU M LIQ K SET NWMDIN403 BITE ME 23IV</t>
        </is>
      </c>
      <c r="C1563" t="inlineStr">
        <is>
          <t>P_US_ALL_OTHERS</t>
        </is>
      </c>
      <c r="D1563" t="inlineStr">
        <is>
          <t>Stat Fcst AR-NNET</t>
        </is>
      </c>
    </row>
    <row r="1564">
      <c r="A1564" s="1" t="n">
        <v>4064941008552</v>
      </c>
      <c r="B1564" t="inlineStr">
        <is>
          <t>KJ MU M LIQ K SET NWMDIN403 BITE ME 23IV</t>
        </is>
      </c>
      <c r="C1564" t="inlineStr">
        <is>
          <t>P_US_ALL_OTHERS</t>
        </is>
      </c>
      <c r="D1564" t="inlineStr">
        <is>
          <t>Stat Fcst Auto ARIMA</t>
        </is>
      </c>
    </row>
    <row r="1565">
      <c r="A1565" s="1" t="n">
        <v>4064941008552</v>
      </c>
      <c r="B1565" t="inlineStr">
        <is>
          <t>KJ MU M LIQ K SET NWMDIN403 BITE ME 23IV</t>
        </is>
      </c>
      <c r="C1565" t="inlineStr">
        <is>
          <t>P_US_ALL_OTHERS</t>
        </is>
      </c>
      <c r="D1565" t="inlineStr">
        <is>
          <t>Stat Fcst Croston</t>
        </is>
      </c>
    </row>
    <row r="1566">
      <c r="A1566" s="1" t="n">
        <v>4064941008552</v>
      </c>
      <c r="B1566" t="inlineStr">
        <is>
          <t>KJ MU M LIQ K SET NWMDIN403 BITE ME 23IV</t>
        </is>
      </c>
      <c r="C1566" t="inlineStr">
        <is>
          <t>P_US_ALL_OTHERS</t>
        </is>
      </c>
      <c r="D1566" t="inlineStr">
        <is>
          <t>Stat Fcst DES</t>
        </is>
      </c>
    </row>
    <row r="1567">
      <c r="A1567" s="1" t="n">
        <v>4064941008552</v>
      </c>
      <c r="B1567" t="inlineStr">
        <is>
          <t>KJ MU M LIQ K SET NWMDIN403 BITE ME 23IV</t>
        </is>
      </c>
      <c r="C1567" t="inlineStr">
        <is>
          <t>P_US_ALL_OTHERS</t>
        </is>
      </c>
      <c r="D1567" t="inlineStr">
        <is>
          <t>Stat Fcst ETS</t>
        </is>
      </c>
    </row>
    <row r="1568">
      <c r="A1568" s="1" t="n">
        <v>4064941008552</v>
      </c>
      <c r="B1568" t="inlineStr">
        <is>
          <t>KJ MU M LIQ K SET NWMDIN403 BITE ME 23IV</t>
        </is>
      </c>
      <c r="C1568" t="inlineStr">
        <is>
          <t>P_US_ALL_OTHERS</t>
        </is>
      </c>
      <c r="D1568" t="inlineStr">
        <is>
          <t>Stat Fcst Moving Average</t>
        </is>
      </c>
    </row>
    <row r="1569">
      <c r="A1569" s="1" t="n">
        <v>4064941008552</v>
      </c>
      <c r="B1569" t="inlineStr">
        <is>
          <t>KJ MU M LIQ K SET NWMDIN403 BITE ME 23IV</t>
        </is>
      </c>
      <c r="C1569" t="inlineStr">
        <is>
          <t>P_US_ALL_OTHERS</t>
        </is>
      </c>
      <c r="D1569" t="inlineStr">
        <is>
          <t>Stat Fcst Naive Random Walk</t>
        </is>
      </c>
    </row>
    <row r="1570">
      <c r="A1570" s="1" t="n">
        <v>4064941008552</v>
      </c>
      <c r="B1570" t="inlineStr">
        <is>
          <t>KJ MU M LIQ K SET NWMDIN403 BITE ME 23IV</t>
        </is>
      </c>
      <c r="C1570" t="inlineStr">
        <is>
          <t>P_US_ALL_OTHERS</t>
        </is>
      </c>
      <c r="D1570" t="inlineStr">
        <is>
          <t>Stat Fcst Prophet</t>
        </is>
      </c>
    </row>
    <row r="1571">
      <c r="A1571" s="1" t="n">
        <v>4064941008552</v>
      </c>
      <c r="B1571" t="inlineStr">
        <is>
          <t>KJ MU M LIQ K SET NWMDIN403 BITE ME 23IV</t>
        </is>
      </c>
      <c r="C1571" t="inlineStr">
        <is>
          <t>P_US_ALL_OTHERS</t>
        </is>
      </c>
      <c r="D1571" t="inlineStr">
        <is>
          <t>Stat Fcst sARIMA</t>
        </is>
      </c>
    </row>
    <row r="1572">
      <c r="A1572" s="1" t="n">
        <v>4064941008552</v>
      </c>
      <c r="B1572" t="inlineStr">
        <is>
          <t>KJ MU M LIQ K SET NWMDIN403 BITE ME 23IV</t>
        </is>
      </c>
      <c r="C1572" t="inlineStr">
        <is>
          <t>P_US_ALL_OTHERS</t>
        </is>
      </c>
      <c r="D1572" t="inlineStr">
        <is>
          <t>Stat Fcst Seasonal Naive YoY</t>
        </is>
      </c>
    </row>
    <row r="1573">
      <c r="A1573" s="1" t="n">
        <v>4064941008552</v>
      </c>
      <c r="B1573" t="inlineStr">
        <is>
          <t>KJ MU M LIQ K SET NWMDIN403 BITE ME 23IV</t>
        </is>
      </c>
      <c r="C1573" t="inlineStr">
        <is>
          <t>P_US_ALL_OTHERS</t>
        </is>
      </c>
      <c r="D1573" t="inlineStr">
        <is>
          <t>Stat Fcst SES</t>
        </is>
      </c>
    </row>
    <row r="1574">
      <c r="A1574" s="1" t="n">
        <v>4064941008552</v>
      </c>
      <c r="B1574" t="inlineStr">
        <is>
          <t>KJ MU M LIQ K SET NWMDIN403 BITE ME 23IV</t>
        </is>
      </c>
      <c r="C1574" t="inlineStr">
        <is>
          <t>P_US_ALL_OTHERS</t>
        </is>
      </c>
      <c r="D1574" t="inlineStr">
        <is>
          <t>Stat Fcst STLF</t>
        </is>
      </c>
      <c r="E1574" t="n">
        <v>231.324352204188</v>
      </c>
      <c r="F1574" t="n">
        <v>139.316098394442</v>
      </c>
      <c r="G1574" t="n">
        <v>270.976477430052</v>
      </c>
      <c r="H1574" t="n">
        <v>238.545149436622</v>
      </c>
      <c r="I1574" t="n">
        <v>174.461532366098</v>
      </c>
      <c r="J1574" t="n">
        <v>189.83713535777</v>
      </c>
      <c r="K1574" t="n">
        <v>412.913294902599</v>
      </c>
      <c r="L1574" t="n">
        <v>348.373424072846</v>
      </c>
      <c r="M1574" t="n">
        <v>144.93148175356</v>
      </c>
      <c r="N1574" t="n">
        <v>313.652612366946</v>
      </c>
      <c r="O1574" t="n">
        <v>353.440045875859</v>
      </c>
      <c r="P1574" t="n">
        <v>123.601547851415</v>
      </c>
    </row>
    <row r="1575">
      <c r="A1575" s="1" t="n">
        <v>4064941008552</v>
      </c>
      <c r="B1575" t="inlineStr">
        <is>
          <t>KJ MU M LIQ K SET NWMDIN403 BITE ME 23IV</t>
        </is>
      </c>
      <c r="C1575" t="inlineStr">
        <is>
          <t>P_US_ALL_OTHERS</t>
        </is>
      </c>
      <c r="D1575" t="inlineStr">
        <is>
          <t>Stat Fcst TBATS</t>
        </is>
      </c>
    </row>
    <row r="1576">
      <c r="A1576" s="1" t="n">
        <v>4064941008552</v>
      </c>
      <c r="B1576" t="inlineStr">
        <is>
          <t>KJ MU M LIQ K SET NWMDIN403 BITE ME 23IV</t>
        </is>
      </c>
      <c r="C1576" t="inlineStr">
        <is>
          <t>P_US_ALL_OTHERS</t>
        </is>
      </c>
      <c r="D1576" t="inlineStr">
        <is>
          <t>Stat Fcst TES</t>
        </is>
      </c>
      <c r="E1576" t="n">
        <v>159.248684378399</v>
      </c>
      <c r="F1576" t="n">
        <v>176.048852814492</v>
      </c>
      <c r="G1576" t="n">
        <v>202.60675657545</v>
      </c>
      <c r="H1576" t="n">
        <v>214.039909892219</v>
      </c>
      <c r="I1576" t="n">
        <v>229.309909625957</v>
      </c>
      <c r="J1576" t="n">
        <v>275.583903677536</v>
      </c>
      <c r="K1576" t="n">
        <v>392.782639299051</v>
      </c>
      <c r="L1576" t="n">
        <v>341.701090464351</v>
      </c>
      <c r="M1576" t="n">
        <v>150.749546734275</v>
      </c>
      <c r="N1576" t="n">
        <v>209.030521587047</v>
      </c>
      <c r="O1576" t="n">
        <v>383.4598974567</v>
      </c>
      <c r="P1576" t="n">
        <v>130.666484249542</v>
      </c>
    </row>
    <row r="1577">
      <c r="A1577" s="1" t="n">
        <v>4064941008552</v>
      </c>
      <c r="B1577" t="inlineStr">
        <is>
          <t>KJ MU M LIQ K SET NWMDIN403 BITE ME 23IV</t>
        </is>
      </c>
      <c r="C1577" t="inlineStr">
        <is>
          <t>P_US_ALL_OTHERS</t>
        </is>
      </c>
      <c r="D1577" t="inlineStr">
        <is>
          <t>Stat Fcst Theta</t>
        </is>
      </c>
    </row>
    <row r="1578">
      <c r="A1578" s="1" t="n">
        <v>4064941008552</v>
      </c>
      <c r="B1578" t="inlineStr">
        <is>
          <t>KJ MU M LIQ K SET NWMDIN403 BITE ME 23IV</t>
        </is>
      </c>
      <c r="C1578" t="inlineStr">
        <is>
          <t>P_US_ALL_OTHERS</t>
        </is>
      </c>
      <c r="D1578" t="inlineStr">
        <is>
          <t>System ML Fcst L1</t>
        </is>
      </c>
    </row>
    <row r="1579">
      <c r="A1579" s="1" t="n">
        <v>4064941008552</v>
      </c>
      <c r="B1579" t="inlineStr">
        <is>
          <t>KJ MU M LIQ K SET NWMDIN403 BITE ME 23IV</t>
        </is>
      </c>
      <c r="C1579" t="inlineStr">
        <is>
          <t>P_US_ALL_OTHERS</t>
        </is>
      </c>
      <c r="D1579" t="inlineStr">
        <is>
          <t>Stat Fcst Simple Snaive</t>
        </is>
      </c>
      <c r="E1579" t="n">
        <v>196.999994128942</v>
      </c>
      <c r="F1579" t="n">
        <v>208.499993786215</v>
      </c>
      <c r="G1579" t="n">
        <v>254.333335228264</v>
      </c>
      <c r="H1579" t="n">
        <v>256.666659017403</v>
      </c>
      <c r="I1579" t="n">
        <v>271.000002019107</v>
      </c>
      <c r="J1579" t="n">
        <v>313.482636328062</v>
      </c>
      <c r="K1579" t="n">
        <v>417.333310723305</v>
      </c>
      <c r="L1579" t="n">
        <v>365.666666666666</v>
      </c>
      <c r="M1579" t="n">
        <v>172.999994844198</v>
      </c>
      <c r="N1579" t="n">
        <v>222.00000839432</v>
      </c>
      <c r="O1579" t="n">
        <v>397.482633824667</v>
      </c>
      <c r="P1579" t="n">
        <v>143.000001065433</v>
      </c>
    </row>
    <row r="1580">
      <c r="A1580" s="1" t="n">
        <v>4064941008552</v>
      </c>
      <c r="B1580" t="inlineStr">
        <is>
          <t>KJ MU M LIQ K SET NWMDIN403 BITE ME 23IV</t>
        </is>
      </c>
      <c r="C1580" t="inlineStr">
        <is>
          <t>P_US_ALL_OTHERS</t>
        </is>
      </c>
      <c r="D1580" t="inlineStr">
        <is>
          <t>Stat Fcst Simple AOA</t>
        </is>
      </c>
    </row>
    <row r="1581">
      <c r="A1581" s="1" t="n">
        <v>4064941008552</v>
      </c>
      <c r="B1581" t="inlineStr">
        <is>
          <t>KJ MU M LIQ K SET NWMDIN403 BITE ME 23IV</t>
        </is>
      </c>
      <c r="C1581" t="inlineStr">
        <is>
          <t>P_US_ALL_OTHERS</t>
        </is>
      </c>
      <c r="D1581" t="inlineStr">
        <is>
          <t>Stat Fcst Weighted Snaive</t>
        </is>
      </c>
    </row>
    <row r="1582">
      <c r="A1582" s="1" t="n">
        <v>4064941008552</v>
      </c>
      <c r="B1582" t="inlineStr">
        <is>
          <t>KJ MU M LIQ K SET NWMDIN403 BITE ME 23IV</t>
        </is>
      </c>
      <c r="C1582" t="inlineStr">
        <is>
          <t>P_US_ALL_OTHERS</t>
        </is>
      </c>
      <c r="D1582" t="inlineStr">
        <is>
          <t>Stat Fcst Weighted AOA</t>
        </is>
      </c>
    </row>
    <row r="1583">
      <c r="A1583" s="1" t="n">
        <v>4064941008552</v>
      </c>
      <c r="B1583" t="inlineStr">
        <is>
          <t>KJ MU M LIQ K SET NWMDIN403 BITE ME 23IV</t>
        </is>
      </c>
      <c r="C1583" t="inlineStr">
        <is>
          <t>P_US_ALL_OTHERS</t>
        </is>
      </c>
      <c r="D1583" t="inlineStr">
        <is>
          <t>Stat Fcst Growth Snaive</t>
        </is>
      </c>
    </row>
    <row r="1584">
      <c r="A1584" s="1" t="n">
        <v>4064941008552</v>
      </c>
      <c r="B1584" t="inlineStr">
        <is>
          <t>KJ MU M LIQ K SET NWMDIN403 BITE ME 23IV</t>
        </is>
      </c>
      <c r="C1584" t="inlineStr">
        <is>
          <t>P_US_ALL_OTHERS</t>
        </is>
      </c>
      <c r="D1584" t="inlineStr">
        <is>
          <t>Stat Fcst Growth AOA</t>
        </is>
      </c>
    </row>
    <row r="1585">
      <c r="A1585" s="1" t="n">
        <v>4064941008552</v>
      </c>
      <c r="B1585" t="inlineStr">
        <is>
          <t>KJ MU M LIQ K SET NWMDIN403 BITE ME 23IV</t>
        </is>
      </c>
      <c r="C1585" t="inlineStr">
        <is>
          <t>P_US_ALL_OTHERS</t>
        </is>
      </c>
      <c r="D1585" t="inlineStr">
        <is>
          <t>System Stat Fcst Bestfit</t>
        </is>
      </c>
      <c r="H1585" t="n">
        <v>214.0399106133</v>
      </c>
      <c r="I1585" t="n">
        <v>229.309907714351</v>
      </c>
      <c r="J1585" t="n">
        <v>275.583884609225</v>
      </c>
      <c r="K1585" t="n">
        <v>392.782642102758</v>
      </c>
      <c r="L1585" t="n">
        <v>341.701080322265</v>
      </c>
      <c r="M1585" t="n">
        <v>150.749537743641</v>
      </c>
      <c r="N1585" t="n">
        <v>209.030520692922</v>
      </c>
      <c r="O1585" t="n">
        <v>383.459857956771</v>
      </c>
      <c r="P1585" t="n">
        <v>130.666489621002</v>
      </c>
    </row>
    <row r="1586">
      <c r="A1586" s="1" t="n">
        <v>4064941008552</v>
      </c>
      <c r="B1586" t="inlineStr">
        <is>
          <t>KJ MU M LIQ K SET NWMDIN403 BITE ME 23IV</t>
        </is>
      </c>
      <c r="C1586" t="inlineStr">
        <is>
          <t>P_US_ULTA</t>
        </is>
      </c>
      <c r="D1586" t="inlineStr">
        <is>
          <t>Stat Fcst L1</t>
        </is>
      </c>
      <c r="E1586" t="n">
        <v>730.999978214502</v>
      </c>
      <c r="F1586" t="n">
        <v>1493.99995547533</v>
      </c>
      <c r="G1586" t="n">
        <v>1053</v>
      </c>
      <c r="H1586" t="n">
        <v>895</v>
      </c>
      <c r="I1586" t="n">
        <v>1668</v>
      </c>
      <c r="J1586" t="n">
        <v>1390</v>
      </c>
      <c r="K1586" t="n">
        <v>1904</v>
      </c>
      <c r="L1586" t="n">
        <v>1828</v>
      </c>
      <c r="M1586" t="n">
        <v>390</v>
      </c>
      <c r="N1586" t="n">
        <v>570</v>
      </c>
      <c r="O1586" t="n">
        <v>731</v>
      </c>
      <c r="P1586" t="n">
        <v>591</v>
      </c>
    </row>
    <row r="1587">
      <c r="A1587" s="1" t="n">
        <v>4064941008552</v>
      </c>
      <c r="B1587" t="inlineStr">
        <is>
          <t>KJ MU M LIQ K SET NWMDIN403 BITE ME 23IV</t>
        </is>
      </c>
      <c r="C1587" t="inlineStr">
        <is>
          <t>P_US_ULTA</t>
        </is>
      </c>
      <c r="D1587" t="inlineStr">
        <is>
          <t>Stat Fcst AR-NNET</t>
        </is>
      </c>
    </row>
    <row r="1588">
      <c r="A1588" s="1" t="n">
        <v>4064941008552</v>
      </c>
      <c r="B1588" t="inlineStr">
        <is>
          <t>KJ MU M LIQ K SET NWMDIN403 BITE ME 23IV</t>
        </is>
      </c>
      <c r="C1588" t="inlineStr">
        <is>
          <t>P_US_ULTA</t>
        </is>
      </c>
      <c r="D1588" t="inlineStr">
        <is>
          <t>Stat Fcst Auto ARIMA</t>
        </is>
      </c>
    </row>
    <row r="1589">
      <c r="A1589" s="1" t="n">
        <v>4064941008552</v>
      </c>
      <c r="B1589" t="inlineStr">
        <is>
          <t>KJ MU M LIQ K SET NWMDIN403 BITE ME 23IV</t>
        </is>
      </c>
      <c r="C1589" t="inlineStr">
        <is>
          <t>P_US_ULTA</t>
        </is>
      </c>
      <c r="D1589" t="inlineStr">
        <is>
          <t>Stat Fcst Croston</t>
        </is>
      </c>
    </row>
    <row r="1590">
      <c r="A1590" s="1" t="n">
        <v>4064941008552</v>
      </c>
      <c r="B1590" t="inlineStr">
        <is>
          <t>KJ MU M LIQ K SET NWMDIN403 BITE ME 23IV</t>
        </is>
      </c>
      <c r="C1590" t="inlineStr">
        <is>
          <t>P_US_ULTA</t>
        </is>
      </c>
      <c r="D1590" t="inlineStr">
        <is>
          <t>Stat Fcst DES</t>
        </is>
      </c>
      <c r="E1590" t="n">
        <v>1332.70042432761</v>
      </c>
      <c r="F1590" t="n">
        <v>1332.70057235726</v>
      </c>
      <c r="G1590" t="n">
        <v>1057.89217884811</v>
      </c>
      <c r="H1590" t="n">
        <v>1057.88622654627</v>
      </c>
      <c r="I1590" t="n">
        <v>1057.88150400283</v>
      </c>
      <c r="J1590" t="n">
        <v>1057.87762955128</v>
      </c>
      <c r="K1590" t="n">
        <v>1057.87454099677</v>
      </c>
      <c r="L1590" t="n">
        <v>1057.87208515393</v>
      </c>
      <c r="M1590" t="n">
        <v>1057.87005042153</v>
      </c>
      <c r="N1590" t="n">
        <v>1057.86848442888</v>
      </c>
      <c r="O1590" t="n">
        <v>1057.86713787965</v>
      </c>
      <c r="P1590" t="n">
        <v>1057.86613092909</v>
      </c>
    </row>
    <row r="1591">
      <c r="A1591" s="1" t="n">
        <v>4064941008552</v>
      </c>
      <c r="B1591" t="inlineStr">
        <is>
          <t>KJ MU M LIQ K SET NWMDIN403 BITE ME 23IV</t>
        </is>
      </c>
      <c r="C1591" t="inlineStr">
        <is>
          <t>P_US_ULTA</t>
        </is>
      </c>
      <c r="D1591" t="inlineStr">
        <is>
          <t>Stat Fcst ETS</t>
        </is>
      </c>
    </row>
    <row r="1592">
      <c r="A1592" s="1" t="n">
        <v>4064941008552</v>
      </c>
      <c r="B1592" t="inlineStr">
        <is>
          <t>KJ MU M LIQ K SET NWMDIN403 BITE ME 23IV</t>
        </is>
      </c>
      <c r="C1592" t="inlineStr">
        <is>
          <t>P_US_ULTA</t>
        </is>
      </c>
      <c r="D1592" t="inlineStr">
        <is>
          <t>Stat Fcst Moving Average</t>
        </is>
      </c>
    </row>
    <row r="1593">
      <c r="A1593" s="1" t="n">
        <v>4064941008552</v>
      </c>
      <c r="B1593" t="inlineStr">
        <is>
          <t>KJ MU M LIQ K SET NWMDIN403 BITE ME 23IV</t>
        </is>
      </c>
      <c r="C1593" t="inlineStr">
        <is>
          <t>P_US_ULTA</t>
        </is>
      </c>
      <c r="D1593" t="inlineStr">
        <is>
          <t>Stat Fcst Naive Random Walk</t>
        </is>
      </c>
    </row>
    <row r="1594">
      <c r="A1594" s="1" t="n">
        <v>4064941008552</v>
      </c>
      <c r="B1594" t="inlineStr">
        <is>
          <t>KJ MU M LIQ K SET NWMDIN403 BITE ME 23IV</t>
        </is>
      </c>
      <c r="C1594" t="inlineStr">
        <is>
          <t>P_US_ULTA</t>
        </is>
      </c>
      <c r="D1594" t="inlineStr">
        <is>
          <t>Stat Fcst Prophet</t>
        </is>
      </c>
    </row>
    <row r="1595">
      <c r="A1595" s="1" t="n">
        <v>4064941008552</v>
      </c>
      <c r="B1595" t="inlineStr">
        <is>
          <t>KJ MU M LIQ K SET NWMDIN403 BITE ME 23IV</t>
        </is>
      </c>
      <c r="C1595" t="inlineStr">
        <is>
          <t>P_US_ULTA</t>
        </is>
      </c>
      <c r="D1595" t="inlineStr">
        <is>
          <t>Stat Fcst sARIMA</t>
        </is>
      </c>
    </row>
    <row r="1596">
      <c r="A1596" s="1" t="n">
        <v>4064941008552</v>
      </c>
      <c r="B1596" t="inlineStr">
        <is>
          <t>KJ MU M LIQ K SET NWMDIN403 BITE ME 23IV</t>
        </is>
      </c>
      <c r="C1596" t="inlineStr">
        <is>
          <t>P_US_ULTA</t>
        </is>
      </c>
      <c r="D1596" t="inlineStr">
        <is>
          <t>Stat Fcst Seasonal Naive YoY</t>
        </is>
      </c>
    </row>
    <row r="1597">
      <c r="A1597" s="1" t="n">
        <v>4064941008552</v>
      </c>
      <c r="B1597" t="inlineStr">
        <is>
          <t>KJ MU M LIQ K SET NWMDIN403 BITE ME 23IV</t>
        </is>
      </c>
      <c r="C1597" t="inlineStr">
        <is>
          <t>P_US_ULTA</t>
        </is>
      </c>
      <c r="D1597" t="inlineStr">
        <is>
          <t>Stat Fcst SES</t>
        </is>
      </c>
    </row>
    <row r="1598">
      <c r="A1598" s="1" t="n">
        <v>4064941008552</v>
      </c>
      <c r="B1598" t="inlineStr">
        <is>
          <t>KJ MU M LIQ K SET NWMDIN403 BITE ME 23IV</t>
        </is>
      </c>
      <c r="C1598" t="inlineStr">
        <is>
          <t>P_US_ULTA</t>
        </is>
      </c>
      <c r="D1598" t="inlineStr">
        <is>
          <t>Stat Fcst STLF</t>
        </is>
      </c>
      <c r="E1598" t="n">
        <v>1585.45219173982</v>
      </c>
      <c r="F1598" t="n">
        <v>1721.67863788759</v>
      </c>
      <c r="G1598" t="n">
        <v>1687.0527638286</v>
      </c>
      <c r="H1598" t="n">
        <v>1189.95239521476</v>
      </c>
      <c r="I1598" t="n">
        <v>2144.44090870283</v>
      </c>
      <c r="J1598" t="n">
        <v>648.654455523254</v>
      </c>
      <c r="K1598" t="n">
        <v>2596.03792469846</v>
      </c>
      <c r="L1598" t="n">
        <v>3153.1490757042</v>
      </c>
      <c r="M1598" t="n">
        <v>142.927919183943</v>
      </c>
      <c r="N1598" t="n">
        <v>443.592521580069</v>
      </c>
      <c r="O1598" t="n">
        <v>722.97817913362</v>
      </c>
      <c r="P1598" t="n">
        <v>717.164880742529</v>
      </c>
    </row>
    <row r="1599">
      <c r="A1599" s="1" t="n">
        <v>4064941008552</v>
      </c>
      <c r="B1599" t="inlineStr">
        <is>
          <t>KJ MU M LIQ K SET NWMDIN403 BITE ME 23IV</t>
        </is>
      </c>
      <c r="C1599" t="inlineStr">
        <is>
          <t>P_US_ULTA</t>
        </is>
      </c>
      <c r="D1599" t="inlineStr">
        <is>
          <t>Stat Fcst TBATS</t>
        </is>
      </c>
    </row>
    <row r="1600">
      <c r="A1600" s="1" t="n">
        <v>4064941008552</v>
      </c>
      <c r="B1600" t="inlineStr">
        <is>
          <t>KJ MU M LIQ K SET NWMDIN403 BITE ME 23IV</t>
        </is>
      </c>
      <c r="C1600" t="inlineStr">
        <is>
          <t>P_US_ULTA</t>
        </is>
      </c>
      <c r="D1600" t="inlineStr">
        <is>
          <t>Stat Fcst TES</t>
        </is>
      </c>
    </row>
    <row r="1601">
      <c r="A1601" s="1" t="n">
        <v>4064941008552</v>
      </c>
      <c r="B1601" t="inlineStr">
        <is>
          <t>KJ MU M LIQ K SET NWMDIN403 BITE ME 23IV</t>
        </is>
      </c>
      <c r="C1601" t="inlineStr">
        <is>
          <t>P_US_ULTA</t>
        </is>
      </c>
      <c r="D1601" t="inlineStr">
        <is>
          <t>Stat Fcst Theta</t>
        </is>
      </c>
    </row>
    <row r="1602">
      <c r="A1602" s="1" t="n">
        <v>4064941008552</v>
      </c>
      <c r="B1602" t="inlineStr">
        <is>
          <t>KJ MU M LIQ K SET NWMDIN403 BITE ME 23IV</t>
        </is>
      </c>
      <c r="C1602" t="inlineStr">
        <is>
          <t>P_US_ULTA</t>
        </is>
      </c>
      <c r="D1602" t="inlineStr">
        <is>
          <t>System ML Fcst L1</t>
        </is>
      </c>
    </row>
    <row r="1603">
      <c r="A1603" s="1" t="n">
        <v>4064941008552</v>
      </c>
      <c r="B1603" t="inlineStr">
        <is>
          <t>KJ MU M LIQ K SET NWMDIN403 BITE ME 23IV</t>
        </is>
      </c>
      <c r="C1603" t="inlineStr">
        <is>
          <t>P_US_ULTA</t>
        </is>
      </c>
      <c r="D1603" t="inlineStr">
        <is>
          <t>Stat Fcst Simple Snaive</t>
        </is>
      </c>
    </row>
    <row r="1604">
      <c r="A1604" s="1" t="n">
        <v>4064941008552</v>
      </c>
      <c r="B1604" t="inlineStr">
        <is>
          <t>KJ MU M LIQ K SET NWMDIN403 BITE ME 23IV</t>
        </is>
      </c>
      <c r="C1604" t="inlineStr">
        <is>
          <t>P_US_ULTA</t>
        </is>
      </c>
      <c r="D1604" t="inlineStr">
        <is>
          <t>Stat Fcst Simple AOA</t>
        </is>
      </c>
    </row>
    <row r="1605">
      <c r="A1605" s="1" t="n">
        <v>4064941008552</v>
      </c>
      <c r="B1605" t="inlineStr">
        <is>
          <t>KJ MU M LIQ K SET NWMDIN403 BITE ME 23IV</t>
        </is>
      </c>
      <c r="C1605" t="inlineStr">
        <is>
          <t>P_US_ULTA</t>
        </is>
      </c>
      <c r="D1605" t="inlineStr">
        <is>
          <t>Stat Fcst Weighted Snaive</t>
        </is>
      </c>
    </row>
    <row r="1606">
      <c r="A1606" s="1" t="n">
        <v>4064941008552</v>
      </c>
      <c r="B1606" t="inlineStr">
        <is>
          <t>KJ MU M LIQ K SET NWMDIN403 BITE ME 23IV</t>
        </is>
      </c>
      <c r="C1606" t="inlineStr">
        <is>
          <t>P_US_ULTA</t>
        </is>
      </c>
      <c r="D1606" t="inlineStr">
        <is>
          <t>Stat Fcst Weighted AOA</t>
        </is>
      </c>
      <c r="E1606" t="n">
        <v>531.499984160065</v>
      </c>
      <c r="F1606" t="n">
        <v>762.499977275729</v>
      </c>
      <c r="G1606" t="n">
        <v>1052.33334117382</v>
      </c>
      <c r="H1606" t="n">
        <v>895.33330665032</v>
      </c>
      <c r="I1606" t="n">
        <v>1668.33338645348</v>
      </c>
      <c r="J1606" t="n">
        <v>1388.66658459107</v>
      </c>
      <c r="K1606" t="n">
        <v>1904.66656921307</v>
      </c>
      <c r="L1606" t="n">
        <v>1826.66666666666</v>
      </c>
      <c r="M1606" t="n">
        <v>387.666650027036</v>
      </c>
      <c r="N1606" t="n">
        <v>571.000008508563</v>
      </c>
      <c r="O1606" t="n">
        <v>732.333250472945</v>
      </c>
      <c r="P1606" t="n">
        <v>589.333358069261</v>
      </c>
    </row>
    <row r="1607">
      <c r="A1607" s="1" t="n">
        <v>4064941008552</v>
      </c>
      <c r="B1607" t="inlineStr">
        <is>
          <t>KJ MU M LIQ K SET NWMDIN403 BITE ME 23IV</t>
        </is>
      </c>
      <c r="C1607" t="inlineStr">
        <is>
          <t>P_US_ULTA</t>
        </is>
      </c>
      <c r="D1607" t="inlineStr">
        <is>
          <t>Stat Fcst Growth Snaive</t>
        </is>
      </c>
    </row>
    <row r="1608">
      <c r="A1608" s="1" t="n">
        <v>4064941008552</v>
      </c>
      <c r="B1608" t="inlineStr">
        <is>
          <t>KJ MU M LIQ K SET NWMDIN403 BITE ME 23IV</t>
        </is>
      </c>
      <c r="C1608" t="inlineStr">
        <is>
          <t>P_US_ULTA</t>
        </is>
      </c>
      <c r="D1608" t="inlineStr">
        <is>
          <t>Stat Fcst Growth AOA</t>
        </is>
      </c>
    </row>
    <row r="1609">
      <c r="A1609" s="1" t="n">
        <v>4064941008552</v>
      </c>
      <c r="B1609" t="inlineStr">
        <is>
          <t>KJ MU M LIQ K SET NWMDIN403 BITE ME 23IV</t>
        </is>
      </c>
      <c r="C1609" t="inlineStr">
        <is>
          <t>P_US_ULTA</t>
        </is>
      </c>
      <c r="D1609" t="inlineStr">
        <is>
          <t>System Stat Fcst Bestfit</t>
        </is>
      </c>
      <c r="H1609" t="n">
        <v>895.333286305269</v>
      </c>
      <c r="I1609" t="n">
        <v>1668.3335085238</v>
      </c>
      <c r="J1609" t="n">
        <v>1388.66658459107</v>
      </c>
      <c r="K1609" t="n">
        <v>1904.66644714276</v>
      </c>
      <c r="L1609" t="n">
        <v>1826.66662597656</v>
      </c>
      <c r="M1609" t="n">
        <v>387.666614423196</v>
      </c>
      <c r="N1609" t="n">
        <v>571.000008508563</v>
      </c>
      <c r="O1609" t="n">
        <v>732.333230127893</v>
      </c>
      <c r="P1609" t="n">
        <v>589.333378414313</v>
      </c>
    </row>
    <row r="1610">
      <c r="A1610" s="1" t="n">
        <v>4064941008613</v>
      </c>
      <c r="B1610" t="inlineStr">
        <is>
          <t>KJ MU V LIQ K MLTLPK 3ML 1.1G HARM IV</t>
        </is>
      </c>
      <c r="C1610" t="inlineStr">
        <is>
          <t>P_US_ALL_OTHERS</t>
        </is>
      </c>
      <c r="D1610" t="inlineStr">
        <is>
          <t>Stat Fcst L1</t>
        </is>
      </c>
      <c r="E1610" t="n">
        <v>367.999989032745</v>
      </c>
      <c r="F1610" t="n">
        <v>188.999994367361</v>
      </c>
      <c r="G1610" t="n">
        <v>198</v>
      </c>
      <c r="H1610" t="n">
        <v>243</v>
      </c>
      <c r="I1610" t="n">
        <v>222</v>
      </c>
      <c r="J1610" t="n">
        <v>244</v>
      </c>
      <c r="K1610" t="n">
        <v>221</v>
      </c>
      <c r="L1610" t="n">
        <v>228</v>
      </c>
      <c r="M1610" t="n">
        <v>230</v>
      </c>
      <c r="N1610" t="n">
        <v>228</v>
      </c>
      <c r="O1610" t="n">
        <v>230</v>
      </c>
      <c r="P1610" t="n">
        <v>228</v>
      </c>
    </row>
    <row r="1611">
      <c r="A1611" s="1" t="n">
        <v>4064941008613</v>
      </c>
      <c r="B1611" t="inlineStr">
        <is>
          <t>KJ MU V LIQ K MLTLPK 3ML 1.1G HARM IV</t>
        </is>
      </c>
      <c r="C1611" t="inlineStr">
        <is>
          <t>P_US_ALL_OTHERS</t>
        </is>
      </c>
      <c r="D1611" t="inlineStr">
        <is>
          <t>Stat Fcst AR-NNET</t>
        </is>
      </c>
    </row>
    <row r="1612">
      <c r="A1612" s="1" t="n">
        <v>4064941008613</v>
      </c>
      <c r="B1612" t="inlineStr">
        <is>
          <t>KJ MU V LIQ K MLTLPK 3ML 1.1G HARM IV</t>
        </is>
      </c>
      <c r="C1612" t="inlineStr">
        <is>
          <t>P_US_ALL_OTHERS</t>
        </is>
      </c>
      <c r="D1612" t="inlineStr">
        <is>
          <t>Stat Fcst Auto ARIMA</t>
        </is>
      </c>
    </row>
    <row r="1613">
      <c r="A1613" s="1" t="n">
        <v>4064941008613</v>
      </c>
      <c r="B1613" t="inlineStr">
        <is>
          <t>KJ MU V LIQ K MLTLPK 3ML 1.1G HARM IV</t>
        </is>
      </c>
      <c r="C1613" t="inlineStr">
        <is>
          <t>P_US_ALL_OTHERS</t>
        </is>
      </c>
      <c r="D1613" t="inlineStr">
        <is>
          <t>Stat Fcst Croston</t>
        </is>
      </c>
    </row>
    <row r="1614">
      <c r="A1614" s="1" t="n">
        <v>4064941008613</v>
      </c>
      <c r="B1614" t="inlineStr">
        <is>
          <t>KJ MU V LIQ K MLTLPK 3ML 1.1G HARM IV</t>
        </is>
      </c>
      <c r="C1614" t="inlineStr">
        <is>
          <t>P_US_ALL_OTHERS</t>
        </is>
      </c>
      <c r="D1614" t="inlineStr">
        <is>
          <t>Stat Fcst DES</t>
        </is>
      </c>
      <c r="E1614" t="n">
        <v>122.619450991409</v>
      </c>
      <c r="F1614" t="n">
        <v>121.634277516407</v>
      </c>
      <c r="G1614" t="n">
        <v>148.392105567878</v>
      </c>
      <c r="H1614" t="n">
        <v>148.218266759344</v>
      </c>
      <c r="I1614" t="n">
        <v>148.064396092334</v>
      </c>
      <c r="J1614" t="n">
        <v>147.928180297454</v>
      </c>
      <c r="K1614" t="n">
        <v>147.807607771042</v>
      </c>
      <c r="L1614" t="n">
        <v>147.700882091806</v>
      </c>
      <c r="M1614" t="n">
        <v>147.606400858949</v>
      </c>
      <c r="N1614" t="n">
        <v>147.522777126537</v>
      </c>
      <c r="O1614" t="n">
        <v>147.448741465046</v>
      </c>
      <c r="P1614" t="n">
        <v>147.383216867292</v>
      </c>
    </row>
    <row r="1615">
      <c r="A1615" s="1" t="n">
        <v>4064941008613</v>
      </c>
      <c r="B1615" t="inlineStr">
        <is>
          <t>KJ MU V LIQ K MLTLPK 3ML 1.1G HARM IV</t>
        </is>
      </c>
      <c r="C1615" t="inlineStr">
        <is>
          <t>P_US_ALL_OTHERS</t>
        </is>
      </c>
      <c r="D1615" t="inlineStr">
        <is>
          <t>Stat Fcst ETS</t>
        </is>
      </c>
    </row>
    <row r="1616">
      <c r="A1616" s="1" t="n">
        <v>4064941008613</v>
      </c>
      <c r="B1616" t="inlineStr">
        <is>
          <t>KJ MU V LIQ K MLTLPK 3ML 1.1G HARM IV</t>
        </is>
      </c>
      <c r="C1616" t="inlineStr">
        <is>
          <t>P_US_ALL_OTHERS</t>
        </is>
      </c>
      <c r="D1616" t="inlineStr">
        <is>
          <t>Stat Fcst Moving Average</t>
        </is>
      </c>
      <c r="E1616" t="n">
        <v>84.9699974676966</v>
      </c>
      <c r="F1616" t="n">
        <v>98.35999706864349</v>
      </c>
      <c r="G1616" t="n">
        <v>202.970001512244</v>
      </c>
      <c r="H1616" t="n">
        <v>243.559992741346</v>
      </c>
      <c r="I1616" t="n">
        <v>221.710001651868</v>
      </c>
      <c r="J1616" t="n">
        <v>245.04999269694</v>
      </c>
      <c r="K1616" t="n">
        <v>220.45999342978</v>
      </c>
      <c r="L1616" t="n">
        <v>226.75</v>
      </c>
      <c r="M1616" t="n">
        <v>231.509993100464</v>
      </c>
      <c r="N1616" t="n">
        <v>229.100003413856</v>
      </c>
      <c r="O1616" t="n">
        <v>230.569993128478</v>
      </c>
      <c r="P1616" t="n">
        <v>227.680001696348</v>
      </c>
    </row>
    <row r="1617">
      <c r="A1617" s="1" t="n">
        <v>4064941008613</v>
      </c>
      <c r="B1617" t="inlineStr">
        <is>
          <t>KJ MU V LIQ K MLTLPK 3ML 1.1G HARM IV</t>
        </is>
      </c>
      <c r="C1617" t="inlineStr">
        <is>
          <t>P_US_ALL_OTHERS</t>
        </is>
      </c>
      <c r="D1617" t="inlineStr">
        <is>
          <t>Stat Fcst Naive Random Walk</t>
        </is>
      </c>
    </row>
    <row r="1618">
      <c r="A1618" s="1" t="n">
        <v>4064941008613</v>
      </c>
      <c r="B1618" t="inlineStr">
        <is>
          <t>KJ MU V LIQ K MLTLPK 3ML 1.1G HARM IV</t>
        </is>
      </c>
      <c r="C1618" t="inlineStr">
        <is>
          <t>P_US_ALL_OTHERS</t>
        </is>
      </c>
      <c r="D1618" t="inlineStr">
        <is>
          <t>Stat Fcst Prophet</t>
        </is>
      </c>
    </row>
    <row r="1619">
      <c r="A1619" s="1" t="n">
        <v>4064941008613</v>
      </c>
      <c r="B1619" t="inlineStr">
        <is>
          <t>KJ MU V LIQ K MLTLPK 3ML 1.1G HARM IV</t>
        </is>
      </c>
      <c r="C1619" t="inlineStr">
        <is>
          <t>P_US_ALL_OTHERS</t>
        </is>
      </c>
      <c r="D1619" t="inlineStr">
        <is>
          <t>Stat Fcst sARIMA</t>
        </is>
      </c>
    </row>
    <row r="1620">
      <c r="A1620" s="1" t="n">
        <v>4064941008613</v>
      </c>
      <c r="B1620" t="inlineStr">
        <is>
          <t>KJ MU V LIQ K MLTLPK 3ML 1.1G HARM IV</t>
        </is>
      </c>
      <c r="C1620" t="inlineStr">
        <is>
          <t>P_US_ALL_OTHERS</t>
        </is>
      </c>
      <c r="D1620" t="inlineStr">
        <is>
          <t>Stat Fcst Seasonal Naive YoY</t>
        </is>
      </c>
    </row>
    <row r="1621">
      <c r="A1621" s="1" t="n">
        <v>4064941008613</v>
      </c>
      <c r="B1621" t="inlineStr">
        <is>
          <t>KJ MU V LIQ K MLTLPK 3ML 1.1G HARM IV</t>
        </is>
      </c>
      <c r="C1621" t="inlineStr">
        <is>
          <t>P_US_ALL_OTHERS</t>
        </is>
      </c>
      <c r="D1621" t="inlineStr">
        <is>
          <t>Stat Fcst SES</t>
        </is>
      </c>
    </row>
    <row r="1622">
      <c r="A1622" s="1" t="n">
        <v>4064941008613</v>
      </c>
      <c r="B1622" t="inlineStr">
        <is>
          <t>KJ MU V LIQ K MLTLPK 3ML 1.1G HARM IV</t>
        </is>
      </c>
      <c r="C1622" t="inlineStr">
        <is>
          <t>P_US_ALL_OTHERS</t>
        </is>
      </c>
      <c r="D1622" t="inlineStr">
        <is>
          <t>Stat Fcst STLF</t>
        </is>
      </c>
      <c r="E1622" t="n">
        <v>107.997591534829</v>
      </c>
      <c r="F1622" t="n">
        <v>189.573855214908</v>
      </c>
      <c r="G1622" t="n">
        <v>234.191189079362</v>
      </c>
      <c r="H1622" t="n">
        <v>113.29003664353</v>
      </c>
      <c r="I1622" t="n">
        <v>81.25863747223821</v>
      </c>
      <c r="J1622" t="n">
        <v>156.961209631485</v>
      </c>
      <c r="K1622" t="n">
        <v>132.733093733171</v>
      </c>
      <c r="L1622" t="n">
        <v>19.5900561917761</v>
      </c>
      <c r="M1622" t="n">
        <v>81.94800787336359</v>
      </c>
      <c r="N1622" t="n">
        <v>6.17776352799555</v>
      </c>
      <c r="O1622" t="n">
        <v>287.170439598675</v>
      </c>
      <c r="P1622" t="n">
        <v>90.7565629469749</v>
      </c>
    </row>
    <row r="1623">
      <c r="A1623" s="1" t="n">
        <v>4064941008613</v>
      </c>
      <c r="B1623" t="inlineStr">
        <is>
          <t>KJ MU V LIQ K MLTLPK 3ML 1.1G HARM IV</t>
        </is>
      </c>
      <c r="C1623" t="inlineStr">
        <is>
          <t>P_US_ALL_OTHERS</t>
        </is>
      </c>
      <c r="D1623" t="inlineStr">
        <is>
          <t>Stat Fcst TBATS</t>
        </is>
      </c>
    </row>
    <row r="1624">
      <c r="A1624" s="1" t="n">
        <v>4064941008613</v>
      </c>
      <c r="B1624" t="inlineStr">
        <is>
          <t>KJ MU V LIQ K MLTLPK 3ML 1.1G HARM IV</t>
        </is>
      </c>
      <c r="C1624" t="inlineStr">
        <is>
          <t>P_US_ALL_OTHERS</t>
        </is>
      </c>
      <c r="D1624" t="inlineStr">
        <is>
          <t>Stat Fcst TES</t>
        </is>
      </c>
    </row>
    <row r="1625">
      <c r="A1625" s="1" t="n">
        <v>4064941008613</v>
      </c>
      <c r="B1625" t="inlineStr">
        <is>
          <t>KJ MU V LIQ K MLTLPK 3ML 1.1G HARM IV</t>
        </is>
      </c>
      <c r="C1625" t="inlineStr">
        <is>
          <t>P_US_ALL_OTHERS</t>
        </is>
      </c>
      <c r="D1625" t="inlineStr">
        <is>
          <t>Stat Fcst Theta</t>
        </is>
      </c>
    </row>
    <row r="1626">
      <c r="A1626" s="1" t="n">
        <v>4064941008613</v>
      </c>
      <c r="B1626" t="inlineStr">
        <is>
          <t>KJ MU V LIQ K MLTLPK 3ML 1.1G HARM IV</t>
        </is>
      </c>
      <c r="C1626" t="inlineStr">
        <is>
          <t>P_US_ALL_OTHERS</t>
        </is>
      </c>
      <c r="D1626" t="inlineStr">
        <is>
          <t>System ML Fcst L1</t>
        </is>
      </c>
    </row>
    <row r="1627">
      <c r="A1627" s="1" t="n">
        <v>4064941008613</v>
      </c>
      <c r="B1627" t="inlineStr">
        <is>
          <t>KJ MU V LIQ K MLTLPK 3ML 1.1G HARM IV</t>
        </is>
      </c>
      <c r="C1627" t="inlineStr">
        <is>
          <t>P_US_ALL_OTHERS</t>
        </is>
      </c>
      <c r="D1627" t="inlineStr">
        <is>
          <t>Stat Fcst Simple Snaive</t>
        </is>
      </c>
    </row>
    <row r="1628">
      <c r="A1628" s="1" t="n">
        <v>4064941008613</v>
      </c>
      <c r="B1628" t="inlineStr">
        <is>
          <t>KJ MU V LIQ K MLTLPK 3ML 1.1G HARM IV</t>
        </is>
      </c>
      <c r="C1628" t="inlineStr">
        <is>
          <t>P_US_ALL_OTHERS</t>
        </is>
      </c>
      <c r="D1628" t="inlineStr">
        <is>
          <t>Stat Fcst Simple AOA</t>
        </is>
      </c>
    </row>
    <row r="1629">
      <c r="A1629" s="1" t="n">
        <v>4064941008613</v>
      </c>
      <c r="B1629" t="inlineStr">
        <is>
          <t>KJ MU V LIQ K MLTLPK 3ML 1.1G HARM IV</t>
        </is>
      </c>
      <c r="C1629" t="inlineStr">
        <is>
          <t>P_US_ALL_OTHERS</t>
        </is>
      </c>
      <c r="D1629" t="inlineStr">
        <is>
          <t>Stat Fcst Weighted Snaive</t>
        </is>
      </c>
    </row>
    <row r="1630">
      <c r="A1630" s="1" t="n">
        <v>4064941008613</v>
      </c>
      <c r="B1630" t="inlineStr">
        <is>
          <t>KJ MU V LIQ K MLTLPK 3ML 1.1G HARM IV</t>
        </is>
      </c>
      <c r="C1630" t="inlineStr">
        <is>
          <t>P_US_ALL_OTHERS</t>
        </is>
      </c>
      <c r="D1630" t="inlineStr">
        <is>
          <t>Stat Fcst Weighted AOA</t>
        </is>
      </c>
      <c r="E1630" t="n">
        <v>62.4999981373548</v>
      </c>
      <c r="F1630" t="n">
        <v>254.999977141619</v>
      </c>
      <c r="G1630" t="n">
        <v>212.666668251156</v>
      </c>
      <c r="H1630" t="n">
        <v>169.33331811428</v>
      </c>
      <c r="I1630" t="n">
        <v>180.333334676921</v>
      </c>
      <c r="J1630" t="n">
        <v>243.666654318571</v>
      </c>
      <c r="K1630" t="n">
        <v>159.666656821966</v>
      </c>
      <c r="L1630" t="n">
        <v>133.666666666666</v>
      </c>
      <c r="M1630" t="n">
        <v>192.279351861893</v>
      </c>
      <c r="N1630" t="n">
        <v>73.3333369692167</v>
      </c>
      <c r="O1630" t="n">
        <v>261.279350123424</v>
      </c>
      <c r="P1630" t="n">
        <v>93.6666673645377</v>
      </c>
    </row>
    <row r="1631">
      <c r="A1631" s="1" t="n">
        <v>4064941008613</v>
      </c>
      <c r="B1631" t="inlineStr">
        <is>
          <t>KJ MU V LIQ K MLTLPK 3ML 1.1G HARM IV</t>
        </is>
      </c>
      <c r="C1631" t="inlineStr">
        <is>
          <t>P_US_ALL_OTHERS</t>
        </is>
      </c>
      <c r="D1631" t="inlineStr">
        <is>
          <t>Stat Fcst Growth Snaive</t>
        </is>
      </c>
    </row>
    <row r="1632">
      <c r="A1632" s="1" t="n">
        <v>4064941008613</v>
      </c>
      <c r="B1632" t="inlineStr">
        <is>
          <t>KJ MU V LIQ K MLTLPK 3ML 1.1G HARM IV</t>
        </is>
      </c>
      <c r="C1632" t="inlineStr">
        <is>
          <t>P_US_ALL_OTHERS</t>
        </is>
      </c>
      <c r="D1632" t="inlineStr">
        <is>
          <t>Stat Fcst Growth AOA</t>
        </is>
      </c>
    </row>
    <row r="1633">
      <c r="A1633" s="1" t="n">
        <v>4064941008613</v>
      </c>
      <c r="B1633" t="inlineStr">
        <is>
          <t>KJ MU V LIQ K MLTLPK 3ML 1.1G HARM IV</t>
        </is>
      </c>
      <c r="C1633" t="inlineStr">
        <is>
          <t>P_US_ALL_OTHERS</t>
        </is>
      </c>
      <c r="D1633" t="inlineStr">
        <is>
          <t>System Stat Fcst Bestfit</t>
        </is>
      </c>
      <c r="H1633" t="n">
        <v>243.55999029994</v>
      </c>
      <c r="I1633" t="n">
        <v>221.710008365735</v>
      </c>
      <c r="J1633" t="n">
        <v>245.04998048991</v>
      </c>
      <c r="K1633" t="n">
        <v>220.459984884858</v>
      </c>
      <c r="L1633" t="n">
        <v>226.75</v>
      </c>
      <c r="M1633" t="n">
        <v>231.5099876073</v>
      </c>
      <c r="N1633" t="n">
        <v>229.100009517371</v>
      </c>
      <c r="O1633" t="n">
        <v>230.570000452697</v>
      </c>
      <c r="P1633" t="n">
        <v>227.679994372129</v>
      </c>
    </row>
    <row r="1634">
      <c r="A1634" s="1" t="n">
        <v>4064941008613</v>
      </c>
      <c r="B1634" t="inlineStr">
        <is>
          <t>KJ MU V LIQ K MLTLPK 3ML 1.1G HARM IV</t>
        </is>
      </c>
      <c r="C1634" t="inlineStr">
        <is>
          <t>P_US_ULTA</t>
        </is>
      </c>
      <c r="D1634" t="inlineStr">
        <is>
          <t>Stat Fcst L1</t>
        </is>
      </c>
      <c r="E1634" t="n">
        <v>658.999980360269</v>
      </c>
      <c r="F1634" t="n">
        <v>666.999980121851</v>
      </c>
      <c r="G1634" t="n">
        <v>1465</v>
      </c>
      <c r="H1634" t="n">
        <v>1727</v>
      </c>
      <c r="I1634" t="n">
        <v>1166</v>
      </c>
      <c r="J1634" t="n">
        <v>1608</v>
      </c>
      <c r="K1634" t="n">
        <v>1032</v>
      </c>
      <c r="L1634" t="n">
        <v>1076</v>
      </c>
      <c r="M1634" t="n">
        <v>1063</v>
      </c>
      <c r="N1634" t="n">
        <v>1050</v>
      </c>
      <c r="O1634" t="n">
        <v>1475</v>
      </c>
      <c r="P1634" t="n">
        <v>1136</v>
      </c>
    </row>
    <row r="1635">
      <c r="A1635" s="1" t="n">
        <v>4064941008613</v>
      </c>
      <c r="B1635" t="inlineStr">
        <is>
          <t>KJ MU V LIQ K MLTLPK 3ML 1.1G HARM IV</t>
        </is>
      </c>
      <c r="C1635" t="inlineStr">
        <is>
          <t>P_US_ULTA</t>
        </is>
      </c>
      <c r="D1635" t="inlineStr">
        <is>
          <t>Stat Fcst AR-NNET</t>
        </is>
      </c>
    </row>
    <row r="1636">
      <c r="A1636" s="1" t="n">
        <v>4064941008613</v>
      </c>
      <c r="B1636" t="inlineStr">
        <is>
          <t>KJ MU V LIQ K MLTLPK 3ML 1.1G HARM IV</t>
        </is>
      </c>
      <c r="C1636" t="inlineStr">
        <is>
          <t>P_US_ULTA</t>
        </is>
      </c>
      <c r="D1636" t="inlineStr">
        <is>
          <t>Stat Fcst Auto ARIMA</t>
        </is>
      </c>
    </row>
    <row r="1637">
      <c r="A1637" s="1" t="n">
        <v>4064941008613</v>
      </c>
      <c r="B1637" t="inlineStr">
        <is>
          <t>KJ MU V LIQ K MLTLPK 3ML 1.1G HARM IV</t>
        </is>
      </c>
      <c r="C1637" t="inlineStr">
        <is>
          <t>P_US_ULTA</t>
        </is>
      </c>
      <c r="D1637" t="inlineStr">
        <is>
          <t>Stat Fcst Croston</t>
        </is>
      </c>
    </row>
    <row r="1638">
      <c r="A1638" s="1" t="n">
        <v>4064941008613</v>
      </c>
      <c r="B1638" t="inlineStr">
        <is>
          <t>KJ MU V LIQ K MLTLPK 3ML 1.1G HARM IV</t>
        </is>
      </c>
      <c r="C1638" t="inlineStr">
        <is>
          <t>P_US_ULTA</t>
        </is>
      </c>
      <c r="D1638" t="inlineStr">
        <is>
          <t>Stat Fcst DES</t>
        </is>
      </c>
    </row>
    <row r="1639">
      <c r="A1639" s="1" t="n">
        <v>4064941008613</v>
      </c>
      <c r="B1639" t="inlineStr">
        <is>
          <t>KJ MU V LIQ K MLTLPK 3ML 1.1G HARM IV</t>
        </is>
      </c>
      <c r="C1639" t="inlineStr">
        <is>
          <t>P_US_ULTA</t>
        </is>
      </c>
      <c r="D1639" t="inlineStr">
        <is>
          <t>Stat Fcst ETS</t>
        </is>
      </c>
    </row>
    <row r="1640">
      <c r="A1640" s="1" t="n">
        <v>4064941008613</v>
      </c>
      <c r="B1640" t="inlineStr">
        <is>
          <t>KJ MU V LIQ K MLTLPK 3ML 1.1G HARM IV</t>
        </is>
      </c>
      <c r="C1640" t="inlineStr">
        <is>
          <t>P_US_ULTA</t>
        </is>
      </c>
      <c r="D1640" t="inlineStr">
        <is>
          <t>Stat Fcst Moving Average</t>
        </is>
      </c>
    </row>
    <row r="1641">
      <c r="A1641" s="1" t="n">
        <v>4064941008613</v>
      </c>
      <c r="B1641" t="inlineStr">
        <is>
          <t>KJ MU V LIQ K MLTLPK 3ML 1.1G HARM IV</t>
        </is>
      </c>
      <c r="C1641" t="inlineStr">
        <is>
          <t>P_US_ULTA</t>
        </is>
      </c>
      <c r="D1641" t="inlineStr">
        <is>
          <t>Stat Fcst Naive Random Walk</t>
        </is>
      </c>
    </row>
    <row r="1642">
      <c r="A1642" s="1" t="n">
        <v>4064941008613</v>
      </c>
      <c r="B1642" t="inlineStr">
        <is>
          <t>KJ MU V LIQ K MLTLPK 3ML 1.1G HARM IV</t>
        </is>
      </c>
      <c r="C1642" t="inlineStr">
        <is>
          <t>P_US_ULTA</t>
        </is>
      </c>
      <c r="D1642" t="inlineStr">
        <is>
          <t>Stat Fcst Prophet</t>
        </is>
      </c>
    </row>
    <row r="1643">
      <c r="A1643" s="1" t="n">
        <v>4064941008613</v>
      </c>
      <c r="B1643" t="inlineStr">
        <is>
          <t>KJ MU V LIQ K MLTLPK 3ML 1.1G HARM IV</t>
        </is>
      </c>
      <c r="C1643" t="inlineStr">
        <is>
          <t>P_US_ULTA</t>
        </is>
      </c>
      <c r="D1643" t="inlineStr">
        <is>
          <t>Stat Fcst sARIMA</t>
        </is>
      </c>
    </row>
    <row r="1644">
      <c r="A1644" s="1" t="n">
        <v>4064941008613</v>
      </c>
      <c r="B1644" t="inlineStr">
        <is>
          <t>KJ MU V LIQ K MLTLPK 3ML 1.1G HARM IV</t>
        </is>
      </c>
      <c r="C1644" t="inlineStr">
        <is>
          <t>P_US_ULTA</t>
        </is>
      </c>
      <c r="D1644" t="inlineStr">
        <is>
          <t>Stat Fcst Seasonal Naive YoY</t>
        </is>
      </c>
    </row>
    <row r="1645">
      <c r="A1645" s="1" t="n">
        <v>4064941008613</v>
      </c>
      <c r="B1645" t="inlineStr">
        <is>
          <t>KJ MU V LIQ K MLTLPK 3ML 1.1G HARM IV</t>
        </is>
      </c>
      <c r="C1645" t="inlineStr">
        <is>
          <t>P_US_ULTA</t>
        </is>
      </c>
      <c r="D1645" t="inlineStr">
        <is>
          <t>Stat Fcst SES</t>
        </is>
      </c>
    </row>
    <row r="1646">
      <c r="A1646" s="1" t="n">
        <v>4064941008613</v>
      </c>
      <c r="B1646" t="inlineStr">
        <is>
          <t>KJ MU V LIQ K MLTLPK 3ML 1.1G HARM IV</t>
        </is>
      </c>
      <c r="C1646" t="inlineStr">
        <is>
          <t>P_US_ULTA</t>
        </is>
      </c>
      <c r="D1646" t="inlineStr">
        <is>
          <t>Stat Fcst STLF</t>
        </is>
      </c>
      <c r="E1646" t="n">
        <v>3448.47764140705</v>
      </c>
      <c r="F1646" t="n">
        <v>287.803626005922</v>
      </c>
      <c r="G1646" t="n">
        <v>301.288876981851</v>
      </c>
      <c r="H1646" t="n">
        <v>3055.21013112638</v>
      </c>
      <c r="I1646" t="n">
        <v>1690.81264652281</v>
      </c>
      <c r="J1646" t="n">
        <v>499.570645485806</v>
      </c>
      <c r="K1646" t="n">
        <v>2006.79750427552</v>
      </c>
      <c r="L1646" t="n">
        <v>1570.39842613796</v>
      </c>
      <c r="M1646" t="n">
        <v>1318.3564527162</v>
      </c>
      <c r="N1646" t="n">
        <v>525.379839239883</v>
      </c>
      <c r="O1646" t="n">
        <v>1212.85418747967</v>
      </c>
      <c r="P1646" t="n">
        <v>872.2995047407881</v>
      </c>
    </row>
    <row r="1647">
      <c r="A1647" s="1" t="n">
        <v>4064941008613</v>
      </c>
      <c r="B1647" t="inlineStr">
        <is>
          <t>KJ MU V LIQ K MLTLPK 3ML 1.1G HARM IV</t>
        </is>
      </c>
      <c r="C1647" t="inlineStr">
        <is>
          <t>P_US_ULTA</t>
        </is>
      </c>
      <c r="D1647" t="inlineStr">
        <is>
          <t>Stat Fcst TBATS</t>
        </is>
      </c>
    </row>
    <row r="1648">
      <c r="A1648" s="1" t="n">
        <v>4064941008613</v>
      </c>
      <c r="B1648" t="inlineStr">
        <is>
          <t>KJ MU V LIQ K MLTLPK 3ML 1.1G HARM IV</t>
        </is>
      </c>
      <c r="C1648" t="inlineStr">
        <is>
          <t>P_US_ULTA</t>
        </is>
      </c>
      <c r="D1648" t="inlineStr">
        <is>
          <t>Stat Fcst TES</t>
        </is>
      </c>
      <c r="E1648" t="n">
        <v>1278.23939840714</v>
      </c>
      <c r="F1648" t="n">
        <v>812.035919757627</v>
      </c>
      <c r="G1648" t="n">
        <v>1324.38345098418</v>
      </c>
      <c r="H1648" t="n">
        <v>1725.96994799633</v>
      </c>
      <c r="I1648" t="n">
        <v>1165.28040424624</v>
      </c>
      <c r="J1648" t="n">
        <v>1608.89535687094</v>
      </c>
      <c r="K1648" t="n">
        <v>1032.40079946983</v>
      </c>
      <c r="L1648" t="n">
        <v>1075.94795351898</v>
      </c>
      <c r="M1648" t="n">
        <v>1064.9817079606</v>
      </c>
      <c r="N1648" t="n">
        <v>1048.36778328214</v>
      </c>
      <c r="O1648" t="n">
        <v>1472.9273670425</v>
      </c>
      <c r="P1648" t="n">
        <v>1136.16342888014</v>
      </c>
    </row>
    <row r="1649">
      <c r="A1649" s="1" t="n">
        <v>4064941008613</v>
      </c>
      <c r="B1649" t="inlineStr">
        <is>
          <t>KJ MU V LIQ K MLTLPK 3ML 1.1G HARM IV</t>
        </is>
      </c>
      <c r="C1649" t="inlineStr">
        <is>
          <t>P_US_ULTA</t>
        </is>
      </c>
      <c r="D1649" t="inlineStr">
        <is>
          <t>Stat Fcst Theta</t>
        </is>
      </c>
    </row>
    <row r="1650">
      <c r="A1650" s="1" t="n">
        <v>4064941008613</v>
      </c>
      <c r="B1650" t="inlineStr">
        <is>
          <t>KJ MU V LIQ K MLTLPK 3ML 1.1G HARM IV</t>
        </is>
      </c>
      <c r="C1650" t="inlineStr">
        <is>
          <t>P_US_ULTA</t>
        </is>
      </c>
      <c r="D1650" t="inlineStr">
        <is>
          <t>System ML Fcst L1</t>
        </is>
      </c>
    </row>
    <row r="1651">
      <c r="A1651" s="1" t="n">
        <v>4064941008613</v>
      </c>
      <c r="B1651" t="inlineStr">
        <is>
          <t>KJ MU V LIQ K MLTLPK 3ML 1.1G HARM IV</t>
        </is>
      </c>
      <c r="C1651" t="inlineStr">
        <is>
          <t>P_US_ULTA</t>
        </is>
      </c>
      <c r="D1651" t="inlineStr">
        <is>
          <t>Stat Fcst Simple Snaive</t>
        </is>
      </c>
      <c r="E1651" t="n">
        <v>1953.99994176626</v>
      </c>
      <c r="F1651" t="n">
        <v>591.999951839447</v>
      </c>
      <c r="G1651" t="n">
        <v>2154.66668272018</v>
      </c>
      <c r="H1651" t="n">
        <v>1130.99996629357</v>
      </c>
      <c r="I1651" t="n">
        <v>943.000007025897</v>
      </c>
      <c r="J1651" t="n">
        <v>436.999986340602</v>
      </c>
      <c r="K1651" t="n">
        <v>1240.33329636851</v>
      </c>
      <c r="L1651" t="n">
        <v>686</v>
      </c>
      <c r="M1651" t="n">
        <v>965.999950230122</v>
      </c>
      <c r="N1651" t="n">
        <v>229.000003412365</v>
      </c>
      <c r="O1651" t="n">
        <v>2301.97142797793</v>
      </c>
      <c r="P1651" t="n">
        <v>889.000006623566</v>
      </c>
    </row>
    <row r="1652">
      <c r="A1652" s="1" t="n">
        <v>4064941008613</v>
      </c>
      <c r="B1652" t="inlineStr">
        <is>
          <t>KJ MU V LIQ K MLTLPK 3ML 1.1G HARM IV</t>
        </is>
      </c>
      <c r="C1652" t="inlineStr">
        <is>
          <t>P_US_ULTA</t>
        </is>
      </c>
      <c r="D1652" t="inlineStr">
        <is>
          <t>Stat Fcst Simple AOA</t>
        </is>
      </c>
    </row>
    <row r="1653">
      <c r="A1653" s="1" t="n">
        <v>4064941008613</v>
      </c>
      <c r="B1653" t="inlineStr">
        <is>
          <t>KJ MU V LIQ K MLTLPK 3ML 1.1G HARM IV</t>
        </is>
      </c>
      <c r="C1653" t="inlineStr">
        <is>
          <t>P_US_ULTA</t>
        </is>
      </c>
      <c r="D1653" t="inlineStr">
        <is>
          <t>Stat Fcst Weighted Snaive</t>
        </is>
      </c>
    </row>
    <row r="1654">
      <c r="A1654" s="1" t="n">
        <v>4064941008613</v>
      </c>
      <c r="B1654" t="inlineStr">
        <is>
          <t>KJ MU V LIQ K MLTLPK 3ML 1.1G HARM IV</t>
        </is>
      </c>
      <c r="C1654" t="inlineStr">
        <is>
          <t>P_US_ULTA</t>
        </is>
      </c>
      <c r="D1654" t="inlineStr">
        <is>
          <t>Stat Fcst Weighted AOA</t>
        </is>
      </c>
    </row>
    <row r="1655">
      <c r="A1655" s="1" t="n">
        <v>4064941008613</v>
      </c>
      <c r="B1655" t="inlineStr">
        <is>
          <t>KJ MU V LIQ K MLTLPK 3ML 1.1G HARM IV</t>
        </is>
      </c>
      <c r="C1655" t="inlineStr">
        <is>
          <t>P_US_ULTA</t>
        </is>
      </c>
      <c r="D1655" t="inlineStr">
        <is>
          <t>Stat Fcst Growth Snaive</t>
        </is>
      </c>
    </row>
    <row r="1656">
      <c r="A1656" s="1" t="n">
        <v>4064941008613</v>
      </c>
      <c r="B1656" t="inlineStr">
        <is>
          <t>KJ MU V LIQ K MLTLPK 3ML 1.1G HARM IV</t>
        </is>
      </c>
      <c r="C1656" t="inlineStr">
        <is>
          <t>P_US_ULTA</t>
        </is>
      </c>
      <c r="D1656" t="inlineStr">
        <is>
          <t>Stat Fcst Growth AOA</t>
        </is>
      </c>
    </row>
    <row r="1657">
      <c r="A1657" s="1" t="n">
        <v>4064941008613</v>
      </c>
      <c r="B1657" t="inlineStr">
        <is>
          <t>KJ MU V LIQ K MLTLPK 3ML 1.1G HARM IV</t>
        </is>
      </c>
      <c r="C1657" t="inlineStr">
        <is>
          <t>P_US_ULTA</t>
        </is>
      </c>
      <c r="D1657" t="inlineStr">
        <is>
          <t>System Stat Fcst Bestfit</t>
        </is>
      </c>
      <c r="H1657" t="n">
        <v>1725.96991926521</v>
      </c>
      <c r="I1657" t="n">
        <v>1165.28052626014</v>
      </c>
      <c r="J1657" t="n">
        <v>1608.89533779336</v>
      </c>
      <c r="K1657" t="n">
        <v>1032.40072606799</v>
      </c>
      <c r="L1657" t="n">
        <v>1075.94799804687</v>
      </c>
      <c r="M1657" t="n">
        <v>1064.98165771419</v>
      </c>
      <c r="N1657" t="n">
        <v>1048.36781347346</v>
      </c>
      <c r="O1657" t="n">
        <v>1472.9273242674</v>
      </c>
      <c r="P1657" t="n">
        <v>1136.16346061351</v>
      </c>
    </row>
    <row r="1658">
      <c r="A1658" s="1" t="n">
        <v>4064941008644</v>
      </c>
      <c r="B1658" t="inlineStr">
        <is>
          <t>KJ MU V LIQ K MLTLPK 3G 1G PSK 100 VP IV</t>
        </is>
      </c>
      <c r="C1658" t="inlineStr">
        <is>
          <t>P_US_ALL_OTHERS</t>
        </is>
      </c>
      <c r="D1658" t="inlineStr">
        <is>
          <t>Stat Fcst L1</t>
        </is>
      </c>
      <c r="E1658" t="n">
        <v>213.999993622303</v>
      </c>
      <c r="F1658" t="n">
        <v>304.999990910291</v>
      </c>
      <c r="G1658" t="n">
        <v>197</v>
      </c>
      <c r="H1658" t="n">
        <v>257</v>
      </c>
      <c r="I1658" t="n">
        <v>330</v>
      </c>
      <c r="J1658" t="n">
        <v>209</v>
      </c>
      <c r="K1658" t="n">
        <v>84</v>
      </c>
      <c r="L1658" t="n">
        <v>216</v>
      </c>
      <c r="M1658" t="n">
        <v>129</v>
      </c>
      <c r="N1658" t="n">
        <v>146</v>
      </c>
      <c r="O1658" t="n">
        <v>412</v>
      </c>
      <c r="P1658" t="n">
        <v>120</v>
      </c>
    </row>
    <row r="1659">
      <c r="A1659" s="1" t="n">
        <v>4064941008644</v>
      </c>
      <c r="B1659" t="inlineStr">
        <is>
          <t>KJ MU V LIQ K MLTLPK 3G 1G PSK 100 VP IV</t>
        </is>
      </c>
      <c r="C1659" t="inlineStr">
        <is>
          <t>P_US_ALL_OTHERS</t>
        </is>
      </c>
      <c r="D1659" t="inlineStr">
        <is>
          <t>Stat Fcst AR-NNET</t>
        </is>
      </c>
    </row>
    <row r="1660">
      <c r="A1660" s="1" t="n">
        <v>4064941008644</v>
      </c>
      <c r="B1660" t="inlineStr">
        <is>
          <t>KJ MU V LIQ K MLTLPK 3G 1G PSK 100 VP IV</t>
        </is>
      </c>
      <c r="C1660" t="inlineStr">
        <is>
          <t>P_US_ALL_OTHERS</t>
        </is>
      </c>
      <c r="D1660" t="inlineStr">
        <is>
          <t>Stat Fcst Auto ARIMA</t>
        </is>
      </c>
    </row>
    <row r="1661">
      <c r="A1661" s="1" t="n">
        <v>4064941008644</v>
      </c>
      <c r="B1661" t="inlineStr">
        <is>
          <t>KJ MU V LIQ K MLTLPK 3G 1G PSK 100 VP IV</t>
        </is>
      </c>
      <c r="C1661" t="inlineStr">
        <is>
          <t>P_US_ALL_OTHERS</t>
        </is>
      </c>
      <c r="D1661" t="inlineStr">
        <is>
          <t>Stat Fcst Croston</t>
        </is>
      </c>
    </row>
    <row r="1662">
      <c r="A1662" s="1" t="n">
        <v>4064941008644</v>
      </c>
      <c r="B1662" t="inlineStr">
        <is>
          <t>KJ MU V LIQ K MLTLPK 3G 1G PSK 100 VP IV</t>
        </is>
      </c>
      <c r="C1662" t="inlineStr">
        <is>
          <t>P_US_ALL_OTHERS</t>
        </is>
      </c>
      <c r="D1662" t="inlineStr">
        <is>
          <t>Stat Fcst DES</t>
        </is>
      </c>
    </row>
    <row r="1663">
      <c r="A1663" s="1" t="n">
        <v>4064941008644</v>
      </c>
      <c r="B1663" t="inlineStr">
        <is>
          <t>KJ MU V LIQ K MLTLPK 3G 1G PSK 100 VP IV</t>
        </is>
      </c>
      <c r="C1663" t="inlineStr">
        <is>
          <t>P_US_ALL_OTHERS</t>
        </is>
      </c>
      <c r="D1663" t="inlineStr">
        <is>
          <t>Stat Fcst ETS</t>
        </is>
      </c>
    </row>
    <row r="1664">
      <c r="A1664" s="1" t="n">
        <v>4064941008644</v>
      </c>
      <c r="B1664" t="inlineStr">
        <is>
          <t>KJ MU V LIQ K MLTLPK 3G 1G PSK 100 VP IV</t>
        </is>
      </c>
      <c r="C1664" t="inlineStr">
        <is>
          <t>P_US_ALL_OTHERS</t>
        </is>
      </c>
      <c r="D1664" t="inlineStr">
        <is>
          <t>Stat Fcst Moving Average</t>
        </is>
      </c>
    </row>
    <row r="1665">
      <c r="A1665" s="1" t="n">
        <v>4064941008644</v>
      </c>
      <c r="B1665" t="inlineStr">
        <is>
          <t>KJ MU V LIQ K MLTLPK 3G 1G PSK 100 VP IV</t>
        </is>
      </c>
      <c r="C1665" t="inlineStr">
        <is>
          <t>P_US_ALL_OTHERS</t>
        </is>
      </c>
      <c r="D1665" t="inlineStr">
        <is>
          <t>Stat Fcst Naive Random Walk</t>
        </is>
      </c>
    </row>
    <row r="1666">
      <c r="A1666" s="1" t="n">
        <v>4064941008644</v>
      </c>
      <c r="B1666" t="inlineStr">
        <is>
          <t>KJ MU V LIQ K MLTLPK 3G 1G PSK 100 VP IV</t>
        </is>
      </c>
      <c r="C1666" t="inlineStr">
        <is>
          <t>P_US_ALL_OTHERS</t>
        </is>
      </c>
      <c r="D1666" t="inlineStr">
        <is>
          <t>Stat Fcst Prophet</t>
        </is>
      </c>
    </row>
    <row r="1667">
      <c r="A1667" s="1" t="n">
        <v>4064941008644</v>
      </c>
      <c r="B1667" t="inlineStr">
        <is>
          <t>KJ MU V LIQ K MLTLPK 3G 1G PSK 100 VP IV</t>
        </is>
      </c>
      <c r="C1667" t="inlineStr">
        <is>
          <t>P_US_ALL_OTHERS</t>
        </is>
      </c>
      <c r="D1667" t="inlineStr">
        <is>
          <t>Stat Fcst sARIMA</t>
        </is>
      </c>
    </row>
    <row r="1668">
      <c r="A1668" s="1" t="n">
        <v>4064941008644</v>
      </c>
      <c r="B1668" t="inlineStr">
        <is>
          <t>KJ MU V LIQ K MLTLPK 3G 1G PSK 100 VP IV</t>
        </is>
      </c>
      <c r="C1668" t="inlineStr">
        <is>
          <t>P_US_ALL_OTHERS</t>
        </is>
      </c>
      <c r="D1668" t="inlineStr">
        <is>
          <t>Stat Fcst Seasonal Naive YoY</t>
        </is>
      </c>
    </row>
    <row r="1669">
      <c r="A1669" s="1" t="n">
        <v>4064941008644</v>
      </c>
      <c r="B1669" t="inlineStr">
        <is>
          <t>KJ MU V LIQ K MLTLPK 3G 1G PSK 100 VP IV</t>
        </is>
      </c>
      <c r="C1669" t="inlineStr">
        <is>
          <t>P_US_ALL_OTHERS</t>
        </is>
      </c>
      <c r="D1669" t="inlineStr">
        <is>
          <t>Stat Fcst SES</t>
        </is>
      </c>
    </row>
    <row r="1670">
      <c r="A1670" s="1" t="n">
        <v>4064941008644</v>
      </c>
      <c r="B1670" t="inlineStr">
        <is>
          <t>KJ MU V LIQ K MLTLPK 3G 1G PSK 100 VP IV</t>
        </is>
      </c>
      <c r="C1670" t="inlineStr">
        <is>
          <t>P_US_ALL_OTHERS</t>
        </is>
      </c>
      <c r="D1670" t="inlineStr">
        <is>
          <t>Stat Fcst STLF</t>
        </is>
      </c>
      <c r="E1670" t="n">
        <v>215.756776739991</v>
      </c>
      <c r="F1670" t="n">
        <v>253.814390533291</v>
      </c>
      <c r="G1670" t="n">
        <v>255.044167512465</v>
      </c>
      <c r="H1670" t="n">
        <v>117.484334296532</v>
      </c>
      <c r="I1670" t="n">
        <v>180.132791835886</v>
      </c>
      <c r="J1670" t="n">
        <v>136.140952648788</v>
      </c>
      <c r="K1670" t="n">
        <v>0</v>
      </c>
      <c r="L1670" t="n">
        <v>272.603808880473</v>
      </c>
      <c r="M1670" t="n">
        <v>90.3168012840881</v>
      </c>
      <c r="N1670" t="n">
        <v>185.479973651871</v>
      </c>
      <c r="O1670" t="n">
        <v>451.376384868332</v>
      </c>
      <c r="P1670" t="n">
        <v>74.22672125194281</v>
      </c>
    </row>
    <row r="1671">
      <c r="A1671" s="1" t="n">
        <v>4064941008644</v>
      </c>
      <c r="B1671" t="inlineStr">
        <is>
          <t>KJ MU V LIQ K MLTLPK 3G 1G PSK 100 VP IV</t>
        </is>
      </c>
      <c r="C1671" t="inlineStr">
        <is>
          <t>P_US_ALL_OTHERS</t>
        </is>
      </c>
      <c r="D1671" t="inlineStr">
        <is>
          <t>Stat Fcst TBATS</t>
        </is>
      </c>
    </row>
    <row r="1672">
      <c r="A1672" s="1" t="n">
        <v>4064941008644</v>
      </c>
      <c r="B1672" t="inlineStr">
        <is>
          <t>KJ MU V LIQ K MLTLPK 3G 1G PSK 100 VP IV</t>
        </is>
      </c>
      <c r="C1672" t="inlineStr">
        <is>
          <t>P_US_ALL_OTHERS</t>
        </is>
      </c>
      <c r="D1672" t="inlineStr">
        <is>
          <t>Stat Fcst TES</t>
        </is>
      </c>
      <c r="E1672" t="n">
        <v>180.19645063936</v>
      </c>
      <c r="F1672" t="n">
        <v>123.936319317911</v>
      </c>
      <c r="G1672" t="n">
        <v>144.480185732925</v>
      </c>
      <c r="H1672" t="n">
        <v>240.424601168818</v>
      </c>
      <c r="I1672" t="n">
        <v>311.916271601808</v>
      </c>
      <c r="J1672" t="n">
        <v>195.868186521793</v>
      </c>
      <c r="K1672" t="n">
        <v>74.40931692473779</v>
      </c>
      <c r="L1672" t="n">
        <v>192.774955171459</v>
      </c>
      <c r="M1672" t="n">
        <v>120.352134432953</v>
      </c>
      <c r="N1672" t="n">
        <v>124.519467144086</v>
      </c>
      <c r="O1672" t="n">
        <v>387.191084765859</v>
      </c>
      <c r="P1672" t="n">
        <v>111.26824598664</v>
      </c>
    </row>
    <row r="1673">
      <c r="A1673" s="1" t="n">
        <v>4064941008644</v>
      </c>
      <c r="B1673" t="inlineStr">
        <is>
          <t>KJ MU V LIQ K MLTLPK 3G 1G PSK 100 VP IV</t>
        </is>
      </c>
      <c r="C1673" t="inlineStr">
        <is>
          <t>P_US_ALL_OTHERS</t>
        </is>
      </c>
      <c r="D1673" t="inlineStr">
        <is>
          <t>Stat Fcst Theta</t>
        </is>
      </c>
    </row>
    <row r="1674">
      <c r="A1674" s="1" t="n">
        <v>4064941008644</v>
      </c>
      <c r="B1674" t="inlineStr">
        <is>
          <t>KJ MU V LIQ K MLTLPK 3G 1G PSK 100 VP IV</t>
        </is>
      </c>
      <c r="C1674" t="inlineStr">
        <is>
          <t>P_US_ALL_OTHERS</t>
        </is>
      </c>
      <c r="D1674" t="inlineStr">
        <is>
          <t>System ML Fcst L1</t>
        </is>
      </c>
    </row>
    <row r="1675">
      <c r="A1675" s="1" t="n">
        <v>4064941008644</v>
      </c>
      <c r="B1675" t="inlineStr">
        <is>
          <t>KJ MU V LIQ K MLTLPK 3G 1G PSK 100 VP IV</t>
        </is>
      </c>
      <c r="C1675" t="inlineStr">
        <is>
          <t>P_US_ALL_OTHERS</t>
        </is>
      </c>
      <c r="D1675" t="inlineStr">
        <is>
          <t>Stat Fcst Simple Snaive</t>
        </is>
      </c>
      <c r="E1675" t="n">
        <v>192.499986633658</v>
      </c>
      <c r="F1675" t="n">
        <v>132.999996036291</v>
      </c>
      <c r="G1675" t="n">
        <v>195.33333478868</v>
      </c>
      <c r="H1675" t="n">
        <v>258.666648785273</v>
      </c>
      <c r="I1675" t="n">
        <v>330.668907086071</v>
      </c>
      <c r="J1675" t="n">
        <v>209.666660418113</v>
      </c>
      <c r="K1675" t="n">
        <v>86.3333288530509</v>
      </c>
      <c r="L1675" t="n">
        <v>217</v>
      </c>
      <c r="M1675" t="n">
        <v>130.333329369624</v>
      </c>
      <c r="N1675" t="n">
        <v>146.66666885217</v>
      </c>
      <c r="O1675" t="n">
        <v>413.333300669988</v>
      </c>
      <c r="P1675" t="n">
        <v>118.0000034223</v>
      </c>
    </row>
    <row r="1676">
      <c r="A1676" s="1" t="n">
        <v>4064941008644</v>
      </c>
      <c r="B1676" t="inlineStr">
        <is>
          <t>KJ MU V LIQ K MLTLPK 3G 1G PSK 100 VP IV</t>
        </is>
      </c>
      <c r="C1676" t="inlineStr">
        <is>
          <t>P_US_ALL_OTHERS</t>
        </is>
      </c>
      <c r="D1676" t="inlineStr">
        <is>
          <t>Stat Fcst Simple AOA</t>
        </is>
      </c>
    </row>
    <row r="1677">
      <c r="A1677" s="1" t="n">
        <v>4064941008644</v>
      </c>
      <c r="B1677" t="inlineStr">
        <is>
          <t>KJ MU V LIQ K MLTLPK 3G 1G PSK 100 VP IV</t>
        </is>
      </c>
      <c r="C1677" t="inlineStr">
        <is>
          <t>P_US_ALL_OTHERS</t>
        </is>
      </c>
      <c r="D1677" t="inlineStr">
        <is>
          <t>Stat Fcst Weighted Snaive</t>
        </is>
      </c>
    </row>
    <row r="1678">
      <c r="A1678" s="1" t="n">
        <v>4064941008644</v>
      </c>
      <c r="B1678" t="inlineStr">
        <is>
          <t>KJ MU V LIQ K MLTLPK 3G 1G PSK 100 VP IV</t>
        </is>
      </c>
      <c r="C1678" t="inlineStr">
        <is>
          <t>P_US_ALL_OTHERS</t>
        </is>
      </c>
      <c r="D1678" t="inlineStr">
        <is>
          <t>Stat Fcst Weighted AOA</t>
        </is>
      </c>
    </row>
    <row r="1679">
      <c r="A1679" s="1" t="n">
        <v>4064941008644</v>
      </c>
      <c r="B1679" t="inlineStr">
        <is>
          <t>KJ MU V LIQ K MLTLPK 3G 1G PSK 100 VP IV</t>
        </is>
      </c>
      <c r="C1679" t="inlineStr">
        <is>
          <t>P_US_ALL_OTHERS</t>
        </is>
      </c>
      <c r="D1679" t="inlineStr">
        <is>
          <t>Stat Fcst Growth Snaive</t>
        </is>
      </c>
    </row>
    <row r="1680">
      <c r="A1680" s="1" t="n">
        <v>4064941008644</v>
      </c>
      <c r="B1680" t="inlineStr">
        <is>
          <t>KJ MU V LIQ K MLTLPK 3G 1G PSK 100 VP IV</t>
        </is>
      </c>
      <c r="C1680" t="inlineStr">
        <is>
          <t>P_US_ALL_OTHERS</t>
        </is>
      </c>
      <c r="D1680" t="inlineStr">
        <is>
          <t>Stat Fcst Growth AOA</t>
        </is>
      </c>
    </row>
    <row r="1681">
      <c r="A1681" s="1" t="n">
        <v>4064941008644</v>
      </c>
      <c r="B1681" t="inlineStr">
        <is>
          <t>KJ MU V LIQ K MLTLPK 3G 1G PSK 100 VP IV</t>
        </is>
      </c>
      <c r="C1681" t="inlineStr">
        <is>
          <t>P_US_ALL_OTHERS</t>
        </is>
      </c>
      <c r="D1681" t="inlineStr">
        <is>
          <t>System Stat Fcst Bestfit</t>
        </is>
      </c>
      <c r="H1681" t="n">
        <v>258.666648785273</v>
      </c>
      <c r="I1681" t="n">
        <v>330.668886741018</v>
      </c>
      <c r="J1681" t="n">
        <v>209.666650245587</v>
      </c>
      <c r="K1681" t="n">
        <v>86.3333256741366</v>
      </c>
      <c r="L1681" t="n">
        <v>217</v>
      </c>
      <c r="M1681" t="n">
        <v>130.333324362834</v>
      </c>
      <c r="N1681" t="n">
        <v>146.666673938433</v>
      </c>
      <c r="O1681" t="n">
        <v>413.333300669988</v>
      </c>
      <c r="P1681" t="n">
        <v>118.000008508563</v>
      </c>
    </row>
    <row r="1682">
      <c r="A1682" s="1" t="n">
        <v>4064941008644</v>
      </c>
      <c r="B1682" t="inlineStr">
        <is>
          <t>KJ MU V LIQ K MLTLPK 3G 1G PSK 100 VP IV</t>
        </is>
      </c>
      <c r="C1682" t="inlineStr">
        <is>
          <t>P_US_ULTA</t>
        </is>
      </c>
      <c r="D1682" t="inlineStr">
        <is>
          <t>Stat Fcst L1</t>
        </is>
      </c>
      <c r="E1682" t="n">
        <v>463.999986171722</v>
      </c>
      <c r="F1682" t="n">
        <v>693.999979317188</v>
      </c>
      <c r="G1682" t="n">
        <v>1362</v>
      </c>
      <c r="H1682" t="n">
        <v>1023</v>
      </c>
      <c r="I1682" t="n">
        <v>994</v>
      </c>
      <c r="J1682" t="n">
        <v>1714</v>
      </c>
      <c r="K1682" t="n">
        <v>182</v>
      </c>
      <c r="L1682" t="n">
        <v>600</v>
      </c>
      <c r="M1682" t="n">
        <v>580</v>
      </c>
      <c r="N1682" t="n">
        <v>335</v>
      </c>
      <c r="O1682" t="n">
        <v>1980</v>
      </c>
      <c r="P1682" t="n">
        <v>1007</v>
      </c>
    </row>
    <row r="1683">
      <c r="A1683" s="1" t="n">
        <v>4064941008644</v>
      </c>
      <c r="B1683" t="inlineStr">
        <is>
          <t>KJ MU V LIQ K MLTLPK 3G 1G PSK 100 VP IV</t>
        </is>
      </c>
      <c r="C1683" t="inlineStr">
        <is>
          <t>P_US_ULTA</t>
        </is>
      </c>
      <c r="D1683" t="inlineStr">
        <is>
          <t>Stat Fcst AR-NNET</t>
        </is>
      </c>
    </row>
    <row r="1684">
      <c r="A1684" s="1" t="n">
        <v>4064941008644</v>
      </c>
      <c r="B1684" t="inlineStr">
        <is>
          <t>KJ MU V LIQ K MLTLPK 3G 1G PSK 100 VP IV</t>
        </is>
      </c>
      <c r="C1684" t="inlineStr">
        <is>
          <t>P_US_ULTA</t>
        </is>
      </c>
      <c r="D1684" t="inlineStr">
        <is>
          <t>Stat Fcst Auto ARIMA</t>
        </is>
      </c>
    </row>
    <row r="1685">
      <c r="A1685" s="1" t="n">
        <v>4064941008644</v>
      </c>
      <c r="B1685" t="inlineStr">
        <is>
          <t>KJ MU V LIQ K MLTLPK 3G 1G PSK 100 VP IV</t>
        </is>
      </c>
      <c r="C1685" t="inlineStr">
        <is>
          <t>P_US_ULTA</t>
        </is>
      </c>
      <c r="D1685" t="inlineStr">
        <is>
          <t>Stat Fcst Croston</t>
        </is>
      </c>
    </row>
    <row r="1686">
      <c r="A1686" s="1" t="n">
        <v>4064941008644</v>
      </c>
      <c r="B1686" t="inlineStr">
        <is>
          <t>KJ MU V LIQ K MLTLPK 3G 1G PSK 100 VP IV</t>
        </is>
      </c>
      <c r="C1686" t="inlineStr">
        <is>
          <t>P_US_ULTA</t>
        </is>
      </c>
      <c r="D1686" t="inlineStr">
        <is>
          <t>Stat Fcst DES</t>
        </is>
      </c>
    </row>
    <row r="1687">
      <c r="A1687" s="1" t="n">
        <v>4064941008644</v>
      </c>
      <c r="B1687" t="inlineStr">
        <is>
          <t>KJ MU V LIQ K MLTLPK 3G 1G PSK 100 VP IV</t>
        </is>
      </c>
      <c r="C1687" t="inlineStr">
        <is>
          <t>P_US_ULTA</t>
        </is>
      </c>
      <c r="D1687" t="inlineStr">
        <is>
          <t>Stat Fcst ETS</t>
        </is>
      </c>
    </row>
    <row r="1688">
      <c r="A1688" s="1" t="n">
        <v>4064941008644</v>
      </c>
      <c r="B1688" t="inlineStr">
        <is>
          <t>KJ MU V LIQ K MLTLPK 3G 1G PSK 100 VP IV</t>
        </is>
      </c>
      <c r="C1688" t="inlineStr">
        <is>
          <t>P_US_ULTA</t>
        </is>
      </c>
      <c r="D1688" t="inlineStr">
        <is>
          <t>Stat Fcst Moving Average</t>
        </is>
      </c>
    </row>
    <row r="1689">
      <c r="A1689" s="1" t="n">
        <v>4064941008644</v>
      </c>
      <c r="B1689" t="inlineStr">
        <is>
          <t>KJ MU V LIQ K MLTLPK 3G 1G PSK 100 VP IV</t>
        </is>
      </c>
      <c r="C1689" t="inlineStr">
        <is>
          <t>P_US_ULTA</t>
        </is>
      </c>
      <c r="D1689" t="inlineStr">
        <is>
          <t>Stat Fcst Naive Random Walk</t>
        </is>
      </c>
    </row>
    <row r="1690">
      <c r="A1690" s="1" t="n">
        <v>4064941008644</v>
      </c>
      <c r="B1690" t="inlineStr">
        <is>
          <t>KJ MU V LIQ K MLTLPK 3G 1G PSK 100 VP IV</t>
        </is>
      </c>
      <c r="C1690" t="inlineStr">
        <is>
          <t>P_US_ULTA</t>
        </is>
      </c>
      <c r="D1690" t="inlineStr">
        <is>
          <t>Stat Fcst Prophet</t>
        </is>
      </c>
    </row>
    <row r="1691">
      <c r="A1691" s="1" t="n">
        <v>4064941008644</v>
      </c>
      <c r="B1691" t="inlineStr">
        <is>
          <t>KJ MU V LIQ K MLTLPK 3G 1G PSK 100 VP IV</t>
        </is>
      </c>
      <c r="C1691" t="inlineStr">
        <is>
          <t>P_US_ULTA</t>
        </is>
      </c>
      <c r="D1691" t="inlineStr">
        <is>
          <t>Stat Fcst sARIMA</t>
        </is>
      </c>
    </row>
    <row r="1692">
      <c r="A1692" s="1" t="n">
        <v>4064941008644</v>
      </c>
      <c r="B1692" t="inlineStr">
        <is>
          <t>KJ MU V LIQ K MLTLPK 3G 1G PSK 100 VP IV</t>
        </is>
      </c>
      <c r="C1692" t="inlineStr">
        <is>
          <t>P_US_ULTA</t>
        </is>
      </c>
      <c r="D1692" t="inlineStr">
        <is>
          <t>Stat Fcst Seasonal Naive YoY</t>
        </is>
      </c>
    </row>
    <row r="1693">
      <c r="A1693" s="1" t="n">
        <v>4064941008644</v>
      </c>
      <c r="B1693" t="inlineStr">
        <is>
          <t>KJ MU V LIQ K MLTLPK 3G 1G PSK 100 VP IV</t>
        </is>
      </c>
      <c r="C1693" t="inlineStr">
        <is>
          <t>P_US_ULTA</t>
        </is>
      </c>
      <c r="D1693" t="inlineStr">
        <is>
          <t>Stat Fcst SES</t>
        </is>
      </c>
    </row>
    <row r="1694">
      <c r="A1694" s="1" t="n">
        <v>4064941008644</v>
      </c>
      <c r="B1694" t="inlineStr">
        <is>
          <t>KJ MU V LIQ K MLTLPK 3G 1G PSK 100 VP IV</t>
        </is>
      </c>
      <c r="C1694" t="inlineStr">
        <is>
          <t>P_US_ULTA</t>
        </is>
      </c>
      <c r="D1694" t="inlineStr">
        <is>
          <t>Stat Fcst STLF</t>
        </is>
      </c>
      <c r="E1694" t="n">
        <v>1162.00972054152</v>
      </c>
      <c r="F1694" t="n">
        <v>919.445486181069</v>
      </c>
      <c r="G1694" t="n">
        <v>1808.21677564389</v>
      </c>
      <c r="H1694" t="n">
        <v>1636.51133437114</v>
      </c>
      <c r="I1694" t="n">
        <v>1715.54095873244</v>
      </c>
      <c r="J1694" t="n">
        <v>368.162875706765</v>
      </c>
      <c r="K1694" t="n">
        <v>79.5996614916389</v>
      </c>
      <c r="L1694" t="n">
        <v>1091.26604275951</v>
      </c>
      <c r="M1694" t="n">
        <v>497.546706562769</v>
      </c>
      <c r="N1694" t="n">
        <v>539.536470342137</v>
      </c>
      <c r="O1694" t="n">
        <v>1835.6010001133</v>
      </c>
      <c r="P1694" t="n">
        <v>554.704931006279</v>
      </c>
    </row>
    <row r="1695">
      <c r="A1695" s="1" t="n">
        <v>4064941008644</v>
      </c>
      <c r="B1695" t="inlineStr">
        <is>
          <t>KJ MU V LIQ K MLTLPK 3G 1G PSK 100 VP IV</t>
        </is>
      </c>
      <c r="C1695" t="inlineStr">
        <is>
          <t>P_US_ULTA</t>
        </is>
      </c>
      <c r="D1695" t="inlineStr">
        <is>
          <t>Stat Fcst TBATS</t>
        </is>
      </c>
    </row>
    <row r="1696">
      <c r="A1696" s="1" t="n">
        <v>4064941008644</v>
      </c>
      <c r="B1696" t="inlineStr">
        <is>
          <t>KJ MU V LIQ K MLTLPK 3G 1G PSK 100 VP IV</t>
        </is>
      </c>
      <c r="C1696" t="inlineStr">
        <is>
          <t>P_US_ULTA</t>
        </is>
      </c>
      <c r="D1696" t="inlineStr">
        <is>
          <t>Stat Fcst TES</t>
        </is>
      </c>
      <c r="E1696" t="n">
        <v>1853.84533656753</v>
      </c>
      <c r="F1696" t="n">
        <v>108.332035230316</v>
      </c>
      <c r="G1696" t="n">
        <v>484.312517767626</v>
      </c>
      <c r="H1696" t="n">
        <v>1020.87444306853</v>
      </c>
      <c r="I1696" t="n">
        <v>992.432821580842</v>
      </c>
      <c r="J1696" t="n">
        <v>1715.58692999468</v>
      </c>
      <c r="K1696" t="n">
        <v>181.386630585067</v>
      </c>
      <c r="L1696" t="n">
        <v>601.671621628033</v>
      </c>
      <c r="M1696" t="n">
        <v>578.182402093968</v>
      </c>
      <c r="N1696" t="n">
        <v>336.284419936233</v>
      </c>
      <c r="O1696" t="n">
        <v>1981.35357542989</v>
      </c>
      <c r="P1696" t="n">
        <v>1006.95647757593</v>
      </c>
    </row>
    <row r="1697">
      <c r="A1697" s="1" t="n">
        <v>4064941008644</v>
      </c>
      <c r="B1697" t="inlineStr">
        <is>
          <t>KJ MU V LIQ K MLTLPK 3G 1G PSK 100 VP IV</t>
        </is>
      </c>
      <c r="C1697" t="inlineStr">
        <is>
          <t>P_US_ULTA</t>
        </is>
      </c>
      <c r="D1697" t="inlineStr">
        <is>
          <t>Stat Fcst Theta</t>
        </is>
      </c>
    </row>
    <row r="1698">
      <c r="A1698" s="1" t="n">
        <v>4064941008644</v>
      </c>
      <c r="B1698" t="inlineStr">
        <is>
          <t>KJ MU V LIQ K MLTLPK 3G 1G PSK 100 VP IV</t>
        </is>
      </c>
      <c r="C1698" t="inlineStr">
        <is>
          <t>P_US_ULTA</t>
        </is>
      </c>
      <c r="D1698" t="inlineStr">
        <is>
          <t>System ML Fcst L1</t>
        </is>
      </c>
    </row>
    <row r="1699">
      <c r="A1699" s="1" t="n">
        <v>4064941008644</v>
      </c>
      <c r="B1699" t="inlineStr">
        <is>
          <t>KJ MU V LIQ K MLTLPK 3G 1G PSK 100 VP IV</t>
        </is>
      </c>
      <c r="C1699" t="inlineStr">
        <is>
          <t>P_US_ULTA</t>
        </is>
      </c>
      <c r="D1699" t="inlineStr">
        <is>
          <t>Stat Fcst Simple Snaive</t>
        </is>
      </c>
      <c r="E1699" t="n">
        <v>1381.99995881319</v>
      </c>
      <c r="F1699" t="n">
        <v>446.499986693263</v>
      </c>
      <c r="G1699" t="n">
        <v>1091.66667480021</v>
      </c>
      <c r="H1699" t="n">
        <v>1644.33326398332</v>
      </c>
      <c r="I1699" t="n">
        <v>1286.33334291726</v>
      </c>
      <c r="J1699" t="n">
        <v>1080.999896576</v>
      </c>
      <c r="K1699" t="n">
        <v>769.999977052211</v>
      </c>
      <c r="L1699" t="n">
        <v>1058.99995930989</v>
      </c>
      <c r="M1699" t="n">
        <v>1071.66663464903</v>
      </c>
      <c r="N1699" t="n">
        <v>779.333365291357</v>
      </c>
      <c r="O1699" t="n">
        <v>3680.17632261386</v>
      </c>
      <c r="P1699" t="n">
        <v>1459.66667754203</v>
      </c>
    </row>
    <row r="1700">
      <c r="A1700" s="1" t="n">
        <v>4064941008644</v>
      </c>
      <c r="B1700" t="inlineStr">
        <is>
          <t>KJ MU V LIQ K MLTLPK 3G 1G PSK 100 VP IV</t>
        </is>
      </c>
      <c r="C1700" t="inlineStr">
        <is>
          <t>P_US_ULTA</t>
        </is>
      </c>
      <c r="D1700" t="inlineStr">
        <is>
          <t>Stat Fcst Simple AOA</t>
        </is>
      </c>
    </row>
    <row r="1701">
      <c r="A1701" s="1" t="n">
        <v>4064941008644</v>
      </c>
      <c r="B1701" t="inlineStr">
        <is>
          <t>KJ MU V LIQ K MLTLPK 3G 1G PSK 100 VP IV</t>
        </is>
      </c>
      <c r="C1701" t="inlineStr">
        <is>
          <t>P_US_ULTA</t>
        </is>
      </c>
      <c r="D1701" t="inlineStr">
        <is>
          <t>Stat Fcst Weighted Snaive</t>
        </is>
      </c>
    </row>
    <row r="1702">
      <c r="A1702" s="1" t="n">
        <v>4064941008644</v>
      </c>
      <c r="B1702" t="inlineStr">
        <is>
          <t>KJ MU V LIQ K MLTLPK 3G 1G PSK 100 VP IV</t>
        </is>
      </c>
      <c r="C1702" t="inlineStr">
        <is>
          <t>P_US_ULTA</t>
        </is>
      </c>
      <c r="D1702" t="inlineStr">
        <is>
          <t>Stat Fcst Weighted AOA</t>
        </is>
      </c>
    </row>
    <row r="1703">
      <c r="A1703" s="1" t="n">
        <v>4064941008644</v>
      </c>
      <c r="B1703" t="inlineStr">
        <is>
          <t>KJ MU V LIQ K MLTLPK 3G 1G PSK 100 VP IV</t>
        </is>
      </c>
      <c r="C1703" t="inlineStr">
        <is>
          <t>P_US_ULTA</t>
        </is>
      </c>
      <c r="D1703" t="inlineStr">
        <is>
          <t>Stat Fcst Growth Snaive</t>
        </is>
      </c>
    </row>
    <row r="1704">
      <c r="A1704" s="1" t="n">
        <v>4064941008644</v>
      </c>
      <c r="B1704" t="inlineStr">
        <is>
          <t>KJ MU V LIQ K MLTLPK 3G 1G PSK 100 VP IV</t>
        </is>
      </c>
      <c r="C1704" t="inlineStr">
        <is>
          <t>P_US_ULTA</t>
        </is>
      </c>
      <c r="D1704" t="inlineStr">
        <is>
          <t>Stat Fcst Growth AOA</t>
        </is>
      </c>
    </row>
    <row r="1705">
      <c r="A1705" s="1" t="n">
        <v>4064941008644</v>
      </c>
      <c r="B1705" t="inlineStr">
        <is>
          <t>KJ MU V LIQ K MLTLPK 3G 1G PSK 100 VP IV</t>
        </is>
      </c>
      <c r="C1705" t="inlineStr">
        <is>
          <t>P_US_ULTA</t>
        </is>
      </c>
      <c r="D1705" t="inlineStr">
        <is>
          <t>System Stat Fcst Bestfit</t>
        </is>
      </c>
      <c r="H1705" t="n">
        <v>1020.87442025916</v>
      </c>
      <c r="I1705" t="n">
        <v>992.432807687169</v>
      </c>
      <c r="J1705" t="n">
        <v>1715.58686293402</v>
      </c>
      <c r="K1705" t="n">
        <v>181.386621791522</v>
      </c>
      <c r="L1705" t="n">
        <v>601.671630859375</v>
      </c>
      <c r="M1705" t="n">
        <v>578.182355815697</v>
      </c>
      <c r="N1705" t="n">
        <v>336.284428839153</v>
      </c>
      <c r="O1705" t="n">
        <v>1981.35357864637</v>
      </c>
      <c r="P1705" t="n">
        <v>1006.956489436</v>
      </c>
    </row>
    <row r="1706">
      <c r="A1706" s="1" t="n">
        <v>4064941008675</v>
      </c>
      <c r="B1706" t="inlineStr">
        <is>
          <t>KJ MU M LIQ K SET NEW MDIN 700 BARE 23IV</t>
        </is>
      </c>
      <c r="C1706" t="inlineStr">
        <is>
          <t>P_US_ALL_OTHERS</t>
        </is>
      </c>
      <c r="D1706" t="inlineStr">
        <is>
          <t>Stat Fcst L1</t>
        </is>
      </c>
      <c r="E1706" t="n">
        <v>120.999996393918</v>
      </c>
      <c r="F1706" t="n">
        <v>137.999995887279</v>
      </c>
      <c r="G1706" t="n">
        <v>124</v>
      </c>
      <c r="H1706" t="n">
        <v>155</v>
      </c>
      <c r="I1706" t="n">
        <v>142</v>
      </c>
      <c r="J1706" t="n">
        <v>133</v>
      </c>
      <c r="K1706" t="n">
        <v>168</v>
      </c>
      <c r="L1706" t="n">
        <v>188</v>
      </c>
      <c r="M1706" t="n">
        <v>221</v>
      </c>
      <c r="N1706" t="n">
        <v>103</v>
      </c>
      <c r="O1706" t="n">
        <v>266</v>
      </c>
      <c r="P1706" t="n">
        <v>150</v>
      </c>
    </row>
    <row r="1707">
      <c r="A1707" s="1" t="n">
        <v>4064941008675</v>
      </c>
      <c r="B1707" t="inlineStr">
        <is>
          <t>KJ MU M LIQ K SET NEW MDIN 700 BARE 23IV</t>
        </is>
      </c>
      <c r="C1707" t="inlineStr">
        <is>
          <t>P_US_ALL_OTHERS</t>
        </is>
      </c>
      <c r="D1707" t="inlineStr">
        <is>
          <t>Stat Fcst AR-NNET</t>
        </is>
      </c>
    </row>
    <row r="1708">
      <c r="A1708" s="1" t="n">
        <v>4064941008675</v>
      </c>
      <c r="B1708" t="inlineStr">
        <is>
          <t>KJ MU M LIQ K SET NEW MDIN 700 BARE 23IV</t>
        </is>
      </c>
      <c r="C1708" t="inlineStr">
        <is>
          <t>P_US_ALL_OTHERS</t>
        </is>
      </c>
      <c r="D1708" t="inlineStr">
        <is>
          <t>Stat Fcst Auto ARIMA</t>
        </is>
      </c>
    </row>
    <row r="1709">
      <c r="A1709" s="1" t="n">
        <v>4064941008675</v>
      </c>
      <c r="B1709" t="inlineStr">
        <is>
          <t>KJ MU M LIQ K SET NEW MDIN 700 BARE 23IV</t>
        </is>
      </c>
      <c r="C1709" t="inlineStr">
        <is>
          <t>P_US_ALL_OTHERS</t>
        </is>
      </c>
      <c r="D1709" t="inlineStr">
        <is>
          <t>Stat Fcst Croston</t>
        </is>
      </c>
    </row>
    <row r="1710">
      <c r="A1710" s="1" t="n">
        <v>4064941008675</v>
      </c>
      <c r="B1710" t="inlineStr">
        <is>
          <t>KJ MU M LIQ K SET NEW MDIN 700 BARE 23IV</t>
        </is>
      </c>
      <c r="C1710" t="inlineStr">
        <is>
          <t>P_US_ALL_OTHERS</t>
        </is>
      </c>
      <c r="D1710" t="inlineStr">
        <is>
          <t>Stat Fcst DES</t>
        </is>
      </c>
    </row>
    <row r="1711">
      <c r="A1711" s="1" t="n">
        <v>4064941008675</v>
      </c>
      <c r="B1711" t="inlineStr">
        <is>
          <t>KJ MU M LIQ K SET NEW MDIN 700 BARE 23IV</t>
        </is>
      </c>
      <c r="C1711" t="inlineStr">
        <is>
          <t>P_US_ALL_OTHERS</t>
        </is>
      </c>
      <c r="D1711" t="inlineStr">
        <is>
          <t>Stat Fcst ETS</t>
        </is>
      </c>
    </row>
    <row r="1712">
      <c r="A1712" s="1" t="n">
        <v>4064941008675</v>
      </c>
      <c r="B1712" t="inlineStr">
        <is>
          <t>KJ MU M LIQ K SET NEW MDIN 700 BARE 23IV</t>
        </is>
      </c>
      <c r="C1712" t="inlineStr">
        <is>
          <t>P_US_ALL_OTHERS</t>
        </is>
      </c>
      <c r="D1712" t="inlineStr">
        <is>
          <t>Stat Fcst Moving Average</t>
        </is>
      </c>
    </row>
    <row r="1713">
      <c r="A1713" s="1" t="n">
        <v>4064941008675</v>
      </c>
      <c r="B1713" t="inlineStr">
        <is>
          <t>KJ MU M LIQ K SET NEW MDIN 700 BARE 23IV</t>
        </is>
      </c>
      <c r="C1713" t="inlineStr">
        <is>
          <t>P_US_ALL_OTHERS</t>
        </is>
      </c>
      <c r="D1713" t="inlineStr">
        <is>
          <t>Stat Fcst Naive Random Walk</t>
        </is>
      </c>
    </row>
    <row r="1714">
      <c r="A1714" s="1" t="n">
        <v>4064941008675</v>
      </c>
      <c r="B1714" t="inlineStr">
        <is>
          <t>KJ MU M LIQ K SET NEW MDIN 700 BARE 23IV</t>
        </is>
      </c>
      <c r="C1714" t="inlineStr">
        <is>
          <t>P_US_ALL_OTHERS</t>
        </is>
      </c>
      <c r="D1714" t="inlineStr">
        <is>
          <t>Stat Fcst Prophet</t>
        </is>
      </c>
    </row>
    <row r="1715">
      <c r="A1715" s="1" t="n">
        <v>4064941008675</v>
      </c>
      <c r="B1715" t="inlineStr">
        <is>
          <t>KJ MU M LIQ K SET NEW MDIN 700 BARE 23IV</t>
        </is>
      </c>
      <c r="C1715" t="inlineStr">
        <is>
          <t>P_US_ALL_OTHERS</t>
        </is>
      </c>
      <c r="D1715" t="inlineStr">
        <is>
          <t>Stat Fcst sARIMA</t>
        </is>
      </c>
    </row>
    <row r="1716">
      <c r="A1716" s="1" t="n">
        <v>4064941008675</v>
      </c>
      <c r="B1716" t="inlineStr">
        <is>
          <t>KJ MU M LIQ K SET NEW MDIN 700 BARE 23IV</t>
        </is>
      </c>
      <c r="C1716" t="inlineStr">
        <is>
          <t>P_US_ALL_OTHERS</t>
        </is>
      </c>
      <c r="D1716" t="inlineStr">
        <is>
          <t>Stat Fcst Seasonal Naive YoY</t>
        </is>
      </c>
    </row>
    <row r="1717">
      <c r="A1717" s="1" t="n">
        <v>4064941008675</v>
      </c>
      <c r="B1717" t="inlineStr">
        <is>
          <t>KJ MU M LIQ K SET NEW MDIN 700 BARE 23IV</t>
        </is>
      </c>
      <c r="C1717" t="inlineStr">
        <is>
          <t>P_US_ALL_OTHERS</t>
        </is>
      </c>
      <c r="D1717" t="inlineStr">
        <is>
          <t>Stat Fcst SES</t>
        </is>
      </c>
    </row>
    <row r="1718">
      <c r="A1718" s="1" t="n">
        <v>4064941008675</v>
      </c>
      <c r="B1718" t="inlineStr">
        <is>
          <t>KJ MU M LIQ K SET NEW MDIN 700 BARE 23IV</t>
        </is>
      </c>
      <c r="C1718" t="inlineStr">
        <is>
          <t>P_US_ALL_OTHERS</t>
        </is>
      </c>
      <c r="D1718" t="inlineStr">
        <is>
          <t>Stat Fcst STLF</t>
        </is>
      </c>
      <c r="E1718" t="n">
        <v>197.716667395891</v>
      </c>
      <c r="F1718" t="n">
        <v>144.001897475107</v>
      </c>
      <c r="G1718" t="n">
        <v>103.006457728095</v>
      </c>
      <c r="H1718" t="n">
        <v>155.402711702596</v>
      </c>
      <c r="I1718" t="n">
        <v>87.0000006482005</v>
      </c>
      <c r="J1718" t="n">
        <v>121.692290166391</v>
      </c>
      <c r="K1718" t="n">
        <v>142.360631412862</v>
      </c>
      <c r="L1718" t="n">
        <v>138.503527148378</v>
      </c>
      <c r="M1718" t="n">
        <v>221.324979326067</v>
      </c>
      <c r="N1718" t="n">
        <v>148.300827031215</v>
      </c>
      <c r="O1718" t="n">
        <v>241.408892385447</v>
      </c>
      <c r="P1718" t="n">
        <v>109.015497686763</v>
      </c>
    </row>
    <row r="1719">
      <c r="A1719" s="1" t="n">
        <v>4064941008675</v>
      </c>
      <c r="B1719" t="inlineStr">
        <is>
          <t>KJ MU M LIQ K SET NEW MDIN 700 BARE 23IV</t>
        </is>
      </c>
      <c r="C1719" t="inlineStr">
        <is>
          <t>P_US_ALL_OTHERS</t>
        </is>
      </c>
      <c r="D1719" t="inlineStr">
        <is>
          <t>Stat Fcst TBATS</t>
        </is>
      </c>
    </row>
    <row r="1720">
      <c r="A1720" s="1" t="n">
        <v>4064941008675</v>
      </c>
      <c r="B1720" t="inlineStr">
        <is>
          <t>KJ MU M LIQ K SET NEW MDIN 700 BARE 23IV</t>
        </is>
      </c>
      <c r="C1720" t="inlineStr">
        <is>
          <t>P_US_ALL_OTHERS</t>
        </is>
      </c>
      <c r="D1720" t="inlineStr">
        <is>
          <t>Stat Fcst TES</t>
        </is>
      </c>
      <c r="E1720" t="n">
        <v>146.386686617258</v>
      </c>
      <c r="F1720" t="n">
        <v>131.402939618456</v>
      </c>
      <c r="G1720" t="n">
        <v>132.151515198375</v>
      </c>
      <c r="H1720" t="n">
        <v>153.317820139567</v>
      </c>
      <c r="I1720" t="n">
        <v>140.572061250312</v>
      </c>
      <c r="J1720" t="n">
        <v>134.050163120289</v>
      </c>
      <c r="K1720" t="n">
        <v>169.417816622685</v>
      </c>
      <c r="L1720" t="n">
        <v>186.737760517337</v>
      </c>
      <c r="M1720" t="n">
        <v>221.225719754024</v>
      </c>
      <c r="N1720" t="n">
        <v>102.021418604707</v>
      </c>
      <c r="O1720" t="n">
        <v>267.483826500569</v>
      </c>
      <c r="P1720" t="n">
        <v>148.421588096944</v>
      </c>
    </row>
    <row r="1721">
      <c r="A1721" s="1" t="n">
        <v>4064941008675</v>
      </c>
      <c r="B1721" t="inlineStr">
        <is>
          <t>KJ MU M LIQ K SET NEW MDIN 700 BARE 23IV</t>
        </is>
      </c>
      <c r="C1721" t="inlineStr">
        <is>
          <t>P_US_ALL_OTHERS</t>
        </is>
      </c>
      <c r="D1721" t="inlineStr">
        <is>
          <t>Stat Fcst Theta</t>
        </is>
      </c>
    </row>
    <row r="1722">
      <c r="A1722" s="1" t="n">
        <v>4064941008675</v>
      </c>
      <c r="B1722" t="inlineStr">
        <is>
          <t>KJ MU M LIQ K SET NEW MDIN 700 BARE 23IV</t>
        </is>
      </c>
      <c r="C1722" t="inlineStr">
        <is>
          <t>P_US_ALL_OTHERS</t>
        </is>
      </c>
      <c r="D1722" t="inlineStr">
        <is>
          <t>System ML Fcst L1</t>
        </is>
      </c>
    </row>
    <row r="1723">
      <c r="A1723" s="1" t="n">
        <v>4064941008675</v>
      </c>
      <c r="B1723" t="inlineStr">
        <is>
          <t>KJ MU M LIQ K SET NEW MDIN 700 BARE 23IV</t>
        </is>
      </c>
      <c r="C1723" t="inlineStr">
        <is>
          <t>P_US_ALL_OTHERS</t>
        </is>
      </c>
      <c r="D1723" t="inlineStr">
        <is>
          <t>Stat Fcst Simple Snaive</t>
        </is>
      </c>
      <c r="E1723" t="n">
        <v>178.499994680285</v>
      </c>
      <c r="F1723" t="n">
        <v>161.999995172023</v>
      </c>
      <c r="G1723" t="n">
        <v>183.000001363456</v>
      </c>
      <c r="H1723" t="n">
        <v>208.333327124516</v>
      </c>
      <c r="I1723" t="n">
        <v>191.333334758877</v>
      </c>
      <c r="J1723" t="n">
        <v>180.666651109854</v>
      </c>
      <c r="K1723" t="n">
        <v>212.333327005306</v>
      </c>
      <c r="L1723" t="n">
        <v>226.352783203125</v>
      </c>
      <c r="M1723" t="n">
        <v>257.68610377055</v>
      </c>
      <c r="N1723" t="n">
        <v>135.666668688257</v>
      </c>
      <c r="O1723" t="n">
        <v>298.66664759318</v>
      </c>
      <c r="P1723" t="n">
        <v>177.333334654569</v>
      </c>
    </row>
    <row r="1724">
      <c r="A1724" s="1" t="n">
        <v>4064941008675</v>
      </c>
      <c r="B1724" t="inlineStr">
        <is>
          <t>KJ MU M LIQ K SET NEW MDIN 700 BARE 23IV</t>
        </is>
      </c>
      <c r="C1724" t="inlineStr">
        <is>
          <t>P_US_ALL_OTHERS</t>
        </is>
      </c>
      <c r="D1724" t="inlineStr">
        <is>
          <t>Stat Fcst Simple AOA</t>
        </is>
      </c>
    </row>
    <row r="1725">
      <c r="A1725" s="1" t="n">
        <v>4064941008675</v>
      </c>
      <c r="B1725" t="inlineStr">
        <is>
          <t>KJ MU M LIQ K SET NEW MDIN 700 BARE 23IV</t>
        </is>
      </c>
      <c r="C1725" t="inlineStr">
        <is>
          <t>P_US_ALL_OTHERS</t>
        </is>
      </c>
      <c r="D1725" t="inlineStr">
        <is>
          <t>Stat Fcst Weighted Snaive</t>
        </is>
      </c>
    </row>
    <row r="1726">
      <c r="A1726" s="1" t="n">
        <v>4064941008675</v>
      </c>
      <c r="B1726" t="inlineStr">
        <is>
          <t>KJ MU M LIQ K SET NEW MDIN 700 BARE 23IV</t>
        </is>
      </c>
      <c r="C1726" t="inlineStr">
        <is>
          <t>P_US_ALL_OTHERS</t>
        </is>
      </c>
      <c r="D1726" t="inlineStr">
        <is>
          <t>Stat Fcst Weighted AOA</t>
        </is>
      </c>
    </row>
    <row r="1727">
      <c r="A1727" s="1" t="n">
        <v>4064941008675</v>
      </c>
      <c r="B1727" t="inlineStr">
        <is>
          <t>KJ MU M LIQ K SET NEW MDIN 700 BARE 23IV</t>
        </is>
      </c>
      <c r="C1727" t="inlineStr">
        <is>
          <t>P_US_ALL_OTHERS</t>
        </is>
      </c>
      <c r="D1727" t="inlineStr">
        <is>
          <t>Stat Fcst Growth Snaive</t>
        </is>
      </c>
    </row>
    <row r="1728">
      <c r="A1728" s="1" t="n">
        <v>4064941008675</v>
      </c>
      <c r="B1728" t="inlineStr">
        <is>
          <t>KJ MU M LIQ K SET NEW MDIN 700 BARE 23IV</t>
        </is>
      </c>
      <c r="C1728" t="inlineStr">
        <is>
          <t>P_US_ALL_OTHERS</t>
        </is>
      </c>
      <c r="D1728" t="inlineStr">
        <is>
          <t>Stat Fcst Growth AOA</t>
        </is>
      </c>
    </row>
    <row r="1729">
      <c r="A1729" s="1" t="n">
        <v>4064941008675</v>
      </c>
      <c r="B1729" t="inlineStr">
        <is>
          <t>KJ MU M LIQ K SET NEW MDIN 700 BARE 23IV</t>
        </is>
      </c>
      <c r="C1729" t="inlineStr">
        <is>
          <t>P_US_ALL_OTHERS</t>
        </is>
      </c>
      <c r="D1729" t="inlineStr">
        <is>
          <t>System Stat Fcst Bestfit</t>
        </is>
      </c>
      <c r="H1729" t="n">
        <v>153.317805489366</v>
      </c>
      <c r="I1729" t="n">
        <v>140.572068308085</v>
      </c>
      <c r="J1729" t="n">
        <v>134.050166903431</v>
      </c>
      <c r="K1729" t="n">
        <v>169.417811113065</v>
      </c>
      <c r="L1729" t="n">
        <v>186.737762451171</v>
      </c>
      <c r="M1729" t="n">
        <v>221.225701414772</v>
      </c>
      <c r="N1729" t="n">
        <v>102.021417230686</v>
      </c>
      <c r="O1729" t="n">
        <v>267.483817711954</v>
      </c>
      <c r="P1729" t="n">
        <v>148.421586188834</v>
      </c>
    </row>
    <row r="1730">
      <c r="A1730" s="1" t="n">
        <v>4064941008675</v>
      </c>
      <c r="B1730" t="inlineStr">
        <is>
          <t>KJ MU M LIQ K SET NEW MDIN 700 BARE 23IV</t>
        </is>
      </c>
      <c r="C1730" t="inlineStr">
        <is>
          <t>P_US_ULTA</t>
        </is>
      </c>
      <c r="D1730" t="inlineStr">
        <is>
          <t>Stat Fcst L1</t>
        </is>
      </c>
      <c r="E1730" t="n">
        <v>589.999982416629</v>
      </c>
      <c r="F1730" t="n">
        <v>880.999973744154</v>
      </c>
      <c r="G1730" t="n">
        <v>471</v>
      </c>
      <c r="H1730" t="n">
        <v>186</v>
      </c>
      <c r="I1730" t="n">
        <v>552</v>
      </c>
      <c r="J1730" t="n">
        <v>1062</v>
      </c>
      <c r="K1730" t="n">
        <v>1001</v>
      </c>
      <c r="L1730" t="n">
        <v>1020</v>
      </c>
      <c r="M1730" t="n">
        <v>1050</v>
      </c>
      <c r="N1730" t="n">
        <v>788</v>
      </c>
      <c r="O1730" t="n">
        <v>1041</v>
      </c>
      <c r="P1730" t="n">
        <v>531</v>
      </c>
    </row>
    <row r="1731">
      <c r="A1731" s="1" t="n">
        <v>4064941008675</v>
      </c>
      <c r="B1731" t="inlineStr">
        <is>
          <t>KJ MU M LIQ K SET NEW MDIN 700 BARE 23IV</t>
        </is>
      </c>
      <c r="C1731" t="inlineStr">
        <is>
          <t>P_US_ULTA</t>
        </is>
      </c>
      <c r="D1731" t="inlineStr">
        <is>
          <t>Stat Fcst AR-NNET</t>
        </is>
      </c>
    </row>
    <row r="1732">
      <c r="A1732" s="1" t="n">
        <v>4064941008675</v>
      </c>
      <c r="B1732" t="inlineStr">
        <is>
          <t>KJ MU M LIQ K SET NEW MDIN 700 BARE 23IV</t>
        </is>
      </c>
      <c r="C1732" t="inlineStr">
        <is>
          <t>P_US_ULTA</t>
        </is>
      </c>
      <c r="D1732" t="inlineStr">
        <is>
          <t>Stat Fcst Auto ARIMA</t>
        </is>
      </c>
    </row>
    <row r="1733">
      <c r="A1733" s="1" t="n">
        <v>4064941008675</v>
      </c>
      <c r="B1733" t="inlineStr">
        <is>
          <t>KJ MU M LIQ K SET NEW MDIN 700 BARE 23IV</t>
        </is>
      </c>
      <c r="C1733" t="inlineStr">
        <is>
          <t>P_US_ULTA</t>
        </is>
      </c>
      <c r="D1733" t="inlineStr">
        <is>
          <t>Stat Fcst Croston</t>
        </is>
      </c>
    </row>
    <row r="1734">
      <c r="A1734" s="1" t="n">
        <v>4064941008675</v>
      </c>
      <c r="B1734" t="inlineStr">
        <is>
          <t>KJ MU M LIQ K SET NEW MDIN 700 BARE 23IV</t>
        </is>
      </c>
      <c r="C1734" t="inlineStr">
        <is>
          <t>P_US_ULTA</t>
        </is>
      </c>
      <c r="D1734" t="inlineStr">
        <is>
          <t>Stat Fcst DES</t>
        </is>
      </c>
    </row>
    <row r="1735">
      <c r="A1735" s="1" t="n">
        <v>4064941008675</v>
      </c>
      <c r="B1735" t="inlineStr">
        <is>
          <t>KJ MU M LIQ K SET NEW MDIN 700 BARE 23IV</t>
        </is>
      </c>
      <c r="C1735" t="inlineStr">
        <is>
          <t>P_US_ULTA</t>
        </is>
      </c>
      <c r="D1735" t="inlineStr">
        <is>
          <t>Stat Fcst ETS</t>
        </is>
      </c>
    </row>
    <row r="1736">
      <c r="A1736" s="1" t="n">
        <v>4064941008675</v>
      </c>
      <c r="B1736" t="inlineStr">
        <is>
          <t>KJ MU M LIQ K SET NEW MDIN 700 BARE 23IV</t>
        </is>
      </c>
      <c r="C1736" t="inlineStr">
        <is>
          <t>P_US_ULTA</t>
        </is>
      </c>
      <c r="D1736" t="inlineStr">
        <is>
          <t>Stat Fcst Moving Average</t>
        </is>
      </c>
    </row>
    <row r="1737">
      <c r="A1737" s="1" t="n">
        <v>4064941008675</v>
      </c>
      <c r="B1737" t="inlineStr">
        <is>
          <t>KJ MU M LIQ K SET NEW MDIN 700 BARE 23IV</t>
        </is>
      </c>
      <c r="C1737" t="inlineStr">
        <is>
          <t>P_US_ULTA</t>
        </is>
      </c>
      <c r="D1737" t="inlineStr">
        <is>
          <t>Stat Fcst Naive Random Walk</t>
        </is>
      </c>
    </row>
    <row r="1738">
      <c r="A1738" s="1" t="n">
        <v>4064941008675</v>
      </c>
      <c r="B1738" t="inlineStr">
        <is>
          <t>KJ MU M LIQ K SET NEW MDIN 700 BARE 23IV</t>
        </is>
      </c>
      <c r="C1738" t="inlineStr">
        <is>
          <t>P_US_ULTA</t>
        </is>
      </c>
      <c r="D1738" t="inlineStr">
        <is>
          <t>Stat Fcst Prophet</t>
        </is>
      </c>
    </row>
    <row r="1739">
      <c r="A1739" s="1" t="n">
        <v>4064941008675</v>
      </c>
      <c r="B1739" t="inlineStr">
        <is>
          <t>KJ MU M LIQ K SET NEW MDIN 700 BARE 23IV</t>
        </is>
      </c>
      <c r="C1739" t="inlineStr">
        <is>
          <t>P_US_ULTA</t>
        </is>
      </c>
      <c r="D1739" t="inlineStr">
        <is>
          <t>Stat Fcst sARIMA</t>
        </is>
      </c>
    </row>
    <row r="1740">
      <c r="A1740" s="1" t="n">
        <v>4064941008675</v>
      </c>
      <c r="B1740" t="inlineStr">
        <is>
          <t>KJ MU M LIQ K SET NEW MDIN 700 BARE 23IV</t>
        </is>
      </c>
      <c r="C1740" t="inlineStr">
        <is>
          <t>P_US_ULTA</t>
        </is>
      </c>
      <c r="D1740" t="inlineStr">
        <is>
          <t>Stat Fcst Seasonal Naive YoY</t>
        </is>
      </c>
    </row>
    <row r="1741">
      <c r="A1741" s="1" t="n">
        <v>4064941008675</v>
      </c>
      <c r="B1741" t="inlineStr">
        <is>
          <t>KJ MU M LIQ K SET NEW MDIN 700 BARE 23IV</t>
        </is>
      </c>
      <c r="C1741" t="inlineStr">
        <is>
          <t>P_US_ULTA</t>
        </is>
      </c>
      <c r="D1741" t="inlineStr">
        <is>
          <t>Stat Fcst SES</t>
        </is>
      </c>
    </row>
    <row r="1742">
      <c r="A1742" s="1" t="n">
        <v>4064941008675</v>
      </c>
      <c r="B1742" t="inlineStr">
        <is>
          <t>KJ MU M LIQ K SET NEW MDIN 700 BARE 23IV</t>
        </is>
      </c>
      <c r="C1742" t="inlineStr">
        <is>
          <t>P_US_ULTA</t>
        </is>
      </c>
      <c r="D1742" t="inlineStr">
        <is>
          <t>Stat Fcst STLF</t>
        </is>
      </c>
      <c r="E1742" t="n">
        <v>173.000010102986</v>
      </c>
      <c r="F1742" t="n">
        <v>173.000010102986</v>
      </c>
      <c r="G1742" t="n">
        <v>1258.89058838465</v>
      </c>
      <c r="H1742" t="n">
        <v>536.976239869217</v>
      </c>
      <c r="I1742" t="n">
        <v>1135.98983721989</v>
      </c>
      <c r="J1742" t="n">
        <v>938.389350558546</v>
      </c>
      <c r="K1742" t="n">
        <v>2279.85931802512</v>
      </c>
      <c r="L1742" t="n">
        <v>1222.52741781189</v>
      </c>
      <c r="M1742" t="n">
        <v>1234.68873596335</v>
      </c>
      <c r="N1742" t="n">
        <v>658.88202182481</v>
      </c>
      <c r="O1742" t="n">
        <v>417.143854373087</v>
      </c>
      <c r="P1742" t="n">
        <v>611.587295314653</v>
      </c>
    </row>
    <row r="1743">
      <c r="A1743" s="1" t="n">
        <v>4064941008675</v>
      </c>
      <c r="B1743" t="inlineStr">
        <is>
          <t>KJ MU M LIQ K SET NEW MDIN 700 BARE 23IV</t>
        </is>
      </c>
      <c r="C1743" t="inlineStr">
        <is>
          <t>P_US_ULTA</t>
        </is>
      </c>
      <c r="D1743" t="inlineStr">
        <is>
          <t>Stat Fcst TBATS</t>
        </is>
      </c>
    </row>
    <row r="1744">
      <c r="A1744" s="1" t="n">
        <v>4064941008675</v>
      </c>
      <c r="B1744" t="inlineStr">
        <is>
          <t>KJ MU M LIQ K SET NEW MDIN 700 BARE 23IV</t>
        </is>
      </c>
      <c r="C1744" t="inlineStr">
        <is>
          <t>P_US_ULTA</t>
        </is>
      </c>
      <c r="D1744" t="inlineStr">
        <is>
          <t>Stat Fcst TES</t>
        </is>
      </c>
      <c r="E1744" t="n">
        <v>536.609035048839</v>
      </c>
      <c r="F1744" t="n">
        <v>870.292590916216</v>
      </c>
      <c r="G1744" t="n">
        <v>456.676343271223</v>
      </c>
      <c r="H1744" t="n">
        <v>184.849456905674</v>
      </c>
      <c r="I1744" t="n">
        <v>553.466505237172</v>
      </c>
      <c r="J1744" t="n">
        <v>1060.91508913493</v>
      </c>
      <c r="K1744" t="n">
        <v>1002.26047960529</v>
      </c>
      <c r="L1744" t="n">
        <v>1018.5474282018</v>
      </c>
      <c r="M1744" t="n">
        <v>1050.79535902908</v>
      </c>
      <c r="N1744" t="n">
        <v>788.177342235148</v>
      </c>
      <c r="O1744" t="n">
        <v>1038.52795422715</v>
      </c>
      <c r="P1744" t="n">
        <v>531.624851933127</v>
      </c>
    </row>
    <row r="1745">
      <c r="A1745" s="1" t="n">
        <v>4064941008675</v>
      </c>
      <c r="B1745" t="inlineStr">
        <is>
          <t>KJ MU M LIQ K SET NEW MDIN 700 BARE 23IV</t>
        </is>
      </c>
      <c r="C1745" t="inlineStr">
        <is>
          <t>P_US_ULTA</t>
        </is>
      </c>
      <c r="D1745" t="inlineStr">
        <is>
          <t>Stat Fcst Theta</t>
        </is>
      </c>
    </row>
    <row r="1746">
      <c r="A1746" s="1" t="n">
        <v>4064941008675</v>
      </c>
      <c r="B1746" t="inlineStr">
        <is>
          <t>KJ MU M LIQ K SET NEW MDIN 700 BARE 23IV</t>
        </is>
      </c>
      <c r="C1746" t="inlineStr">
        <is>
          <t>P_US_ULTA</t>
        </is>
      </c>
      <c r="D1746" t="inlineStr">
        <is>
          <t>System ML Fcst L1</t>
        </is>
      </c>
    </row>
    <row r="1747">
      <c r="A1747" s="1" t="n">
        <v>4064941008675</v>
      </c>
      <c r="B1747" t="inlineStr">
        <is>
          <t>KJ MU M LIQ K SET NEW MDIN 700 BARE 23IV</t>
        </is>
      </c>
      <c r="C1747" t="inlineStr">
        <is>
          <t>P_US_ULTA</t>
        </is>
      </c>
      <c r="D1747" t="inlineStr">
        <is>
          <t>Stat Fcst Simple Snaive</t>
        </is>
      </c>
      <c r="E1747" t="n">
        <v>959.9999713897701</v>
      </c>
      <c r="F1747" t="n">
        <v>639.499980941414</v>
      </c>
      <c r="G1747" t="n">
        <v>999.6666741147631</v>
      </c>
      <c r="H1747" t="n">
        <v>458.333314587672</v>
      </c>
      <c r="I1747" t="n">
        <v>920.000006854534</v>
      </c>
      <c r="J1747" t="n">
        <v>1180.66663148005</v>
      </c>
      <c r="K1747" t="n">
        <v>1654.99990998705</v>
      </c>
      <c r="L1747" t="n">
        <v>1266</v>
      </c>
      <c r="M1747" t="n">
        <v>1528.33324709534</v>
      </c>
      <c r="N1747" t="n">
        <v>688.666702359915</v>
      </c>
      <c r="O1747" t="n">
        <v>1813.2081165351</v>
      </c>
      <c r="P1747" t="n">
        <v>914.333340145647</v>
      </c>
    </row>
    <row r="1748">
      <c r="A1748" s="1" t="n">
        <v>4064941008675</v>
      </c>
      <c r="B1748" t="inlineStr">
        <is>
          <t>KJ MU M LIQ K SET NEW MDIN 700 BARE 23IV</t>
        </is>
      </c>
      <c r="C1748" t="inlineStr">
        <is>
          <t>P_US_ULTA</t>
        </is>
      </c>
      <c r="D1748" t="inlineStr">
        <is>
          <t>Stat Fcst Simple AOA</t>
        </is>
      </c>
    </row>
    <row r="1749">
      <c r="A1749" s="1" t="n">
        <v>4064941008675</v>
      </c>
      <c r="B1749" t="inlineStr">
        <is>
          <t>KJ MU M LIQ K SET NEW MDIN 700 BARE 23IV</t>
        </is>
      </c>
      <c r="C1749" t="inlineStr">
        <is>
          <t>P_US_ULTA</t>
        </is>
      </c>
      <c r="D1749" t="inlineStr">
        <is>
          <t>Stat Fcst Weighted Snaive</t>
        </is>
      </c>
    </row>
    <row r="1750">
      <c r="A1750" s="1" t="n">
        <v>4064941008675</v>
      </c>
      <c r="B1750" t="inlineStr">
        <is>
          <t>KJ MU M LIQ K SET NEW MDIN 700 BARE 23IV</t>
        </is>
      </c>
      <c r="C1750" t="inlineStr">
        <is>
          <t>P_US_ULTA</t>
        </is>
      </c>
      <c r="D1750" t="inlineStr">
        <is>
          <t>Stat Fcst Weighted AOA</t>
        </is>
      </c>
    </row>
    <row r="1751">
      <c r="A1751" s="1" t="n">
        <v>4064941008675</v>
      </c>
      <c r="B1751" t="inlineStr">
        <is>
          <t>KJ MU M LIQ K SET NEW MDIN 700 BARE 23IV</t>
        </is>
      </c>
      <c r="C1751" t="inlineStr">
        <is>
          <t>P_US_ULTA</t>
        </is>
      </c>
      <c r="D1751" t="inlineStr">
        <is>
          <t>Stat Fcst Growth Snaive</t>
        </is>
      </c>
    </row>
    <row r="1752">
      <c r="A1752" s="1" t="n">
        <v>4064941008675</v>
      </c>
      <c r="B1752" t="inlineStr">
        <is>
          <t>KJ MU M LIQ K SET NEW MDIN 700 BARE 23IV</t>
        </is>
      </c>
      <c r="C1752" t="inlineStr">
        <is>
          <t>P_US_ULTA</t>
        </is>
      </c>
      <c r="D1752" t="inlineStr">
        <is>
          <t>Stat Fcst Growth AOA</t>
        </is>
      </c>
    </row>
    <row r="1753">
      <c r="A1753" s="1" t="n">
        <v>4064941008675</v>
      </c>
      <c r="B1753" t="inlineStr">
        <is>
          <t>KJ MU M LIQ K SET NEW MDIN 700 BARE 23IV</t>
        </is>
      </c>
      <c r="C1753" t="inlineStr">
        <is>
          <t>P_US_ULTA</t>
        </is>
      </c>
      <c r="D1753" t="inlineStr">
        <is>
          <t>System Stat Fcst Bestfit</t>
        </is>
      </c>
      <c r="H1753" t="n">
        <v>184.849451278166</v>
      </c>
      <c r="I1753" t="n">
        <v>553.466495822865</v>
      </c>
      <c r="J1753" t="n">
        <v>1060.91512951507</v>
      </c>
      <c r="K1753" t="n">
        <v>1002.26046817718</v>
      </c>
      <c r="L1753" t="n">
        <v>1018.5474243164</v>
      </c>
      <c r="M1753" t="n">
        <v>1050.79525676979</v>
      </c>
      <c r="N1753" t="n">
        <v>788.1773799088199</v>
      </c>
      <c r="O1753" t="n">
        <v>1038.52792315101</v>
      </c>
      <c r="P1753" t="n">
        <v>531.624881890601</v>
      </c>
    </row>
    <row r="1754">
      <c r="A1754" s="1" t="n">
        <v>4064941008682</v>
      </c>
      <c r="B1754" t="inlineStr">
        <is>
          <t>KJ MU M LIQ K SET NWMDIN704 SWTRWTR 23IV</t>
        </is>
      </c>
      <c r="C1754" t="inlineStr">
        <is>
          <t>P_US_ALL_OTHERS</t>
        </is>
      </c>
      <c r="D1754" t="inlineStr">
        <is>
          <t>Stat Fcst L1</t>
        </is>
      </c>
      <c r="E1754" t="n">
        <v>20.9999993741512</v>
      </c>
      <c r="F1754" t="n">
        <v>8.99999973177909</v>
      </c>
      <c r="G1754" t="n">
        <v>21</v>
      </c>
      <c r="H1754" t="n">
        <v>17</v>
      </c>
      <c r="I1754" t="n">
        <v>18</v>
      </c>
      <c r="J1754" t="n">
        <v>17</v>
      </c>
      <c r="K1754" t="n">
        <v>18</v>
      </c>
      <c r="L1754" t="n">
        <v>16</v>
      </c>
      <c r="M1754" t="n">
        <v>18</v>
      </c>
      <c r="N1754" t="n">
        <v>17</v>
      </c>
      <c r="O1754" t="n">
        <v>18</v>
      </c>
      <c r="P1754" t="n">
        <v>17</v>
      </c>
    </row>
    <row r="1755">
      <c r="A1755" s="1" t="n">
        <v>4064941008682</v>
      </c>
      <c r="B1755" t="inlineStr">
        <is>
          <t>KJ MU M LIQ K SET NWMDIN704 SWTRWTR 23IV</t>
        </is>
      </c>
      <c r="C1755" t="inlineStr">
        <is>
          <t>P_US_ALL_OTHERS</t>
        </is>
      </c>
      <c r="D1755" t="inlineStr">
        <is>
          <t>Stat Fcst AR-NNET</t>
        </is>
      </c>
    </row>
    <row r="1756">
      <c r="A1756" s="1" t="n">
        <v>4064941008682</v>
      </c>
      <c r="B1756" t="inlineStr">
        <is>
          <t>KJ MU M LIQ K SET NWMDIN704 SWTRWTR 23IV</t>
        </is>
      </c>
      <c r="C1756" t="inlineStr">
        <is>
          <t>P_US_ALL_OTHERS</t>
        </is>
      </c>
      <c r="D1756" t="inlineStr">
        <is>
          <t>Stat Fcst Auto ARIMA</t>
        </is>
      </c>
    </row>
    <row r="1757">
      <c r="A1757" s="1" t="n">
        <v>4064941008682</v>
      </c>
      <c r="B1757" t="inlineStr">
        <is>
          <t>KJ MU M LIQ K SET NWMDIN704 SWTRWTR 23IV</t>
        </is>
      </c>
      <c r="C1757" t="inlineStr">
        <is>
          <t>P_US_ALL_OTHERS</t>
        </is>
      </c>
      <c r="D1757" t="inlineStr">
        <is>
          <t>Stat Fcst Croston</t>
        </is>
      </c>
    </row>
    <row r="1758">
      <c r="A1758" s="1" t="n">
        <v>4064941008682</v>
      </c>
      <c r="B1758" t="inlineStr">
        <is>
          <t>KJ MU M LIQ K SET NWMDIN704 SWTRWTR 23IV</t>
        </is>
      </c>
      <c r="C1758" t="inlineStr">
        <is>
          <t>P_US_ALL_OTHERS</t>
        </is>
      </c>
      <c r="D1758" t="inlineStr">
        <is>
          <t>Stat Fcst DES</t>
        </is>
      </c>
      <c r="E1758" t="n">
        <v>13.4425324419687</v>
      </c>
      <c r="F1758" t="n">
        <v>13.1091529399973</v>
      </c>
      <c r="G1758" t="n">
        <v>16.84187144571</v>
      </c>
      <c r="H1758" t="n">
        <v>16.6239162289359</v>
      </c>
      <c r="I1758" t="n">
        <v>16.430300221293</v>
      </c>
      <c r="J1758" t="n">
        <v>16.2583032518989</v>
      </c>
      <c r="K1758" t="n">
        <v>16.1055129233959</v>
      </c>
      <c r="L1758" t="n">
        <v>15.9697844522309</v>
      </c>
      <c r="M1758" t="n">
        <v>15.8492112459269</v>
      </c>
      <c r="N1758" t="n">
        <v>15.7421030121818</v>
      </c>
      <c r="O1758" t="n">
        <v>15.6469537250945</v>
      </c>
      <c r="P1758" t="n">
        <v>15.5624305187848</v>
      </c>
    </row>
    <row r="1759">
      <c r="A1759" s="1" t="n">
        <v>4064941008682</v>
      </c>
      <c r="B1759" t="inlineStr">
        <is>
          <t>KJ MU M LIQ K SET NWMDIN704 SWTRWTR 23IV</t>
        </is>
      </c>
      <c r="C1759" t="inlineStr">
        <is>
          <t>P_US_ALL_OTHERS</t>
        </is>
      </c>
      <c r="D1759" t="inlineStr">
        <is>
          <t>Stat Fcst ETS</t>
        </is>
      </c>
    </row>
    <row r="1760">
      <c r="A1760" s="1" t="n">
        <v>4064941008682</v>
      </c>
      <c r="B1760" t="inlineStr">
        <is>
          <t>KJ MU M LIQ K SET NWMDIN704 SWTRWTR 23IV</t>
        </is>
      </c>
      <c r="C1760" t="inlineStr">
        <is>
          <t>P_US_ALL_OTHERS</t>
        </is>
      </c>
      <c r="D1760" t="inlineStr">
        <is>
          <t>Stat Fcst Moving Average</t>
        </is>
      </c>
      <c r="E1760" t="n">
        <v>31.9599990475177</v>
      </c>
      <c r="F1760" t="n">
        <v>31.1499990716576</v>
      </c>
      <c r="G1760" t="n">
        <v>19.2000001430511</v>
      </c>
      <c r="H1760" t="n">
        <v>17.8399994683265</v>
      </c>
      <c r="I1760" t="n">
        <v>17.2100001282244</v>
      </c>
      <c r="J1760" t="n">
        <v>16.8499994978308</v>
      </c>
      <c r="K1760" t="n">
        <v>16.0199995225667</v>
      </c>
      <c r="L1760" t="n">
        <v>17.42</v>
      </c>
      <c r="M1760" t="n">
        <v>17.0699994912743</v>
      </c>
      <c r="N1760" t="n">
        <v>16.9100002519786</v>
      </c>
      <c r="O1760" t="n">
        <v>16.8499994978308</v>
      </c>
      <c r="P1760" t="n">
        <v>16.8500001255422</v>
      </c>
    </row>
    <row r="1761">
      <c r="A1761" s="1" t="n">
        <v>4064941008682</v>
      </c>
      <c r="B1761" t="inlineStr">
        <is>
          <t>KJ MU M LIQ K SET NWMDIN704 SWTRWTR 23IV</t>
        </is>
      </c>
      <c r="C1761" t="inlineStr">
        <is>
          <t>P_US_ALL_OTHERS</t>
        </is>
      </c>
      <c r="D1761" t="inlineStr">
        <is>
          <t>Stat Fcst Naive Random Walk</t>
        </is>
      </c>
    </row>
    <row r="1762">
      <c r="A1762" s="1" t="n">
        <v>4064941008682</v>
      </c>
      <c r="B1762" t="inlineStr">
        <is>
          <t>KJ MU M LIQ K SET NWMDIN704 SWTRWTR 23IV</t>
        </is>
      </c>
      <c r="C1762" t="inlineStr">
        <is>
          <t>P_US_ALL_OTHERS</t>
        </is>
      </c>
      <c r="D1762" t="inlineStr">
        <is>
          <t>Stat Fcst Prophet</t>
        </is>
      </c>
    </row>
    <row r="1763">
      <c r="A1763" s="1" t="n">
        <v>4064941008682</v>
      </c>
      <c r="B1763" t="inlineStr">
        <is>
          <t>KJ MU M LIQ K SET NWMDIN704 SWTRWTR 23IV</t>
        </is>
      </c>
      <c r="C1763" t="inlineStr">
        <is>
          <t>P_US_ALL_OTHERS</t>
        </is>
      </c>
      <c r="D1763" t="inlineStr">
        <is>
          <t>Stat Fcst sARIMA</t>
        </is>
      </c>
    </row>
    <row r="1764">
      <c r="A1764" s="1" t="n">
        <v>4064941008682</v>
      </c>
      <c r="B1764" t="inlineStr">
        <is>
          <t>KJ MU M LIQ K SET NWMDIN704 SWTRWTR 23IV</t>
        </is>
      </c>
      <c r="C1764" t="inlineStr">
        <is>
          <t>P_US_ALL_OTHERS</t>
        </is>
      </c>
      <c r="D1764" t="inlineStr">
        <is>
          <t>Stat Fcst Seasonal Naive YoY</t>
        </is>
      </c>
    </row>
    <row r="1765">
      <c r="A1765" s="1" t="n">
        <v>4064941008682</v>
      </c>
      <c r="B1765" t="inlineStr">
        <is>
          <t>KJ MU M LIQ K SET NWMDIN704 SWTRWTR 23IV</t>
        </is>
      </c>
      <c r="C1765" t="inlineStr">
        <is>
          <t>P_US_ALL_OTHERS</t>
        </is>
      </c>
      <c r="D1765" t="inlineStr">
        <is>
          <t>Stat Fcst SES</t>
        </is>
      </c>
    </row>
    <row r="1766">
      <c r="A1766" s="1" t="n">
        <v>4064941008682</v>
      </c>
      <c r="B1766" t="inlineStr">
        <is>
          <t>KJ MU M LIQ K SET NWMDIN704 SWTRWTR 23IV</t>
        </is>
      </c>
      <c r="C1766" t="inlineStr">
        <is>
          <t>P_US_ALL_OTHERS</t>
        </is>
      </c>
      <c r="D1766" t="inlineStr">
        <is>
          <t>Stat Fcst STLF</t>
        </is>
      </c>
      <c r="E1766" t="n">
        <v>68.6117693109904</v>
      </c>
      <c r="F1766" t="n">
        <v>61.021490778081</v>
      </c>
      <c r="G1766" t="n">
        <v>10.7401356780665</v>
      </c>
      <c r="H1766" t="n">
        <v>4.13470111732899</v>
      </c>
      <c r="I1766" t="n">
        <v>10.8756112128945</v>
      </c>
      <c r="J1766" t="n">
        <v>26.7409927069062</v>
      </c>
      <c r="K1766" t="n">
        <v>4.95345392825855</v>
      </c>
      <c r="L1766" t="n">
        <v>12.3831277870317</v>
      </c>
      <c r="M1766" t="n">
        <v>31.5858172681982</v>
      </c>
      <c r="N1766" t="n">
        <v>19.466055719069</v>
      </c>
      <c r="O1766" t="n">
        <v>16.4201180262007</v>
      </c>
      <c r="P1766" t="n">
        <v>4.65060495431273</v>
      </c>
    </row>
    <row r="1767">
      <c r="A1767" s="1" t="n">
        <v>4064941008682</v>
      </c>
      <c r="B1767" t="inlineStr">
        <is>
          <t>KJ MU M LIQ K SET NWMDIN704 SWTRWTR 23IV</t>
        </is>
      </c>
      <c r="C1767" t="inlineStr">
        <is>
          <t>P_US_ALL_OTHERS</t>
        </is>
      </c>
      <c r="D1767" t="inlineStr">
        <is>
          <t>Stat Fcst TBATS</t>
        </is>
      </c>
    </row>
    <row r="1768">
      <c r="A1768" s="1" t="n">
        <v>4064941008682</v>
      </c>
      <c r="B1768" t="inlineStr">
        <is>
          <t>KJ MU M LIQ K SET NWMDIN704 SWTRWTR 23IV</t>
        </is>
      </c>
      <c r="C1768" t="inlineStr">
        <is>
          <t>P_US_ALL_OTHERS</t>
        </is>
      </c>
      <c r="D1768" t="inlineStr">
        <is>
          <t>Stat Fcst TES</t>
        </is>
      </c>
    </row>
    <row r="1769">
      <c r="A1769" s="1" t="n">
        <v>4064941008682</v>
      </c>
      <c r="B1769" t="inlineStr">
        <is>
          <t>KJ MU M LIQ K SET NWMDIN704 SWTRWTR 23IV</t>
        </is>
      </c>
      <c r="C1769" t="inlineStr">
        <is>
          <t>P_US_ALL_OTHERS</t>
        </is>
      </c>
      <c r="D1769" t="inlineStr">
        <is>
          <t>Stat Fcst Theta</t>
        </is>
      </c>
    </row>
    <row r="1770">
      <c r="A1770" s="1" t="n">
        <v>4064941008682</v>
      </c>
      <c r="B1770" t="inlineStr">
        <is>
          <t>KJ MU M LIQ K SET NWMDIN704 SWTRWTR 23IV</t>
        </is>
      </c>
      <c r="C1770" t="inlineStr">
        <is>
          <t>P_US_ALL_OTHERS</t>
        </is>
      </c>
      <c r="D1770" t="inlineStr">
        <is>
          <t>System ML Fcst L1</t>
        </is>
      </c>
    </row>
    <row r="1771">
      <c r="A1771" s="1" t="n">
        <v>4064941008682</v>
      </c>
      <c r="B1771" t="inlineStr">
        <is>
          <t>KJ MU M LIQ K SET NWMDIN704 SWTRWTR 23IV</t>
        </is>
      </c>
      <c r="C1771" t="inlineStr">
        <is>
          <t>P_US_ALL_OTHERS</t>
        </is>
      </c>
      <c r="D1771" t="inlineStr">
        <is>
          <t>Stat Fcst Simple Snaive</t>
        </is>
      </c>
    </row>
    <row r="1772">
      <c r="A1772" s="1" t="n">
        <v>4064941008682</v>
      </c>
      <c r="B1772" t="inlineStr">
        <is>
          <t>KJ MU M LIQ K SET NWMDIN704 SWTRWTR 23IV</t>
        </is>
      </c>
      <c r="C1772" t="inlineStr">
        <is>
          <t>P_US_ALL_OTHERS</t>
        </is>
      </c>
      <c r="D1772" t="inlineStr">
        <is>
          <t>Stat Fcst Simple AOA</t>
        </is>
      </c>
    </row>
    <row r="1773">
      <c r="A1773" s="1" t="n">
        <v>4064941008682</v>
      </c>
      <c r="B1773" t="inlineStr">
        <is>
          <t>KJ MU M LIQ K SET NWMDIN704 SWTRWTR 23IV</t>
        </is>
      </c>
      <c r="C1773" t="inlineStr">
        <is>
          <t>P_US_ALL_OTHERS</t>
        </is>
      </c>
      <c r="D1773" t="inlineStr">
        <is>
          <t>Stat Fcst Weighted Snaive</t>
        </is>
      </c>
    </row>
    <row r="1774">
      <c r="A1774" s="1" t="n">
        <v>4064941008682</v>
      </c>
      <c r="B1774" t="inlineStr">
        <is>
          <t>KJ MU M LIQ K SET NWMDIN704 SWTRWTR 23IV</t>
        </is>
      </c>
      <c r="C1774" t="inlineStr">
        <is>
          <t>P_US_ALL_OTHERS</t>
        </is>
      </c>
      <c r="D1774" t="inlineStr">
        <is>
          <t>Stat Fcst Weighted AOA</t>
        </is>
      </c>
      <c r="E1774" t="n">
        <v>22.9999983608722</v>
      </c>
      <c r="F1774" t="n">
        <v>20.9999993741512</v>
      </c>
      <c r="G1774" t="n">
        <v>45.6666701858242</v>
      </c>
      <c r="H1774" t="n">
        <v>54.9999980429808</v>
      </c>
      <c r="I1774" t="n">
        <v>59.1321822439544</v>
      </c>
      <c r="J1774" t="n">
        <v>67.79884644948891</v>
      </c>
      <c r="K1774" t="n">
        <v>56.6666643420855</v>
      </c>
      <c r="L1774" t="n">
        <v>57.4655151367187</v>
      </c>
      <c r="M1774" t="n">
        <v>48.9999979039033</v>
      </c>
      <c r="N1774" t="n">
        <v>48.0000007152557</v>
      </c>
      <c r="O1774" t="n">
        <v>37.6666655441125</v>
      </c>
      <c r="P1774" t="n">
        <v>35.0000002607703</v>
      </c>
    </row>
    <row r="1775">
      <c r="A1775" s="1" t="n">
        <v>4064941008682</v>
      </c>
      <c r="B1775" t="inlineStr">
        <is>
          <t>KJ MU M LIQ K SET NWMDIN704 SWTRWTR 23IV</t>
        </is>
      </c>
      <c r="C1775" t="inlineStr">
        <is>
          <t>P_US_ALL_OTHERS</t>
        </is>
      </c>
      <c r="D1775" t="inlineStr">
        <is>
          <t>Stat Fcst Growth Snaive</t>
        </is>
      </c>
    </row>
    <row r="1776">
      <c r="A1776" s="1" t="n">
        <v>4064941008682</v>
      </c>
      <c r="B1776" t="inlineStr">
        <is>
          <t>KJ MU M LIQ K SET NWMDIN704 SWTRWTR 23IV</t>
        </is>
      </c>
      <c r="C1776" t="inlineStr">
        <is>
          <t>P_US_ALL_OTHERS</t>
        </is>
      </c>
      <c r="D1776" t="inlineStr">
        <is>
          <t>Stat Fcst Growth AOA</t>
        </is>
      </c>
    </row>
    <row r="1777">
      <c r="A1777" s="1" t="n">
        <v>4064941008682</v>
      </c>
      <c r="B1777" t="inlineStr">
        <is>
          <t>KJ MU M LIQ K SET NWMDIN704 SWTRWTR 23IV</t>
        </is>
      </c>
      <c r="C1777" t="inlineStr">
        <is>
          <t>P_US_ALL_OTHERS</t>
        </is>
      </c>
      <c r="D1777" t="inlineStr">
        <is>
          <t>System Stat Fcst Bestfit</t>
        </is>
      </c>
      <c r="H1777" t="n">
        <v>17.8399996209144</v>
      </c>
      <c r="I1777" t="n">
        <v>17.2099992126971</v>
      </c>
      <c r="J1777" t="n">
        <v>16.8499998793005</v>
      </c>
      <c r="K1777" t="n">
        <v>16.0199999803304</v>
      </c>
      <c r="L1777" t="n">
        <v>17.4200000762939</v>
      </c>
      <c r="M1777" t="n">
        <v>17.0699991860985</v>
      </c>
      <c r="N1777" t="n">
        <v>16.9100000993907</v>
      </c>
      <c r="O1777" t="n">
        <v>16.8499998793005</v>
      </c>
      <c r="P1777" t="n">
        <v>16.850000507012</v>
      </c>
    </row>
    <row r="1778">
      <c r="A1778" s="1" t="n">
        <v>4064941008682</v>
      </c>
      <c r="B1778" t="inlineStr">
        <is>
          <t>KJ MU M LIQ K SET NWMDIN704 SWTRWTR 23IV</t>
        </is>
      </c>
      <c r="C1778" t="inlineStr">
        <is>
          <t>P_US_ULTA</t>
        </is>
      </c>
      <c r="D1778" t="inlineStr">
        <is>
          <t>Stat Fcst L1</t>
        </is>
      </c>
      <c r="E1778" t="n">
        <v>554.999983459711</v>
      </c>
      <c r="F1778" t="n">
        <v>867.9999741315841</v>
      </c>
      <c r="G1778" t="n">
        <v>741</v>
      </c>
      <c r="H1778" t="n">
        <v>749</v>
      </c>
      <c r="I1778" t="n">
        <v>750</v>
      </c>
      <c r="J1778" t="n">
        <v>749</v>
      </c>
      <c r="K1778" t="n">
        <v>748</v>
      </c>
      <c r="L1778" t="n">
        <v>748</v>
      </c>
      <c r="M1778" t="n">
        <v>748</v>
      </c>
      <c r="N1778" t="n">
        <v>746</v>
      </c>
      <c r="O1778" t="n">
        <v>748</v>
      </c>
      <c r="P1778" t="n">
        <v>746</v>
      </c>
    </row>
    <row r="1779">
      <c r="A1779" s="1" t="n">
        <v>4064941008682</v>
      </c>
      <c r="B1779" t="inlineStr">
        <is>
          <t>KJ MU M LIQ K SET NWMDIN704 SWTRWTR 23IV</t>
        </is>
      </c>
      <c r="C1779" t="inlineStr">
        <is>
          <t>P_US_ULTA</t>
        </is>
      </c>
      <c r="D1779" t="inlineStr">
        <is>
          <t>Stat Fcst AR-NNET</t>
        </is>
      </c>
    </row>
    <row r="1780">
      <c r="A1780" s="1" t="n">
        <v>4064941008682</v>
      </c>
      <c r="B1780" t="inlineStr">
        <is>
          <t>KJ MU M LIQ K SET NWMDIN704 SWTRWTR 23IV</t>
        </is>
      </c>
      <c r="C1780" t="inlineStr">
        <is>
          <t>P_US_ULTA</t>
        </is>
      </c>
      <c r="D1780" t="inlineStr">
        <is>
          <t>Stat Fcst Auto ARIMA</t>
        </is>
      </c>
    </row>
    <row r="1781">
      <c r="A1781" s="1" t="n">
        <v>4064941008682</v>
      </c>
      <c r="B1781" t="inlineStr">
        <is>
          <t>KJ MU M LIQ K SET NWMDIN704 SWTRWTR 23IV</t>
        </is>
      </c>
      <c r="C1781" t="inlineStr">
        <is>
          <t>P_US_ULTA</t>
        </is>
      </c>
      <c r="D1781" t="inlineStr">
        <is>
          <t>Stat Fcst Croston</t>
        </is>
      </c>
    </row>
    <row r="1782">
      <c r="A1782" s="1" t="n">
        <v>4064941008682</v>
      </c>
      <c r="B1782" t="inlineStr">
        <is>
          <t>KJ MU M LIQ K SET NWMDIN704 SWTRWTR 23IV</t>
        </is>
      </c>
      <c r="C1782" t="inlineStr">
        <is>
          <t>P_US_ULTA</t>
        </is>
      </c>
      <c r="D1782" t="inlineStr">
        <is>
          <t>Stat Fcst DES</t>
        </is>
      </c>
      <c r="E1782" t="n">
        <v>800.259820860231</v>
      </c>
      <c r="F1782" t="n">
        <v>800.128152835912</v>
      </c>
      <c r="G1782" t="n">
        <v>749.126735709189</v>
      </c>
      <c r="H1782" t="n">
        <v>748.7034598226739</v>
      </c>
      <c r="I1782" t="n">
        <v>748.323634554984</v>
      </c>
      <c r="J1782" t="n">
        <v>747.9826991749781</v>
      </c>
      <c r="K1782" t="n">
        <v>747.676744289501</v>
      </c>
      <c r="L1782" t="n">
        <v>747.402180668282</v>
      </c>
      <c r="M1782" t="n">
        <v>747.155725283693</v>
      </c>
      <c r="N1782" t="n">
        <v>746.934591896141</v>
      </c>
      <c r="O1782" t="n">
        <v>746.736067549155</v>
      </c>
      <c r="P1782" t="n">
        <v>746.557955315751</v>
      </c>
    </row>
    <row r="1783">
      <c r="A1783" s="1" t="n">
        <v>4064941008682</v>
      </c>
      <c r="B1783" t="inlineStr">
        <is>
          <t>KJ MU M LIQ K SET NWMDIN704 SWTRWTR 23IV</t>
        </is>
      </c>
      <c r="C1783" t="inlineStr">
        <is>
          <t>P_US_ULTA</t>
        </is>
      </c>
      <c r="D1783" t="inlineStr">
        <is>
          <t>Stat Fcst ETS</t>
        </is>
      </c>
    </row>
    <row r="1784">
      <c r="A1784" s="1" t="n">
        <v>4064941008682</v>
      </c>
      <c r="B1784" t="inlineStr">
        <is>
          <t>KJ MU M LIQ K SET NWMDIN704 SWTRWTR 23IV</t>
        </is>
      </c>
      <c r="C1784" t="inlineStr">
        <is>
          <t>P_US_ULTA</t>
        </is>
      </c>
      <c r="D1784" t="inlineStr">
        <is>
          <t>Stat Fcst Moving Average</t>
        </is>
      </c>
    </row>
    <row r="1785">
      <c r="A1785" s="1" t="n">
        <v>4064941008682</v>
      </c>
      <c r="B1785" t="inlineStr">
        <is>
          <t>KJ MU M LIQ K SET NWMDIN704 SWTRWTR 23IV</t>
        </is>
      </c>
      <c r="C1785" t="inlineStr">
        <is>
          <t>P_US_ULTA</t>
        </is>
      </c>
      <c r="D1785" t="inlineStr">
        <is>
          <t>Stat Fcst Naive Random Walk</t>
        </is>
      </c>
    </row>
    <row r="1786">
      <c r="A1786" s="1" t="n">
        <v>4064941008682</v>
      </c>
      <c r="B1786" t="inlineStr">
        <is>
          <t>KJ MU M LIQ K SET NWMDIN704 SWTRWTR 23IV</t>
        </is>
      </c>
      <c r="C1786" t="inlineStr">
        <is>
          <t>P_US_ULTA</t>
        </is>
      </c>
      <c r="D1786" t="inlineStr">
        <is>
          <t>Stat Fcst Prophet</t>
        </is>
      </c>
    </row>
    <row r="1787">
      <c r="A1787" s="1" t="n">
        <v>4064941008682</v>
      </c>
      <c r="B1787" t="inlineStr">
        <is>
          <t>KJ MU M LIQ K SET NWMDIN704 SWTRWTR 23IV</t>
        </is>
      </c>
      <c r="C1787" t="inlineStr">
        <is>
          <t>P_US_ULTA</t>
        </is>
      </c>
      <c r="D1787" t="inlineStr">
        <is>
          <t>Stat Fcst sARIMA</t>
        </is>
      </c>
    </row>
    <row r="1788">
      <c r="A1788" s="1" t="n">
        <v>4064941008682</v>
      </c>
      <c r="B1788" t="inlineStr">
        <is>
          <t>KJ MU M LIQ K SET NWMDIN704 SWTRWTR 23IV</t>
        </is>
      </c>
      <c r="C1788" t="inlineStr">
        <is>
          <t>P_US_ULTA</t>
        </is>
      </c>
      <c r="D1788" t="inlineStr">
        <is>
          <t>Stat Fcst Seasonal Naive YoY</t>
        </is>
      </c>
    </row>
    <row r="1789">
      <c r="A1789" s="1" t="n">
        <v>4064941008682</v>
      </c>
      <c r="B1789" t="inlineStr">
        <is>
          <t>KJ MU M LIQ K SET NWMDIN704 SWTRWTR 23IV</t>
        </is>
      </c>
      <c r="C1789" t="inlineStr">
        <is>
          <t>P_US_ULTA</t>
        </is>
      </c>
      <c r="D1789" t="inlineStr">
        <is>
          <t>Stat Fcst SES</t>
        </is>
      </c>
    </row>
    <row r="1790">
      <c r="A1790" s="1" t="n">
        <v>4064941008682</v>
      </c>
      <c r="B1790" t="inlineStr">
        <is>
          <t>KJ MU M LIQ K SET NWMDIN704 SWTRWTR 23IV</t>
        </is>
      </c>
      <c r="C1790" t="inlineStr">
        <is>
          <t>P_US_ULTA</t>
        </is>
      </c>
      <c r="D1790" t="inlineStr">
        <is>
          <t>Stat Fcst STLF</t>
        </is>
      </c>
      <c r="E1790" t="n">
        <v>1674.54118797854</v>
      </c>
      <c r="F1790" t="n">
        <v>1651.84317564386</v>
      </c>
      <c r="G1790" t="n">
        <v>1086.94957471356</v>
      </c>
      <c r="H1790" t="n">
        <v>456.574502519388</v>
      </c>
      <c r="I1790" t="n">
        <v>1295.46705883249</v>
      </c>
      <c r="J1790" t="n">
        <v>399.339171138057</v>
      </c>
      <c r="K1790" t="n">
        <v>1375.63004113219</v>
      </c>
      <c r="L1790" t="n">
        <v>247.162977777427</v>
      </c>
      <c r="M1790" t="n">
        <v>292.643240751131</v>
      </c>
      <c r="N1790" t="n">
        <v>488.58172173675</v>
      </c>
      <c r="O1790" t="n">
        <v>708.112411407727</v>
      </c>
      <c r="P1790" t="n">
        <v>466.471008134656</v>
      </c>
    </row>
    <row r="1791">
      <c r="A1791" s="1" t="n">
        <v>4064941008682</v>
      </c>
      <c r="B1791" t="inlineStr">
        <is>
          <t>KJ MU M LIQ K SET NWMDIN704 SWTRWTR 23IV</t>
        </is>
      </c>
      <c r="C1791" t="inlineStr">
        <is>
          <t>P_US_ULTA</t>
        </is>
      </c>
      <c r="D1791" t="inlineStr">
        <is>
          <t>Stat Fcst TBATS</t>
        </is>
      </c>
    </row>
    <row r="1792">
      <c r="A1792" s="1" t="n">
        <v>4064941008682</v>
      </c>
      <c r="B1792" t="inlineStr">
        <is>
          <t>KJ MU M LIQ K SET NWMDIN704 SWTRWTR 23IV</t>
        </is>
      </c>
      <c r="C1792" t="inlineStr">
        <is>
          <t>P_US_ULTA</t>
        </is>
      </c>
      <c r="D1792" t="inlineStr">
        <is>
          <t>Stat Fcst TES</t>
        </is>
      </c>
    </row>
    <row r="1793">
      <c r="A1793" s="1" t="n">
        <v>4064941008682</v>
      </c>
      <c r="B1793" t="inlineStr">
        <is>
          <t>KJ MU M LIQ K SET NWMDIN704 SWTRWTR 23IV</t>
        </is>
      </c>
      <c r="C1793" t="inlineStr">
        <is>
          <t>P_US_ULTA</t>
        </is>
      </c>
      <c r="D1793" t="inlineStr">
        <is>
          <t>Stat Fcst Theta</t>
        </is>
      </c>
    </row>
    <row r="1794">
      <c r="A1794" s="1" t="n">
        <v>4064941008682</v>
      </c>
      <c r="B1794" t="inlineStr">
        <is>
          <t>KJ MU M LIQ K SET NWMDIN704 SWTRWTR 23IV</t>
        </is>
      </c>
      <c r="C1794" t="inlineStr">
        <is>
          <t>P_US_ULTA</t>
        </is>
      </c>
      <c r="D1794" t="inlineStr">
        <is>
          <t>System ML Fcst L1</t>
        </is>
      </c>
    </row>
    <row r="1795">
      <c r="A1795" s="1" t="n">
        <v>4064941008682</v>
      </c>
      <c r="B1795" t="inlineStr">
        <is>
          <t>KJ MU M LIQ K SET NWMDIN704 SWTRWTR 23IV</t>
        </is>
      </c>
      <c r="C1795" t="inlineStr">
        <is>
          <t>P_US_ULTA</t>
        </is>
      </c>
      <c r="D1795" t="inlineStr">
        <is>
          <t>Stat Fcst Simple Snaive</t>
        </is>
      </c>
    </row>
    <row r="1796">
      <c r="A1796" s="1" t="n">
        <v>4064941008682</v>
      </c>
      <c r="B1796" t="inlineStr">
        <is>
          <t>KJ MU M LIQ K SET NWMDIN704 SWTRWTR 23IV</t>
        </is>
      </c>
      <c r="C1796" t="inlineStr">
        <is>
          <t>P_US_ULTA</t>
        </is>
      </c>
      <c r="D1796" t="inlineStr">
        <is>
          <t>Stat Fcst Simple AOA</t>
        </is>
      </c>
    </row>
    <row r="1797">
      <c r="A1797" s="1" t="n">
        <v>4064941008682</v>
      </c>
      <c r="B1797" t="inlineStr">
        <is>
          <t>KJ MU M LIQ K SET NWMDIN704 SWTRWTR 23IV</t>
        </is>
      </c>
      <c r="C1797" t="inlineStr">
        <is>
          <t>P_US_ULTA</t>
        </is>
      </c>
      <c r="D1797" t="inlineStr">
        <is>
          <t>Stat Fcst Weighted Snaive</t>
        </is>
      </c>
    </row>
    <row r="1798">
      <c r="A1798" s="1" t="n">
        <v>4064941008682</v>
      </c>
      <c r="B1798" t="inlineStr">
        <is>
          <t>KJ MU M LIQ K SET NWMDIN704 SWTRWTR 23IV</t>
        </is>
      </c>
      <c r="C1798" t="inlineStr">
        <is>
          <t>P_US_ULTA</t>
        </is>
      </c>
      <c r="D1798" t="inlineStr">
        <is>
          <t>Stat Fcst Weighted AOA</t>
        </is>
      </c>
      <c r="E1798" t="n">
        <v>564.99995264411</v>
      </c>
      <c r="F1798" t="n">
        <v>749.499977663159</v>
      </c>
      <c r="G1798" t="n">
        <v>874.652675787503</v>
      </c>
      <c r="H1798" t="n">
        <v>581.333275318146</v>
      </c>
      <c r="I1798" t="n">
        <v>1233.33334252238</v>
      </c>
      <c r="J1798" t="n">
        <v>935.333285113176</v>
      </c>
      <c r="K1798" t="n">
        <v>1119.66659260789</v>
      </c>
      <c r="L1798" t="n">
        <v>711</v>
      </c>
      <c r="M1798" t="n">
        <v>651.999980568885</v>
      </c>
      <c r="N1798" t="n">
        <v>737.333344320456</v>
      </c>
      <c r="O1798" t="n">
        <v>857.333287437757</v>
      </c>
      <c r="P1798" t="n">
        <v>528.6666909505921</v>
      </c>
    </row>
    <row r="1799">
      <c r="A1799" s="1" t="n">
        <v>4064941008682</v>
      </c>
      <c r="B1799" t="inlineStr">
        <is>
          <t>KJ MU M LIQ K SET NWMDIN704 SWTRWTR 23IV</t>
        </is>
      </c>
      <c r="C1799" t="inlineStr">
        <is>
          <t>P_US_ULTA</t>
        </is>
      </c>
      <c r="D1799" t="inlineStr">
        <is>
          <t>Stat Fcst Growth Snaive</t>
        </is>
      </c>
    </row>
    <row r="1800">
      <c r="A1800" s="1" t="n">
        <v>4064941008682</v>
      </c>
      <c r="B1800" t="inlineStr">
        <is>
          <t>KJ MU M LIQ K SET NWMDIN704 SWTRWTR 23IV</t>
        </is>
      </c>
      <c r="C1800" t="inlineStr">
        <is>
          <t>P_US_ULTA</t>
        </is>
      </c>
      <c r="D1800" t="inlineStr">
        <is>
          <t>Stat Fcst Growth AOA</t>
        </is>
      </c>
    </row>
    <row r="1801">
      <c r="A1801" s="1" t="n">
        <v>4064941008682</v>
      </c>
      <c r="B1801" t="inlineStr">
        <is>
          <t>KJ MU M LIQ K SET NWMDIN704 SWTRWTR 23IV</t>
        </is>
      </c>
      <c r="C1801" t="inlineStr">
        <is>
          <t>P_US_ULTA</t>
        </is>
      </c>
      <c r="D1801" t="inlineStr">
        <is>
          <t>System Stat Fcst Bestfit</t>
        </is>
      </c>
      <c r="H1801" t="n">
        <v>748.703468897834</v>
      </c>
      <c r="I1801" t="n">
        <v>748.3236139738819</v>
      </c>
      <c r="J1801" t="n">
        <v>747.982704759158</v>
      </c>
      <c r="K1801" t="n">
        <v>747.676735529996</v>
      </c>
      <c r="L1801" t="n">
        <v>747.402160644531</v>
      </c>
      <c r="M1801" t="n">
        <v>747.155739451773</v>
      </c>
      <c r="N1801" t="n">
        <v>746.934581442692</v>
      </c>
      <c r="O1801" t="n">
        <v>746.736061729905</v>
      </c>
      <c r="P1801" t="n">
        <v>746.557988960727</v>
      </c>
    </row>
    <row r="1802">
      <c r="A1802" s="1" t="n">
        <v>4064941008699</v>
      </c>
      <c r="B1802" t="inlineStr">
        <is>
          <t>KJ MU M LIQ K SET NWMDIN703 DOLCE K 23IV</t>
        </is>
      </c>
      <c r="C1802" t="inlineStr">
        <is>
          <t>P_US_ALL_OTHERS</t>
        </is>
      </c>
      <c r="D1802" t="inlineStr">
        <is>
          <t>Stat Fcst L1</t>
        </is>
      </c>
      <c r="E1802" t="n">
        <v>21.9999993443489</v>
      </c>
      <c r="F1802" t="n">
        <v>32.9354829192161</v>
      </c>
      <c r="G1802" t="n">
        <v>18</v>
      </c>
      <c r="H1802" t="n">
        <v>19</v>
      </c>
      <c r="I1802" t="n">
        <v>22</v>
      </c>
      <c r="J1802" t="n">
        <v>18</v>
      </c>
      <c r="K1802" t="n">
        <v>18</v>
      </c>
      <c r="L1802" t="n">
        <v>20</v>
      </c>
      <c r="M1802" t="n">
        <v>18</v>
      </c>
      <c r="N1802" t="n">
        <v>18</v>
      </c>
      <c r="O1802" t="n">
        <v>18</v>
      </c>
      <c r="P1802" t="n">
        <v>18</v>
      </c>
    </row>
    <row r="1803">
      <c r="A1803" s="1" t="n">
        <v>4064941008699</v>
      </c>
      <c r="B1803" t="inlineStr">
        <is>
          <t>KJ MU M LIQ K SET NWMDIN703 DOLCE K 23IV</t>
        </is>
      </c>
      <c r="C1803" t="inlineStr">
        <is>
          <t>P_US_ALL_OTHERS</t>
        </is>
      </c>
      <c r="D1803" t="inlineStr">
        <is>
          <t>Stat Fcst AR-NNET</t>
        </is>
      </c>
    </row>
    <row r="1804">
      <c r="A1804" s="1" t="n">
        <v>4064941008699</v>
      </c>
      <c r="B1804" t="inlineStr">
        <is>
          <t>KJ MU M LIQ K SET NWMDIN703 DOLCE K 23IV</t>
        </is>
      </c>
      <c r="C1804" t="inlineStr">
        <is>
          <t>P_US_ALL_OTHERS</t>
        </is>
      </c>
      <c r="D1804" t="inlineStr">
        <is>
          <t>Stat Fcst Auto ARIMA</t>
        </is>
      </c>
    </row>
    <row r="1805">
      <c r="A1805" s="1" t="n">
        <v>4064941008699</v>
      </c>
      <c r="B1805" t="inlineStr">
        <is>
          <t>KJ MU M LIQ K SET NWMDIN703 DOLCE K 23IV</t>
        </is>
      </c>
      <c r="C1805" t="inlineStr">
        <is>
          <t>P_US_ALL_OTHERS</t>
        </is>
      </c>
      <c r="D1805" t="inlineStr">
        <is>
          <t>Stat Fcst Croston</t>
        </is>
      </c>
    </row>
    <row r="1806">
      <c r="A1806" s="1" t="n">
        <v>4064941008699</v>
      </c>
      <c r="B1806" t="inlineStr">
        <is>
          <t>KJ MU M LIQ K SET NWMDIN703 DOLCE K 23IV</t>
        </is>
      </c>
      <c r="C1806" t="inlineStr">
        <is>
          <t>P_US_ALL_OTHERS</t>
        </is>
      </c>
      <c r="D1806" t="inlineStr">
        <is>
          <t>Stat Fcst DES</t>
        </is>
      </c>
      <c r="E1806" t="n">
        <v>20.0443154517077</v>
      </c>
      <c r="F1806" t="n">
        <v>19.7932364307486</v>
      </c>
      <c r="G1806" t="n">
        <v>19.5923961514805</v>
      </c>
      <c r="H1806" t="n">
        <v>19.4317120488834</v>
      </c>
      <c r="I1806" t="n">
        <v>19.3031660698035</v>
      </c>
      <c r="J1806" t="n">
        <v>19.2003279921615</v>
      </c>
      <c r="K1806" t="n">
        <v>19.1180581053271</v>
      </c>
      <c r="L1806" t="n">
        <v>19.0522427636607</v>
      </c>
      <c r="M1806" t="n">
        <v>18.9995894682856</v>
      </c>
      <c r="N1806" t="n">
        <v>18.9574681336912</v>
      </c>
      <c r="O1806" t="n">
        <v>18.9237695405789</v>
      </c>
      <c r="P1806" t="n">
        <v>18.8968120480221</v>
      </c>
    </row>
    <row r="1807">
      <c r="A1807" s="1" t="n">
        <v>4064941008699</v>
      </c>
      <c r="B1807" t="inlineStr">
        <is>
          <t>KJ MU M LIQ K SET NWMDIN703 DOLCE K 23IV</t>
        </is>
      </c>
      <c r="C1807" t="inlineStr">
        <is>
          <t>P_US_ALL_OTHERS</t>
        </is>
      </c>
      <c r="D1807" t="inlineStr">
        <is>
          <t>Stat Fcst ETS</t>
        </is>
      </c>
    </row>
    <row r="1808">
      <c r="A1808" s="1" t="n">
        <v>4064941008699</v>
      </c>
      <c r="B1808" t="inlineStr">
        <is>
          <t>KJ MU M LIQ K SET NWMDIN703 DOLCE K 23IV</t>
        </is>
      </c>
      <c r="C1808" t="inlineStr">
        <is>
          <t>P_US_ALL_OTHERS</t>
        </is>
      </c>
      <c r="D1808" t="inlineStr">
        <is>
          <t>Stat Fcst Moving Average</t>
        </is>
      </c>
      <c r="E1808" t="n">
        <v>21.5999989748001</v>
      </c>
      <c r="F1808" t="n">
        <v>22.9999989330768</v>
      </c>
      <c r="G1808" t="n">
        <v>22.2000001654028</v>
      </c>
      <c r="H1808" t="n">
        <v>21.6399993550777</v>
      </c>
      <c r="I1808" t="n">
        <v>21.1700001577287</v>
      </c>
      <c r="J1808" t="n">
        <v>23.9999992847442</v>
      </c>
      <c r="K1808" t="n">
        <v>24.3999992728233</v>
      </c>
      <c r="L1808" t="n">
        <v>22.68</v>
      </c>
      <c r="M1808" t="n">
        <v>22.779999321103</v>
      </c>
      <c r="N1808" t="n">
        <v>23.0100003428757</v>
      </c>
      <c r="O1808" t="n">
        <v>23.3699993035197</v>
      </c>
      <c r="P1808" t="n">
        <v>23.250000173226</v>
      </c>
    </row>
    <row r="1809">
      <c r="A1809" s="1" t="n">
        <v>4064941008699</v>
      </c>
      <c r="B1809" t="inlineStr">
        <is>
          <t>KJ MU M LIQ K SET NWMDIN703 DOLCE K 23IV</t>
        </is>
      </c>
      <c r="C1809" t="inlineStr">
        <is>
          <t>P_US_ALL_OTHERS</t>
        </is>
      </c>
      <c r="D1809" t="inlineStr">
        <is>
          <t>Stat Fcst Naive Random Walk</t>
        </is>
      </c>
    </row>
    <row r="1810">
      <c r="A1810" s="1" t="n">
        <v>4064941008699</v>
      </c>
      <c r="B1810" t="inlineStr">
        <is>
          <t>KJ MU M LIQ K SET NWMDIN703 DOLCE K 23IV</t>
        </is>
      </c>
      <c r="C1810" t="inlineStr">
        <is>
          <t>P_US_ALL_OTHERS</t>
        </is>
      </c>
      <c r="D1810" t="inlineStr">
        <is>
          <t>Stat Fcst Prophet</t>
        </is>
      </c>
    </row>
    <row r="1811">
      <c r="A1811" s="1" t="n">
        <v>4064941008699</v>
      </c>
      <c r="B1811" t="inlineStr">
        <is>
          <t>KJ MU M LIQ K SET NWMDIN703 DOLCE K 23IV</t>
        </is>
      </c>
      <c r="C1811" t="inlineStr">
        <is>
          <t>P_US_ALL_OTHERS</t>
        </is>
      </c>
      <c r="D1811" t="inlineStr">
        <is>
          <t>Stat Fcst sARIMA</t>
        </is>
      </c>
    </row>
    <row r="1812">
      <c r="A1812" s="1" t="n">
        <v>4064941008699</v>
      </c>
      <c r="B1812" t="inlineStr">
        <is>
          <t>KJ MU M LIQ K SET NWMDIN703 DOLCE K 23IV</t>
        </is>
      </c>
      <c r="C1812" t="inlineStr">
        <is>
          <t>P_US_ALL_OTHERS</t>
        </is>
      </c>
      <c r="D1812" t="inlineStr">
        <is>
          <t>Stat Fcst Seasonal Naive YoY</t>
        </is>
      </c>
    </row>
    <row r="1813">
      <c r="A1813" s="1" t="n">
        <v>4064941008699</v>
      </c>
      <c r="B1813" t="inlineStr">
        <is>
          <t>KJ MU M LIQ K SET NWMDIN703 DOLCE K 23IV</t>
        </is>
      </c>
      <c r="C1813" t="inlineStr">
        <is>
          <t>P_US_ALL_OTHERS</t>
        </is>
      </c>
      <c r="D1813" t="inlineStr">
        <is>
          <t>Stat Fcst SES</t>
        </is>
      </c>
      <c r="E1813" t="n">
        <v>33.2482497876006</v>
      </c>
      <c r="F1813" t="n">
        <v>33.2482385393501</v>
      </c>
      <c r="G1813" t="n">
        <v>33.248239529704</v>
      </c>
      <c r="H1813" t="n">
        <v>33.2482382911106</v>
      </c>
      <c r="I1813" t="n">
        <v>33.248239529704</v>
      </c>
      <c r="J1813" t="n">
        <v>33.2482382911106</v>
      </c>
      <c r="K1813" t="n">
        <v>33.2482382911106</v>
      </c>
      <c r="L1813" t="n">
        <v>33.2482392819853</v>
      </c>
      <c r="M1813" t="n">
        <v>33.2482382911106</v>
      </c>
      <c r="N1813" t="n">
        <v>33.2482397774227</v>
      </c>
      <c r="O1813" t="n">
        <v>33.2482382911106</v>
      </c>
      <c r="P1813" t="n">
        <v>33.248239529704</v>
      </c>
    </row>
    <row r="1814">
      <c r="A1814" s="1" t="n">
        <v>4064941008699</v>
      </c>
      <c r="B1814" t="inlineStr">
        <is>
          <t>KJ MU M LIQ K SET NWMDIN703 DOLCE K 23IV</t>
        </is>
      </c>
      <c r="C1814" t="inlineStr">
        <is>
          <t>P_US_ALL_OTHERS</t>
        </is>
      </c>
      <c r="D1814" t="inlineStr">
        <is>
          <t>Stat Fcst STLF</t>
        </is>
      </c>
    </row>
    <row r="1815">
      <c r="A1815" s="1" t="n">
        <v>4064941008699</v>
      </c>
      <c r="B1815" t="inlineStr">
        <is>
          <t>KJ MU M LIQ K SET NWMDIN703 DOLCE K 23IV</t>
        </is>
      </c>
      <c r="C1815" t="inlineStr">
        <is>
          <t>P_US_ALL_OTHERS</t>
        </is>
      </c>
      <c r="D1815" t="inlineStr">
        <is>
          <t>Stat Fcst TBATS</t>
        </is>
      </c>
    </row>
    <row r="1816">
      <c r="A1816" s="1" t="n">
        <v>4064941008699</v>
      </c>
      <c r="B1816" t="inlineStr">
        <is>
          <t>KJ MU M LIQ K SET NWMDIN703 DOLCE K 23IV</t>
        </is>
      </c>
      <c r="C1816" t="inlineStr">
        <is>
          <t>P_US_ALL_OTHERS</t>
        </is>
      </c>
      <c r="D1816" t="inlineStr">
        <is>
          <t>Stat Fcst TES</t>
        </is>
      </c>
    </row>
    <row r="1817">
      <c r="A1817" s="1" t="n">
        <v>4064941008699</v>
      </c>
      <c r="B1817" t="inlineStr">
        <is>
          <t>KJ MU M LIQ K SET NWMDIN703 DOLCE K 23IV</t>
        </is>
      </c>
      <c r="C1817" t="inlineStr">
        <is>
          <t>P_US_ALL_OTHERS</t>
        </is>
      </c>
      <c r="D1817" t="inlineStr">
        <is>
          <t>Stat Fcst Theta</t>
        </is>
      </c>
    </row>
    <row r="1818">
      <c r="A1818" s="1" t="n">
        <v>4064941008699</v>
      </c>
      <c r="B1818" t="inlineStr">
        <is>
          <t>KJ MU M LIQ K SET NWMDIN703 DOLCE K 23IV</t>
        </is>
      </c>
      <c r="C1818" t="inlineStr">
        <is>
          <t>P_US_ALL_OTHERS</t>
        </is>
      </c>
      <c r="D1818" t="inlineStr">
        <is>
          <t>System ML Fcst L1</t>
        </is>
      </c>
    </row>
    <row r="1819">
      <c r="A1819" s="1" t="n">
        <v>4064941008699</v>
      </c>
      <c r="B1819" t="inlineStr">
        <is>
          <t>KJ MU M LIQ K SET NWMDIN703 DOLCE K 23IV</t>
        </is>
      </c>
      <c r="C1819" t="inlineStr">
        <is>
          <t>P_US_ALL_OTHERS</t>
        </is>
      </c>
      <c r="D1819" t="inlineStr">
        <is>
          <t>Stat Fcst Simple Snaive</t>
        </is>
      </c>
    </row>
    <row r="1820">
      <c r="A1820" s="1" t="n">
        <v>4064941008699</v>
      </c>
      <c r="B1820" t="inlineStr">
        <is>
          <t>KJ MU M LIQ K SET NWMDIN703 DOLCE K 23IV</t>
        </is>
      </c>
      <c r="C1820" t="inlineStr">
        <is>
          <t>P_US_ALL_OTHERS</t>
        </is>
      </c>
      <c r="D1820" t="inlineStr">
        <is>
          <t>Stat Fcst Simple AOA</t>
        </is>
      </c>
    </row>
    <row r="1821">
      <c r="A1821" s="1" t="n">
        <v>4064941008699</v>
      </c>
      <c r="B1821" t="inlineStr">
        <is>
          <t>KJ MU M LIQ K SET NWMDIN703 DOLCE K 23IV</t>
        </is>
      </c>
      <c r="C1821" t="inlineStr">
        <is>
          <t>P_US_ALL_OTHERS</t>
        </is>
      </c>
      <c r="D1821" t="inlineStr">
        <is>
          <t>Stat Fcst Weighted Snaive</t>
        </is>
      </c>
    </row>
    <row r="1822">
      <c r="A1822" s="1" t="n">
        <v>4064941008699</v>
      </c>
      <c r="B1822" t="inlineStr">
        <is>
          <t>KJ MU M LIQ K SET NWMDIN703 DOLCE K 23IV</t>
        </is>
      </c>
      <c r="C1822" t="inlineStr">
        <is>
          <t>P_US_ALL_OTHERS</t>
        </is>
      </c>
      <c r="D1822" t="inlineStr">
        <is>
          <t>Stat Fcst Weighted AOA</t>
        </is>
      </c>
    </row>
    <row r="1823">
      <c r="A1823" s="1" t="n">
        <v>4064941008699</v>
      </c>
      <c r="B1823" t="inlineStr">
        <is>
          <t>KJ MU M LIQ K SET NWMDIN703 DOLCE K 23IV</t>
        </is>
      </c>
      <c r="C1823" t="inlineStr">
        <is>
          <t>P_US_ALL_OTHERS</t>
        </is>
      </c>
      <c r="D1823" t="inlineStr">
        <is>
          <t>Stat Fcst Growth Snaive</t>
        </is>
      </c>
    </row>
    <row r="1824">
      <c r="A1824" s="1" t="n">
        <v>4064941008699</v>
      </c>
      <c r="B1824" t="inlineStr">
        <is>
          <t>KJ MU M LIQ K SET NWMDIN703 DOLCE K 23IV</t>
        </is>
      </c>
      <c r="C1824" t="inlineStr">
        <is>
          <t>P_US_ALL_OTHERS</t>
        </is>
      </c>
      <c r="D1824" t="inlineStr">
        <is>
          <t>Stat Fcst Growth AOA</t>
        </is>
      </c>
    </row>
    <row r="1825">
      <c r="A1825" s="1" t="n">
        <v>4064941008699</v>
      </c>
      <c r="B1825" t="inlineStr">
        <is>
          <t>KJ MU M LIQ K SET NWMDIN703 DOLCE K 23IV</t>
        </is>
      </c>
      <c r="C1825" t="inlineStr">
        <is>
          <t>P_US_ALL_OTHERS</t>
        </is>
      </c>
      <c r="D1825" t="inlineStr">
        <is>
          <t>System Stat Fcst Bestfit</t>
        </is>
      </c>
      <c r="H1825" t="n">
        <v>19.4317106177892</v>
      </c>
      <c r="I1825" t="n">
        <v>19.3031674869594</v>
      </c>
      <c r="J1825" t="n">
        <v>19.2003263473413</v>
      </c>
      <c r="K1825" t="n">
        <v>19.118056681214</v>
      </c>
      <c r="L1825" t="n">
        <v>19.0522422790527</v>
      </c>
      <c r="M1825" t="n">
        <v>18.999589353812</v>
      </c>
      <c r="N1825" t="n">
        <v>18.9574683153252</v>
      </c>
      <c r="O1825" t="n">
        <v>18.9237703405686</v>
      </c>
      <c r="P1825" t="n">
        <v>18.896812579757</v>
      </c>
    </row>
    <row r="1826">
      <c r="A1826" s="1" t="n">
        <v>4064941008699</v>
      </c>
      <c r="B1826" t="inlineStr">
        <is>
          <t>KJ MU M LIQ K SET NWMDIN703 DOLCE K 23IV</t>
        </is>
      </c>
      <c r="C1826" t="inlineStr">
        <is>
          <t>P_US_ULTA</t>
        </is>
      </c>
      <c r="D1826" t="inlineStr">
        <is>
          <t>Stat Fcst L1</t>
        </is>
      </c>
      <c r="E1826" t="n">
        <v>3190.99990490078</v>
      </c>
      <c r="F1826" t="n">
        <v>1690.58059650659</v>
      </c>
      <c r="G1826" t="n">
        <v>1547</v>
      </c>
      <c r="H1826" t="n">
        <v>2382</v>
      </c>
      <c r="I1826" t="n">
        <v>1050</v>
      </c>
      <c r="J1826" t="n">
        <v>2616</v>
      </c>
      <c r="K1826" t="n">
        <v>1705</v>
      </c>
      <c r="L1826" t="n">
        <v>3800</v>
      </c>
      <c r="M1826" t="n">
        <v>3618</v>
      </c>
      <c r="N1826" t="n">
        <v>1123</v>
      </c>
      <c r="O1826" t="n">
        <v>345</v>
      </c>
      <c r="P1826" t="n">
        <v>1218</v>
      </c>
    </row>
    <row r="1827">
      <c r="A1827" s="1" t="n">
        <v>4064941008699</v>
      </c>
      <c r="B1827" t="inlineStr">
        <is>
          <t>KJ MU M LIQ K SET NWMDIN703 DOLCE K 23IV</t>
        </is>
      </c>
      <c r="C1827" t="inlineStr">
        <is>
          <t>P_US_ULTA</t>
        </is>
      </c>
      <c r="D1827" t="inlineStr">
        <is>
          <t>Stat Fcst AR-NNET</t>
        </is>
      </c>
    </row>
    <row r="1828">
      <c r="A1828" s="1" t="n">
        <v>4064941008699</v>
      </c>
      <c r="B1828" t="inlineStr">
        <is>
          <t>KJ MU M LIQ K SET NWMDIN703 DOLCE K 23IV</t>
        </is>
      </c>
      <c r="C1828" t="inlineStr">
        <is>
          <t>P_US_ULTA</t>
        </is>
      </c>
      <c r="D1828" t="inlineStr">
        <is>
          <t>Stat Fcst Auto ARIMA</t>
        </is>
      </c>
    </row>
    <row r="1829">
      <c r="A1829" s="1" t="n">
        <v>4064941008699</v>
      </c>
      <c r="B1829" t="inlineStr">
        <is>
          <t>KJ MU M LIQ K SET NWMDIN703 DOLCE K 23IV</t>
        </is>
      </c>
      <c r="C1829" t="inlineStr">
        <is>
          <t>P_US_ULTA</t>
        </is>
      </c>
      <c r="D1829" t="inlineStr">
        <is>
          <t>Stat Fcst Croston</t>
        </is>
      </c>
    </row>
    <row r="1830">
      <c r="A1830" s="1" t="n">
        <v>4064941008699</v>
      </c>
      <c r="B1830" t="inlineStr">
        <is>
          <t>KJ MU M LIQ K SET NWMDIN703 DOLCE K 23IV</t>
        </is>
      </c>
      <c r="C1830" t="inlineStr">
        <is>
          <t>P_US_ULTA</t>
        </is>
      </c>
      <c r="D1830" t="inlineStr">
        <is>
          <t>Stat Fcst DES</t>
        </is>
      </c>
    </row>
    <row r="1831">
      <c r="A1831" s="1" t="n">
        <v>4064941008699</v>
      </c>
      <c r="B1831" t="inlineStr">
        <is>
          <t>KJ MU M LIQ K SET NWMDIN703 DOLCE K 23IV</t>
        </is>
      </c>
      <c r="C1831" t="inlineStr">
        <is>
          <t>P_US_ULTA</t>
        </is>
      </c>
      <c r="D1831" t="inlineStr">
        <is>
          <t>Stat Fcst ETS</t>
        </is>
      </c>
    </row>
    <row r="1832">
      <c r="A1832" s="1" t="n">
        <v>4064941008699</v>
      </c>
      <c r="B1832" t="inlineStr">
        <is>
          <t>KJ MU M LIQ K SET NWMDIN703 DOLCE K 23IV</t>
        </is>
      </c>
      <c r="C1832" t="inlineStr">
        <is>
          <t>P_US_ULTA</t>
        </is>
      </c>
      <c r="D1832" t="inlineStr">
        <is>
          <t>Stat Fcst Moving Average</t>
        </is>
      </c>
    </row>
    <row r="1833">
      <c r="A1833" s="1" t="n">
        <v>4064941008699</v>
      </c>
      <c r="B1833" t="inlineStr">
        <is>
          <t>KJ MU M LIQ K SET NWMDIN703 DOLCE K 23IV</t>
        </is>
      </c>
      <c r="C1833" t="inlineStr">
        <is>
          <t>P_US_ULTA</t>
        </is>
      </c>
      <c r="D1833" t="inlineStr">
        <is>
          <t>Stat Fcst Naive Random Walk</t>
        </is>
      </c>
    </row>
    <row r="1834">
      <c r="A1834" s="1" t="n">
        <v>4064941008699</v>
      </c>
      <c r="B1834" t="inlineStr">
        <is>
          <t>KJ MU M LIQ K SET NWMDIN703 DOLCE K 23IV</t>
        </is>
      </c>
      <c r="C1834" t="inlineStr">
        <is>
          <t>P_US_ULTA</t>
        </is>
      </c>
      <c r="D1834" t="inlineStr">
        <is>
          <t>Stat Fcst Prophet</t>
        </is>
      </c>
    </row>
    <row r="1835">
      <c r="A1835" s="1" t="n">
        <v>4064941008699</v>
      </c>
      <c r="B1835" t="inlineStr">
        <is>
          <t>KJ MU M LIQ K SET NWMDIN703 DOLCE K 23IV</t>
        </is>
      </c>
      <c r="C1835" t="inlineStr">
        <is>
          <t>P_US_ULTA</t>
        </is>
      </c>
      <c r="D1835" t="inlineStr">
        <is>
          <t>Stat Fcst sARIMA</t>
        </is>
      </c>
    </row>
    <row r="1836">
      <c r="A1836" s="1" t="n">
        <v>4064941008699</v>
      </c>
      <c r="B1836" t="inlineStr">
        <is>
          <t>KJ MU M LIQ K SET NWMDIN703 DOLCE K 23IV</t>
        </is>
      </c>
      <c r="C1836" t="inlineStr">
        <is>
          <t>P_US_ULTA</t>
        </is>
      </c>
      <c r="D1836" t="inlineStr">
        <is>
          <t>Stat Fcst Seasonal Naive YoY</t>
        </is>
      </c>
    </row>
    <row r="1837">
      <c r="A1837" s="1" t="n">
        <v>4064941008699</v>
      </c>
      <c r="B1837" t="inlineStr">
        <is>
          <t>KJ MU M LIQ K SET NWMDIN703 DOLCE K 23IV</t>
        </is>
      </c>
      <c r="C1837" t="inlineStr">
        <is>
          <t>P_US_ULTA</t>
        </is>
      </c>
      <c r="D1837" t="inlineStr">
        <is>
          <t>Stat Fcst SES</t>
        </is>
      </c>
    </row>
    <row r="1838">
      <c r="A1838" s="1" t="n">
        <v>4064941008699</v>
      </c>
      <c r="B1838" t="inlineStr">
        <is>
          <t>KJ MU M LIQ K SET NWMDIN703 DOLCE K 23IV</t>
        </is>
      </c>
      <c r="C1838" t="inlineStr">
        <is>
          <t>P_US_ULTA</t>
        </is>
      </c>
      <c r="D1838" t="inlineStr">
        <is>
          <t>Stat Fcst STLF</t>
        </is>
      </c>
      <c r="E1838" t="n">
        <v>0</v>
      </c>
      <c r="F1838" t="n">
        <v>2087.61630151108</v>
      </c>
      <c r="G1838" t="n">
        <v>1720.96580172945</v>
      </c>
      <c r="H1838" t="n">
        <v>2758.91290853308</v>
      </c>
      <c r="I1838" t="n">
        <v>2604.06897590373</v>
      </c>
      <c r="J1838" t="n">
        <v>973.10745417422</v>
      </c>
      <c r="K1838" t="n">
        <v>2713.08593927465</v>
      </c>
      <c r="L1838" t="n">
        <v>3217.92555412488</v>
      </c>
      <c r="M1838" t="n">
        <v>2030.36973055152</v>
      </c>
      <c r="N1838" t="n">
        <v>624.762807142683</v>
      </c>
      <c r="O1838" t="n">
        <v>371.261934802328</v>
      </c>
      <c r="P1838" t="n">
        <v>427.236289146746</v>
      </c>
    </row>
    <row r="1839">
      <c r="A1839" s="1" t="n">
        <v>4064941008699</v>
      </c>
      <c r="B1839" t="inlineStr">
        <is>
          <t>KJ MU M LIQ K SET NWMDIN703 DOLCE K 23IV</t>
        </is>
      </c>
      <c r="C1839" t="inlineStr">
        <is>
          <t>P_US_ULTA</t>
        </is>
      </c>
      <c r="D1839" t="inlineStr">
        <is>
          <t>Stat Fcst TBATS</t>
        </is>
      </c>
    </row>
    <row r="1840">
      <c r="A1840" s="1" t="n">
        <v>4064941008699</v>
      </c>
      <c r="B1840" t="inlineStr">
        <is>
          <t>KJ MU M LIQ K SET NWMDIN703 DOLCE K 23IV</t>
        </is>
      </c>
      <c r="C1840" t="inlineStr">
        <is>
          <t>P_US_ULTA</t>
        </is>
      </c>
      <c r="D1840" t="inlineStr">
        <is>
          <t>Stat Fcst TES</t>
        </is>
      </c>
      <c r="E1840" t="n">
        <v>2062.52361470013</v>
      </c>
      <c r="F1840" t="n">
        <v>2267.20566977365</v>
      </c>
      <c r="G1840" t="n">
        <v>1700.45232451419</v>
      </c>
      <c r="H1840" t="n">
        <v>2382.28426603392</v>
      </c>
      <c r="I1840" t="n">
        <v>1052.00614073843</v>
      </c>
      <c r="J1840" t="n">
        <v>2615.48600590524</v>
      </c>
      <c r="K1840" t="n">
        <v>1706.52070013232</v>
      </c>
      <c r="L1840" t="n">
        <v>3799.2416405412</v>
      </c>
      <c r="M1840" t="n">
        <v>3615.92894679089</v>
      </c>
      <c r="N1840" t="n">
        <v>1124.91875756115</v>
      </c>
      <c r="O1840" t="n">
        <v>344.575020195661</v>
      </c>
      <c r="P1840" t="n">
        <v>1219.19900807767</v>
      </c>
    </row>
    <row r="1841">
      <c r="A1841" s="1" t="n">
        <v>4064941008699</v>
      </c>
      <c r="B1841" t="inlineStr">
        <is>
          <t>KJ MU M LIQ K SET NWMDIN703 DOLCE K 23IV</t>
        </is>
      </c>
      <c r="C1841" t="inlineStr">
        <is>
          <t>P_US_ULTA</t>
        </is>
      </c>
      <c r="D1841" t="inlineStr">
        <is>
          <t>Stat Fcst Theta</t>
        </is>
      </c>
    </row>
    <row r="1842">
      <c r="A1842" s="1" t="n">
        <v>4064941008699</v>
      </c>
      <c r="B1842" t="inlineStr">
        <is>
          <t>KJ MU M LIQ K SET NWMDIN703 DOLCE K 23IV</t>
        </is>
      </c>
      <c r="C1842" t="inlineStr">
        <is>
          <t>P_US_ULTA</t>
        </is>
      </c>
      <c r="D1842" t="inlineStr">
        <is>
          <t>System ML Fcst L1</t>
        </is>
      </c>
    </row>
    <row r="1843">
      <c r="A1843" s="1" t="n">
        <v>4064941008699</v>
      </c>
      <c r="B1843" t="inlineStr">
        <is>
          <t>KJ MU M LIQ K SET NWMDIN703 DOLCE K 23IV</t>
        </is>
      </c>
      <c r="C1843" t="inlineStr">
        <is>
          <t>P_US_ULTA</t>
        </is>
      </c>
      <c r="D1843" t="inlineStr">
        <is>
          <t>Stat Fcst Simple Snaive</t>
        </is>
      </c>
      <c r="E1843" t="n">
        <v>3392.34633444707</v>
      </c>
      <c r="F1843" t="n">
        <v>2704.9997973144</v>
      </c>
      <c r="G1843" t="n">
        <v>1284.33334290236</v>
      </c>
      <c r="H1843" t="n">
        <v>2145.33326939741</v>
      </c>
      <c r="I1843" t="n">
        <v>1749.66667970269</v>
      </c>
      <c r="J1843" t="n">
        <v>1570.66651813189</v>
      </c>
      <c r="K1843" t="n">
        <v>1813.99994593858</v>
      </c>
      <c r="L1843" t="n">
        <v>3379.23095703125</v>
      </c>
      <c r="M1843" t="n">
        <v>3477.23083305664</v>
      </c>
      <c r="N1843" t="n">
        <v>2028.00003021955</v>
      </c>
      <c r="O1843" t="n">
        <v>2948.89753581391</v>
      </c>
      <c r="P1843" t="n">
        <v>1639.0000122115</v>
      </c>
    </row>
    <row r="1844">
      <c r="A1844" s="1" t="n">
        <v>4064941008699</v>
      </c>
      <c r="B1844" t="inlineStr">
        <is>
          <t>KJ MU M LIQ K SET NWMDIN703 DOLCE K 23IV</t>
        </is>
      </c>
      <c r="C1844" t="inlineStr">
        <is>
          <t>P_US_ULTA</t>
        </is>
      </c>
      <c r="D1844" t="inlineStr">
        <is>
          <t>Stat Fcst Simple AOA</t>
        </is>
      </c>
    </row>
    <row r="1845">
      <c r="A1845" s="1" t="n">
        <v>4064941008699</v>
      </c>
      <c r="B1845" t="inlineStr">
        <is>
          <t>KJ MU M LIQ K SET NWMDIN703 DOLCE K 23IV</t>
        </is>
      </c>
      <c r="C1845" t="inlineStr">
        <is>
          <t>P_US_ULTA</t>
        </is>
      </c>
      <c r="D1845" t="inlineStr">
        <is>
          <t>Stat Fcst Weighted Snaive</t>
        </is>
      </c>
    </row>
    <row r="1846">
      <c r="A1846" s="1" t="n">
        <v>4064941008699</v>
      </c>
      <c r="B1846" t="inlineStr">
        <is>
          <t>KJ MU M LIQ K SET NWMDIN703 DOLCE K 23IV</t>
        </is>
      </c>
      <c r="C1846" t="inlineStr">
        <is>
          <t>P_US_ULTA</t>
        </is>
      </c>
      <c r="D1846" t="inlineStr">
        <is>
          <t>Stat Fcst Weighted AOA</t>
        </is>
      </c>
    </row>
    <row r="1847">
      <c r="A1847" s="1" t="n">
        <v>4064941008699</v>
      </c>
      <c r="B1847" t="inlineStr">
        <is>
          <t>KJ MU M LIQ K SET NWMDIN703 DOLCE K 23IV</t>
        </is>
      </c>
      <c r="C1847" t="inlineStr">
        <is>
          <t>P_US_ULTA</t>
        </is>
      </c>
      <c r="D1847" t="inlineStr">
        <is>
          <t>Stat Fcst Growth Snaive</t>
        </is>
      </c>
    </row>
    <row r="1848">
      <c r="A1848" s="1" t="n">
        <v>4064941008699</v>
      </c>
      <c r="B1848" t="inlineStr">
        <is>
          <t>KJ MU M LIQ K SET NWMDIN703 DOLCE K 23IV</t>
        </is>
      </c>
      <c r="C1848" t="inlineStr">
        <is>
          <t>P_US_ULTA</t>
        </is>
      </c>
      <c r="D1848" t="inlineStr">
        <is>
          <t>Stat Fcst Growth AOA</t>
        </is>
      </c>
    </row>
    <row r="1849">
      <c r="A1849" s="1" t="n">
        <v>4064941008699</v>
      </c>
      <c r="B1849" t="inlineStr">
        <is>
          <t>KJ MU M LIQ K SET NWMDIN703 DOLCE K 23IV</t>
        </is>
      </c>
      <c r="C1849" t="inlineStr">
        <is>
          <t>P_US_ULTA</t>
        </is>
      </c>
      <c r="D1849" t="inlineStr">
        <is>
          <t>System Stat Fcst Bestfit</t>
        </is>
      </c>
      <c r="H1849" t="n">
        <v>2382.28410868989</v>
      </c>
      <c r="I1849" t="n">
        <v>1052.00611135368</v>
      </c>
      <c r="J1849" t="n">
        <v>2615.48600603681</v>
      </c>
      <c r="K1849" t="n">
        <v>1706.52070109484</v>
      </c>
      <c r="L1849" t="n">
        <v>3799.24169921875</v>
      </c>
      <c r="M1849" t="n">
        <v>3615.92884731504</v>
      </c>
      <c r="N1849" t="n">
        <v>1124.91884000478</v>
      </c>
      <c r="O1849" t="n">
        <v>344.575032455472</v>
      </c>
      <c r="P1849" t="n">
        <v>1219.19898369311</v>
      </c>
    </row>
    <row r="1850">
      <c r="A1850" s="1" t="n">
        <v>4064941033608</v>
      </c>
      <c r="B1850" t="inlineStr">
        <is>
          <t>KJ MU LSE PWD LOSPWD 5G 100 TRNSL VP IV</t>
        </is>
      </c>
      <c r="C1850" t="inlineStr">
        <is>
          <t>P_US_ALL_OTHERS</t>
        </is>
      </c>
      <c r="D1850" t="inlineStr">
        <is>
          <t>Stat Fcst L1</t>
        </is>
      </c>
      <c r="E1850" t="n">
        <v>109.999996721744</v>
      </c>
      <c r="F1850" t="n">
        <v>208.999993771314</v>
      </c>
      <c r="G1850" t="n">
        <v>141</v>
      </c>
      <c r="H1850" t="n">
        <v>85</v>
      </c>
      <c r="I1850" t="n">
        <v>120</v>
      </c>
      <c r="J1850" t="n">
        <v>93</v>
      </c>
      <c r="K1850" t="n">
        <v>137</v>
      </c>
      <c r="L1850" t="n">
        <v>204</v>
      </c>
      <c r="M1850" t="n">
        <v>84</v>
      </c>
      <c r="N1850" t="n">
        <v>111</v>
      </c>
      <c r="O1850" t="n">
        <v>53</v>
      </c>
      <c r="P1850" t="n">
        <v>51</v>
      </c>
    </row>
    <row r="1851">
      <c r="A1851" s="1" t="n">
        <v>4064941033608</v>
      </c>
      <c r="B1851" t="inlineStr">
        <is>
          <t>KJ MU LSE PWD LOSPWD 5G 100 TRNSL VP IV</t>
        </is>
      </c>
      <c r="C1851" t="inlineStr">
        <is>
          <t>P_US_ALL_OTHERS</t>
        </is>
      </c>
      <c r="D1851" t="inlineStr">
        <is>
          <t>Stat Fcst AR-NNET</t>
        </is>
      </c>
    </row>
    <row r="1852">
      <c r="A1852" s="1" t="n">
        <v>4064941033608</v>
      </c>
      <c r="B1852" t="inlineStr">
        <is>
          <t>KJ MU LSE PWD LOSPWD 5G 100 TRNSL VP IV</t>
        </is>
      </c>
      <c r="C1852" t="inlineStr">
        <is>
          <t>P_US_ALL_OTHERS</t>
        </is>
      </c>
      <c r="D1852" t="inlineStr">
        <is>
          <t>Stat Fcst Auto ARIMA</t>
        </is>
      </c>
    </row>
    <row r="1853">
      <c r="A1853" s="1" t="n">
        <v>4064941033608</v>
      </c>
      <c r="B1853" t="inlineStr">
        <is>
          <t>KJ MU LSE PWD LOSPWD 5G 100 TRNSL VP IV</t>
        </is>
      </c>
      <c r="C1853" t="inlineStr">
        <is>
          <t>P_US_ALL_OTHERS</t>
        </is>
      </c>
      <c r="D1853" t="inlineStr">
        <is>
          <t>Stat Fcst Croston</t>
        </is>
      </c>
    </row>
    <row r="1854">
      <c r="A1854" s="1" t="n">
        <v>4064941033608</v>
      </c>
      <c r="B1854" t="inlineStr">
        <is>
          <t>KJ MU LSE PWD LOSPWD 5G 100 TRNSL VP IV</t>
        </is>
      </c>
      <c r="C1854" t="inlineStr">
        <is>
          <t>P_US_ALL_OTHERS</t>
        </is>
      </c>
      <c r="D1854" t="inlineStr">
        <is>
          <t>Stat Fcst DES</t>
        </is>
      </c>
    </row>
    <row r="1855">
      <c r="A1855" s="1" t="n">
        <v>4064941033608</v>
      </c>
      <c r="B1855" t="inlineStr">
        <is>
          <t>KJ MU LSE PWD LOSPWD 5G 100 TRNSL VP IV</t>
        </is>
      </c>
      <c r="C1855" t="inlineStr">
        <is>
          <t>P_US_ALL_OTHERS</t>
        </is>
      </c>
      <c r="D1855" t="inlineStr">
        <is>
          <t>Stat Fcst ETS</t>
        </is>
      </c>
    </row>
    <row r="1856">
      <c r="A1856" s="1" t="n">
        <v>4064941033608</v>
      </c>
      <c r="B1856" t="inlineStr">
        <is>
          <t>KJ MU LSE PWD LOSPWD 5G 100 TRNSL VP IV</t>
        </is>
      </c>
      <c r="C1856" t="inlineStr">
        <is>
          <t>P_US_ALL_OTHERS</t>
        </is>
      </c>
      <c r="D1856" t="inlineStr">
        <is>
          <t>Stat Fcst Moving Average</t>
        </is>
      </c>
    </row>
    <row r="1857">
      <c r="A1857" s="1" t="n">
        <v>4064941033608</v>
      </c>
      <c r="B1857" t="inlineStr">
        <is>
          <t>KJ MU LSE PWD LOSPWD 5G 100 TRNSL VP IV</t>
        </is>
      </c>
      <c r="C1857" t="inlineStr">
        <is>
          <t>P_US_ALL_OTHERS</t>
        </is>
      </c>
      <c r="D1857" t="inlineStr">
        <is>
          <t>Stat Fcst Naive Random Walk</t>
        </is>
      </c>
    </row>
    <row r="1858">
      <c r="A1858" s="1" t="n">
        <v>4064941033608</v>
      </c>
      <c r="B1858" t="inlineStr">
        <is>
          <t>KJ MU LSE PWD LOSPWD 5G 100 TRNSL VP IV</t>
        </is>
      </c>
      <c r="C1858" t="inlineStr">
        <is>
          <t>P_US_ALL_OTHERS</t>
        </is>
      </c>
      <c r="D1858" t="inlineStr">
        <is>
          <t>Stat Fcst Prophet</t>
        </is>
      </c>
    </row>
    <row r="1859">
      <c r="A1859" s="1" t="n">
        <v>4064941033608</v>
      </c>
      <c r="B1859" t="inlineStr">
        <is>
          <t>KJ MU LSE PWD LOSPWD 5G 100 TRNSL VP IV</t>
        </is>
      </c>
      <c r="C1859" t="inlineStr">
        <is>
          <t>P_US_ALL_OTHERS</t>
        </is>
      </c>
      <c r="D1859" t="inlineStr">
        <is>
          <t>Stat Fcst sARIMA</t>
        </is>
      </c>
    </row>
    <row r="1860">
      <c r="A1860" s="1" t="n">
        <v>4064941033608</v>
      </c>
      <c r="B1860" t="inlineStr">
        <is>
          <t>KJ MU LSE PWD LOSPWD 5G 100 TRNSL VP IV</t>
        </is>
      </c>
      <c r="C1860" t="inlineStr">
        <is>
          <t>P_US_ALL_OTHERS</t>
        </is>
      </c>
      <c r="D1860" t="inlineStr">
        <is>
          <t>Stat Fcst Seasonal Naive YoY</t>
        </is>
      </c>
    </row>
    <row r="1861">
      <c r="A1861" s="1" t="n">
        <v>4064941033608</v>
      </c>
      <c r="B1861" t="inlineStr">
        <is>
          <t>KJ MU LSE PWD LOSPWD 5G 100 TRNSL VP IV</t>
        </is>
      </c>
      <c r="C1861" t="inlineStr">
        <is>
          <t>P_US_ALL_OTHERS</t>
        </is>
      </c>
      <c r="D1861" t="inlineStr">
        <is>
          <t>Stat Fcst SES</t>
        </is>
      </c>
    </row>
    <row r="1862">
      <c r="A1862" s="1" t="n">
        <v>4064941033608</v>
      </c>
      <c r="B1862" t="inlineStr">
        <is>
          <t>KJ MU LSE PWD LOSPWD 5G 100 TRNSL VP IV</t>
        </is>
      </c>
      <c r="C1862" t="inlineStr">
        <is>
          <t>P_US_ALL_OTHERS</t>
        </is>
      </c>
      <c r="D1862" t="inlineStr">
        <is>
          <t>Stat Fcst STLF</t>
        </is>
      </c>
      <c r="E1862" t="n">
        <v>134.151588657175</v>
      </c>
      <c r="F1862" t="n">
        <v>81.47581843299621</v>
      </c>
      <c r="G1862" t="n">
        <v>134.312394590911</v>
      </c>
      <c r="H1862" t="n">
        <v>85.7997527215107</v>
      </c>
      <c r="I1862" t="n">
        <v>120.274817627743</v>
      </c>
      <c r="J1862" t="n">
        <v>95.08891377912271</v>
      </c>
      <c r="K1862" t="n">
        <v>136.126001804572</v>
      </c>
      <c r="L1862" t="n">
        <v>204.720266047478</v>
      </c>
      <c r="M1862" t="n">
        <v>85.1021435587071</v>
      </c>
      <c r="N1862" t="n">
        <v>110.803452157837</v>
      </c>
      <c r="O1862" t="n">
        <v>52.357066093864</v>
      </c>
      <c r="P1862" t="n">
        <v>51.0000003799796</v>
      </c>
    </row>
    <row r="1863">
      <c r="A1863" s="1" t="n">
        <v>4064941033608</v>
      </c>
      <c r="B1863" t="inlineStr">
        <is>
          <t>KJ MU LSE PWD LOSPWD 5G 100 TRNSL VP IV</t>
        </is>
      </c>
      <c r="C1863" t="inlineStr">
        <is>
          <t>P_US_ALL_OTHERS</t>
        </is>
      </c>
      <c r="D1863" t="inlineStr">
        <is>
          <t>Stat Fcst TBATS</t>
        </is>
      </c>
    </row>
    <row r="1864">
      <c r="A1864" s="1" t="n">
        <v>4064941033608</v>
      </c>
      <c r="B1864" t="inlineStr">
        <is>
          <t>KJ MU LSE PWD LOSPWD 5G 100 TRNSL VP IV</t>
        </is>
      </c>
      <c r="C1864" t="inlineStr">
        <is>
          <t>P_US_ALL_OTHERS</t>
        </is>
      </c>
      <c r="D1864" t="inlineStr">
        <is>
          <t>Stat Fcst TES</t>
        </is>
      </c>
      <c r="E1864" t="n">
        <v>183.834257534859</v>
      </c>
      <c r="F1864" t="n">
        <v>152.785371443084</v>
      </c>
      <c r="G1864" t="n">
        <v>121.886772365168</v>
      </c>
      <c r="H1864" t="n">
        <v>82.10936157839031</v>
      </c>
      <c r="I1864" t="n">
        <v>61.4433419480467</v>
      </c>
      <c r="J1864" t="n">
        <v>179.047943471473</v>
      </c>
      <c r="K1864" t="n">
        <v>167.715196621239</v>
      </c>
      <c r="L1864" t="n">
        <v>224.049164246225</v>
      </c>
      <c r="M1864" t="n">
        <v>241.627323698659</v>
      </c>
      <c r="N1864" t="n">
        <v>51.0000007599592</v>
      </c>
      <c r="O1864" t="n">
        <v>159.622266520465</v>
      </c>
      <c r="P1864" t="n">
        <v>51.0000003799796</v>
      </c>
    </row>
    <row r="1865">
      <c r="A1865" s="1" t="n">
        <v>4064941033608</v>
      </c>
      <c r="B1865" t="inlineStr">
        <is>
          <t>KJ MU LSE PWD LOSPWD 5G 100 TRNSL VP IV</t>
        </is>
      </c>
      <c r="C1865" t="inlineStr">
        <is>
          <t>P_US_ALL_OTHERS</t>
        </is>
      </c>
      <c r="D1865" t="inlineStr">
        <is>
          <t>Stat Fcst Theta</t>
        </is>
      </c>
    </row>
    <row r="1866">
      <c r="A1866" s="1" t="n">
        <v>4064941033608</v>
      </c>
      <c r="B1866" t="inlineStr">
        <is>
          <t>KJ MU LSE PWD LOSPWD 5G 100 TRNSL VP IV</t>
        </is>
      </c>
      <c r="C1866" t="inlineStr">
        <is>
          <t>P_US_ALL_OTHERS</t>
        </is>
      </c>
      <c r="D1866" t="inlineStr">
        <is>
          <t>System ML Fcst L1</t>
        </is>
      </c>
    </row>
    <row r="1867">
      <c r="A1867" s="1" t="n">
        <v>4064941033608</v>
      </c>
      <c r="B1867" t="inlineStr">
        <is>
          <t>KJ MU LSE PWD LOSPWD 5G 100 TRNSL VP IV</t>
        </is>
      </c>
      <c r="C1867" t="inlineStr">
        <is>
          <t>P_US_ALL_OTHERS</t>
        </is>
      </c>
      <c r="D1867" t="inlineStr">
        <is>
          <t>Stat Fcst Simple Snaive</t>
        </is>
      </c>
      <c r="E1867" t="n">
        <v>232.499985441565</v>
      </c>
      <c r="F1867" t="n">
        <v>196.999994128942</v>
      </c>
      <c r="G1867" t="n">
        <v>165.666667900979</v>
      </c>
      <c r="H1867" t="n">
        <v>169.666661610205</v>
      </c>
      <c r="I1867" t="n">
        <v>146.333334423601</v>
      </c>
      <c r="J1867" t="n">
        <v>253.467903212669</v>
      </c>
      <c r="K1867" t="n">
        <v>241.999987701575</v>
      </c>
      <c r="L1867" t="n">
        <v>291.134582519531</v>
      </c>
      <c r="M1867" t="n">
        <v>302.333314150572</v>
      </c>
      <c r="N1867" t="n">
        <v>104.666668226321</v>
      </c>
      <c r="O1867" t="n">
        <v>213.467899318499</v>
      </c>
      <c r="P1867" t="n">
        <v>95.333334043622</v>
      </c>
    </row>
    <row r="1868">
      <c r="A1868" s="1" t="n">
        <v>4064941033608</v>
      </c>
      <c r="B1868" t="inlineStr">
        <is>
          <t>KJ MU LSE PWD LOSPWD 5G 100 TRNSL VP IV</t>
        </is>
      </c>
      <c r="C1868" t="inlineStr">
        <is>
          <t>P_US_ALL_OTHERS</t>
        </is>
      </c>
      <c r="D1868" t="inlineStr">
        <is>
          <t>Stat Fcst Simple AOA</t>
        </is>
      </c>
    </row>
    <row r="1869">
      <c r="A1869" s="1" t="n">
        <v>4064941033608</v>
      </c>
      <c r="B1869" t="inlineStr">
        <is>
          <t>KJ MU LSE PWD LOSPWD 5G 100 TRNSL VP IV</t>
        </is>
      </c>
      <c r="C1869" t="inlineStr">
        <is>
          <t>P_US_ALL_OTHERS</t>
        </is>
      </c>
      <c r="D1869" t="inlineStr">
        <is>
          <t>Stat Fcst Weighted Snaive</t>
        </is>
      </c>
    </row>
    <row r="1870">
      <c r="A1870" s="1" t="n">
        <v>4064941033608</v>
      </c>
      <c r="B1870" t="inlineStr">
        <is>
          <t>KJ MU LSE PWD LOSPWD 5G 100 TRNSL VP IV</t>
        </is>
      </c>
      <c r="C1870" t="inlineStr">
        <is>
          <t>P_US_ALL_OTHERS</t>
        </is>
      </c>
      <c r="D1870" t="inlineStr">
        <is>
          <t>Stat Fcst Weighted AOA</t>
        </is>
      </c>
    </row>
    <row r="1871">
      <c r="A1871" s="1" t="n">
        <v>4064941033608</v>
      </c>
      <c r="B1871" t="inlineStr">
        <is>
          <t>KJ MU LSE PWD LOSPWD 5G 100 TRNSL VP IV</t>
        </is>
      </c>
      <c r="C1871" t="inlineStr">
        <is>
          <t>P_US_ALL_OTHERS</t>
        </is>
      </c>
      <c r="D1871" t="inlineStr">
        <is>
          <t>Stat Fcst Growth Snaive</t>
        </is>
      </c>
    </row>
    <row r="1872">
      <c r="A1872" s="1" t="n">
        <v>4064941033608</v>
      </c>
      <c r="B1872" t="inlineStr">
        <is>
          <t>KJ MU LSE PWD LOSPWD 5G 100 TRNSL VP IV</t>
        </is>
      </c>
      <c r="C1872" t="inlineStr">
        <is>
          <t>P_US_ALL_OTHERS</t>
        </is>
      </c>
      <c r="D1872" t="inlineStr">
        <is>
          <t>Stat Fcst Growth AOA</t>
        </is>
      </c>
    </row>
    <row r="1873">
      <c r="A1873" s="1" t="n">
        <v>4064941033608</v>
      </c>
      <c r="B1873" t="inlineStr">
        <is>
          <t>KJ MU LSE PWD LOSPWD 5G 100 TRNSL VP IV</t>
        </is>
      </c>
      <c r="C1873" t="inlineStr">
        <is>
          <t>P_US_ALL_OTHERS</t>
        </is>
      </c>
      <c r="D1873" t="inlineStr">
        <is>
          <t>System Stat Fcst Bestfit</t>
        </is>
      </c>
      <c r="H1873" t="n">
        <v>85.7997487247064</v>
      </c>
      <c r="I1873" t="n">
        <v>120.274811687132</v>
      </c>
      <c r="J1873" t="n">
        <v>95.08891012999671</v>
      </c>
      <c r="K1873" t="n">
        <v>136.126003023206</v>
      </c>
      <c r="L1873" t="n">
        <v>204.720260620117</v>
      </c>
      <c r="M1873" t="n">
        <v>85.10213979774289</v>
      </c>
      <c r="N1873" t="n">
        <v>110.803453189186</v>
      </c>
      <c r="O1873" t="n">
        <v>52.3570655477921</v>
      </c>
      <c r="P1873" t="n">
        <v>51.0000003799796</v>
      </c>
    </row>
    <row r="1874">
      <c r="A1874" s="1" t="n">
        <v>4064941033608</v>
      </c>
      <c r="B1874" t="inlineStr">
        <is>
          <t>KJ MU LSE PWD LOSPWD 5G 100 TRNSL VP IV</t>
        </is>
      </c>
      <c r="C1874" t="inlineStr">
        <is>
          <t>P_US_ULTA</t>
        </is>
      </c>
      <c r="D1874" t="inlineStr">
        <is>
          <t>Stat Fcst L1</t>
        </is>
      </c>
      <c r="E1874" t="n">
        <v>1245.9999628663</v>
      </c>
      <c r="F1874" t="n">
        <v>1515.99995481967</v>
      </c>
      <c r="G1874" t="n">
        <v>2400</v>
      </c>
      <c r="H1874" t="n">
        <v>1948</v>
      </c>
      <c r="I1874" t="n">
        <v>2010</v>
      </c>
      <c r="J1874" t="n">
        <v>2108</v>
      </c>
      <c r="K1874" t="n">
        <v>872</v>
      </c>
      <c r="L1874" t="n">
        <v>1844</v>
      </c>
      <c r="M1874" t="n">
        <v>2015</v>
      </c>
      <c r="N1874" t="n">
        <v>1315</v>
      </c>
      <c r="O1874" t="n">
        <v>1585</v>
      </c>
      <c r="P1874" t="n">
        <v>1213</v>
      </c>
    </row>
    <row r="1875">
      <c r="A1875" s="1" t="n">
        <v>4064941033608</v>
      </c>
      <c r="B1875" t="inlineStr">
        <is>
          <t>KJ MU LSE PWD LOSPWD 5G 100 TRNSL VP IV</t>
        </is>
      </c>
      <c r="C1875" t="inlineStr">
        <is>
          <t>P_US_ULTA</t>
        </is>
      </c>
      <c r="D1875" t="inlineStr">
        <is>
          <t>Stat Fcst AR-NNET</t>
        </is>
      </c>
    </row>
    <row r="1876">
      <c r="A1876" s="1" t="n">
        <v>4064941033608</v>
      </c>
      <c r="B1876" t="inlineStr">
        <is>
          <t>KJ MU LSE PWD LOSPWD 5G 100 TRNSL VP IV</t>
        </is>
      </c>
      <c r="C1876" t="inlineStr">
        <is>
          <t>P_US_ULTA</t>
        </is>
      </c>
      <c r="D1876" t="inlineStr">
        <is>
          <t>Stat Fcst Auto ARIMA</t>
        </is>
      </c>
    </row>
    <row r="1877">
      <c r="A1877" s="1" t="n">
        <v>4064941033608</v>
      </c>
      <c r="B1877" t="inlineStr">
        <is>
          <t>KJ MU LSE PWD LOSPWD 5G 100 TRNSL VP IV</t>
        </is>
      </c>
      <c r="C1877" t="inlineStr">
        <is>
          <t>P_US_ULTA</t>
        </is>
      </c>
      <c r="D1877" t="inlineStr">
        <is>
          <t>Stat Fcst Croston</t>
        </is>
      </c>
    </row>
    <row r="1878">
      <c r="A1878" s="1" t="n">
        <v>4064941033608</v>
      </c>
      <c r="B1878" t="inlineStr">
        <is>
          <t>KJ MU LSE PWD LOSPWD 5G 100 TRNSL VP IV</t>
        </is>
      </c>
      <c r="C1878" t="inlineStr">
        <is>
          <t>P_US_ULTA</t>
        </is>
      </c>
      <c r="D1878" t="inlineStr">
        <is>
          <t>Stat Fcst DES</t>
        </is>
      </c>
    </row>
    <row r="1879">
      <c r="A1879" s="1" t="n">
        <v>4064941033608</v>
      </c>
      <c r="B1879" t="inlineStr">
        <is>
          <t>KJ MU LSE PWD LOSPWD 5G 100 TRNSL VP IV</t>
        </is>
      </c>
      <c r="C1879" t="inlineStr">
        <is>
          <t>P_US_ULTA</t>
        </is>
      </c>
      <c r="D1879" t="inlineStr">
        <is>
          <t>Stat Fcst ETS</t>
        </is>
      </c>
    </row>
    <row r="1880">
      <c r="A1880" s="1" t="n">
        <v>4064941033608</v>
      </c>
      <c r="B1880" t="inlineStr">
        <is>
          <t>KJ MU LSE PWD LOSPWD 5G 100 TRNSL VP IV</t>
        </is>
      </c>
      <c r="C1880" t="inlineStr">
        <is>
          <t>P_US_ULTA</t>
        </is>
      </c>
      <c r="D1880" t="inlineStr">
        <is>
          <t>Stat Fcst Moving Average</t>
        </is>
      </c>
    </row>
    <row r="1881">
      <c r="A1881" s="1" t="n">
        <v>4064941033608</v>
      </c>
      <c r="B1881" t="inlineStr">
        <is>
          <t>KJ MU LSE PWD LOSPWD 5G 100 TRNSL VP IV</t>
        </is>
      </c>
      <c r="C1881" t="inlineStr">
        <is>
          <t>P_US_ULTA</t>
        </is>
      </c>
      <c r="D1881" t="inlineStr">
        <is>
          <t>Stat Fcst Naive Random Walk</t>
        </is>
      </c>
    </row>
    <row r="1882">
      <c r="A1882" s="1" t="n">
        <v>4064941033608</v>
      </c>
      <c r="B1882" t="inlineStr">
        <is>
          <t>KJ MU LSE PWD LOSPWD 5G 100 TRNSL VP IV</t>
        </is>
      </c>
      <c r="C1882" t="inlineStr">
        <is>
          <t>P_US_ULTA</t>
        </is>
      </c>
      <c r="D1882" t="inlineStr">
        <is>
          <t>Stat Fcst Prophet</t>
        </is>
      </c>
    </row>
    <row r="1883">
      <c r="A1883" s="1" t="n">
        <v>4064941033608</v>
      </c>
      <c r="B1883" t="inlineStr">
        <is>
          <t>KJ MU LSE PWD LOSPWD 5G 100 TRNSL VP IV</t>
        </is>
      </c>
      <c r="C1883" t="inlineStr">
        <is>
          <t>P_US_ULTA</t>
        </is>
      </c>
      <c r="D1883" t="inlineStr">
        <is>
          <t>Stat Fcst sARIMA</t>
        </is>
      </c>
    </row>
    <row r="1884">
      <c r="A1884" s="1" t="n">
        <v>4064941033608</v>
      </c>
      <c r="B1884" t="inlineStr">
        <is>
          <t>KJ MU LSE PWD LOSPWD 5G 100 TRNSL VP IV</t>
        </is>
      </c>
      <c r="C1884" t="inlineStr">
        <is>
          <t>P_US_ULTA</t>
        </is>
      </c>
      <c r="D1884" t="inlineStr">
        <is>
          <t>Stat Fcst Seasonal Naive YoY</t>
        </is>
      </c>
    </row>
    <row r="1885">
      <c r="A1885" s="1" t="n">
        <v>4064941033608</v>
      </c>
      <c r="B1885" t="inlineStr">
        <is>
          <t>KJ MU LSE PWD LOSPWD 5G 100 TRNSL VP IV</t>
        </is>
      </c>
      <c r="C1885" t="inlineStr">
        <is>
          <t>P_US_ULTA</t>
        </is>
      </c>
      <c r="D1885" t="inlineStr">
        <is>
          <t>Stat Fcst SES</t>
        </is>
      </c>
    </row>
    <row r="1886">
      <c r="A1886" s="1" t="n">
        <v>4064941033608</v>
      </c>
      <c r="B1886" t="inlineStr">
        <is>
          <t>KJ MU LSE PWD LOSPWD 5G 100 TRNSL VP IV</t>
        </is>
      </c>
      <c r="C1886" t="inlineStr">
        <is>
          <t>P_US_ULTA</t>
        </is>
      </c>
      <c r="D1886" t="inlineStr">
        <is>
          <t>Stat Fcst STLF</t>
        </is>
      </c>
      <c r="E1886" t="n">
        <v>2547.92886170235</v>
      </c>
      <c r="F1886" t="n">
        <v>1039.55745368601</v>
      </c>
      <c r="G1886" t="n">
        <v>1718.23719234278</v>
      </c>
      <c r="H1886" t="n">
        <v>1937.0996330532</v>
      </c>
      <c r="I1886" t="n">
        <v>1397.44514677995</v>
      </c>
      <c r="J1886" t="n">
        <v>1641.83388728282</v>
      </c>
      <c r="K1886" t="n">
        <v>26.9999991953372</v>
      </c>
      <c r="L1886" t="n">
        <v>267.271106965781</v>
      </c>
      <c r="M1886" t="n">
        <v>1102.01122199665</v>
      </c>
      <c r="N1886" t="n">
        <v>965.694888504612</v>
      </c>
      <c r="O1886" t="n">
        <v>1668.68929477248</v>
      </c>
      <c r="P1886" t="n">
        <v>1700.62950492041</v>
      </c>
    </row>
    <row r="1887">
      <c r="A1887" s="1" t="n">
        <v>4064941033608</v>
      </c>
      <c r="B1887" t="inlineStr">
        <is>
          <t>KJ MU LSE PWD LOSPWD 5G 100 TRNSL VP IV</t>
        </is>
      </c>
      <c r="C1887" t="inlineStr">
        <is>
          <t>P_US_ULTA</t>
        </is>
      </c>
      <c r="D1887" t="inlineStr">
        <is>
          <t>Stat Fcst TBATS</t>
        </is>
      </c>
    </row>
    <row r="1888">
      <c r="A1888" s="1" t="n">
        <v>4064941033608</v>
      </c>
      <c r="B1888" t="inlineStr">
        <is>
          <t>KJ MU LSE PWD LOSPWD 5G 100 TRNSL VP IV</t>
        </is>
      </c>
      <c r="C1888" t="inlineStr">
        <is>
          <t>P_US_ULTA</t>
        </is>
      </c>
      <c r="D1888" t="inlineStr">
        <is>
          <t>Stat Fcst TES</t>
        </is>
      </c>
      <c r="E1888" t="n">
        <v>1329.68770064313</v>
      </c>
      <c r="F1888" t="n">
        <v>1506.73142711284</v>
      </c>
      <c r="G1888" t="n">
        <v>1381.38598411535</v>
      </c>
      <c r="H1888" t="n">
        <v>1410.37850693637</v>
      </c>
      <c r="I1888" t="n">
        <v>1179.19039160248</v>
      </c>
      <c r="J1888" t="n">
        <v>1436.38403460357</v>
      </c>
      <c r="K1888" t="n">
        <v>562.319038537686</v>
      </c>
      <c r="L1888" t="n">
        <v>1463.35258042819</v>
      </c>
      <c r="M1888" t="n">
        <v>1307.46280416294</v>
      </c>
      <c r="N1888" t="n">
        <v>665.823991982082</v>
      </c>
      <c r="O1888" t="n">
        <v>1489.73054821336</v>
      </c>
      <c r="P1888" t="n">
        <v>1420.71809895192</v>
      </c>
    </row>
    <row r="1889">
      <c r="A1889" s="1" t="n">
        <v>4064941033608</v>
      </c>
      <c r="B1889" t="inlineStr">
        <is>
          <t>KJ MU LSE PWD LOSPWD 5G 100 TRNSL VP IV</t>
        </is>
      </c>
      <c r="C1889" t="inlineStr">
        <is>
          <t>P_US_ULTA</t>
        </is>
      </c>
      <c r="D1889" t="inlineStr">
        <is>
          <t>Stat Fcst Theta</t>
        </is>
      </c>
    </row>
    <row r="1890">
      <c r="A1890" s="1" t="n">
        <v>4064941033608</v>
      </c>
      <c r="B1890" t="inlineStr">
        <is>
          <t>KJ MU LSE PWD LOSPWD 5G 100 TRNSL VP IV</t>
        </is>
      </c>
      <c r="C1890" t="inlineStr">
        <is>
          <t>P_US_ULTA</t>
        </is>
      </c>
      <c r="D1890" t="inlineStr">
        <is>
          <t>System ML Fcst L1</t>
        </is>
      </c>
    </row>
    <row r="1891">
      <c r="A1891" s="1" t="n">
        <v>4064941033608</v>
      </c>
      <c r="B1891" t="inlineStr">
        <is>
          <t>KJ MU LSE PWD LOSPWD 5G 100 TRNSL VP IV</t>
        </is>
      </c>
      <c r="C1891" t="inlineStr">
        <is>
          <t>P_US_ULTA</t>
        </is>
      </c>
      <c r="D1891" t="inlineStr">
        <is>
          <t>Stat Fcst Simple Snaive</t>
        </is>
      </c>
      <c r="E1891" t="n">
        <v>1669.99993497133</v>
      </c>
      <c r="F1891" t="n">
        <v>981.49997074902</v>
      </c>
      <c r="G1891" t="n">
        <v>2392.13331860403</v>
      </c>
      <c r="H1891" t="n">
        <v>1948.66660859187</v>
      </c>
      <c r="I1891" t="n">
        <v>2008.33334829658</v>
      </c>
      <c r="J1891" t="n">
        <v>2109.66656310359</v>
      </c>
      <c r="K1891" t="n">
        <v>871.999933322272</v>
      </c>
      <c r="L1891" t="n">
        <v>1845</v>
      </c>
      <c r="M1891" t="n">
        <v>2014.66660662492</v>
      </c>
      <c r="N1891" t="n">
        <v>1315.66668627162</v>
      </c>
      <c r="O1891" t="n">
        <v>1586.66661938031</v>
      </c>
      <c r="P1891" t="n">
        <v>1213.66667570918</v>
      </c>
    </row>
    <row r="1892">
      <c r="A1892" s="1" t="n">
        <v>4064941033608</v>
      </c>
      <c r="B1892" t="inlineStr">
        <is>
          <t>KJ MU LSE PWD LOSPWD 5G 100 TRNSL VP IV</t>
        </is>
      </c>
      <c r="C1892" t="inlineStr">
        <is>
          <t>P_US_ULTA</t>
        </is>
      </c>
      <c r="D1892" t="inlineStr">
        <is>
          <t>Stat Fcst Simple AOA</t>
        </is>
      </c>
    </row>
    <row r="1893">
      <c r="A1893" s="1" t="n">
        <v>4064941033608</v>
      </c>
      <c r="B1893" t="inlineStr">
        <is>
          <t>KJ MU LSE PWD LOSPWD 5G 100 TRNSL VP IV</t>
        </is>
      </c>
      <c r="C1893" t="inlineStr">
        <is>
          <t>P_US_ULTA</t>
        </is>
      </c>
      <c r="D1893" t="inlineStr">
        <is>
          <t>Stat Fcst Weighted Snaive</t>
        </is>
      </c>
    </row>
    <row r="1894">
      <c r="A1894" s="1" t="n">
        <v>4064941033608</v>
      </c>
      <c r="B1894" t="inlineStr">
        <is>
          <t>KJ MU LSE PWD LOSPWD 5G 100 TRNSL VP IV</t>
        </is>
      </c>
      <c r="C1894" t="inlineStr">
        <is>
          <t>P_US_ULTA</t>
        </is>
      </c>
      <c r="D1894" t="inlineStr">
        <is>
          <t>Stat Fcst Weighted AOA</t>
        </is>
      </c>
    </row>
    <row r="1895">
      <c r="A1895" s="1" t="n">
        <v>4064941033608</v>
      </c>
      <c r="B1895" t="inlineStr">
        <is>
          <t>KJ MU LSE PWD LOSPWD 5G 100 TRNSL VP IV</t>
        </is>
      </c>
      <c r="C1895" t="inlineStr">
        <is>
          <t>P_US_ULTA</t>
        </is>
      </c>
      <c r="D1895" t="inlineStr">
        <is>
          <t>Stat Fcst Growth Snaive</t>
        </is>
      </c>
    </row>
    <row r="1896">
      <c r="A1896" s="1" t="n">
        <v>4064941033608</v>
      </c>
      <c r="B1896" t="inlineStr">
        <is>
          <t>KJ MU LSE PWD LOSPWD 5G 100 TRNSL VP IV</t>
        </is>
      </c>
      <c r="C1896" t="inlineStr">
        <is>
          <t>P_US_ULTA</t>
        </is>
      </c>
      <c r="D1896" t="inlineStr">
        <is>
          <t>Stat Fcst Growth AOA</t>
        </is>
      </c>
    </row>
    <row r="1897">
      <c r="A1897" s="1" t="n">
        <v>4064941033608</v>
      </c>
      <c r="B1897" t="inlineStr">
        <is>
          <t>KJ MU LSE PWD LOSPWD 5G 100 TRNSL VP IV</t>
        </is>
      </c>
      <c r="C1897" t="inlineStr">
        <is>
          <t>P_US_ULTA</t>
        </is>
      </c>
      <c r="D1897" t="inlineStr">
        <is>
          <t>System Stat Fcst Bestfit</t>
        </is>
      </c>
      <c r="H1897" t="n">
        <v>1948.66656790177</v>
      </c>
      <c r="I1897" t="n">
        <v>2008.33338898668</v>
      </c>
      <c r="J1897" t="n">
        <v>2109.66644103328</v>
      </c>
      <c r="K1897" t="n">
        <v>871.99991297722</v>
      </c>
      <c r="L1897" t="n">
        <v>1845</v>
      </c>
      <c r="M1897" t="n">
        <v>2014.66656593481</v>
      </c>
      <c r="N1897" t="n">
        <v>1315.66676765183</v>
      </c>
      <c r="O1897" t="n">
        <v>1586.66657869021</v>
      </c>
      <c r="P1897" t="n">
        <v>1213.66675708939</v>
      </c>
    </row>
    <row r="1898">
      <c r="A1898" s="1" t="n">
        <v>4064941078074</v>
      </c>
      <c r="B1898" t="inlineStr">
        <is>
          <t>KJ MU PLMP GLS LG3.22ml 110MOQ PLUMPG IV</t>
        </is>
      </c>
      <c r="C1898" t="inlineStr">
        <is>
          <t>P_US_ULTA</t>
        </is>
      </c>
      <c r="D1898" t="inlineStr">
        <is>
          <t>Stat Fcst L1</t>
        </is>
      </c>
      <c r="E1898" t="n">
        <v>278.999991685152</v>
      </c>
      <c r="F1898" t="n">
        <v>31.9999990463256</v>
      </c>
      <c r="G1898" t="n">
        <v>9</v>
      </c>
      <c r="H1898" t="n">
        <v>9</v>
      </c>
      <c r="I1898" t="n">
        <v>120</v>
      </c>
      <c r="J1898" t="n">
        <v>217</v>
      </c>
      <c r="K1898" t="n">
        <v>9</v>
      </c>
      <c r="L1898" t="n">
        <v>152</v>
      </c>
      <c r="M1898" t="n">
        <v>9</v>
      </c>
      <c r="N1898" t="n">
        <v>9</v>
      </c>
      <c r="O1898" t="n">
        <v>62</v>
      </c>
      <c r="P1898" t="n">
        <v>94</v>
      </c>
    </row>
    <row r="1899">
      <c r="A1899" s="1" t="n">
        <v>4064941078074</v>
      </c>
      <c r="B1899" t="inlineStr">
        <is>
          <t>KJ MU PLMP GLS LG3.22ml 110MOQ PLUMPG IV</t>
        </is>
      </c>
      <c r="C1899" t="inlineStr">
        <is>
          <t>P_US_ULTA</t>
        </is>
      </c>
      <c r="D1899" t="inlineStr">
        <is>
          <t>Stat Fcst AR-NNET</t>
        </is>
      </c>
    </row>
    <row r="1900">
      <c r="A1900" s="1" t="n">
        <v>4064941078074</v>
      </c>
      <c r="B1900" t="inlineStr">
        <is>
          <t>KJ MU PLMP GLS LG3.22ml 110MOQ PLUMPG IV</t>
        </is>
      </c>
      <c r="C1900" t="inlineStr">
        <is>
          <t>P_US_ULTA</t>
        </is>
      </c>
      <c r="D1900" t="inlineStr">
        <is>
          <t>Stat Fcst Auto ARIMA</t>
        </is>
      </c>
    </row>
    <row r="1901">
      <c r="A1901" s="1" t="n">
        <v>4064941078074</v>
      </c>
      <c r="B1901" t="inlineStr">
        <is>
          <t>KJ MU PLMP GLS LG3.22ml 110MOQ PLUMPG IV</t>
        </is>
      </c>
      <c r="C1901" t="inlineStr">
        <is>
          <t>P_US_ULTA</t>
        </is>
      </c>
      <c r="D1901" t="inlineStr">
        <is>
          <t>Stat Fcst Croston</t>
        </is>
      </c>
    </row>
    <row r="1902">
      <c r="A1902" s="1" t="n">
        <v>4064941078074</v>
      </c>
      <c r="B1902" t="inlineStr">
        <is>
          <t>KJ MU PLMP GLS LG3.22ml 110MOQ PLUMPG IV</t>
        </is>
      </c>
      <c r="C1902" t="inlineStr">
        <is>
          <t>P_US_ULTA</t>
        </is>
      </c>
      <c r="D1902" t="inlineStr">
        <is>
          <t>Stat Fcst DES</t>
        </is>
      </c>
    </row>
    <row r="1903">
      <c r="A1903" s="1" t="n">
        <v>4064941078074</v>
      </c>
      <c r="B1903" t="inlineStr">
        <is>
          <t>KJ MU PLMP GLS LG3.22ml 110MOQ PLUMPG IV</t>
        </is>
      </c>
      <c r="C1903" t="inlineStr">
        <is>
          <t>P_US_ULTA</t>
        </is>
      </c>
      <c r="D1903" t="inlineStr">
        <is>
          <t>Stat Fcst ETS</t>
        </is>
      </c>
    </row>
    <row r="1904">
      <c r="A1904" s="1" t="n">
        <v>4064941078074</v>
      </c>
      <c r="B1904" t="inlineStr">
        <is>
          <t>KJ MU PLMP GLS LG3.22ml 110MOQ PLUMPG IV</t>
        </is>
      </c>
      <c r="C1904" t="inlineStr">
        <is>
          <t>P_US_ULTA</t>
        </is>
      </c>
      <c r="D1904" t="inlineStr">
        <is>
          <t>Stat Fcst Moving Average</t>
        </is>
      </c>
    </row>
    <row r="1905">
      <c r="A1905" s="1" t="n">
        <v>4064941078074</v>
      </c>
      <c r="B1905" t="inlineStr">
        <is>
          <t>KJ MU PLMP GLS LG3.22ml 110MOQ PLUMPG IV</t>
        </is>
      </c>
      <c r="C1905" t="inlineStr">
        <is>
          <t>P_US_ULTA</t>
        </is>
      </c>
      <c r="D1905" t="inlineStr">
        <is>
          <t>Stat Fcst Naive Random Walk</t>
        </is>
      </c>
    </row>
    <row r="1906">
      <c r="A1906" s="1" t="n">
        <v>4064941078074</v>
      </c>
      <c r="B1906" t="inlineStr">
        <is>
          <t>KJ MU PLMP GLS LG3.22ml 110MOQ PLUMPG IV</t>
        </is>
      </c>
      <c r="C1906" t="inlineStr">
        <is>
          <t>P_US_ULTA</t>
        </is>
      </c>
      <c r="D1906" t="inlineStr">
        <is>
          <t>Stat Fcst Prophet</t>
        </is>
      </c>
    </row>
    <row r="1907">
      <c r="A1907" s="1" t="n">
        <v>4064941078074</v>
      </c>
      <c r="B1907" t="inlineStr">
        <is>
          <t>KJ MU PLMP GLS LG3.22ml 110MOQ PLUMPG IV</t>
        </is>
      </c>
      <c r="C1907" t="inlineStr">
        <is>
          <t>P_US_ULTA</t>
        </is>
      </c>
      <c r="D1907" t="inlineStr">
        <is>
          <t>Stat Fcst sARIMA</t>
        </is>
      </c>
    </row>
    <row r="1908">
      <c r="A1908" s="1" t="n">
        <v>4064941078074</v>
      </c>
      <c r="B1908" t="inlineStr">
        <is>
          <t>KJ MU PLMP GLS LG3.22ml 110MOQ PLUMPG IV</t>
        </is>
      </c>
      <c r="C1908" t="inlineStr">
        <is>
          <t>P_US_ULTA</t>
        </is>
      </c>
      <c r="D1908" t="inlineStr">
        <is>
          <t>Stat Fcst Seasonal Naive YoY</t>
        </is>
      </c>
    </row>
    <row r="1909">
      <c r="A1909" s="1" t="n">
        <v>4064941078074</v>
      </c>
      <c r="B1909" t="inlineStr">
        <is>
          <t>KJ MU PLMP GLS LG3.22ml 110MOQ PLUMPG IV</t>
        </is>
      </c>
      <c r="C1909" t="inlineStr">
        <is>
          <t>P_US_ULTA</t>
        </is>
      </c>
      <c r="D1909" t="inlineStr">
        <is>
          <t>Stat Fcst SES</t>
        </is>
      </c>
    </row>
    <row r="1910">
      <c r="A1910" s="1" t="n">
        <v>4064941078074</v>
      </c>
      <c r="B1910" t="inlineStr">
        <is>
          <t>KJ MU PLMP GLS LG3.22ml 110MOQ PLUMPG IV</t>
        </is>
      </c>
      <c r="C1910" t="inlineStr">
        <is>
          <t>P_US_ULTA</t>
        </is>
      </c>
      <c r="D1910" t="inlineStr">
        <is>
          <t>Stat Fcst STLF</t>
        </is>
      </c>
      <c r="E1910" t="n">
        <v>8.99999973177909</v>
      </c>
      <c r="F1910" t="n">
        <v>8.99999973177909</v>
      </c>
      <c r="G1910" t="n">
        <v>216.645076973887</v>
      </c>
      <c r="H1910" t="n">
        <v>8.99999973177909</v>
      </c>
      <c r="I1910" t="n">
        <v>538.297096795549</v>
      </c>
      <c r="J1910" t="n">
        <v>69.263498284205</v>
      </c>
      <c r="K1910" t="n">
        <v>8.99999973177909</v>
      </c>
      <c r="L1910" t="n">
        <v>9</v>
      </c>
      <c r="M1910" t="n">
        <v>8.99999973177909</v>
      </c>
      <c r="N1910" t="n">
        <v>9.000000134110451</v>
      </c>
      <c r="O1910" t="n">
        <v>8.99999973177909</v>
      </c>
      <c r="P1910" t="n">
        <v>9.00000006705522</v>
      </c>
    </row>
    <row r="1911">
      <c r="A1911" s="1" t="n">
        <v>4064941078074</v>
      </c>
      <c r="B1911" t="inlineStr">
        <is>
          <t>KJ MU PLMP GLS LG3.22ml 110MOQ PLUMPG IV</t>
        </is>
      </c>
      <c r="C1911" t="inlineStr">
        <is>
          <t>P_US_ULTA</t>
        </is>
      </c>
      <c r="D1911" t="inlineStr">
        <is>
          <t>Stat Fcst TBATS</t>
        </is>
      </c>
    </row>
    <row r="1912">
      <c r="A1912" s="1" t="n">
        <v>4064941078074</v>
      </c>
      <c r="B1912" t="inlineStr">
        <is>
          <t>KJ MU PLMP GLS LG3.22ml 110MOQ PLUMPG IV</t>
        </is>
      </c>
      <c r="C1912" t="inlineStr">
        <is>
          <t>P_US_ULTA</t>
        </is>
      </c>
      <c r="D1912" t="inlineStr">
        <is>
          <t>Stat Fcst TES</t>
        </is>
      </c>
      <c r="E1912" t="n">
        <v>8.99999973177909</v>
      </c>
      <c r="F1912" t="n">
        <v>8.99999973177909</v>
      </c>
      <c r="G1912" t="n">
        <v>9.00000006705522</v>
      </c>
      <c r="H1912" t="n">
        <v>8.99999973177909</v>
      </c>
      <c r="I1912" t="n">
        <v>117.872609378291</v>
      </c>
      <c r="J1912" t="n">
        <v>219.069233177164</v>
      </c>
      <c r="K1912" t="n">
        <v>8.99999973177909</v>
      </c>
      <c r="L1912" t="n">
        <v>150.195256736935</v>
      </c>
      <c r="M1912" t="n">
        <v>8.99999973177909</v>
      </c>
      <c r="N1912" t="n">
        <v>9.000000134110451</v>
      </c>
      <c r="O1912" t="n">
        <v>61.9505567768031</v>
      </c>
      <c r="P1912" t="n">
        <v>92.9860684703396</v>
      </c>
    </row>
    <row r="1913">
      <c r="A1913" s="1" t="n">
        <v>4064941078074</v>
      </c>
      <c r="B1913" t="inlineStr">
        <is>
          <t>KJ MU PLMP GLS LG3.22ml 110MOQ PLUMPG IV</t>
        </is>
      </c>
      <c r="C1913" t="inlineStr">
        <is>
          <t>P_US_ULTA</t>
        </is>
      </c>
      <c r="D1913" t="inlineStr">
        <is>
          <t>Stat Fcst Theta</t>
        </is>
      </c>
    </row>
    <row r="1914">
      <c r="A1914" s="1" t="n">
        <v>4064941078074</v>
      </c>
      <c r="B1914" t="inlineStr">
        <is>
          <t>KJ MU PLMP GLS LG3.22ml 110MOQ PLUMPG IV</t>
        </is>
      </c>
      <c r="C1914" t="inlineStr">
        <is>
          <t>P_US_ULTA</t>
        </is>
      </c>
      <c r="D1914" t="inlineStr">
        <is>
          <t>System ML Fcst L1</t>
        </is>
      </c>
    </row>
    <row r="1915">
      <c r="A1915" s="1" t="n">
        <v>4064941078074</v>
      </c>
      <c r="B1915" t="inlineStr">
        <is>
          <t>KJ MU PLMP GLS LG3.22ml 110MOQ PLUMPG IV</t>
        </is>
      </c>
      <c r="C1915" t="inlineStr">
        <is>
          <t>P_US_ULTA</t>
        </is>
      </c>
      <c r="D1915" t="inlineStr">
        <is>
          <t>Stat Fcst Simple Snaive</t>
        </is>
      </c>
      <c r="E1915" t="n">
        <v>286.999991446733</v>
      </c>
      <c r="F1915" t="n">
        <v>336.499989971518</v>
      </c>
      <c r="G1915" t="n">
        <v>644.000004798173</v>
      </c>
      <c r="H1915" t="n">
        <v>947.5349652508399</v>
      </c>
      <c r="I1915" t="n">
        <v>1346.33334336429</v>
      </c>
      <c r="J1915" t="n">
        <v>807.666637510061</v>
      </c>
      <c r="K1915" t="n">
        <v>334.666656692822</v>
      </c>
      <c r="L1915" t="n">
        <v>1083.86832682291</v>
      </c>
      <c r="M1915" t="n">
        <v>758.666644056638</v>
      </c>
      <c r="N1915" t="n">
        <v>289.666670983036</v>
      </c>
      <c r="O1915" t="n">
        <v>923.666639139254</v>
      </c>
      <c r="P1915" t="n">
        <v>419.33333645761</v>
      </c>
    </row>
    <row r="1916">
      <c r="A1916" s="1" t="n">
        <v>4064941078074</v>
      </c>
      <c r="B1916" t="inlineStr">
        <is>
          <t>KJ MU PLMP GLS LG3.22ml 110MOQ PLUMPG IV</t>
        </is>
      </c>
      <c r="C1916" t="inlineStr">
        <is>
          <t>P_US_ULTA</t>
        </is>
      </c>
      <c r="D1916" t="inlineStr">
        <is>
          <t>Stat Fcst Simple AOA</t>
        </is>
      </c>
    </row>
    <row r="1917">
      <c r="A1917" s="1" t="n">
        <v>4064941078074</v>
      </c>
      <c r="B1917" t="inlineStr">
        <is>
          <t>KJ MU PLMP GLS LG3.22ml 110MOQ PLUMPG IV</t>
        </is>
      </c>
      <c r="C1917" t="inlineStr">
        <is>
          <t>P_US_ULTA</t>
        </is>
      </c>
      <c r="D1917" t="inlineStr">
        <is>
          <t>Stat Fcst Weighted Snaive</t>
        </is>
      </c>
    </row>
    <row r="1918">
      <c r="A1918" s="1" t="n">
        <v>4064941078074</v>
      </c>
      <c r="B1918" t="inlineStr">
        <is>
          <t>KJ MU PLMP GLS LG3.22ml 110MOQ PLUMPG IV</t>
        </is>
      </c>
      <c r="C1918" t="inlineStr">
        <is>
          <t>P_US_ULTA</t>
        </is>
      </c>
      <c r="D1918" t="inlineStr">
        <is>
          <t>Stat Fcst Weighted AOA</t>
        </is>
      </c>
    </row>
    <row r="1919">
      <c r="A1919" s="1" t="n">
        <v>4064941078074</v>
      </c>
      <c r="B1919" t="inlineStr">
        <is>
          <t>KJ MU PLMP GLS LG3.22ml 110MOQ PLUMPG IV</t>
        </is>
      </c>
      <c r="C1919" t="inlineStr">
        <is>
          <t>P_US_ULTA</t>
        </is>
      </c>
      <c r="D1919" t="inlineStr">
        <is>
          <t>Stat Fcst Growth Snaive</t>
        </is>
      </c>
    </row>
    <row r="1920">
      <c r="A1920" s="1" t="n">
        <v>4064941078074</v>
      </c>
      <c r="B1920" t="inlineStr">
        <is>
          <t>KJ MU PLMP GLS LG3.22ml 110MOQ PLUMPG IV</t>
        </is>
      </c>
      <c r="C1920" t="inlineStr">
        <is>
          <t>P_US_ULTA</t>
        </is>
      </c>
      <c r="D1920" t="inlineStr">
        <is>
          <t>Stat Fcst Growth AOA</t>
        </is>
      </c>
    </row>
    <row r="1921">
      <c r="A1921" s="1" t="n">
        <v>4064941078074</v>
      </c>
      <c r="B1921" t="inlineStr">
        <is>
          <t>KJ MU PLMP GLS LG3.22ml 110MOQ PLUMPG IV</t>
        </is>
      </c>
      <c r="C1921" t="inlineStr">
        <is>
          <t>P_US_ULTA</t>
        </is>
      </c>
      <c r="D1921" t="inlineStr">
        <is>
          <t>System Stat Fcst Bestfit</t>
        </is>
      </c>
      <c r="H1921" t="n">
        <v>8.99999973177909</v>
      </c>
      <c r="I1921" t="n">
        <v>117.872612877731</v>
      </c>
      <c r="J1921" t="n">
        <v>219.069237855993</v>
      </c>
      <c r="K1921" t="n">
        <v>8.99999973177909</v>
      </c>
      <c r="L1921" t="n">
        <v>150.195251464843</v>
      </c>
      <c r="M1921" t="n">
        <v>8.99999973177909</v>
      </c>
      <c r="N1921" t="n">
        <v>9.000000134110451</v>
      </c>
      <c r="O1921" t="n">
        <v>61.9505558624697</v>
      </c>
      <c r="P1921" t="n">
        <v>92.98606941838609</v>
      </c>
    </row>
    <row r="1922">
      <c r="A1922" s="1" t="n">
        <v>4064941078081</v>
      </c>
      <c r="B1922" t="inlineStr">
        <is>
          <t>KJ MU PLMP GLS LG3.22ml 343ROC PLUMPG IV</t>
        </is>
      </c>
      <c r="C1922" t="inlineStr">
        <is>
          <t>P_US_ULTA</t>
        </is>
      </c>
      <c r="D1922" t="inlineStr">
        <is>
          <t>Stat Fcst L1</t>
        </is>
      </c>
      <c r="E1922" t="n">
        <v>1001.99997013807</v>
      </c>
      <c r="F1922" t="n">
        <v>411.999987721443</v>
      </c>
      <c r="G1922" t="n">
        <v>2044</v>
      </c>
      <c r="H1922" t="n">
        <v>2840</v>
      </c>
      <c r="I1922" t="n">
        <v>2572</v>
      </c>
      <c r="J1922" t="n">
        <v>771</v>
      </c>
      <c r="K1922" t="n">
        <v>762</v>
      </c>
      <c r="L1922" t="n">
        <v>2980</v>
      </c>
      <c r="M1922" t="n">
        <v>1980</v>
      </c>
      <c r="N1922" t="n">
        <v>801</v>
      </c>
      <c r="O1922" t="n">
        <v>2015</v>
      </c>
      <c r="P1922" t="n">
        <v>861</v>
      </c>
    </row>
    <row r="1923">
      <c r="A1923" s="1" t="n">
        <v>4064941078081</v>
      </c>
      <c r="B1923" t="inlineStr">
        <is>
          <t>KJ MU PLMP GLS LG3.22ml 343ROC PLUMPG IV</t>
        </is>
      </c>
      <c r="C1923" t="inlineStr">
        <is>
          <t>P_US_ULTA</t>
        </is>
      </c>
      <c r="D1923" t="inlineStr">
        <is>
          <t>Stat Fcst AR-NNET</t>
        </is>
      </c>
    </row>
    <row r="1924">
      <c r="A1924" s="1" t="n">
        <v>4064941078081</v>
      </c>
      <c r="B1924" t="inlineStr">
        <is>
          <t>KJ MU PLMP GLS LG3.22ml 343ROC PLUMPG IV</t>
        </is>
      </c>
      <c r="C1924" t="inlineStr">
        <is>
          <t>P_US_ULTA</t>
        </is>
      </c>
      <c r="D1924" t="inlineStr">
        <is>
          <t>Stat Fcst Auto ARIMA</t>
        </is>
      </c>
    </row>
    <row r="1925">
      <c r="A1925" s="1" t="n">
        <v>4064941078081</v>
      </c>
      <c r="B1925" t="inlineStr">
        <is>
          <t>KJ MU PLMP GLS LG3.22ml 343ROC PLUMPG IV</t>
        </is>
      </c>
      <c r="C1925" t="inlineStr">
        <is>
          <t>P_US_ULTA</t>
        </is>
      </c>
      <c r="D1925" t="inlineStr">
        <is>
          <t>Stat Fcst Croston</t>
        </is>
      </c>
    </row>
    <row r="1926">
      <c r="A1926" s="1" t="n">
        <v>4064941078081</v>
      </c>
      <c r="B1926" t="inlineStr">
        <is>
          <t>KJ MU PLMP GLS LG3.22ml 343ROC PLUMPG IV</t>
        </is>
      </c>
      <c r="C1926" t="inlineStr">
        <is>
          <t>P_US_ULTA</t>
        </is>
      </c>
      <c r="D1926" t="inlineStr">
        <is>
          <t>Stat Fcst DES</t>
        </is>
      </c>
    </row>
    <row r="1927">
      <c r="A1927" s="1" t="n">
        <v>4064941078081</v>
      </c>
      <c r="B1927" t="inlineStr">
        <is>
          <t>KJ MU PLMP GLS LG3.22ml 343ROC PLUMPG IV</t>
        </is>
      </c>
      <c r="C1927" t="inlineStr">
        <is>
          <t>P_US_ULTA</t>
        </is>
      </c>
      <c r="D1927" t="inlineStr">
        <is>
          <t>Stat Fcst ETS</t>
        </is>
      </c>
    </row>
    <row r="1928">
      <c r="A1928" s="1" t="n">
        <v>4064941078081</v>
      </c>
      <c r="B1928" t="inlineStr">
        <is>
          <t>KJ MU PLMP GLS LG3.22ml 343ROC PLUMPG IV</t>
        </is>
      </c>
      <c r="C1928" t="inlineStr">
        <is>
          <t>P_US_ULTA</t>
        </is>
      </c>
      <c r="D1928" t="inlineStr">
        <is>
          <t>Stat Fcst Moving Average</t>
        </is>
      </c>
    </row>
    <row r="1929">
      <c r="A1929" s="1" t="n">
        <v>4064941078081</v>
      </c>
      <c r="B1929" t="inlineStr">
        <is>
          <t>KJ MU PLMP GLS LG3.22ml 343ROC PLUMPG IV</t>
        </is>
      </c>
      <c r="C1929" t="inlineStr">
        <is>
          <t>P_US_ULTA</t>
        </is>
      </c>
      <c r="D1929" t="inlineStr">
        <is>
          <t>Stat Fcst Naive Random Walk</t>
        </is>
      </c>
    </row>
    <row r="1930">
      <c r="A1930" s="1" t="n">
        <v>4064941078081</v>
      </c>
      <c r="B1930" t="inlineStr">
        <is>
          <t>KJ MU PLMP GLS LG3.22ml 343ROC PLUMPG IV</t>
        </is>
      </c>
      <c r="C1930" t="inlineStr">
        <is>
          <t>P_US_ULTA</t>
        </is>
      </c>
      <c r="D1930" t="inlineStr">
        <is>
          <t>Stat Fcst Prophet</t>
        </is>
      </c>
    </row>
    <row r="1931">
      <c r="A1931" s="1" t="n">
        <v>4064941078081</v>
      </c>
      <c r="B1931" t="inlineStr">
        <is>
          <t>KJ MU PLMP GLS LG3.22ml 343ROC PLUMPG IV</t>
        </is>
      </c>
      <c r="C1931" t="inlineStr">
        <is>
          <t>P_US_ULTA</t>
        </is>
      </c>
      <c r="D1931" t="inlineStr">
        <is>
          <t>Stat Fcst sARIMA</t>
        </is>
      </c>
    </row>
    <row r="1932">
      <c r="A1932" s="1" t="n">
        <v>4064941078081</v>
      </c>
      <c r="B1932" t="inlineStr">
        <is>
          <t>KJ MU PLMP GLS LG3.22ml 343ROC PLUMPG IV</t>
        </is>
      </c>
      <c r="C1932" t="inlineStr">
        <is>
          <t>P_US_ULTA</t>
        </is>
      </c>
      <c r="D1932" t="inlineStr">
        <is>
          <t>Stat Fcst Seasonal Naive YoY</t>
        </is>
      </c>
    </row>
    <row r="1933">
      <c r="A1933" s="1" t="n">
        <v>4064941078081</v>
      </c>
      <c r="B1933" t="inlineStr">
        <is>
          <t>KJ MU PLMP GLS LG3.22ml 343ROC PLUMPG IV</t>
        </is>
      </c>
      <c r="C1933" t="inlineStr">
        <is>
          <t>P_US_ULTA</t>
        </is>
      </c>
      <c r="D1933" t="inlineStr">
        <is>
          <t>Stat Fcst SES</t>
        </is>
      </c>
    </row>
    <row r="1934">
      <c r="A1934" s="1" t="n">
        <v>4064941078081</v>
      </c>
      <c r="B1934" t="inlineStr">
        <is>
          <t>KJ MU PLMP GLS LG3.22ml 343ROC PLUMPG IV</t>
        </is>
      </c>
      <c r="C1934" t="inlineStr">
        <is>
          <t>P_US_ULTA</t>
        </is>
      </c>
      <c r="D1934" t="inlineStr">
        <is>
          <t>Stat Fcst STLF</t>
        </is>
      </c>
      <c r="E1934" t="n">
        <v>0</v>
      </c>
      <c r="F1934" t="n">
        <v>1046.26747030248</v>
      </c>
      <c r="G1934" t="n">
        <v>655.884185197019</v>
      </c>
      <c r="H1934" t="n">
        <v>211.863505445365</v>
      </c>
      <c r="I1934" t="n">
        <v>1332.36298000295</v>
      </c>
      <c r="J1934" t="n">
        <v>1038.79565968307</v>
      </c>
      <c r="K1934" t="n">
        <v>633.490133599176</v>
      </c>
      <c r="L1934" t="n">
        <v>0</v>
      </c>
      <c r="M1934" t="n">
        <v>121.039543658918</v>
      </c>
      <c r="N1934" t="n">
        <v>419.664024021946</v>
      </c>
      <c r="O1934" t="n">
        <v>619.479232522074</v>
      </c>
      <c r="P1934" t="n">
        <v>363.896847028658</v>
      </c>
    </row>
    <row r="1935">
      <c r="A1935" s="1" t="n">
        <v>4064941078081</v>
      </c>
      <c r="B1935" t="inlineStr">
        <is>
          <t>KJ MU PLMP GLS LG3.22ml 343ROC PLUMPG IV</t>
        </is>
      </c>
      <c r="C1935" t="inlineStr">
        <is>
          <t>P_US_ULTA</t>
        </is>
      </c>
      <c r="D1935" t="inlineStr">
        <is>
          <t>Stat Fcst TBATS</t>
        </is>
      </c>
    </row>
    <row r="1936">
      <c r="A1936" s="1" t="n">
        <v>4064941078081</v>
      </c>
      <c r="B1936" t="inlineStr">
        <is>
          <t>KJ MU PLMP GLS LG3.22ml 343ROC PLUMPG IV</t>
        </is>
      </c>
      <c r="C1936" t="inlineStr">
        <is>
          <t>P_US_ULTA</t>
        </is>
      </c>
      <c r="D1936" t="inlineStr">
        <is>
          <t>Stat Fcst TES</t>
        </is>
      </c>
      <c r="E1936" t="n">
        <v>0</v>
      </c>
      <c r="F1936" t="n">
        <v>684.85665533538</v>
      </c>
      <c r="G1936" t="n">
        <v>0</v>
      </c>
      <c r="H1936" t="n">
        <v>339.876180606859</v>
      </c>
      <c r="I1936" t="n">
        <v>285.304733352588</v>
      </c>
      <c r="J1936" t="n">
        <v>1096.84771780621</v>
      </c>
      <c r="K1936" t="n">
        <v>0</v>
      </c>
      <c r="L1936" t="n">
        <v>1183.31190755029</v>
      </c>
      <c r="M1936" t="n">
        <v>584.421797018418</v>
      </c>
      <c r="N1936" t="n">
        <v>106.296965404145</v>
      </c>
      <c r="O1936" t="n">
        <v>781.958970170029</v>
      </c>
      <c r="P1936" t="n">
        <v>904.186425200237</v>
      </c>
    </row>
    <row r="1937">
      <c r="A1937" s="1" t="n">
        <v>4064941078081</v>
      </c>
      <c r="B1937" t="inlineStr">
        <is>
          <t>KJ MU PLMP GLS LG3.22ml 343ROC PLUMPG IV</t>
        </is>
      </c>
      <c r="C1937" t="inlineStr">
        <is>
          <t>P_US_ULTA</t>
        </is>
      </c>
      <c r="D1937" t="inlineStr">
        <is>
          <t>Stat Fcst Theta</t>
        </is>
      </c>
    </row>
    <row r="1938">
      <c r="A1938" s="1" t="n">
        <v>4064941078081</v>
      </c>
      <c r="B1938" t="inlineStr">
        <is>
          <t>KJ MU PLMP GLS LG3.22ml 343ROC PLUMPG IV</t>
        </is>
      </c>
      <c r="C1938" t="inlineStr">
        <is>
          <t>P_US_ULTA</t>
        </is>
      </c>
      <c r="D1938" t="inlineStr">
        <is>
          <t>System ML Fcst L1</t>
        </is>
      </c>
    </row>
    <row r="1939">
      <c r="A1939" s="1" t="n">
        <v>4064941078081</v>
      </c>
      <c r="B1939" t="inlineStr">
        <is>
          <t>KJ MU PLMP GLS LG3.22ml 343ROC PLUMPG IV</t>
        </is>
      </c>
      <c r="C1939" t="inlineStr">
        <is>
          <t>P_US_ULTA</t>
        </is>
      </c>
      <c r="D1939" t="inlineStr">
        <is>
          <t>Stat Fcst Simple Snaive</t>
        </is>
      </c>
      <c r="E1939" t="n">
        <v>982.499909684063</v>
      </c>
      <c r="F1939" t="n">
        <v>567.499983087182</v>
      </c>
      <c r="G1939" t="n">
        <v>2044.00001522898</v>
      </c>
      <c r="H1939" t="n">
        <v>2840.82706377425</v>
      </c>
      <c r="I1939" t="n">
        <v>2573.33335250616</v>
      </c>
      <c r="J1939" t="n">
        <v>771.3333103458079</v>
      </c>
      <c r="K1939" t="n">
        <v>760.666623651982</v>
      </c>
      <c r="L1939" t="n">
        <v>2979.16064453125</v>
      </c>
      <c r="M1939" t="n">
        <v>1978.9999410212</v>
      </c>
      <c r="N1939" t="n">
        <v>800.666678597529</v>
      </c>
      <c r="O1939" t="n">
        <v>2015.99993991851</v>
      </c>
      <c r="P1939" t="n">
        <v>861.333339750766</v>
      </c>
    </row>
    <row r="1940">
      <c r="A1940" s="1" t="n">
        <v>4064941078081</v>
      </c>
      <c r="B1940" t="inlineStr">
        <is>
          <t>KJ MU PLMP GLS LG3.22ml 343ROC PLUMPG IV</t>
        </is>
      </c>
      <c r="C1940" t="inlineStr">
        <is>
          <t>P_US_ULTA</t>
        </is>
      </c>
      <c r="D1940" t="inlineStr">
        <is>
          <t>Stat Fcst Simple AOA</t>
        </is>
      </c>
    </row>
    <row r="1941">
      <c r="A1941" s="1" t="n">
        <v>4064941078081</v>
      </c>
      <c r="B1941" t="inlineStr">
        <is>
          <t>KJ MU PLMP GLS LG3.22ml 343ROC PLUMPG IV</t>
        </is>
      </c>
      <c r="C1941" t="inlineStr">
        <is>
          <t>P_US_ULTA</t>
        </is>
      </c>
      <c r="D1941" t="inlineStr">
        <is>
          <t>Stat Fcst Weighted Snaive</t>
        </is>
      </c>
    </row>
    <row r="1942">
      <c r="A1942" s="1" t="n">
        <v>4064941078081</v>
      </c>
      <c r="B1942" t="inlineStr">
        <is>
          <t>KJ MU PLMP GLS LG3.22ml 343ROC PLUMPG IV</t>
        </is>
      </c>
      <c r="C1942" t="inlineStr">
        <is>
          <t>P_US_ULTA</t>
        </is>
      </c>
      <c r="D1942" t="inlineStr">
        <is>
          <t>Stat Fcst Weighted AOA</t>
        </is>
      </c>
    </row>
    <row r="1943">
      <c r="A1943" s="1" t="n">
        <v>4064941078081</v>
      </c>
      <c r="B1943" t="inlineStr">
        <is>
          <t>KJ MU PLMP GLS LG3.22ml 343ROC PLUMPG IV</t>
        </is>
      </c>
      <c r="C1943" t="inlineStr">
        <is>
          <t>P_US_ULTA</t>
        </is>
      </c>
      <c r="D1943" t="inlineStr">
        <is>
          <t>Stat Fcst Growth Snaive</t>
        </is>
      </c>
    </row>
    <row r="1944">
      <c r="A1944" s="1" t="n">
        <v>4064941078081</v>
      </c>
      <c r="B1944" t="inlineStr">
        <is>
          <t>KJ MU PLMP GLS LG3.22ml 343ROC PLUMPG IV</t>
        </is>
      </c>
      <c r="C1944" t="inlineStr">
        <is>
          <t>P_US_ULTA</t>
        </is>
      </c>
      <c r="D1944" t="inlineStr">
        <is>
          <t>Stat Fcst Growth AOA</t>
        </is>
      </c>
    </row>
    <row r="1945">
      <c r="A1945" s="1" t="n">
        <v>4064941078081</v>
      </c>
      <c r="B1945" t="inlineStr">
        <is>
          <t>KJ MU PLMP GLS LG3.22ml 343ROC PLUMPG IV</t>
        </is>
      </c>
      <c r="C1945" t="inlineStr">
        <is>
          <t>P_US_ULTA</t>
        </is>
      </c>
      <c r="D1945" t="inlineStr">
        <is>
          <t>System Stat Fcst Bestfit</t>
        </is>
      </c>
      <c r="H1945" t="n">
        <v>2840.82706377425</v>
      </c>
      <c r="I1945" t="n">
        <v>2573.33351526657</v>
      </c>
      <c r="J1945" t="n">
        <v>771.333290000757</v>
      </c>
      <c r="K1945" t="n">
        <v>760.66660330693</v>
      </c>
      <c r="L1945" t="n">
        <v>2979.16064453125</v>
      </c>
      <c r="M1945" t="n">
        <v>1978.99981895089</v>
      </c>
      <c r="N1945" t="n">
        <v>800.666637907425</v>
      </c>
      <c r="O1945" t="n">
        <v>2015.99993991851</v>
      </c>
      <c r="P1945" t="n">
        <v>861.333380440871</v>
      </c>
    </row>
    <row r="1946">
      <c r="A1946" s="1" t="n">
        <v>4064941078098</v>
      </c>
      <c r="B1946" t="inlineStr">
        <is>
          <t>KJ MU PLMP GLS LG3.22ml 618CHM PLUMPG IV</t>
        </is>
      </c>
      <c r="C1946" t="inlineStr">
        <is>
          <t>P_US_ULTA</t>
        </is>
      </c>
      <c r="D1946" t="inlineStr">
        <is>
          <t>Stat Fcst L1</t>
        </is>
      </c>
      <c r="E1946" t="n">
        <v>993.999970376491</v>
      </c>
      <c r="F1946" t="n">
        <v>342.999989777803</v>
      </c>
      <c r="G1946" t="n">
        <v>185</v>
      </c>
      <c r="H1946" t="n">
        <v>306</v>
      </c>
      <c r="I1946" t="n">
        <v>492</v>
      </c>
      <c r="J1946" t="n">
        <v>820</v>
      </c>
      <c r="K1946" t="n">
        <v>186</v>
      </c>
      <c r="L1946" t="n">
        <v>1080</v>
      </c>
      <c r="M1946" t="n">
        <v>478</v>
      </c>
      <c r="N1946" t="n">
        <v>185</v>
      </c>
      <c r="O1946" t="n">
        <v>753</v>
      </c>
      <c r="P1946" t="n">
        <v>703</v>
      </c>
    </row>
    <row r="1947">
      <c r="A1947" s="1" t="n">
        <v>4064941078098</v>
      </c>
      <c r="B1947" t="inlineStr">
        <is>
          <t>KJ MU PLMP GLS LG3.22ml 618CHM PLUMPG IV</t>
        </is>
      </c>
      <c r="C1947" t="inlineStr">
        <is>
          <t>P_US_ULTA</t>
        </is>
      </c>
      <c r="D1947" t="inlineStr">
        <is>
          <t>Stat Fcst AR-NNET</t>
        </is>
      </c>
    </row>
    <row r="1948">
      <c r="A1948" s="1" t="n">
        <v>4064941078098</v>
      </c>
      <c r="B1948" t="inlineStr">
        <is>
          <t>KJ MU PLMP GLS LG3.22ml 618CHM PLUMPG IV</t>
        </is>
      </c>
      <c r="C1948" t="inlineStr">
        <is>
          <t>P_US_ULTA</t>
        </is>
      </c>
      <c r="D1948" t="inlineStr">
        <is>
          <t>Stat Fcst Auto ARIMA</t>
        </is>
      </c>
    </row>
    <row r="1949">
      <c r="A1949" s="1" t="n">
        <v>4064941078098</v>
      </c>
      <c r="B1949" t="inlineStr">
        <is>
          <t>KJ MU PLMP GLS LG3.22ml 618CHM PLUMPG IV</t>
        </is>
      </c>
      <c r="C1949" t="inlineStr">
        <is>
          <t>P_US_ULTA</t>
        </is>
      </c>
      <c r="D1949" t="inlineStr">
        <is>
          <t>Stat Fcst Croston</t>
        </is>
      </c>
    </row>
    <row r="1950">
      <c r="A1950" s="1" t="n">
        <v>4064941078098</v>
      </c>
      <c r="B1950" t="inlineStr">
        <is>
          <t>KJ MU PLMP GLS LG3.22ml 618CHM PLUMPG IV</t>
        </is>
      </c>
      <c r="C1950" t="inlineStr">
        <is>
          <t>P_US_ULTA</t>
        </is>
      </c>
      <c r="D1950" t="inlineStr">
        <is>
          <t>Stat Fcst DES</t>
        </is>
      </c>
    </row>
    <row r="1951">
      <c r="A1951" s="1" t="n">
        <v>4064941078098</v>
      </c>
      <c r="B1951" t="inlineStr">
        <is>
          <t>KJ MU PLMP GLS LG3.22ml 618CHM PLUMPG IV</t>
        </is>
      </c>
      <c r="C1951" t="inlineStr">
        <is>
          <t>P_US_ULTA</t>
        </is>
      </c>
      <c r="D1951" t="inlineStr">
        <is>
          <t>Stat Fcst ETS</t>
        </is>
      </c>
    </row>
    <row r="1952">
      <c r="A1952" s="1" t="n">
        <v>4064941078098</v>
      </c>
      <c r="B1952" t="inlineStr">
        <is>
          <t>KJ MU PLMP GLS LG3.22ml 618CHM PLUMPG IV</t>
        </is>
      </c>
      <c r="C1952" t="inlineStr">
        <is>
          <t>P_US_ULTA</t>
        </is>
      </c>
      <c r="D1952" t="inlineStr">
        <is>
          <t>Stat Fcst Moving Average</t>
        </is>
      </c>
    </row>
    <row r="1953">
      <c r="A1953" s="1" t="n">
        <v>4064941078098</v>
      </c>
      <c r="B1953" t="inlineStr">
        <is>
          <t>KJ MU PLMP GLS LG3.22ml 618CHM PLUMPG IV</t>
        </is>
      </c>
      <c r="C1953" t="inlineStr">
        <is>
          <t>P_US_ULTA</t>
        </is>
      </c>
      <c r="D1953" t="inlineStr">
        <is>
          <t>Stat Fcst Naive Random Walk</t>
        </is>
      </c>
    </row>
    <row r="1954">
      <c r="A1954" s="1" t="n">
        <v>4064941078098</v>
      </c>
      <c r="B1954" t="inlineStr">
        <is>
          <t>KJ MU PLMP GLS LG3.22ml 618CHM PLUMPG IV</t>
        </is>
      </c>
      <c r="C1954" t="inlineStr">
        <is>
          <t>P_US_ULTA</t>
        </is>
      </c>
      <c r="D1954" t="inlineStr">
        <is>
          <t>Stat Fcst Prophet</t>
        </is>
      </c>
    </row>
    <row r="1955">
      <c r="A1955" s="1" t="n">
        <v>4064941078098</v>
      </c>
      <c r="B1955" t="inlineStr">
        <is>
          <t>KJ MU PLMP GLS LG3.22ml 618CHM PLUMPG IV</t>
        </is>
      </c>
      <c r="C1955" t="inlineStr">
        <is>
          <t>P_US_ULTA</t>
        </is>
      </c>
      <c r="D1955" t="inlineStr">
        <is>
          <t>Stat Fcst sARIMA</t>
        </is>
      </c>
    </row>
    <row r="1956">
      <c r="A1956" s="1" t="n">
        <v>4064941078098</v>
      </c>
      <c r="B1956" t="inlineStr">
        <is>
          <t>KJ MU PLMP GLS LG3.22ml 618CHM PLUMPG IV</t>
        </is>
      </c>
      <c r="C1956" t="inlineStr">
        <is>
          <t>P_US_ULTA</t>
        </is>
      </c>
      <c r="D1956" t="inlineStr">
        <is>
          <t>Stat Fcst Seasonal Naive YoY</t>
        </is>
      </c>
    </row>
    <row r="1957">
      <c r="A1957" s="1" t="n">
        <v>4064941078098</v>
      </c>
      <c r="B1957" t="inlineStr">
        <is>
          <t>KJ MU PLMP GLS LG3.22ml 618CHM PLUMPG IV</t>
        </is>
      </c>
      <c r="C1957" t="inlineStr">
        <is>
          <t>P_US_ULTA</t>
        </is>
      </c>
      <c r="D1957" t="inlineStr">
        <is>
          <t>Stat Fcst SES</t>
        </is>
      </c>
    </row>
    <row r="1958">
      <c r="A1958" s="1" t="n">
        <v>4064941078098</v>
      </c>
      <c r="B1958" t="inlineStr">
        <is>
          <t>KJ MU PLMP GLS LG3.22ml 618CHM PLUMPG IV</t>
        </is>
      </c>
      <c r="C1958" t="inlineStr">
        <is>
          <t>P_US_ULTA</t>
        </is>
      </c>
      <c r="D1958" t="inlineStr">
        <is>
          <t>Stat Fcst STLF</t>
        </is>
      </c>
      <c r="E1958" t="n">
        <v>185.999994456768</v>
      </c>
      <c r="F1958" t="n">
        <v>970.810542989862</v>
      </c>
      <c r="G1958" t="n">
        <v>769.055166116165</v>
      </c>
      <c r="H1958" t="n">
        <v>261.732633852256</v>
      </c>
      <c r="I1958" t="n">
        <v>929.848597243399</v>
      </c>
      <c r="J1958" t="n">
        <v>1018.60668978142</v>
      </c>
      <c r="K1958" t="n">
        <v>291.514467710735</v>
      </c>
      <c r="L1958" t="n">
        <v>186</v>
      </c>
      <c r="M1958" t="n">
        <v>185.999994456768</v>
      </c>
      <c r="N1958" t="n">
        <v>215.078884660606</v>
      </c>
      <c r="O1958" t="n">
        <v>185.999994456768</v>
      </c>
      <c r="P1958" t="n">
        <v>186.000001385808</v>
      </c>
    </row>
    <row r="1959">
      <c r="A1959" s="1" t="n">
        <v>4064941078098</v>
      </c>
      <c r="B1959" t="inlineStr">
        <is>
          <t>KJ MU PLMP GLS LG3.22ml 618CHM PLUMPG IV</t>
        </is>
      </c>
      <c r="C1959" t="inlineStr">
        <is>
          <t>P_US_ULTA</t>
        </is>
      </c>
      <c r="D1959" t="inlineStr">
        <is>
          <t>Stat Fcst TBATS</t>
        </is>
      </c>
    </row>
    <row r="1960">
      <c r="A1960" s="1" t="n">
        <v>4064941078098</v>
      </c>
      <c r="B1960" t="inlineStr">
        <is>
          <t>KJ MU PLMP GLS LG3.22ml 618CHM PLUMPG IV</t>
        </is>
      </c>
      <c r="C1960" t="inlineStr">
        <is>
          <t>P_US_ULTA</t>
        </is>
      </c>
      <c r="D1960" t="inlineStr">
        <is>
          <t>Stat Fcst TES</t>
        </is>
      </c>
      <c r="E1960" t="n">
        <v>185.999994456768</v>
      </c>
      <c r="F1960" t="n">
        <v>188.681341112078</v>
      </c>
      <c r="G1960" t="n">
        <v>186.000001385808</v>
      </c>
      <c r="H1960" t="n">
        <v>306.315062408892</v>
      </c>
      <c r="I1960" t="n">
        <v>491.776171765016</v>
      </c>
      <c r="J1960" t="n">
        <v>819.824899011307</v>
      </c>
      <c r="K1960" t="n">
        <v>185.999994456768</v>
      </c>
      <c r="L1960" t="n">
        <v>1079.89901017695</v>
      </c>
      <c r="M1960" t="n">
        <v>477.878850759235</v>
      </c>
      <c r="N1960" t="n">
        <v>186.000002771615</v>
      </c>
      <c r="O1960" t="n">
        <v>752.170341802393</v>
      </c>
      <c r="P1960" t="n">
        <v>702.618809038192</v>
      </c>
    </row>
    <row r="1961">
      <c r="A1961" s="1" t="n">
        <v>4064941078098</v>
      </c>
      <c r="B1961" t="inlineStr">
        <is>
          <t>KJ MU PLMP GLS LG3.22ml 618CHM PLUMPG IV</t>
        </is>
      </c>
      <c r="C1961" t="inlineStr">
        <is>
          <t>P_US_ULTA</t>
        </is>
      </c>
      <c r="D1961" t="inlineStr">
        <is>
          <t>Stat Fcst Theta</t>
        </is>
      </c>
    </row>
    <row r="1962">
      <c r="A1962" s="1" t="n">
        <v>4064941078098</v>
      </c>
      <c r="B1962" t="inlineStr">
        <is>
          <t>KJ MU PLMP GLS LG3.22ml 618CHM PLUMPG IV</t>
        </is>
      </c>
      <c r="C1962" t="inlineStr">
        <is>
          <t>P_US_ULTA</t>
        </is>
      </c>
      <c r="D1962" t="inlineStr">
        <is>
          <t>System ML Fcst L1</t>
        </is>
      </c>
    </row>
    <row r="1963">
      <c r="A1963" s="1" t="n">
        <v>4064941078098</v>
      </c>
      <c r="B1963" t="inlineStr">
        <is>
          <t>KJ MU PLMP GLS LG3.22ml 618CHM PLUMPG IV</t>
        </is>
      </c>
      <c r="C1963" t="inlineStr">
        <is>
          <t>P_US_ULTA</t>
        </is>
      </c>
      <c r="D1963" t="inlineStr">
        <is>
          <t>Stat Fcst Simple Snaive</t>
        </is>
      </c>
      <c r="E1963" t="n">
        <v>972.499971017241</v>
      </c>
      <c r="F1963" t="n">
        <v>596.499982222914</v>
      </c>
      <c r="G1963" t="n">
        <v>1642.00001223385</v>
      </c>
      <c r="H1963" t="n">
        <v>2670.69360530295</v>
      </c>
      <c r="I1963" t="n">
        <v>3058.33335611969</v>
      </c>
      <c r="J1963" t="n">
        <v>923.666639139254</v>
      </c>
      <c r="K1963" t="n">
        <v>577.3333161274591</v>
      </c>
      <c r="L1963" t="n">
        <v>2316.66666666666</v>
      </c>
      <c r="M1963" t="n">
        <v>2034.66659585634</v>
      </c>
      <c r="N1963" t="n">
        <v>1066.33334922293</v>
      </c>
      <c r="O1963" t="n">
        <v>1991.99994063377</v>
      </c>
      <c r="P1963" t="n">
        <v>874.000006511807</v>
      </c>
    </row>
    <row r="1964">
      <c r="A1964" s="1" t="n">
        <v>4064941078098</v>
      </c>
      <c r="B1964" t="inlineStr">
        <is>
          <t>KJ MU PLMP GLS LG3.22ml 618CHM PLUMPG IV</t>
        </is>
      </c>
      <c r="C1964" t="inlineStr">
        <is>
          <t>P_US_ULTA</t>
        </is>
      </c>
      <c r="D1964" t="inlineStr">
        <is>
          <t>Stat Fcst Simple AOA</t>
        </is>
      </c>
    </row>
    <row r="1965">
      <c r="A1965" s="1" t="n">
        <v>4064941078098</v>
      </c>
      <c r="B1965" t="inlineStr">
        <is>
          <t>KJ MU PLMP GLS LG3.22ml 618CHM PLUMPG IV</t>
        </is>
      </c>
      <c r="C1965" t="inlineStr">
        <is>
          <t>P_US_ULTA</t>
        </is>
      </c>
      <c r="D1965" t="inlineStr">
        <is>
          <t>Stat Fcst Weighted Snaive</t>
        </is>
      </c>
    </row>
    <row r="1966">
      <c r="A1966" s="1" t="n">
        <v>4064941078098</v>
      </c>
      <c r="B1966" t="inlineStr">
        <is>
          <t>KJ MU PLMP GLS LG3.22ml 618CHM PLUMPG IV</t>
        </is>
      </c>
      <c r="C1966" t="inlineStr">
        <is>
          <t>P_US_ULTA</t>
        </is>
      </c>
      <c r="D1966" t="inlineStr">
        <is>
          <t>Stat Fcst Weighted AOA</t>
        </is>
      </c>
    </row>
    <row r="1967">
      <c r="A1967" s="1" t="n">
        <v>4064941078098</v>
      </c>
      <c r="B1967" t="inlineStr">
        <is>
          <t>KJ MU PLMP GLS LG3.22ml 618CHM PLUMPG IV</t>
        </is>
      </c>
      <c r="C1967" t="inlineStr">
        <is>
          <t>P_US_ULTA</t>
        </is>
      </c>
      <c r="D1967" t="inlineStr">
        <is>
          <t>Stat Fcst Growth Snaive</t>
        </is>
      </c>
    </row>
    <row r="1968">
      <c r="A1968" s="1" t="n">
        <v>4064941078098</v>
      </c>
      <c r="B1968" t="inlineStr">
        <is>
          <t>KJ MU PLMP GLS LG3.22ml 618CHM PLUMPG IV</t>
        </is>
      </c>
      <c r="C1968" t="inlineStr">
        <is>
          <t>P_US_ULTA</t>
        </is>
      </c>
      <c r="D1968" t="inlineStr">
        <is>
          <t>Stat Fcst Growth AOA</t>
        </is>
      </c>
    </row>
    <row r="1969">
      <c r="A1969" s="1" t="n">
        <v>4064941078098</v>
      </c>
      <c r="B1969" t="inlineStr">
        <is>
          <t>KJ MU PLMP GLS LG3.22ml 618CHM PLUMPG IV</t>
        </is>
      </c>
      <c r="C1969" t="inlineStr">
        <is>
          <t>P_US_ULTA</t>
        </is>
      </c>
      <c r="D1969" t="inlineStr">
        <is>
          <t>System Stat Fcst Bestfit</t>
        </is>
      </c>
      <c r="H1969" t="n">
        <v>306.315054347662</v>
      </c>
      <c r="I1969" t="n">
        <v>491.776187746049</v>
      </c>
      <c r="J1969" t="n">
        <v>819.824865704033</v>
      </c>
      <c r="K1969" t="n">
        <v>185.999994456768</v>
      </c>
      <c r="L1969" t="n">
        <v>1079.89904785156</v>
      </c>
      <c r="M1969" t="n">
        <v>477.878830972944</v>
      </c>
      <c r="N1969" t="n">
        <v>186.000002771615</v>
      </c>
      <c r="O1969" t="n">
        <v>752.170265669516</v>
      </c>
      <c r="P1969" t="n">
        <v>702.61877964898</v>
      </c>
    </row>
    <row r="1970">
      <c r="A1970" s="1" t="n">
        <v>4064941088790</v>
      </c>
      <c r="B1970" t="inlineStr">
        <is>
          <t>KJ MU TNT BB LCAREM 2.4G SHES LVLY619 IV</t>
        </is>
      </c>
      <c r="C1970" t="inlineStr">
        <is>
          <t>P_US_ALL_OTHERS</t>
        </is>
      </c>
      <c r="D1970" t="inlineStr">
        <is>
          <t>Stat Fcst L1</t>
        </is>
      </c>
      <c r="E1970" t="n">
        <v>56.9999983012676</v>
      </c>
      <c r="F1970" t="n">
        <v>164.999995082616</v>
      </c>
      <c r="G1970" t="n">
        <v>47</v>
      </c>
      <c r="H1970" t="n">
        <v>105</v>
      </c>
      <c r="I1970" t="n">
        <v>128</v>
      </c>
      <c r="J1970" t="n">
        <v>222</v>
      </c>
      <c r="K1970" t="n">
        <v>31</v>
      </c>
      <c r="L1970" t="n">
        <v>124</v>
      </c>
      <c r="M1970" t="n">
        <v>190</v>
      </c>
      <c r="N1970" t="n">
        <v>56</v>
      </c>
      <c r="O1970" t="n">
        <v>75</v>
      </c>
      <c r="P1970" t="n">
        <v>30</v>
      </c>
    </row>
    <row r="1971">
      <c r="A1971" s="1" t="n">
        <v>4064941088790</v>
      </c>
      <c r="B1971" t="inlineStr">
        <is>
          <t>KJ MU TNT BB LCAREM 2.4G SHES LVLY619 IV</t>
        </is>
      </c>
      <c r="C1971" t="inlineStr">
        <is>
          <t>P_US_ALL_OTHERS</t>
        </is>
      </c>
      <c r="D1971" t="inlineStr">
        <is>
          <t>Stat Fcst AR-NNET</t>
        </is>
      </c>
    </row>
    <row r="1972">
      <c r="A1972" s="1" t="n">
        <v>4064941088790</v>
      </c>
      <c r="B1972" t="inlineStr">
        <is>
          <t>KJ MU TNT BB LCAREM 2.4G SHES LVLY619 IV</t>
        </is>
      </c>
      <c r="C1972" t="inlineStr">
        <is>
          <t>P_US_ALL_OTHERS</t>
        </is>
      </c>
      <c r="D1972" t="inlineStr">
        <is>
          <t>Stat Fcst Auto ARIMA</t>
        </is>
      </c>
    </row>
    <row r="1973">
      <c r="A1973" s="1" t="n">
        <v>4064941088790</v>
      </c>
      <c r="B1973" t="inlineStr">
        <is>
          <t>KJ MU TNT BB LCAREM 2.4G SHES LVLY619 IV</t>
        </is>
      </c>
      <c r="C1973" t="inlineStr">
        <is>
          <t>P_US_ALL_OTHERS</t>
        </is>
      </c>
      <c r="D1973" t="inlineStr">
        <is>
          <t>Stat Fcst Croston</t>
        </is>
      </c>
    </row>
    <row r="1974">
      <c r="A1974" s="1" t="n">
        <v>4064941088790</v>
      </c>
      <c r="B1974" t="inlineStr">
        <is>
          <t>KJ MU TNT BB LCAREM 2.4G SHES LVLY619 IV</t>
        </is>
      </c>
      <c r="C1974" t="inlineStr">
        <is>
          <t>P_US_ALL_OTHERS</t>
        </is>
      </c>
      <c r="D1974" t="inlineStr">
        <is>
          <t>Stat Fcst DES</t>
        </is>
      </c>
    </row>
    <row r="1975">
      <c r="A1975" s="1" t="n">
        <v>4064941088790</v>
      </c>
      <c r="B1975" t="inlineStr">
        <is>
          <t>KJ MU TNT BB LCAREM 2.4G SHES LVLY619 IV</t>
        </is>
      </c>
      <c r="C1975" t="inlineStr">
        <is>
          <t>P_US_ALL_OTHERS</t>
        </is>
      </c>
      <c r="D1975" t="inlineStr">
        <is>
          <t>Stat Fcst ETS</t>
        </is>
      </c>
    </row>
    <row r="1976">
      <c r="A1976" s="1" t="n">
        <v>4064941088790</v>
      </c>
      <c r="B1976" t="inlineStr">
        <is>
          <t>KJ MU TNT BB LCAREM 2.4G SHES LVLY619 IV</t>
        </is>
      </c>
      <c r="C1976" t="inlineStr">
        <is>
          <t>P_US_ALL_OTHERS</t>
        </is>
      </c>
      <c r="D1976" t="inlineStr">
        <is>
          <t>Stat Fcst Moving Average</t>
        </is>
      </c>
    </row>
    <row r="1977">
      <c r="A1977" s="1" t="n">
        <v>4064941088790</v>
      </c>
      <c r="B1977" t="inlineStr">
        <is>
          <t>KJ MU TNT BB LCAREM 2.4G SHES LVLY619 IV</t>
        </is>
      </c>
      <c r="C1977" t="inlineStr">
        <is>
          <t>P_US_ALL_OTHERS</t>
        </is>
      </c>
      <c r="D1977" t="inlineStr">
        <is>
          <t>Stat Fcst Naive Random Walk</t>
        </is>
      </c>
    </row>
    <row r="1978">
      <c r="A1978" s="1" t="n">
        <v>4064941088790</v>
      </c>
      <c r="B1978" t="inlineStr">
        <is>
          <t>KJ MU TNT BB LCAREM 2.4G SHES LVLY619 IV</t>
        </is>
      </c>
      <c r="C1978" t="inlineStr">
        <is>
          <t>P_US_ALL_OTHERS</t>
        </is>
      </c>
      <c r="D1978" t="inlineStr">
        <is>
          <t>Stat Fcst Prophet</t>
        </is>
      </c>
    </row>
    <row r="1979">
      <c r="A1979" s="1" t="n">
        <v>4064941088790</v>
      </c>
      <c r="B1979" t="inlineStr">
        <is>
          <t>KJ MU TNT BB LCAREM 2.4G SHES LVLY619 IV</t>
        </is>
      </c>
      <c r="C1979" t="inlineStr">
        <is>
          <t>P_US_ALL_OTHERS</t>
        </is>
      </c>
      <c r="D1979" t="inlineStr">
        <is>
          <t>Stat Fcst sARIMA</t>
        </is>
      </c>
    </row>
    <row r="1980">
      <c r="A1980" s="1" t="n">
        <v>4064941088790</v>
      </c>
      <c r="B1980" t="inlineStr">
        <is>
          <t>KJ MU TNT BB LCAREM 2.4G SHES LVLY619 IV</t>
        </is>
      </c>
      <c r="C1980" t="inlineStr">
        <is>
          <t>P_US_ALL_OTHERS</t>
        </is>
      </c>
      <c r="D1980" t="inlineStr">
        <is>
          <t>Stat Fcst Seasonal Naive YoY</t>
        </is>
      </c>
    </row>
    <row r="1981">
      <c r="A1981" s="1" t="n">
        <v>4064941088790</v>
      </c>
      <c r="B1981" t="inlineStr">
        <is>
          <t>KJ MU TNT BB LCAREM 2.4G SHES LVLY619 IV</t>
        </is>
      </c>
      <c r="C1981" t="inlineStr">
        <is>
          <t>P_US_ALL_OTHERS</t>
        </is>
      </c>
      <c r="D1981" t="inlineStr">
        <is>
          <t>Stat Fcst SES</t>
        </is>
      </c>
    </row>
    <row r="1982">
      <c r="A1982" s="1" t="n">
        <v>4064941088790</v>
      </c>
      <c r="B1982" t="inlineStr">
        <is>
          <t>KJ MU TNT BB LCAREM 2.4G SHES LVLY619 IV</t>
        </is>
      </c>
      <c r="C1982" t="inlineStr">
        <is>
          <t>P_US_ALL_OTHERS</t>
        </is>
      </c>
      <c r="D1982" t="inlineStr">
        <is>
          <t>Stat Fcst STLF</t>
        </is>
      </c>
      <c r="E1982" t="n">
        <v>72.1196864685495</v>
      </c>
      <c r="F1982" t="n">
        <v>64.5784261770028</v>
      </c>
      <c r="G1982" t="n">
        <v>55.3803647261231</v>
      </c>
      <c r="H1982" t="n">
        <v>31.9999990463256</v>
      </c>
      <c r="I1982" t="n">
        <v>32.0000002384185</v>
      </c>
      <c r="J1982" t="n">
        <v>65.5097079900475</v>
      </c>
      <c r="K1982" t="n">
        <v>31.9999990463256</v>
      </c>
      <c r="L1982" t="n">
        <v>51.9093172685053</v>
      </c>
      <c r="M1982" t="n">
        <v>76.0818752726309</v>
      </c>
      <c r="N1982" t="n">
        <v>45.3497890802311</v>
      </c>
      <c r="O1982" t="n">
        <v>31.9999990463256</v>
      </c>
      <c r="P1982" t="n">
        <v>32.0000002384185</v>
      </c>
    </row>
    <row r="1983">
      <c r="A1983" s="1" t="n">
        <v>4064941088790</v>
      </c>
      <c r="B1983" t="inlineStr">
        <is>
          <t>KJ MU TNT BB LCAREM 2.4G SHES LVLY619 IV</t>
        </is>
      </c>
      <c r="C1983" t="inlineStr">
        <is>
          <t>P_US_ALL_OTHERS</t>
        </is>
      </c>
      <c r="D1983" t="inlineStr">
        <is>
          <t>Stat Fcst TBATS</t>
        </is>
      </c>
    </row>
    <row r="1984">
      <c r="A1984" s="1" t="n">
        <v>4064941088790</v>
      </c>
      <c r="B1984" t="inlineStr">
        <is>
          <t>KJ MU TNT BB LCAREM 2.4G SHES LVLY619 IV</t>
        </is>
      </c>
      <c r="C1984" t="inlineStr">
        <is>
          <t>P_US_ALL_OTHERS</t>
        </is>
      </c>
      <c r="D1984" t="inlineStr">
        <is>
          <t>Stat Fcst TES</t>
        </is>
      </c>
      <c r="E1984" t="n">
        <v>116.516275901847</v>
      </c>
      <c r="F1984" t="n">
        <v>128.511931050222</v>
      </c>
      <c r="G1984" t="n">
        <v>75.2860423195291</v>
      </c>
      <c r="H1984" t="n">
        <v>104.379813976793</v>
      </c>
      <c r="I1984" t="n">
        <v>128.979987118285</v>
      </c>
      <c r="J1984" t="n">
        <v>222.882150061672</v>
      </c>
      <c r="K1984" t="n">
        <v>31.9999990463256</v>
      </c>
      <c r="L1984" t="n">
        <v>125.962902583879</v>
      </c>
      <c r="M1984" t="n">
        <v>188.385201395234</v>
      </c>
      <c r="N1984" t="n">
        <v>56.7705035067349</v>
      </c>
      <c r="O1984" t="n">
        <v>75.3283119268615</v>
      </c>
      <c r="P1984" t="n">
        <v>32.0000002384185</v>
      </c>
    </row>
    <row r="1985">
      <c r="A1985" s="1" t="n">
        <v>4064941088790</v>
      </c>
      <c r="B1985" t="inlineStr">
        <is>
          <t>KJ MU TNT BB LCAREM 2.4G SHES LVLY619 IV</t>
        </is>
      </c>
      <c r="C1985" t="inlineStr">
        <is>
          <t>P_US_ALL_OTHERS</t>
        </is>
      </c>
      <c r="D1985" t="inlineStr">
        <is>
          <t>Stat Fcst Theta</t>
        </is>
      </c>
    </row>
    <row r="1986">
      <c r="A1986" s="1" t="n">
        <v>4064941088790</v>
      </c>
      <c r="B1986" t="inlineStr">
        <is>
          <t>KJ MU TNT BB LCAREM 2.4G SHES LVLY619 IV</t>
        </is>
      </c>
      <c r="C1986" t="inlineStr">
        <is>
          <t>P_US_ALL_OTHERS</t>
        </is>
      </c>
      <c r="D1986" t="inlineStr">
        <is>
          <t>System ML Fcst L1</t>
        </is>
      </c>
    </row>
    <row r="1987">
      <c r="A1987" s="1" t="n">
        <v>4064941088790</v>
      </c>
      <c r="B1987" t="inlineStr">
        <is>
          <t>KJ MU TNT BB LCAREM 2.4G SHES LVLY619 IV</t>
        </is>
      </c>
      <c r="C1987" t="inlineStr">
        <is>
          <t>P_US_ALL_OTHERS</t>
        </is>
      </c>
      <c r="D1987" t="inlineStr">
        <is>
          <t>Stat Fcst Simple Snaive</t>
        </is>
      </c>
      <c r="E1987" t="n">
        <v>128.9999961555</v>
      </c>
      <c r="F1987" t="n">
        <v>139.499992027878</v>
      </c>
      <c r="G1987" t="n">
        <v>181.333337227503</v>
      </c>
      <c r="H1987" t="n">
        <v>225.981652200768</v>
      </c>
      <c r="I1987" t="n">
        <v>230.33333504945</v>
      </c>
      <c r="J1987" t="n">
        <v>308.62997533987</v>
      </c>
      <c r="K1987" t="n">
        <v>96.3333291908105</v>
      </c>
      <c r="L1987" t="n">
        <v>186.666666666666</v>
      </c>
      <c r="M1987" t="n">
        <v>240.666649321715</v>
      </c>
      <c r="N1987" t="n">
        <v>97.66666812201341</v>
      </c>
      <c r="O1987" t="n">
        <v>116.333327323198</v>
      </c>
      <c r="P1987" t="n">
        <v>60.3333337828516</v>
      </c>
    </row>
    <row r="1988">
      <c r="A1988" s="1" t="n">
        <v>4064941088790</v>
      </c>
      <c r="B1988" t="inlineStr">
        <is>
          <t>KJ MU TNT BB LCAREM 2.4G SHES LVLY619 IV</t>
        </is>
      </c>
      <c r="C1988" t="inlineStr">
        <is>
          <t>P_US_ALL_OTHERS</t>
        </is>
      </c>
      <c r="D1988" t="inlineStr">
        <is>
          <t>Stat Fcst Simple AOA</t>
        </is>
      </c>
    </row>
    <row r="1989">
      <c r="A1989" s="1" t="n">
        <v>4064941088790</v>
      </c>
      <c r="B1989" t="inlineStr">
        <is>
          <t>KJ MU TNT BB LCAREM 2.4G SHES LVLY619 IV</t>
        </is>
      </c>
      <c r="C1989" t="inlineStr">
        <is>
          <t>P_US_ALL_OTHERS</t>
        </is>
      </c>
      <c r="D1989" t="inlineStr">
        <is>
          <t>Stat Fcst Weighted Snaive</t>
        </is>
      </c>
    </row>
    <row r="1990">
      <c r="A1990" s="1" t="n">
        <v>4064941088790</v>
      </c>
      <c r="B1990" t="inlineStr">
        <is>
          <t>KJ MU TNT BB LCAREM 2.4G SHES LVLY619 IV</t>
        </is>
      </c>
      <c r="C1990" t="inlineStr">
        <is>
          <t>P_US_ALL_OTHERS</t>
        </is>
      </c>
      <c r="D1990" t="inlineStr">
        <is>
          <t>Stat Fcst Weighted AOA</t>
        </is>
      </c>
    </row>
    <row r="1991">
      <c r="A1991" s="1" t="n">
        <v>4064941088790</v>
      </c>
      <c r="B1991" t="inlineStr">
        <is>
          <t>KJ MU TNT BB LCAREM 2.4G SHES LVLY619 IV</t>
        </is>
      </c>
      <c r="C1991" t="inlineStr">
        <is>
          <t>P_US_ALL_OTHERS</t>
        </is>
      </c>
      <c r="D1991" t="inlineStr">
        <is>
          <t>Stat Fcst Growth Snaive</t>
        </is>
      </c>
    </row>
    <row r="1992">
      <c r="A1992" s="1" t="n">
        <v>4064941088790</v>
      </c>
      <c r="B1992" t="inlineStr">
        <is>
          <t>KJ MU TNT BB LCAREM 2.4G SHES LVLY619 IV</t>
        </is>
      </c>
      <c r="C1992" t="inlineStr">
        <is>
          <t>P_US_ALL_OTHERS</t>
        </is>
      </c>
      <c r="D1992" t="inlineStr">
        <is>
          <t>Stat Fcst Growth AOA</t>
        </is>
      </c>
    </row>
    <row r="1993">
      <c r="A1993" s="1" t="n">
        <v>4064941088790</v>
      </c>
      <c r="B1993" t="inlineStr">
        <is>
          <t>KJ MU TNT BB LCAREM 2.4G SHES LVLY619 IV</t>
        </is>
      </c>
      <c r="C1993" t="inlineStr">
        <is>
          <t>P_US_ALL_OTHERS</t>
        </is>
      </c>
      <c r="D1993" t="inlineStr">
        <is>
          <t>System Stat Fcst Bestfit</t>
        </is>
      </c>
      <c r="H1993" t="n">
        <v>104.379811037188</v>
      </c>
      <c r="I1993" t="n">
        <v>128.979981429725</v>
      </c>
      <c r="J1993" t="n">
        <v>222.882149729664</v>
      </c>
      <c r="K1993" t="n">
        <v>31.9999990463256</v>
      </c>
      <c r="L1993" t="n">
        <v>125.962905883789</v>
      </c>
      <c r="M1993" t="n">
        <v>188.385187256777</v>
      </c>
      <c r="N1993" t="n">
        <v>56.7705048437491</v>
      </c>
      <c r="O1993" t="n">
        <v>75.3283058605102</v>
      </c>
      <c r="P1993" t="n">
        <v>32.0000002384185</v>
      </c>
    </row>
    <row r="1994">
      <c r="A1994" s="1" t="n">
        <v>4064941088790</v>
      </c>
      <c r="B1994" t="inlineStr">
        <is>
          <t>KJ MU TNT BB LCAREM 2.4G SHES LVLY619 IV</t>
        </is>
      </c>
      <c r="C1994" t="inlineStr">
        <is>
          <t>P_US_ULTA</t>
        </is>
      </c>
      <c r="D1994" t="inlineStr">
        <is>
          <t>Stat Fcst L1</t>
        </is>
      </c>
      <c r="E1994" t="n">
        <v>541.999983847141</v>
      </c>
      <c r="F1994" t="n">
        <v>492.999985307455</v>
      </c>
      <c r="G1994" t="n">
        <v>737</v>
      </c>
      <c r="H1994" t="n">
        <v>863</v>
      </c>
      <c r="I1994" t="n">
        <v>822</v>
      </c>
      <c r="J1994" t="n">
        <v>199</v>
      </c>
      <c r="K1994" t="n">
        <v>199</v>
      </c>
      <c r="L1994" t="n">
        <v>200</v>
      </c>
      <c r="M1994" t="n">
        <v>208</v>
      </c>
      <c r="N1994" t="n">
        <v>197</v>
      </c>
      <c r="O1994" t="n">
        <v>199</v>
      </c>
      <c r="P1994" t="n">
        <v>198</v>
      </c>
    </row>
    <row r="1995">
      <c r="A1995" s="1" t="n">
        <v>4064941088790</v>
      </c>
      <c r="B1995" t="inlineStr">
        <is>
          <t>KJ MU TNT BB LCAREM 2.4G SHES LVLY619 IV</t>
        </is>
      </c>
      <c r="C1995" t="inlineStr">
        <is>
          <t>P_US_ULTA</t>
        </is>
      </c>
      <c r="D1995" t="inlineStr">
        <is>
          <t>Stat Fcst AR-NNET</t>
        </is>
      </c>
    </row>
    <row r="1996">
      <c r="A1996" s="1" t="n">
        <v>4064941088790</v>
      </c>
      <c r="B1996" t="inlineStr">
        <is>
          <t>KJ MU TNT BB LCAREM 2.4G SHES LVLY619 IV</t>
        </is>
      </c>
      <c r="C1996" t="inlineStr">
        <is>
          <t>P_US_ULTA</t>
        </is>
      </c>
      <c r="D1996" t="inlineStr">
        <is>
          <t>Stat Fcst Auto ARIMA</t>
        </is>
      </c>
    </row>
    <row r="1997">
      <c r="A1997" s="1" t="n">
        <v>4064941088790</v>
      </c>
      <c r="B1997" t="inlineStr">
        <is>
          <t>KJ MU TNT BB LCAREM 2.4G SHES LVLY619 IV</t>
        </is>
      </c>
      <c r="C1997" t="inlineStr">
        <is>
          <t>P_US_ULTA</t>
        </is>
      </c>
      <c r="D1997" t="inlineStr">
        <is>
          <t>Stat Fcst Croston</t>
        </is>
      </c>
    </row>
    <row r="1998">
      <c r="A1998" s="1" t="n">
        <v>4064941088790</v>
      </c>
      <c r="B1998" t="inlineStr">
        <is>
          <t>KJ MU TNT BB LCAREM 2.4G SHES LVLY619 IV</t>
        </is>
      </c>
      <c r="C1998" t="inlineStr">
        <is>
          <t>P_US_ULTA</t>
        </is>
      </c>
      <c r="D1998" t="inlineStr">
        <is>
          <t>Stat Fcst DES</t>
        </is>
      </c>
    </row>
    <row r="1999">
      <c r="A1999" s="1" t="n">
        <v>4064941088790</v>
      </c>
      <c r="B1999" t="inlineStr">
        <is>
          <t>KJ MU TNT BB LCAREM 2.4G SHES LVLY619 IV</t>
        </is>
      </c>
      <c r="C1999" t="inlineStr">
        <is>
          <t>P_US_ULTA</t>
        </is>
      </c>
      <c r="D1999" t="inlineStr">
        <is>
          <t>Stat Fcst ETS</t>
        </is>
      </c>
    </row>
    <row r="2000">
      <c r="A2000" s="1" t="n">
        <v>4064941088790</v>
      </c>
      <c r="B2000" t="inlineStr">
        <is>
          <t>KJ MU TNT BB LCAREM 2.4G SHES LVLY619 IV</t>
        </is>
      </c>
      <c r="C2000" t="inlineStr">
        <is>
          <t>P_US_ULTA</t>
        </is>
      </c>
      <c r="D2000" t="inlineStr">
        <is>
          <t>Stat Fcst Moving Average</t>
        </is>
      </c>
    </row>
    <row r="2001">
      <c r="A2001" s="1" t="n">
        <v>4064941088790</v>
      </c>
      <c r="B2001" t="inlineStr">
        <is>
          <t>KJ MU TNT BB LCAREM 2.4G SHES LVLY619 IV</t>
        </is>
      </c>
      <c r="C2001" t="inlineStr">
        <is>
          <t>P_US_ULTA</t>
        </is>
      </c>
      <c r="D2001" t="inlineStr">
        <is>
          <t>Stat Fcst Naive Random Walk</t>
        </is>
      </c>
    </row>
    <row r="2002">
      <c r="A2002" s="1" t="n">
        <v>4064941088790</v>
      </c>
      <c r="B2002" t="inlineStr">
        <is>
          <t>KJ MU TNT BB LCAREM 2.4G SHES LVLY619 IV</t>
        </is>
      </c>
      <c r="C2002" t="inlineStr">
        <is>
          <t>P_US_ULTA</t>
        </is>
      </c>
      <c r="D2002" t="inlineStr">
        <is>
          <t>Stat Fcst Prophet</t>
        </is>
      </c>
    </row>
    <row r="2003">
      <c r="A2003" s="1" t="n">
        <v>4064941088790</v>
      </c>
      <c r="B2003" t="inlineStr">
        <is>
          <t>KJ MU TNT BB LCAREM 2.4G SHES LVLY619 IV</t>
        </is>
      </c>
      <c r="C2003" t="inlineStr">
        <is>
          <t>P_US_ULTA</t>
        </is>
      </c>
      <c r="D2003" t="inlineStr">
        <is>
          <t>Stat Fcst sARIMA</t>
        </is>
      </c>
    </row>
    <row r="2004">
      <c r="A2004" s="1" t="n">
        <v>4064941088790</v>
      </c>
      <c r="B2004" t="inlineStr">
        <is>
          <t>KJ MU TNT BB LCAREM 2.4G SHES LVLY619 IV</t>
        </is>
      </c>
      <c r="C2004" t="inlineStr">
        <is>
          <t>P_US_ULTA</t>
        </is>
      </c>
      <c r="D2004" t="inlineStr">
        <is>
          <t>Stat Fcst Seasonal Naive YoY</t>
        </is>
      </c>
    </row>
    <row r="2005">
      <c r="A2005" s="1" t="n">
        <v>4064941088790</v>
      </c>
      <c r="B2005" t="inlineStr">
        <is>
          <t>KJ MU TNT BB LCAREM 2.4G SHES LVLY619 IV</t>
        </is>
      </c>
      <c r="C2005" t="inlineStr">
        <is>
          <t>P_US_ULTA</t>
        </is>
      </c>
      <c r="D2005" t="inlineStr">
        <is>
          <t>Stat Fcst SES</t>
        </is>
      </c>
    </row>
    <row r="2006">
      <c r="A2006" s="1" t="n">
        <v>4064941088790</v>
      </c>
      <c r="B2006" t="inlineStr">
        <is>
          <t>KJ MU TNT BB LCAREM 2.4G SHES LVLY619 IV</t>
        </is>
      </c>
      <c r="C2006" t="inlineStr">
        <is>
          <t>P_US_ULTA</t>
        </is>
      </c>
      <c r="D2006" t="inlineStr">
        <is>
          <t>Stat Fcst STLF</t>
        </is>
      </c>
      <c r="E2006" t="n">
        <v>2661.59651320473</v>
      </c>
      <c r="F2006" t="n">
        <v>1342.38590086689</v>
      </c>
      <c r="G2006" t="n">
        <v>745.37393898603</v>
      </c>
      <c r="H2006" t="n">
        <v>861.4750463590919</v>
      </c>
      <c r="I2006" t="n">
        <v>824.164809368929</v>
      </c>
      <c r="J2006" t="n">
        <v>197.99999409914</v>
      </c>
      <c r="K2006" t="n">
        <v>197.99999409914</v>
      </c>
      <c r="L2006" t="n">
        <v>198</v>
      </c>
      <c r="M2006" t="n">
        <v>210.09786244779</v>
      </c>
      <c r="N2006" t="n">
        <v>198.000002950429</v>
      </c>
      <c r="O2006" t="n">
        <v>197.99999409914</v>
      </c>
      <c r="P2006" t="n">
        <v>198.000001475214</v>
      </c>
    </row>
    <row r="2007">
      <c r="A2007" s="1" t="n">
        <v>4064941088790</v>
      </c>
      <c r="B2007" t="inlineStr">
        <is>
          <t>KJ MU TNT BB LCAREM 2.4G SHES LVLY619 IV</t>
        </is>
      </c>
      <c r="C2007" t="inlineStr">
        <is>
          <t>P_US_ULTA</t>
        </is>
      </c>
      <c r="D2007" t="inlineStr">
        <is>
          <t>Stat Fcst TBATS</t>
        </is>
      </c>
    </row>
    <row r="2008">
      <c r="A2008" s="1" t="n">
        <v>4064941088790</v>
      </c>
      <c r="B2008" t="inlineStr">
        <is>
          <t>KJ MU TNT BB LCAREM 2.4G SHES LVLY619 IV</t>
        </is>
      </c>
      <c r="C2008" t="inlineStr">
        <is>
          <t>P_US_ULTA</t>
        </is>
      </c>
      <c r="D2008" t="inlineStr">
        <is>
          <t>Stat Fcst TES</t>
        </is>
      </c>
      <c r="E2008" t="n">
        <v>1192.51549465631</v>
      </c>
      <c r="F2008" t="n">
        <v>1088.43931510091</v>
      </c>
      <c r="G2008" t="n">
        <v>968.1886566682419</v>
      </c>
      <c r="H2008" t="n">
        <v>1231.42267027405</v>
      </c>
      <c r="I2008" t="n">
        <v>669.662327539391</v>
      </c>
      <c r="J2008" t="n">
        <v>566.25378457658</v>
      </c>
      <c r="K2008" t="n">
        <v>407.859716360781</v>
      </c>
      <c r="L2008" t="n">
        <v>741.65932288976</v>
      </c>
      <c r="M2008" t="n">
        <v>763.9207510327821</v>
      </c>
      <c r="N2008" t="n">
        <v>253.486015189529</v>
      </c>
      <c r="O2008" t="n">
        <v>511.832706461949</v>
      </c>
      <c r="P2008" t="n">
        <v>681.456728584525</v>
      </c>
    </row>
    <row r="2009">
      <c r="A2009" s="1" t="n">
        <v>4064941088790</v>
      </c>
      <c r="B2009" t="inlineStr">
        <is>
          <t>KJ MU TNT BB LCAREM 2.4G SHES LVLY619 IV</t>
        </is>
      </c>
      <c r="C2009" t="inlineStr">
        <is>
          <t>P_US_ULTA</t>
        </is>
      </c>
      <c r="D2009" t="inlineStr">
        <is>
          <t>Stat Fcst Theta</t>
        </is>
      </c>
    </row>
    <row r="2010">
      <c r="A2010" s="1" t="n">
        <v>4064941088790</v>
      </c>
      <c r="B2010" t="inlineStr">
        <is>
          <t>KJ MU TNT BB LCAREM 2.4G SHES LVLY619 IV</t>
        </is>
      </c>
      <c r="C2010" t="inlineStr">
        <is>
          <t>P_US_ULTA</t>
        </is>
      </c>
      <c r="D2010" t="inlineStr">
        <is>
          <t>System ML Fcst L1</t>
        </is>
      </c>
    </row>
    <row r="2011">
      <c r="A2011" s="1" t="n">
        <v>4064941088790</v>
      </c>
      <c r="B2011" t="inlineStr">
        <is>
          <t>KJ MU TNT BB LCAREM 2.4G SHES LVLY619 IV</t>
        </is>
      </c>
      <c r="C2011" t="inlineStr">
        <is>
          <t>P_US_ULTA</t>
        </is>
      </c>
      <c r="D2011" t="inlineStr">
        <is>
          <t>Stat Fcst Simple Snaive</t>
        </is>
      </c>
      <c r="E2011" t="n">
        <v>2152.24261163942</v>
      </c>
      <c r="F2011" t="n">
        <v>1026.49996940791</v>
      </c>
      <c r="G2011" t="n">
        <v>2007.16188018889</v>
      </c>
      <c r="H2011" t="n">
        <v>1482.3332688113</v>
      </c>
      <c r="I2011" t="n">
        <v>1090.66667479276</v>
      </c>
      <c r="J2011" t="n">
        <v>657.666647066672</v>
      </c>
      <c r="K2011" t="n">
        <v>521.666651119788</v>
      </c>
      <c r="L2011" t="n">
        <v>973</v>
      </c>
      <c r="M2011" t="n">
        <v>1557.66657955447</v>
      </c>
      <c r="N2011" t="n">
        <v>1080.00005678335</v>
      </c>
      <c r="O2011" t="n">
        <v>1316.33325341344</v>
      </c>
      <c r="P2011" t="n">
        <v>1043.66667444258</v>
      </c>
    </row>
    <row r="2012">
      <c r="A2012" s="1" t="n">
        <v>4064941088790</v>
      </c>
      <c r="B2012" t="inlineStr">
        <is>
          <t>KJ MU TNT BB LCAREM 2.4G SHES LVLY619 IV</t>
        </is>
      </c>
      <c r="C2012" t="inlineStr">
        <is>
          <t>P_US_ULTA</t>
        </is>
      </c>
      <c r="D2012" t="inlineStr">
        <is>
          <t>Stat Fcst Simple AOA</t>
        </is>
      </c>
    </row>
    <row r="2013">
      <c r="A2013" s="1" t="n">
        <v>4064941088790</v>
      </c>
      <c r="B2013" t="inlineStr">
        <is>
          <t>KJ MU TNT BB LCAREM 2.4G SHES LVLY619 IV</t>
        </is>
      </c>
      <c r="C2013" t="inlineStr">
        <is>
          <t>P_US_ULTA</t>
        </is>
      </c>
      <c r="D2013" t="inlineStr">
        <is>
          <t>Stat Fcst Weighted Snaive</t>
        </is>
      </c>
    </row>
    <row r="2014">
      <c r="A2014" s="1" t="n">
        <v>4064941088790</v>
      </c>
      <c r="B2014" t="inlineStr">
        <is>
          <t>KJ MU TNT BB LCAREM 2.4G SHES LVLY619 IV</t>
        </is>
      </c>
      <c r="C2014" t="inlineStr">
        <is>
          <t>P_US_ULTA</t>
        </is>
      </c>
      <c r="D2014" t="inlineStr">
        <is>
          <t>Stat Fcst Weighted AOA</t>
        </is>
      </c>
    </row>
    <row r="2015">
      <c r="A2015" s="1" t="n">
        <v>4064941088790</v>
      </c>
      <c r="B2015" t="inlineStr">
        <is>
          <t>KJ MU TNT BB LCAREM 2.4G SHES LVLY619 IV</t>
        </is>
      </c>
      <c r="C2015" t="inlineStr">
        <is>
          <t>P_US_ULTA</t>
        </is>
      </c>
      <c r="D2015" t="inlineStr">
        <is>
          <t>Stat Fcst Growth Snaive</t>
        </is>
      </c>
    </row>
    <row r="2016">
      <c r="A2016" s="1" t="n">
        <v>4064941088790</v>
      </c>
      <c r="B2016" t="inlineStr">
        <is>
          <t>KJ MU TNT BB LCAREM 2.4G SHES LVLY619 IV</t>
        </is>
      </c>
      <c r="C2016" t="inlineStr">
        <is>
          <t>P_US_ULTA</t>
        </is>
      </c>
      <c r="D2016" t="inlineStr">
        <is>
          <t>Stat Fcst Growth AOA</t>
        </is>
      </c>
    </row>
    <row r="2017">
      <c r="A2017" s="1" t="n">
        <v>4064941088790</v>
      </c>
      <c r="B2017" t="inlineStr">
        <is>
          <t>KJ MU TNT BB LCAREM 2.4G SHES LVLY619 IV</t>
        </is>
      </c>
      <c r="C2017" t="inlineStr">
        <is>
          <t>P_US_ULTA</t>
        </is>
      </c>
      <c r="D2017" t="inlineStr">
        <is>
          <t>System Stat Fcst Bestfit</t>
        </is>
      </c>
      <c r="H2017" t="n">
        <v>861.475071982291</v>
      </c>
      <c r="I2017" t="n">
        <v>824.164801062381</v>
      </c>
      <c r="J2017" t="n">
        <v>197.999978840351</v>
      </c>
      <c r="K2017" t="n">
        <v>197.999978840351</v>
      </c>
      <c r="L2017" t="n">
        <v>198</v>
      </c>
      <c r="M2017" t="n">
        <v>210.097848352853</v>
      </c>
      <c r="N2017" t="n">
        <v>198.000002950429</v>
      </c>
      <c r="O2017" t="n">
        <v>197.999978840351</v>
      </c>
      <c r="P2017" t="n">
        <v>198.000001475214</v>
      </c>
    </row>
    <row r="2018">
      <c r="A2018" s="1" t="n">
        <v>4064941088844</v>
      </c>
      <c r="B2018" t="inlineStr">
        <is>
          <t>KJ MU TNT BB LCAREM 2.4G PNKMUPAT 338 IV</t>
        </is>
      </c>
      <c r="C2018" t="inlineStr">
        <is>
          <t>P_US_ALL_OTHERS</t>
        </is>
      </c>
      <c r="D2018" t="inlineStr">
        <is>
          <t>Stat Fcst L1</t>
        </is>
      </c>
      <c r="E2018" t="n">
        <v>59.9999982118606</v>
      </c>
      <c r="F2018" t="n">
        <v>165.999995052814</v>
      </c>
      <c r="G2018" t="n">
        <v>25</v>
      </c>
      <c r="H2018" t="n">
        <v>116</v>
      </c>
      <c r="I2018" t="n">
        <v>78</v>
      </c>
      <c r="J2018" t="n">
        <v>203</v>
      </c>
      <c r="K2018" t="n">
        <v>31</v>
      </c>
      <c r="L2018" t="n">
        <v>108</v>
      </c>
      <c r="M2018" t="n">
        <v>49</v>
      </c>
      <c r="N2018" t="n">
        <v>0</v>
      </c>
      <c r="O2018" t="n">
        <v>93</v>
      </c>
      <c r="P2018" t="n">
        <v>9</v>
      </c>
    </row>
    <row r="2019">
      <c r="A2019" s="1" t="n">
        <v>4064941088844</v>
      </c>
      <c r="B2019" t="inlineStr">
        <is>
          <t>KJ MU TNT BB LCAREM 2.4G PNKMUPAT 338 IV</t>
        </is>
      </c>
      <c r="C2019" t="inlineStr">
        <is>
          <t>P_US_ALL_OTHERS</t>
        </is>
      </c>
      <c r="D2019" t="inlineStr">
        <is>
          <t>Stat Fcst AR-NNET</t>
        </is>
      </c>
    </row>
    <row r="2020">
      <c r="A2020" s="1" t="n">
        <v>4064941088844</v>
      </c>
      <c r="B2020" t="inlineStr">
        <is>
          <t>KJ MU TNT BB LCAREM 2.4G PNKMUPAT 338 IV</t>
        </is>
      </c>
      <c r="C2020" t="inlineStr">
        <is>
          <t>P_US_ALL_OTHERS</t>
        </is>
      </c>
      <c r="D2020" t="inlineStr">
        <is>
          <t>Stat Fcst Auto ARIMA</t>
        </is>
      </c>
    </row>
    <row r="2021">
      <c r="A2021" s="1" t="n">
        <v>4064941088844</v>
      </c>
      <c r="B2021" t="inlineStr">
        <is>
          <t>KJ MU TNT BB LCAREM 2.4G PNKMUPAT 338 IV</t>
        </is>
      </c>
      <c r="C2021" t="inlineStr">
        <is>
          <t>P_US_ALL_OTHERS</t>
        </is>
      </c>
      <c r="D2021" t="inlineStr">
        <is>
          <t>Stat Fcst Croston</t>
        </is>
      </c>
    </row>
    <row r="2022">
      <c r="A2022" s="1" t="n">
        <v>4064941088844</v>
      </c>
      <c r="B2022" t="inlineStr">
        <is>
          <t>KJ MU TNT BB LCAREM 2.4G PNKMUPAT 338 IV</t>
        </is>
      </c>
      <c r="C2022" t="inlineStr">
        <is>
          <t>P_US_ALL_OTHERS</t>
        </is>
      </c>
      <c r="D2022" t="inlineStr">
        <is>
          <t>Stat Fcst DES</t>
        </is>
      </c>
    </row>
    <row r="2023">
      <c r="A2023" s="1" t="n">
        <v>4064941088844</v>
      </c>
      <c r="B2023" t="inlineStr">
        <is>
          <t>KJ MU TNT BB LCAREM 2.4G PNKMUPAT 338 IV</t>
        </is>
      </c>
      <c r="C2023" t="inlineStr">
        <is>
          <t>P_US_ALL_OTHERS</t>
        </is>
      </c>
      <c r="D2023" t="inlineStr">
        <is>
          <t>Stat Fcst ETS</t>
        </is>
      </c>
    </row>
    <row r="2024">
      <c r="A2024" s="1" t="n">
        <v>4064941088844</v>
      </c>
      <c r="B2024" t="inlineStr">
        <is>
          <t>KJ MU TNT BB LCAREM 2.4G PNKMUPAT 338 IV</t>
        </is>
      </c>
      <c r="C2024" t="inlineStr">
        <is>
          <t>P_US_ALL_OTHERS</t>
        </is>
      </c>
      <c r="D2024" t="inlineStr">
        <is>
          <t>Stat Fcst Moving Average</t>
        </is>
      </c>
    </row>
    <row r="2025">
      <c r="A2025" s="1" t="n">
        <v>4064941088844</v>
      </c>
      <c r="B2025" t="inlineStr">
        <is>
          <t>KJ MU TNT BB LCAREM 2.4G PNKMUPAT 338 IV</t>
        </is>
      </c>
      <c r="C2025" t="inlineStr">
        <is>
          <t>P_US_ALL_OTHERS</t>
        </is>
      </c>
      <c r="D2025" t="inlineStr">
        <is>
          <t>Stat Fcst Naive Random Walk</t>
        </is>
      </c>
    </row>
    <row r="2026">
      <c r="A2026" s="1" t="n">
        <v>4064941088844</v>
      </c>
      <c r="B2026" t="inlineStr">
        <is>
          <t>KJ MU TNT BB LCAREM 2.4G PNKMUPAT 338 IV</t>
        </is>
      </c>
      <c r="C2026" t="inlineStr">
        <is>
          <t>P_US_ALL_OTHERS</t>
        </is>
      </c>
      <c r="D2026" t="inlineStr">
        <is>
          <t>Stat Fcst Prophet</t>
        </is>
      </c>
    </row>
    <row r="2027">
      <c r="A2027" s="1" t="n">
        <v>4064941088844</v>
      </c>
      <c r="B2027" t="inlineStr">
        <is>
          <t>KJ MU TNT BB LCAREM 2.4G PNKMUPAT 338 IV</t>
        </is>
      </c>
      <c r="C2027" t="inlineStr">
        <is>
          <t>P_US_ALL_OTHERS</t>
        </is>
      </c>
      <c r="D2027" t="inlineStr">
        <is>
          <t>Stat Fcst sARIMA</t>
        </is>
      </c>
    </row>
    <row r="2028">
      <c r="A2028" s="1" t="n">
        <v>4064941088844</v>
      </c>
      <c r="B2028" t="inlineStr">
        <is>
          <t>KJ MU TNT BB LCAREM 2.4G PNKMUPAT 338 IV</t>
        </is>
      </c>
      <c r="C2028" t="inlineStr">
        <is>
          <t>P_US_ALL_OTHERS</t>
        </is>
      </c>
      <c r="D2028" t="inlineStr">
        <is>
          <t>Stat Fcst Seasonal Naive YoY</t>
        </is>
      </c>
    </row>
    <row r="2029">
      <c r="A2029" s="1" t="n">
        <v>4064941088844</v>
      </c>
      <c r="B2029" t="inlineStr">
        <is>
          <t>KJ MU TNT BB LCAREM 2.4G PNKMUPAT 338 IV</t>
        </is>
      </c>
      <c r="C2029" t="inlineStr">
        <is>
          <t>P_US_ALL_OTHERS</t>
        </is>
      </c>
      <c r="D2029" t="inlineStr">
        <is>
          <t>Stat Fcst SES</t>
        </is>
      </c>
    </row>
    <row r="2030">
      <c r="A2030" s="1" t="n">
        <v>4064941088844</v>
      </c>
      <c r="B2030" t="inlineStr">
        <is>
          <t>KJ MU TNT BB LCAREM 2.4G PNKMUPAT 338 IV</t>
        </is>
      </c>
      <c r="C2030" t="inlineStr">
        <is>
          <t>P_US_ALL_OTHERS</t>
        </is>
      </c>
      <c r="D2030" t="inlineStr">
        <is>
          <t>Stat Fcst STLF</t>
        </is>
      </c>
      <c r="E2030" t="n">
        <v>224.187249801584</v>
      </c>
      <c r="F2030" t="n">
        <v>66.52429641268969</v>
      </c>
      <c r="G2030" t="n">
        <v>178.464379938388</v>
      </c>
      <c r="H2030" t="n">
        <v>91.15143333808361</v>
      </c>
      <c r="I2030" t="n">
        <v>22.5022790700486</v>
      </c>
      <c r="J2030" t="n">
        <v>142.940232645183</v>
      </c>
      <c r="K2030" t="n">
        <v>49.7809564029273</v>
      </c>
      <c r="L2030" t="n">
        <v>84.2534471669952</v>
      </c>
      <c r="M2030" t="n">
        <v>0</v>
      </c>
      <c r="N2030" t="n">
        <v>73.8142412428539</v>
      </c>
      <c r="O2030" t="n">
        <v>78.8445964574874</v>
      </c>
      <c r="P2030" t="n">
        <v>11.2392306112252</v>
      </c>
    </row>
    <row r="2031">
      <c r="A2031" s="1" t="n">
        <v>4064941088844</v>
      </c>
      <c r="B2031" t="inlineStr">
        <is>
          <t>KJ MU TNT BB LCAREM 2.4G PNKMUPAT 338 IV</t>
        </is>
      </c>
      <c r="C2031" t="inlineStr">
        <is>
          <t>P_US_ALL_OTHERS</t>
        </is>
      </c>
      <c r="D2031" t="inlineStr">
        <is>
          <t>Stat Fcst TBATS</t>
        </is>
      </c>
    </row>
    <row r="2032">
      <c r="A2032" s="1" t="n">
        <v>4064941088844</v>
      </c>
      <c r="B2032" t="inlineStr">
        <is>
          <t>KJ MU TNT BB LCAREM 2.4G PNKMUPAT 338 IV</t>
        </is>
      </c>
      <c r="C2032" t="inlineStr">
        <is>
          <t>P_US_ALL_OTHERS</t>
        </is>
      </c>
      <c r="D2032" t="inlineStr">
        <is>
          <t>Stat Fcst TES</t>
        </is>
      </c>
      <c r="E2032" t="n">
        <v>146.436527855957</v>
      </c>
      <c r="F2032" t="n">
        <v>89.7392892558826</v>
      </c>
      <c r="G2032" t="n">
        <v>79.6613481483687</v>
      </c>
      <c r="H2032" t="n">
        <v>117.072916273027</v>
      </c>
      <c r="I2032" t="n">
        <v>75.3459819059679</v>
      </c>
      <c r="J2032" t="n">
        <v>202.078275196276</v>
      </c>
      <c r="K2032" t="n">
        <v>30.1079551679483</v>
      </c>
      <c r="L2032" t="n">
        <v>107.414270678782</v>
      </c>
      <c r="M2032" t="n">
        <v>46.9534991461898</v>
      </c>
      <c r="N2032" t="n">
        <v>0</v>
      </c>
      <c r="O2032" t="n">
        <v>91.4881112098965</v>
      </c>
      <c r="P2032" t="n">
        <v>8.070022126131439</v>
      </c>
    </row>
    <row r="2033">
      <c r="A2033" s="1" t="n">
        <v>4064941088844</v>
      </c>
      <c r="B2033" t="inlineStr">
        <is>
          <t>KJ MU TNT BB LCAREM 2.4G PNKMUPAT 338 IV</t>
        </is>
      </c>
      <c r="C2033" t="inlineStr">
        <is>
          <t>P_US_ALL_OTHERS</t>
        </is>
      </c>
      <c r="D2033" t="inlineStr">
        <is>
          <t>Stat Fcst Theta</t>
        </is>
      </c>
    </row>
    <row r="2034">
      <c r="A2034" s="1" t="n">
        <v>4064941088844</v>
      </c>
      <c r="B2034" t="inlineStr">
        <is>
          <t>KJ MU TNT BB LCAREM 2.4G PNKMUPAT 338 IV</t>
        </is>
      </c>
      <c r="C2034" t="inlineStr">
        <is>
          <t>P_US_ALL_OTHERS</t>
        </is>
      </c>
      <c r="D2034" t="inlineStr">
        <is>
          <t>System ML Fcst L1</t>
        </is>
      </c>
    </row>
    <row r="2035">
      <c r="A2035" s="1" t="n">
        <v>4064941088844</v>
      </c>
      <c r="B2035" t="inlineStr">
        <is>
          <t>KJ MU TNT BB LCAREM 2.4G PNKMUPAT 338 IV</t>
        </is>
      </c>
      <c r="C2035" t="inlineStr">
        <is>
          <t>P_US_ALL_OTHERS</t>
        </is>
      </c>
      <c r="D2035" t="inlineStr">
        <is>
          <t>Stat Fcst Simple Snaive</t>
        </is>
      </c>
      <c r="E2035" t="n">
        <v>194.499994203448</v>
      </c>
      <c r="F2035" t="n">
        <v>131.999996066093</v>
      </c>
      <c r="G2035" t="n">
        <v>136.666667684912</v>
      </c>
      <c r="H2035" t="n">
        <v>221.693963119567</v>
      </c>
      <c r="I2035" t="n">
        <v>163.000001214444</v>
      </c>
      <c r="J2035" t="n">
        <v>276.36062815704</v>
      </c>
      <c r="K2035" t="n">
        <v>92.999997228384</v>
      </c>
      <c r="L2035" t="n">
        <v>163.333333333333</v>
      </c>
      <c r="M2035" t="n">
        <v>98.33332372705161</v>
      </c>
      <c r="N2035" t="n">
        <v>40.0000005960464</v>
      </c>
      <c r="O2035" t="n">
        <v>133.999996006488</v>
      </c>
      <c r="P2035" t="n">
        <v>43.0000003203749</v>
      </c>
    </row>
    <row r="2036">
      <c r="A2036" s="1" t="n">
        <v>4064941088844</v>
      </c>
      <c r="B2036" t="inlineStr">
        <is>
          <t>KJ MU TNT BB LCAREM 2.4G PNKMUPAT 338 IV</t>
        </is>
      </c>
      <c r="C2036" t="inlineStr">
        <is>
          <t>P_US_ALL_OTHERS</t>
        </is>
      </c>
      <c r="D2036" t="inlineStr">
        <is>
          <t>Stat Fcst Simple AOA</t>
        </is>
      </c>
    </row>
    <row r="2037">
      <c r="A2037" s="1" t="n">
        <v>4064941088844</v>
      </c>
      <c r="B2037" t="inlineStr">
        <is>
          <t>KJ MU TNT BB LCAREM 2.4G PNKMUPAT 338 IV</t>
        </is>
      </c>
      <c r="C2037" t="inlineStr">
        <is>
          <t>P_US_ALL_OTHERS</t>
        </is>
      </c>
      <c r="D2037" t="inlineStr">
        <is>
          <t>Stat Fcst Weighted Snaive</t>
        </is>
      </c>
    </row>
    <row r="2038">
      <c r="A2038" s="1" t="n">
        <v>4064941088844</v>
      </c>
      <c r="B2038" t="inlineStr">
        <is>
          <t>KJ MU TNT BB LCAREM 2.4G PNKMUPAT 338 IV</t>
        </is>
      </c>
      <c r="C2038" t="inlineStr">
        <is>
          <t>P_US_ALL_OTHERS</t>
        </is>
      </c>
      <c r="D2038" t="inlineStr">
        <is>
          <t>Stat Fcst Weighted AOA</t>
        </is>
      </c>
    </row>
    <row r="2039">
      <c r="A2039" s="1" t="n">
        <v>4064941088844</v>
      </c>
      <c r="B2039" t="inlineStr">
        <is>
          <t>KJ MU TNT BB LCAREM 2.4G PNKMUPAT 338 IV</t>
        </is>
      </c>
      <c r="C2039" t="inlineStr">
        <is>
          <t>P_US_ALL_OTHERS</t>
        </is>
      </c>
      <c r="D2039" t="inlineStr">
        <is>
          <t>Stat Fcst Growth Snaive</t>
        </is>
      </c>
    </row>
    <row r="2040">
      <c r="A2040" s="1" t="n">
        <v>4064941088844</v>
      </c>
      <c r="B2040" t="inlineStr">
        <is>
          <t>KJ MU TNT BB LCAREM 2.4G PNKMUPAT 338 IV</t>
        </is>
      </c>
      <c r="C2040" t="inlineStr">
        <is>
          <t>P_US_ALL_OTHERS</t>
        </is>
      </c>
      <c r="D2040" t="inlineStr">
        <is>
          <t>Stat Fcst Growth AOA</t>
        </is>
      </c>
    </row>
    <row r="2041">
      <c r="A2041" s="1" t="n">
        <v>4064941088844</v>
      </c>
      <c r="B2041" t="inlineStr">
        <is>
          <t>KJ MU TNT BB LCAREM 2.4G PNKMUPAT 338 IV</t>
        </is>
      </c>
      <c r="C2041" t="inlineStr">
        <is>
          <t>P_US_ALL_OTHERS</t>
        </is>
      </c>
      <c r="D2041" t="inlineStr">
        <is>
          <t>System Stat Fcst Bestfit</t>
        </is>
      </c>
      <c r="H2041" t="n">
        <v>117.07291063449</v>
      </c>
      <c r="I2041" t="n">
        <v>75.34597834457441</v>
      </c>
      <c r="J2041" t="n">
        <v>202.078271565488</v>
      </c>
      <c r="K2041" t="n">
        <v>30.1079550353301</v>
      </c>
      <c r="L2041" t="n">
        <v>107.414268493652</v>
      </c>
      <c r="M2041" t="n">
        <v>46.9534974410087</v>
      </c>
      <c r="N2041" t="n">
        <v>0</v>
      </c>
      <c r="O2041" t="n">
        <v>91.48811067676201</v>
      </c>
      <c r="P2041" t="n">
        <v>8.070022643134161</v>
      </c>
    </row>
    <row r="2042">
      <c r="A2042" s="1" t="n">
        <v>4064941088844</v>
      </c>
      <c r="B2042" t="inlineStr">
        <is>
          <t>KJ MU TNT BB LCAREM 2.4G PNKMUPAT 338 IV</t>
        </is>
      </c>
      <c r="C2042" t="inlineStr">
        <is>
          <t>P_US_ULTA</t>
        </is>
      </c>
      <c r="D2042" t="inlineStr">
        <is>
          <t>Stat Fcst L1</t>
        </is>
      </c>
      <c r="E2042" t="n">
        <v>460.999986261129</v>
      </c>
      <c r="F2042" t="n">
        <v>406.999987870454</v>
      </c>
      <c r="G2042" t="n">
        <v>1899</v>
      </c>
      <c r="H2042" t="n">
        <v>1448</v>
      </c>
      <c r="I2042" t="n">
        <v>1182</v>
      </c>
      <c r="J2042" t="n">
        <v>1868</v>
      </c>
      <c r="K2042" t="n">
        <v>443</v>
      </c>
      <c r="L2042" t="n">
        <v>1224</v>
      </c>
      <c r="M2042" t="n">
        <v>1550</v>
      </c>
      <c r="N2042" t="n">
        <v>365</v>
      </c>
      <c r="O2042" t="n">
        <v>1315</v>
      </c>
      <c r="P2042" t="n">
        <v>1131</v>
      </c>
    </row>
    <row r="2043">
      <c r="A2043" s="1" t="n">
        <v>4064941088844</v>
      </c>
      <c r="B2043" t="inlineStr">
        <is>
          <t>KJ MU TNT BB LCAREM 2.4G PNKMUPAT 338 IV</t>
        </is>
      </c>
      <c r="C2043" t="inlineStr">
        <is>
          <t>P_US_ULTA</t>
        </is>
      </c>
      <c r="D2043" t="inlineStr">
        <is>
          <t>Stat Fcst AR-NNET</t>
        </is>
      </c>
    </row>
    <row r="2044">
      <c r="A2044" s="1" t="n">
        <v>4064941088844</v>
      </c>
      <c r="B2044" t="inlineStr">
        <is>
          <t>KJ MU TNT BB LCAREM 2.4G PNKMUPAT 338 IV</t>
        </is>
      </c>
      <c r="C2044" t="inlineStr">
        <is>
          <t>P_US_ULTA</t>
        </is>
      </c>
      <c r="D2044" t="inlineStr">
        <is>
          <t>Stat Fcst Auto ARIMA</t>
        </is>
      </c>
    </row>
    <row r="2045">
      <c r="A2045" s="1" t="n">
        <v>4064941088844</v>
      </c>
      <c r="B2045" t="inlineStr">
        <is>
          <t>KJ MU TNT BB LCAREM 2.4G PNKMUPAT 338 IV</t>
        </is>
      </c>
      <c r="C2045" t="inlineStr">
        <is>
          <t>P_US_ULTA</t>
        </is>
      </c>
      <c r="D2045" t="inlineStr">
        <is>
          <t>Stat Fcst Croston</t>
        </is>
      </c>
    </row>
    <row r="2046">
      <c r="A2046" s="1" t="n">
        <v>4064941088844</v>
      </c>
      <c r="B2046" t="inlineStr">
        <is>
          <t>KJ MU TNT BB LCAREM 2.4G PNKMUPAT 338 IV</t>
        </is>
      </c>
      <c r="C2046" t="inlineStr">
        <is>
          <t>P_US_ULTA</t>
        </is>
      </c>
      <c r="D2046" t="inlineStr">
        <is>
          <t>Stat Fcst DES</t>
        </is>
      </c>
    </row>
    <row r="2047">
      <c r="A2047" s="1" t="n">
        <v>4064941088844</v>
      </c>
      <c r="B2047" t="inlineStr">
        <is>
          <t>KJ MU TNT BB LCAREM 2.4G PNKMUPAT 338 IV</t>
        </is>
      </c>
      <c r="C2047" t="inlineStr">
        <is>
          <t>P_US_ULTA</t>
        </is>
      </c>
      <c r="D2047" t="inlineStr">
        <is>
          <t>Stat Fcst ETS</t>
        </is>
      </c>
    </row>
    <row r="2048">
      <c r="A2048" s="1" t="n">
        <v>4064941088844</v>
      </c>
      <c r="B2048" t="inlineStr">
        <is>
          <t>KJ MU TNT BB LCAREM 2.4G PNKMUPAT 338 IV</t>
        </is>
      </c>
      <c r="C2048" t="inlineStr">
        <is>
          <t>P_US_ULTA</t>
        </is>
      </c>
      <c r="D2048" t="inlineStr">
        <is>
          <t>Stat Fcst Moving Average</t>
        </is>
      </c>
    </row>
    <row r="2049">
      <c r="A2049" s="1" t="n">
        <v>4064941088844</v>
      </c>
      <c r="B2049" t="inlineStr">
        <is>
          <t>KJ MU TNT BB LCAREM 2.4G PNKMUPAT 338 IV</t>
        </is>
      </c>
      <c r="C2049" t="inlineStr">
        <is>
          <t>P_US_ULTA</t>
        </is>
      </c>
      <c r="D2049" t="inlineStr">
        <is>
          <t>Stat Fcst Naive Random Walk</t>
        </is>
      </c>
    </row>
    <row r="2050">
      <c r="A2050" s="1" t="n">
        <v>4064941088844</v>
      </c>
      <c r="B2050" t="inlineStr">
        <is>
          <t>KJ MU TNT BB LCAREM 2.4G PNKMUPAT 338 IV</t>
        </is>
      </c>
      <c r="C2050" t="inlineStr">
        <is>
          <t>P_US_ULTA</t>
        </is>
      </c>
      <c r="D2050" t="inlineStr">
        <is>
          <t>Stat Fcst Prophet</t>
        </is>
      </c>
    </row>
    <row r="2051">
      <c r="A2051" s="1" t="n">
        <v>4064941088844</v>
      </c>
      <c r="B2051" t="inlineStr">
        <is>
          <t>KJ MU TNT BB LCAREM 2.4G PNKMUPAT 338 IV</t>
        </is>
      </c>
      <c r="C2051" t="inlineStr">
        <is>
          <t>P_US_ULTA</t>
        </is>
      </c>
      <c r="D2051" t="inlineStr">
        <is>
          <t>Stat Fcst sARIMA</t>
        </is>
      </c>
    </row>
    <row r="2052">
      <c r="A2052" s="1" t="n">
        <v>4064941088844</v>
      </c>
      <c r="B2052" t="inlineStr">
        <is>
          <t>KJ MU TNT BB LCAREM 2.4G PNKMUPAT 338 IV</t>
        </is>
      </c>
      <c r="C2052" t="inlineStr">
        <is>
          <t>P_US_ULTA</t>
        </is>
      </c>
      <c r="D2052" t="inlineStr">
        <is>
          <t>Stat Fcst Seasonal Naive YoY</t>
        </is>
      </c>
    </row>
    <row r="2053">
      <c r="A2053" s="1" t="n">
        <v>4064941088844</v>
      </c>
      <c r="B2053" t="inlineStr">
        <is>
          <t>KJ MU TNT BB LCAREM 2.4G PNKMUPAT 338 IV</t>
        </is>
      </c>
      <c r="C2053" t="inlineStr">
        <is>
          <t>P_US_ULTA</t>
        </is>
      </c>
      <c r="D2053" t="inlineStr">
        <is>
          <t>Stat Fcst SES</t>
        </is>
      </c>
    </row>
    <row r="2054">
      <c r="A2054" s="1" t="n">
        <v>4064941088844</v>
      </c>
      <c r="B2054" t="inlineStr">
        <is>
          <t>KJ MU TNT BB LCAREM 2.4G PNKMUPAT 338 IV</t>
        </is>
      </c>
      <c r="C2054" t="inlineStr">
        <is>
          <t>P_US_ULTA</t>
        </is>
      </c>
      <c r="D2054" t="inlineStr">
        <is>
          <t>Stat Fcst STLF</t>
        </is>
      </c>
      <c r="E2054" t="n">
        <v>3216.27777064388</v>
      </c>
      <c r="F2054" t="n">
        <v>3702.47857596979</v>
      </c>
      <c r="G2054" t="n">
        <v>274.183760366632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4064941088844</v>
      </c>
      <c r="B2055" t="inlineStr">
        <is>
          <t>KJ MU TNT BB LCAREM 2.4G PNKMUPAT 338 IV</t>
        </is>
      </c>
      <c r="C2055" t="inlineStr">
        <is>
          <t>P_US_ULTA</t>
        </is>
      </c>
      <c r="D2055" t="inlineStr">
        <is>
          <t>Stat Fcst TBATS</t>
        </is>
      </c>
    </row>
    <row r="2056">
      <c r="A2056" s="1" t="n">
        <v>4064941088844</v>
      </c>
      <c r="B2056" t="inlineStr">
        <is>
          <t>KJ MU TNT BB LCAREM 2.4G PNKMUPAT 338 IV</t>
        </is>
      </c>
      <c r="C2056" t="inlineStr">
        <is>
          <t>P_US_ULTA</t>
        </is>
      </c>
      <c r="D2056" t="inlineStr">
        <is>
          <t>Stat Fcst TES</t>
        </is>
      </c>
      <c r="E2056" t="n">
        <v>1522.11129039874</v>
      </c>
      <c r="F2056" t="n">
        <v>2338.54678918555</v>
      </c>
      <c r="G2056" t="n">
        <v>2083.12047003378</v>
      </c>
      <c r="H2056" t="n">
        <v>1445.96747351822</v>
      </c>
      <c r="I2056" t="n">
        <v>1181.87866769632</v>
      </c>
      <c r="J2056" t="n">
        <v>1867.29332607043</v>
      </c>
      <c r="K2056" t="n">
        <v>440.67102709978</v>
      </c>
      <c r="L2056" t="n">
        <v>1222.83645469338</v>
      </c>
      <c r="M2056" t="n">
        <v>1549.26328488553</v>
      </c>
      <c r="N2056" t="n">
        <v>365.149003713093</v>
      </c>
      <c r="O2056" t="n">
        <v>1315.60475530283</v>
      </c>
      <c r="P2056" t="n">
        <v>1131.7488626806</v>
      </c>
    </row>
    <row r="2057">
      <c r="A2057" s="1" t="n">
        <v>4064941088844</v>
      </c>
      <c r="B2057" t="inlineStr">
        <is>
          <t>KJ MU TNT BB LCAREM 2.4G PNKMUPAT 338 IV</t>
        </is>
      </c>
      <c r="C2057" t="inlineStr">
        <is>
          <t>P_US_ULTA</t>
        </is>
      </c>
      <c r="D2057" t="inlineStr">
        <is>
          <t>Stat Fcst Theta</t>
        </is>
      </c>
    </row>
    <row r="2058">
      <c r="A2058" s="1" t="n">
        <v>4064941088844</v>
      </c>
      <c r="B2058" t="inlineStr">
        <is>
          <t>KJ MU TNT BB LCAREM 2.4G PNKMUPAT 338 IV</t>
        </is>
      </c>
      <c r="C2058" t="inlineStr">
        <is>
          <t>P_US_ULTA</t>
        </is>
      </c>
      <c r="D2058" t="inlineStr">
        <is>
          <t>System ML Fcst L1</t>
        </is>
      </c>
    </row>
    <row r="2059">
      <c r="A2059" s="1" t="n">
        <v>4064941088844</v>
      </c>
      <c r="B2059" t="inlineStr">
        <is>
          <t>KJ MU TNT BB LCAREM 2.4G PNKMUPAT 338 IV</t>
        </is>
      </c>
      <c r="C2059" t="inlineStr">
        <is>
          <t>P_US_ULTA</t>
        </is>
      </c>
      <c r="D2059" t="inlineStr">
        <is>
          <t>Stat Fcst Simple Snaive</t>
        </is>
      </c>
      <c r="E2059" t="n">
        <v>2293.49980957806</v>
      </c>
      <c r="F2059" t="n">
        <v>2451.52653826693</v>
      </c>
      <c r="G2059" t="n">
        <v>2668.35109409951</v>
      </c>
      <c r="H2059" t="n">
        <v>1318.66660702228</v>
      </c>
      <c r="I2059" t="n">
        <v>1029.00000766664</v>
      </c>
      <c r="J2059" t="n">
        <v>1029.66661563515</v>
      </c>
      <c r="K2059" t="n">
        <v>568.33331639568</v>
      </c>
      <c r="L2059" t="n">
        <v>1954</v>
      </c>
      <c r="M2059" t="n">
        <v>1048.99996873736</v>
      </c>
      <c r="N2059" t="n">
        <v>720.666677405436</v>
      </c>
      <c r="O2059" t="n">
        <v>2321.333182772</v>
      </c>
      <c r="P2059" t="n">
        <v>1466.66667759418</v>
      </c>
    </row>
    <row r="2060">
      <c r="A2060" s="1" t="n">
        <v>4064941088844</v>
      </c>
      <c r="B2060" t="inlineStr">
        <is>
          <t>KJ MU TNT BB LCAREM 2.4G PNKMUPAT 338 IV</t>
        </is>
      </c>
      <c r="C2060" t="inlineStr">
        <is>
          <t>P_US_ULTA</t>
        </is>
      </c>
      <c r="D2060" t="inlineStr">
        <is>
          <t>Stat Fcst Simple AOA</t>
        </is>
      </c>
    </row>
    <row r="2061">
      <c r="A2061" s="1" t="n">
        <v>4064941088844</v>
      </c>
      <c r="B2061" t="inlineStr">
        <is>
          <t>KJ MU TNT BB LCAREM 2.4G PNKMUPAT 338 IV</t>
        </is>
      </c>
      <c r="C2061" t="inlineStr">
        <is>
          <t>P_US_ULTA</t>
        </is>
      </c>
      <c r="D2061" t="inlineStr">
        <is>
          <t>Stat Fcst Weighted Snaive</t>
        </is>
      </c>
    </row>
    <row r="2062">
      <c r="A2062" s="1" t="n">
        <v>4064941088844</v>
      </c>
      <c r="B2062" t="inlineStr">
        <is>
          <t>KJ MU TNT BB LCAREM 2.4G PNKMUPAT 338 IV</t>
        </is>
      </c>
      <c r="C2062" t="inlineStr">
        <is>
          <t>P_US_ULTA</t>
        </is>
      </c>
      <c r="D2062" t="inlineStr">
        <is>
          <t>Stat Fcst Weighted AOA</t>
        </is>
      </c>
    </row>
    <row r="2063">
      <c r="A2063" s="1" t="n">
        <v>4064941088844</v>
      </c>
      <c r="B2063" t="inlineStr">
        <is>
          <t>KJ MU TNT BB LCAREM 2.4G PNKMUPAT 338 IV</t>
        </is>
      </c>
      <c r="C2063" t="inlineStr">
        <is>
          <t>P_US_ULTA</t>
        </is>
      </c>
      <c r="D2063" t="inlineStr">
        <is>
          <t>Stat Fcst Growth Snaive</t>
        </is>
      </c>
    </row>
    <row r="2064">
      <c r="A2064" s="1" t="n">
        <v>4064941088844</v>
      </c>
      <c r="B2064" t="inlineStr">
        <is>
          <t>KJ MU TNT BB LCAREM 2.4G PNKMUPAT 338 IV</t>
        </is>
      </c>
      <c r="C2064" t="inlineStr">
        <is>
          <t>P_US_ULTA</t>
        </is>
      </c>
      <c r="D2064" t="inlineStr">
        <is>
          <t>Stat Fcst Growth AOA</t>
        </is>
      </c>
    </row>
    <row r="2065">
      <c r="A2065" s="1" t="n">
        <v>4064941088844</v>
      </c>
      <c r="B2065" t="inlineStr">
        <is>
          <t>KJ MU TNT BB LCAREM 2.4G PNKMUPAT 338 IV</t>
        </is>
      </c>
      <c r="C2065" t="inlineStr">
        <is>
          <t>P_US_ULTA</t>
        </is>
      </c>
      <c r="D2065" t="inlineStr">
        <is>
          <t>System Stat Fcst Bestfit</t>
        </is>
      </c>
      <c r="H2065" t="n">
        <v>1445.96748620368</v>
      </c>
      <c r="I2065" t="n">
        <v>1181.87867091505</v>
      </c>
      <c r="J2065" t="n">
        <v>1867.29327931125</v>
      </c>
      <c r="K2065" t="n">
        <v>440.671007374792</v>
      </c>
      <c r="L2065" t="n">
        <v>1222.83642578125</v>
      </c>
      <c r="M2065" t="n">
        <v>1549.26325949241</v>
      </c>
      <c r="N2065" t="n">
        <v>365.14899225755</v>
      </c>
      <c r="O2065" t="n">
        <v>1315.60469712004</v>
      </c>
      <c r="P2065" t="n">
        <v>1131.74890979937</v>
      </c>
    </row>
    <row r="2066">
      <c r="A2066" s="1" t="n">
        <v>4064941091400</v>
      </c>
      <c r="B2066" t="inlineStr">
        <is>
          <t>KJ MU SUMMER LG 15 ML UNDRESTIMATD002 IV</t>
        </is>
      </c>
      <c r="C2066" t="inlineStr">
        <is>
          <t>P_US_ULTA</t>
        </is>
      </c>
      <c r="D2066" t="inlineStr">
        <is>
          <t>Stat Fcst L1</t>
        </is>
      </c>
      <c r="E2066" t="n">
        <v>182.999994546175</v>
      </c>
      <c r="F2066" t="n">
        <v>437.677406549453</v>
      </c>
      <c r="G2066" t="n">
        <v>81</v>
      </c>
      <c r="H2066" t="n">
        <v>71</v>
      </c>
      <c r="I2066" t="n">
        <v>0</v>
      </c>
      <c r="J2066" t="n">
        <v>71</v>
      </c>
      <c r="K2066" t="n">
        <v>146</v>
      </c>
      <c r="L2066" t="n">
        <v>16</v>
      </c>
      <c r="M2066" t="n">
        <v>403</v>
      </c>
      <c r="N2066" t="n">
        <v>437</v>
      </c>
      <c r="O2066" t="n">
        <v>403</v>
      </c>
      <c r="P2066" t="n">
        <v>506</v>
      </c>
    </row>
    <row r="2067">
      <c r="A2067" s="1" t="n">
        <v>4064941091400</v>
      </c>
      <c r="B2067" t="inlineStr">
        <is>
          <t>KJ MU SUMMER LG 15 ML UNDRESTIMATD002 IV</t>
        </is>
      </c>
      <c r="C2067" t="inlineStr">
        <is>
          <t>P_US_ULTA</t>
        </is>
      </c>
      <c r="D2067" t="inlineStr">
        <is>
          <t>Stat Fcst AR-NNET</t>
        </is>
      </c>
    </row>
    <row r="2068">
      <c r="A2068" s="1" t="n">
        <v>4064941091400</v>
      </c>
      <c r="B2068" t="inlineStr">
        <is>
          <t>KJ MU SUMMER LG 15 ML UNDRESTIMATD002 IV</t>
        </is>
      </c>
      <c r="C2068" t="inlineStr">
        <is>
          <t>P_US_ULTA</t>
        </is>
      </c>
      <c r="D2068" t="inlineStr">
        <is>
          <t>Stat Fcst Auto ARIMA</t>
        </is>
      </c>
    </row>
    <row r="2069">
      <c r="A2069" s="1" t="n">
        <v>4064941091400</v>
      </c>
      <c r="B2069" t="inlineStr">
        <is>
          <t>KJ MU SUMMER LG 15 ML UNDRESTIMATD002 IV</t>
        </is>
      </c>
      <c r="C2069" t="inlineStr">
        <is>
          <t>P_US_ULTA</t>
        </is>
      </c>
      <c r="D2069" t="inlineStr">
        <is>
          <t>Stat Fcst Croston</t>
        </is>
      </c>
    </row>
    <row r="2070">
      <c r="A2070" s="1" t="n">
        <v>4064941091400</v>
      </c>
      <c r="B2070" t="inlineStr">
        <is>
          <t>KJ MU SUMMER LG 15 ML UNDRESTIMATD002 IV</t>
        </is>
      </c>
      <c r="C2070" t="inlineStr">
        <is>
          <t>P_US_ULTA</t>
        </is>
      </c>
      <c r="D2070" t="inlineStr">
        <is>
          <t>Stat Fcst DES</t>
        </is>
      </c>
      <c r="E2070" t="n">
        <v>0</v>
      </c>
      <c r="F2070" t="n">
        <v>0</v>
      </c>
      <c r="G2070" t="n">
        <v>122.600642773205</v>
      </c>
      <c r="H2070" t="n">
        <v>109.750749836646</v>
      </c>
      <c r="I2070" t="n">
        <v>98.2886458097004</v>
      </c>
      <c r="J2070" t="n">
        <v>88.0644356113982</v>
      </c>
      <c r="K2070" t="n">
        <v>78.94443760165569</v>
      </c>
      <c r="L2070" t="n">
        <v>70.8093963324247</v>
      </c>
      <c r="M2070" t="n">
        <v>63.5529309295054</v>
      </c>
      <c r="N2070" t="n">
        <v>57.0801641226433</v>
      </c>
      <c r="O2070" t="n">
        <v>51.3064476445869</v>
      </c>
      <c r="P2070" t="n">
        <v>46.1562932782858</v>
      </c>
    </row>
    <row r="2071">
      <c r="A2071" s="1" t="n">
        <v>4064941091400</v>
      </c>
      <c r="B2071" t="inlineStr">
        <is>
          <t>KJ MU SUMMER LG 15 ML UNDRESTIMATD002 IV</t>
        </is>
      </c>
      <c r="C2071" t="inlineStr">
        <is>
          <t>P_US_ULTA</t>
        </is>
      </c>
      <c r="D2071" t="inlineStr">
        <is>
          <t>Stat Fcst ETS</t>
        </is>
      </c>
    </row>
    <row r="2072">
      <c r="A2072" s="1" t="n">
        <v>4064941091400</v>
      </c>
      <c r="B2072" t="inlineStr">
        <is>
          <t>KJ MU SUMMER LG 15 ML UNDRESTIMATD002 IV</t>
        </is>
      </c>
      <c r="C2072" t="inlineStr">
        <is>
          <t>P_US_ULTA</t>
        </is>
      </c>
      <c r="D2072" t="inlineStr">
        <is>
          <t>Stat Fcst Moving Average</t>
        </is>
      </c>
    </row>
    <row r="2073">
      <c r="A2073" s="1" t="n">
        <v>4064941091400</v>
      </c>
      <c r="B2073" t="inlineStr">
        <is>
          <t>KJ MU SUMMER LG 15 ML UNDRESTIMATD002 IV</t>
        </is>
      </c>
      <c r="C2073" t="inlineStr">
        <is>
          <t>P_US_ULTA</t>
        </is>
      </c>
      <c r="D2073" t="inlineStr">
        <is>
          <t>Stat Fcst Naive Random Walk</t>
        </is>
      </c>
    </row>
    <row r="2074">
      <c r="A2074" s="1" t="n">
        <v>4064941091400</v>
      </c>
      <c r="B2074" t="inlineStr">
        <is>
          <t>KJ MU SUMMER LG 15 ML UNDRESTIMATD002 IV</t>
        </is>
      </c>
      <c r="C2074" t="inlineStr">
        <is>
          <t>P_US_ULTA</t>
        </is>
      </c>
      <c r="D2074" t="inlineStr">
        <is>
          <t>Stat Fcst Prophet</t>
        </is>
      </c>
    </row>
    <row r="2075">
      <c r="A2075" s="1" t="n">
        <v>4064941091400</v>
      </c>
      <c r="B2075" t="inlineStr">
        <is>
          <t>KJ MU SUMMER LG 15 ML UNDRESTIMATD002 IV</t>
        </is>
      </c>
      <c r="C2075" t="inlineStr">
        <is>
          <t>P_US_ULTA</t>
        </is>
      </c>
      <c r="D2075" t="inlineStr">
        <is>
          <t>Stat Fcst sARIMA</t>
        </is>
      </c>
    </row>
    <row r="2076">
      <c r="A2076" s="1" t="n">
        <v>4064941091400</v>
      </c>
      <c r="B2076" t="inlineStr">
        <is>
          <t>KJ MU SUMMER LG 15 ML UNDRESTIMATD002 IV</t>
        </is>
      </c>
      <c r="C2076" t="inlineStr">
        <is>
          <t>P_US_ULTA</t>
        </is>
      </c>
      <c r="D2076" t="inlineStr">
        <is>
          <t>Stat Fcst Seasonal Naive YoY</t>
        </is>
      </c>
      <c r="E2076" t="n">
        <v>999.999970197677</v>
      </c>
      <c r="F2076" t="n">
        <v>999.999970197677</v>
      </c>
      <c r="G2076" t="n">
        <v>2140.00001594424</v>
      </c>
      <c r="H2076" t="n">
        <v>71.9999978542327</v>
      </c>
      <c r="I2076" t="n">
        <v>0</v>
      </c>
      <c r="J2076" t="n">
        <v>71.9999978542327</v>
      </c>
      <c r="K2076" t="n">
        <v>143.999995708465</v>
      </c>
      <c r="L2076" t="n">
        <v>16</v>
      </c>
      <c r="M2076" t="n">
        <v>401.999988019466</v>
      </c>
      <c r="N2076" t="n">
        <v>437.000006511807</v>
      </c>
      <c r="O2076" t="n">
        <v>402.999987989664</v>
      </c>
      <c r="P2076" t="n">
        <v>505.000003762543</v>
      </c>
    </row>
    <row r="2077">
      <c r="A2077" s="1" t="n">
        <v>4064941091400</v>
      </c>
      <c r="B2077" t="inlineStr">
        <is>
          <t>KJ MU SUMMER LG 15 ML UNDRESTIMATD002 IV</t>
        </is>
      </c>
      <c r="C2077" t="inlineStr">
        <is>
          <t>P_US_ULTA</t>
        </is>
      </c>
      <c r="D2077" t="inlineStr">
        <is>
          <t>Stat Fcst SES</t>
        </is>
      </c>
    </row>
    <row r="2078">
      <c r="A2078" s="1" t="n">
        <v>4064941091400</v>
      </c>
      <c r="B2078" t="inlineStr">
        <is>
          <t>KJ MU SUMMER LG 15 ML UNDRESTIMATD002 IV</t>
        </is>
      </c>
      <c r="C2078" t="inlineStr">
        <is>
          <t>P_US_ULTA</t>
        </is>
      </c>
      <c r="D2078" t="inlineStr">
        <is>
          <t>Stat Fcst STLF</t>
        </is>
      </c>
      <c r="E2078" t="n">
        <v>1160.78786079908</v>
      </c>
      <c r="F2078" t="n">
        <v>1142.10451775163</v>
      </c>
      <c r="G2078" t="n">
        <v>1829.57825312572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483.772969683966</v>
      </c>
      <c r="N2078" t="n">
        <v>253.598310142877</v>
      </c>
      <c r="O2078" t="n">
        <v>412.967319339539</v>
      </c>
      <c r="P2078" t="n">
        <v>665.8053905421471</v>
      </c>
    </row>
    <row r="2079">
      <c r="A2079" s="1" t="n">
        <v>4064941091400</v>
      </c>
      <c r="B2079" t="inlineStr">
        <is>
          <t>KJ MU SUMMER LG 15 ML UNDRESTIMATD002 IV</t>
        </is>
      </c>
      <c r="C2079" t="inlineStr">
        <is>
          <t>P_US_ULTA</t>
        </is>
      </c>
      <c r="D2079" t="inlineStr">
        <is>
          <t>Stat Fcst TBATS</t>
        </is>
      </c>
    </row>
    <row r="2080">
      <c r="A2080" s="1" t="n">
        <v>4064941091400</v>
      </c>
      <c r="B2080" t="inlineStr">
        <is>
          <t>KJ MU SUMMER LG 15 ML UNDRESTIMATD002 IV</t>
        </is>
      </c>
      <c r="C2080" t="inlineStr">
        <is>
          <t>P_US_ULTA</t>
        </is>
      </c>
      <c r="D2080" t="inlineStr">
        <is>
          <t>Stat Fcst TES</t>
        </is>
      </c>
    </row>
    <row r="2081">
      <c r="A2081" s="1" t="n">
        <v>4064941091400</v>
      </c>
      <c r="B2081" t="inlineStr">
        <is>
          <t>KJ MU SUMMER LG 15 ML UNDRESTIMATD002 IV</t>
        </is>
      </c>
      <c r="C2081" t="inlineStr">
        <is>
          <t>P_US_ULTA</t>
        </is>
      </c>
      <c r="D2081" t="inlineStr">
        <is>
          <t>Stat Fcst Theta</t>
        </is>
      </c>
    </row>
    <row r="2082">
      <c r="A2082" s="1" t="n">
        <v>4064941091400</v>
      </c>
      <c r="B2082" t="inlineStr">
        <is>
          <t>KJ MU SUMMER LG 15 ML UNDRESTIMATD002 IV</t>
        </is>
      </c>
      <c r="C2082" t="inlineStr">
        <is>
          <t>P_US_ULTA</t>
        </is>
      </c>
      <c r="D2082" t="inlineStr">
        <is>
          <t>System ML Fcst L1</t>
        </is>
      </c>
    </row>
    <row r="2083">
      <c r="A2083" s="1" t="n">
        <v>4064941091400</v>
      </c>
      <c r="B2083" t="inlineStr">
        <is>
          <t>KJ MU SUMMER LG 15 ML UNDRESTIMATD002 IV</t>
        </is>
      </c>
      <c r="C2083" t="inlineStr">
        <is>
          <t>P_US_ULTA</t>
        </is>
      </c>
      <c r="D2083" t="inlineStr">
        <is>
          <t>Stat Fcst Simple Snaive</t>
        </is>
      </c>
    </row>
    <row r="2084">
      <c r="A2084" s="1" t="n">
        <v>4064941091400</v>
      </c>
      <c r="B2084" t="inlineStr">
        <is>
          <t>KJ MU SUMMER LG 15 ML UNDRESTIMATD002 IV</t>
        </is>
      </c>
      <c r="C2084" t="inlineStr">
        <is>
          <t>P_US_ULTA</t>
        </is>
      </c>
      <c r="D2084" t="inlineStr">
        <is>
          <t>Stat Fcst Simple AOA</t>
        </is>
      </c>
    </row>
    <row r="2085">
      <c r="A2085" s="1" t="n">
        <v>4064941091400</v>
      </c>
      <c r="B2085" t="inlineStr">
        <is>
          <t>KJ MU SUMMER LG 15 ML UNDRESTIMATD002 IV</t>
        </is>
      </c>
      <c r="C2085" t="inlineStr">
        <is>
          <t>P_US_ULTA</t>
        </is>
      </c>
      <c r="D2085" t="inlineStr">
        <is>
          <t>Stat Fcst Weighted Snaive</t>
        </is>
      </c>
    </row>
    <row r="2086">
      <c r="A2086" s="1" t="n">
        <v>4064941091400</v>
      </c>
      <c r="B2086" t="inlineStr">
        <is>
          <t>KJ MU SUMMER LG 15 ML UNDRESTIMATD002 IV</t>
        </is>
      </c>
      <c r="C2086" t="inlineStr">
        <is>
          <t>P_US_ULTA</t>
        </is>
      </c>
      <c r="D2086" t="inlineStr">
        <is>
          <t>Stat Fcst Weighted AOA</t>
        </is>
      </c>
      <c r="E2086" t="n">
        <v>504.999984949827</v>
      </c>
      <c r="F2086" t="n">
        <v>1042.49996893107</v>
      </c>
      <c r="G2086" t="n">
        <v>1290.00000961124</v>
      </c>
      <c r="H2086" t="n">
        <v>354.499958917499</v>
      </c>
      <c r="I2086" t="n">
        <v>601.500004481524</v>
      </c>
      <c r="J2086" t="n">
        <v>311.499990716576</v>
      </c>
      <c r="K2086" t="n">
        <v>2347.18872704539</v>
      </c>
      <c r="L2086" t="n">
        <v>3068.18880208333</v>
      </c>
      <c r="M2086" t="n">
        <v>459.333319644133</v>
      </c>
      <c r="N2086" t="n">
        <v>794.333345169822</v>
      </c>
      <c r="O2086" t="n">
        <v>1170.99996510148</v>
      </c>
      <c r="P2086" t="n">
        <v>446.666669994592</v>
      </c>
    </row>
    <row r="2087">
      <c r="A2087" s="1" t="n">
        <v>4064941091400</v>
      </c>
      <c r="B2087" t="inlineStr">
        <is>
          <t>KJ MU SUMMER LG 15 ML UNDRESTIMATD002 IV</t>
        </is>
      </c>
      <c r="C2087" t="inlineStr">
        <is>
          <t>P_US_ULTA</t>
        </is>
      </c>
      <c r="D2087" t="inlineStr">
        <is>
          <t>Stat Fcst Growth Snaive</t>
        </is>
      </c>
    </row>
    <row r="2088">
      <c r="A2088" s="1" t="n">
        <v>4064941091400</v>
      </c>
      <c r="B2088" t="inlineStr">
        <is>
          <t>KJ MU SUMMER LG 15 ML UNDRESTIMATD002 IV</t>
        </is>
      </c>
      <c r="C2088" t="inlineStr">
        <is>
          <t>P_US_ULTA</t>
        </is>
      </c>
      <c r="D2088" t="inlineStr">
        <is>
          <t>Stat Fcst Growth AOA</t>
        </is>
      </c>
    </row>
    <row r="2089">
      <c r="A2089" s="1" t="n">
        <v>4064941091400</v>
      </c>
      <c r="B2089" t="inlineStr">
        <is>
          <t>KJ MU SUMMER LG 15 ML UNDRESTIMATD002 IV</t>
        </is>
      </c>
      <c r="C2089" t="inlineStr">
        <is>
          <t>P_US_ULTA</t>
        </is>
      </c>
      <c r="D2089" t="inlineStr">
        <is>
          <t>System Stat Fcst Bestfit</t>
        </is>
      </c>
      <c r="H2089" t="n">
        <v>71.9999978542327</v>
      </c>
      <c r="I2089" t="n">
        <v>0</v>
      </c>
      <c r="J2089" t="n">
        <v>71.9999978542327</v>
      </c>
      <c r="K2089" t="n">
        <v>143.999995708465</v>
      </c>
      <c r="L2089" t="n">
        <v>16</v>
      </c>
      <c r="M2089" t="n">
        <v>401.999988019466</v>
      </c>
      <c r="N2089" t="n">
        <v>437.000006511807</v>
      </c>
      <c r="O2089" t="n">
        <v>402.999987989664</v>
      </c>
      <c r="P2089" t="n">
        <v>505.000003762543</v>
      </c>
    </row>
    <row r="2090">
      <c r="A2090" s="1" t="n">
        <v>4064941092797</v>
      </c>
      <c r="B2090" t="inlineStr">
        <is>
          <t>KJ MU ES PALET  16G BRONZE NUDES IV</t>
        </is>
      </c>
      <c r="C2090" t="inlineStr">
        <is>
          <t>P_US_ALL_OTHERS</t>
        </is>
      </c>
      <c r="D2090" t="inlineStr">
        <is>
          <t>Stat Fcst L1</t>
        </is>
      </c>
      <c r="E2090" t="n">
        <v>280.999991625547</v>
      </c>
      <c r="F2090" t="n">
        <v>957.999971449375</v>
      </c>
      <c r="G2090" t="n">
        <v>608</v>
      </c>
      <c r="H2090" t="n">
        <v>191</v>
      </c>
      <c r="I2090" t="n">
        <v>172</v>
      </c>
      <c r="J2090" t="n">
        <v>315</v>
      </c>
      <c r="K2090" t="n">
        <v>651</v>
      </c>
      <c r="L2090" t="n">
        <v>384</v>
      </c>
      <c r="M2090" t="n">
        <v>212</v>
      </c>
      <c r="N2090" t="n">
        <v>365</v>
      </c>
      <c r="O2090" t="n">
        <v>425</v>
      </c>
      <c r="P2090" t="n">
        <v>120</v>
      </c>
    </row>
    <row r="2091">
      <c r="A2091" s="1" t="n">
        <v>4064941092797</v>
      </c>
      <c r="B2091" t="inlineStr">
        <is>
          <t>KJ MU ES PALET  16G BRONZE NUDES IV</t>
        </is>
      </c>
      <c r="C2091" t="inlineStr">
        <is>
          <t>P_US_ALL_OTHERS</t>
        </is>
      </c>
      <c r="D2091" t="inlineStr">
        <is>
          <t>Stat Fcst AR-NNET</t>
        </is>
      </c>
    </row>
    <row r="2092">
      <c r="A2092" s="1" t="n">
        <v>4064941092797</v>
      </c>
      <c r="B2092" t="inlineStr">
        <is>
          <t>KJ MU ES PALET  16G BRONZE NUDES IV</t>
        </is>
      </c>
      <c r="C2092" t="inlineStr">
        <is>
          <t>P_US_ALL_OTHERS</t>
        </is>
      </c>
      <c r="D2092" t="inlineStr">
        <is>
          <t>Stat Fcst Auto ARIMA</t>
        </is>
      </c>
    </row>
    <row r="2093">
      <c r="A2093" s="1" t="n">
        <v>4064941092797</v>
      </c>
      <c r="B2093" t="inlineStr">
        <is>
          <t>KJ MU ES PALET  16G BRONZE NUDES IV</t>
        </is>
      </c>
      <c r="C2093" t="inlineStr">
        <is>
          <t>P_US_ALL_OTHERS</t>
        </is>
      </c>
      <c r="D2093" t="inlineStr">
        <is>
          <t>Stat Fcst Croston</t>
        </is>
      </c>
    </row>
    <row r="2094">
      <c r="A2094" s="1" t="n">
        <v>4064941092797</v>
      </c>
      <c r="B2094" t="inlineStr">
        <is>
          <t>KJ MU ES PALET  16G BRONZE NUDES IV</t>
        </is>
      </c>
      <c r="C2094" t="inlineStr">
        <is>
          <t>P_US_ALL_OTHERS</t>
        </is>
      </c>
      <c r="D2094" t="inlineStr">
        <is>
          <t>Stat Fcst DES</t>
        </is>
      </c>
    </row>
    <row r="2095">
      <c r="A2095" s="1" t="n">
        <v>4064941092797</v>
      </c>
      <c r="B2095" t="inlineStr">
        <is>
          <t>KJ MU ES PALET  16G BRONZE NUDES IV</t>
        </is>
      </c>
      <c r="C2095" t="inlineStr">
        <is>
          <t>P_US_ALL_OTHERS</t>
        </is>
      </c>
      <c r="D2095" t="inlineStr">
        <is>
          <t>Stat Fcst ETS</t>
        </is>
      </c>
    </row>
    <row r="2096">
      <c r="A2096" s="1" t="n">
        <v>4064941092797</v>
      </c>
      <c r="B2096" t="inlineStr">
        <is>
          <t>KJ MU ES PALET  16G BRONZE NUDES IV</t>
        </is>
      </c>
      <c r="C2096" t="inlineStr">
        <is>
          <t>P_US_ALL_OTHERS</t>
        </is>
      </c>
      <c r="D2096" t="inlineStr">
        <is>
          <t>Stat Fcst Moving Average</t>
        </is>
      </c>
    </row>
    <row r="2097">
      <c r="A2097" s="1" t="n">
        <v>4064941092797</v>
      </c>
      <c r="B2097" t="inlineStr">
        <is>
          <t>KJ MU ES PALET  16G BRONZE NUDES IV</t>
        </is>
      </c>
      <c r="C2097" t="inlineStr">
        <is>
          <t>P_US_ALL_OTHERS</t>
        </is>
      </c>
      <c r="D2097" t="inlineStr">
        <is>
          <t>Stat Fcst Naive Random Walk</t>
        </is>
      </c>
    </row>
    <row r="2098">
      <c r="A2098" s="1" t="n">
        <v>4064941092797</v>
      </c>
      <c r="B2098" t="inlineStr">
        <is>
          <t>KJ MU ES PALET  16G BRONZE NUDES IV</t>
        </is>
      </c>
      <c r="C2098" t="inlineStr">
        <is>
          <t>P_US_ALL_OTHERS</t>
        </is>
      </c>
      <c r="D2098" t="inlineStr">
        <is>
          <t>Stat Fcst Prophet</t>
        </is>
      </c>
    </row>
    <row r="2099">
      <c r="A2099" s="1" t="n">
        <v>4064941092797</v>
      </c>
      <c r="B2099" t="inlineStr">
        <is>
          <t>KJ MU ES PALET  16G BRONZE NUDES IV</t>
        </is>
      </c>
      <c r="C2099" t="inlineStr">
        <is>
          <t>P_US_ALL_OTHERS</t>
        </is>
      </c>
      <c r="D2099" t="inlineStr">
        <is>
          <t>Stat Fcst sARIMA</t>
        </is>
      </c>
    </row>
    <row r="2100">
      <c r="A2100" s="1" t="n">
        <v>4064941092797</v>
      </c>
      <c r="B2100" t="inlineStr">
        <is>
          <t>KJ MU ES PALET  16G BRONZE NUDES IV</t>
        </is>
      </c>
      <c r="C2100" t="inlineStr">
        <is>
          <t>P_US_ALL_OTHERS</t>
        </is>
      </c>
      <c r="D2100" t="inlineStr">
        <is>
          <t>Stat Fcst Seasonal Naive YoY</t>
        </is>
      </c>
    </row>
    <row r="2101">
      <c r="A2101" s="1" t="n">
        <v>4064941092797</v>
      </c>
      <c r="B2101" t="inlineStr">
        <is>
          <t>KJ MU ES PALET  16G BRONZE NUDES IV</t>
        </is>
      </c>
      <c r="C2101" t="inlineStr">
        <is>
          <t>P_US_ALL_OTHERS</t>
        </is>
      </c>
      <c r="D2101" t="inlineStr">
        <is>
          <t>Stat Fcst SES</t>
        </is>
      </c>
    </row>
    <row r="2102">
      <c r="A2102" s="1" t="n">
        <v>4064941092797</v>
      </c>
      <c r="B2102" t="inlineStr">
        <is>
          <t>KJ MU ES PALET  16G BRONZE NUDES IV</t>
        </is>
      </c>
      <c r="C2102" t="inlineStr">
        <is>
          <t>P_US_ALL_OTHERS</t>
        </is>
      </c>
      <c r="D2102" t="inlineStr">
        <is>
          <t>Stat Fcst STLF</t>
        </is>
      </c>
      <c r="E2102" t="n">
        <v>156.74474634788</v>
      </c>
      <c r="F2102" t="n">
        <v>54.8958178650844</v>
      </c>
      <c r="G2102" t="n">
        <v>696.265056720319</v>
      </c>
      <c r="H2102" t="n">
        <v>706.125624925898</v>
      </c>
      <c r="I2102" t="n">
        <v>466.045609463546</v>
      </c>
      <c r="J2102" t="n">
        <v>698.27092709166</v>
      </c>
      <c r="K2102" t="n">
        <v>1006.70820260367</v>
      </c>
      <c r="L2102" t="n">
        <v>771.318382750836</v>
      </c>
      <c r="M2102" t="n">
        <v>703.587585856696</v>
      </c>
      <c r="N2102" t="n">
        <v>987.333804733995</v>
      </c>
      <c r="O2102" t="n">
        <v>1378.4379513421</v>
      </c>
      <c r="P2102" t="n">
        <v>810.985452788059</v>
      </c>
    </row>
    <row r="2103">
      <c r="A2103" s="1" t="n">
        <v>4064941092797</v>
      </c>
      <c r="B2103" t="inlineStr">
        <is>
          <t>KJ MU ES PALET  16G BRONZE NUDES IV</t>
        </is>
      </c>
      <c r="C2103" t="inlineStr">
        <is>
          <t>P_US_ALL_OTHERS</t>
        </is>
      </c>
      <c r="D2103" t="inlineStr">
        <is>
          <t>Stat Fcst TBATS</t>
        </is>
      </c>
    </row>
    <row r="2104">
      <c r="A2104" s="1" t="n">
        <v>4064941092797</v>
      </c>
      <c r="B2104" t="inlineStr">
        <is>
          <t>KJ MU ES PALET  16G BRONZE NUDES IV</t>
        </is>
      </c>
      <c r="C2104" t="inlineStr">
        <is>
          <t>P_US_ALL_OTHERS</t>
        </is>
      </c>
      <c r="D2104" t="inlineStr">
        <is>
          <t>Stat Fcst TES</t>
        </is>
      </c>
      <c r="E2104" t="n">
        <v>81.0444584385635</v>
      </c>
      <c r="F2104" t="n">
        <v>253.012804676317</v>
      </c>
      <c r="G2104" t="n">
        <v>396.612272937499</v>
      </c>
      <c r="H2104" t="n">
        <v>111.908571164292</v>
      </c>
      <c r="I2104" t="n">
        <v>112.326077925097</v>
      </c>
      <c r="J2104" t="n">
        <v>259.372679374803</v>
      </c>
      <c r="K2104" t="n">
        <v>614.310813878534</v>
      </c>
      <c r="L2104" t="n">
        <v>335.960860437305</v>
      </c>
      <c r="M2104" t="n">
        <v>157.50029811291</v>
      </c>
      <c r="N2104" t="n">
        <v>304.864466172658</v>
      </c>
      <c r="O2104" t="n">
        <v>382.255569974079</v>
      </c>
      <c r="P2104" t="n">
        <v>70.07058901169719</v>
      </c>
    </row>
    <row r="2105">
      <c r="A2105" s="1" t="n">
        <v>4064941092797</v>
      </c>
      <c r="B2105" t="inlineStr">
        <is>
          <t>KJ MU ES PALET  16G BRONZE NUDES IV</t>
        </is>
      </c>
      <c r="C2105" t="inlineStr">
        <is>
          <t>P_US_ALL_OTHERS</t>
        </is>
      </c>
      <c r="D2105" t="inlineStr">
        <is>
          <t>Stat Fcst Theta</t>
        </is>
      </c>
    </row>
    <row r="2106">
      <c r="A2106" s="1" t="n">
        <v>4064941092797</v>
      </c>
      <c r="B2106" t="inlineStr">
        <is>
          <t>KJ MU ES PALET  16G BRONZE NUDES IV</t>
        </is>
      </c>
      <c r="C2106" t="inlineStr">
        <is>
          <t>P_US_ALL_OTHERS</t>
        </is>
      </c>
      <c r="D2106" t="inlineStr">
        <is>
          <t>System ML Fcst L1</t>
        </is>
      </c>
    </row>
    <row r="2107">
      <c r="A2107" s="1" t="n">
        <v>4064941092797</v>
      </c>
      <c r="B2107" t="inlineStr">
        <is>
          <t>KJ MU ES PALET  16G BRONZE NUDES IV</t>
        </is>
      </c>
      <c r="C2107" t="inlineStr">
        <is>
          <t>P_US_ALL_OTHERS</t>
        </is>
      </c>
      <c r="D2107" t="inlineStr">
        <is>
          <t>Stat Fcst Simple Snaive</t>
        </is>
      </c>
      <c r="E2107" t="n">
        <v>350.499989554286</v>
      </c>
      <c r="F2107" t="n">
        <v>380.999988645315</v>
      </c>
      <c r="G2107" t="n">
        <v>581.09188258468</v>
      </c>
      <c r="H2107" t="n">
        <v>191.333320001761</v>
      </c>
      <c r="I2107" t="n">
        <v>172.333334617316</v>
      </c>
      <c r="J2107" t="n">
        <v>314.333318879207</v>
      </c>
      <c r="K2107" t="n">
        <v>651.091838506106</v>
      </c>
      <c r="L2107" t="n">
        <v>383.333333333333</v>
      </c>
      <c r="M2107" t="n">
        <v>210.999993711709</v>
      </c>
      <c r="N2107" t="n">
        <v>364.000005424022</v>
      </c>
      <c r="O2107" t="n">
        <v>425.091845241431</v>
      </c>
      <c r="P2107" t="n">
        <v>118.666667550802</v>
      </c>
    </row>
    <row r="2108">
      <c r="A2108" s="1" t="n">
        <v>4064941092797</v>
      </c>
      <c r="B2108" t="inlineStr">
        <is>
          <t>KJ MU ES PALET  16G BRONZE NUDES IV</t>
        </is>
      </c>
      <c r="C2108" t="inlineStr">
        <is>
          <t>P_US_ALL_OTHERS</t>
        </is>
      </c>
      <c r="D2108" t="inlineStr">
        <is>
          <t>Stat Fcst Simple AOA</t>
        </is>
      </c>
    </row>
    <row r="2109">
      <c r="A2109" s="1" t="n">
        <v>4064941092797</v>
      </c>
      <c r="B2109" t="inlineStr">
        <is>
          <t>KJ MU ES PALET  16G BRONZE NUDES IV</t>
        </is>
      </c>
      <c r="C2109" t="inlineStr">
        <is>
          <t>P_US_ALL_OTHERS</t>
        </is>
      </c>
      <c r="D2109" t="inlineStr">
        <is>
          <t>Stat Fcst Weighted Snaive</t>
        </is>
      </c>
    </row>
    <row r="2110">
      <c r="A2110" s="1" t="n">
        <v>4064941092797</v>
      </c>
      <c r="B2110" t="inlineStr">
        <is>
          <t>KJ MU ES PALET  16G BRONZE NUDES IV</t>
        </is>
      </c>
      <c r="C2110" t="inlineStr">
        <is>
          <t>P_US_ALL_OTHERS</t>
        </is>
      </c>
      <c r="D2110" t="inlineStr">
        <is>
          <t>Stat Fcst Weighted AOA</t>
        </is>
      </c>
    </row>
    <row r="2111">
      <c r="A2111" s="1" t="n">
        <v>4064941092797</v>
      </c>
      <c r="B2111" t="inlineStr">
        <is>
          <t>KJ MU ES PALET  16G BRONZE NUDES IV</t>
        </is>
      </c>
      <c r="C2111" t="inlineStr">
        <is>
          <t>P_US_ALL_OTHERS</t>
        </is>
      </c>
      <c r="D2111" t="inlineStr">
        <is>
          <t>Stat Fcst Growth Snaive</t>
        </is>
      </c>
    </row>
    <row r="2112">
      <c r="A2112" s="1" t="n">
        <v>4064941092797</v>
      </c>
      <c r="B2112" t="inlineStr">
        <is>
          <t>KJ MU ES PALET  16G BRONZE NUDES IV</t>
        </is>
      </c>
      <c r="C2112" t="inlineStr">
        <is>
          <t>P_US_ALL_OTHERS</t>
        </is>
      </c>
      <c r="D2112" t="inlineStr">
        <is>
          <t>Stat Fcst Growth AOA</t>
        </is>
      </c>
    </row>
    <row r="2113">
      <c r="A2113" s="1" t="n">
        <v>4064941092797</v>
      </c>
      <c r="B2113" t="inlineStr">
        <is>
          <t>KJ MU ES PALET  16G BRONZE NUDES IV</t>
        </is>
      </c>
      <c r="C2113" t="inlineStr">
        <is>
          <t>P_US_ALL_OTHERS</t>
        </is>
      </c>
      <c r="D2113" t="inlineStr">
        <is>
          <t>System Stat Fcst Bestfit</t>
        </is>
      </c>
      <c r="H2113" t="n">
        <v>191.333322544892</v>
      </c>
      <c r="I2113" t="n">
        <v>172.333344789842</v>
      </c>
      <c r="J2113" t="n">
        <v>314.333303620418</v>
      </c>
      <c r="K2113" t="n">
        <v>651.091777470952</v>
      </c>
      <c r="L2113" t="n">
        <v>383.333343505859</v>
      </c>
      <c r="M2113" t="n">
        <v>210.999993711709</v>
      </c>
      <c r="N2113" t="n">
        <v>364.000005424022</v>
      </c>
      <c r="O2113" t="n">
        <v>425.091814723854</v>
      </c>
      <c r="P2113" t="n">
        <v>118.66666500767</v>
      </c>
    </row>
    <row r="2114">
      <c r="A2114" s="1" t="n">
        <v>4064941092797</v>
      </c>
      <c r="B2114" t="inlineStr">
        <is>
          <t>KJ MU ES PALET  16G BRONZE NUDES IV</t>
        </is>
      </c>
      <c r="C2114" t="inlineStr">
        <is>
          <t>P_US_ULTA</t>
        </is>
      </c>
      <c r="D2114" t="inlineStr">
        <is>
          <t>Stat Fcst L1</t>
        </is>
      </c>
      <c r="E2114" t="n">
        <v>0</v>
      </c>
      <c r="F2114" t="n">
        <v>0</v>
      </c>
      <c r="G2114" t="n">
        <v>43</v>
      </c>
      <c r="H2114" t="n">
        <v>26</v>
      </c>
      <c r="I2114" t="n">
        <v>30</v>
      </c>
      <c r="J2114" t="n">
        <v>54</v>
      </c>
      <c r="K2114" t="n">
        <v>22</v>
      </c>
      <c r="L2114" t="n">
        <v>40</v>
      </c>
      <c r="M2114" t="n">
        <v>22</v>
      </c>
      <c r="N2114" t="n">
        <v>21</v>
      </c>
      <c r="O2114" t="n">
        <v>9</v>
      </c>
      <c r="P2114" t="n">
        <v>13</v>
      </c>
    </row>
    <row r="2115">
      <c r="A2115" s="1" t="n">
        <v>4064941092797</v>
      </c>
      <c r="B2115" t="inlineStr">
        <is>
          <t>KJ MU ES PALET  16G BRONZE NUDES IV</t>
        </is>
      </c>
      <c r="C2115" t="inlineStr">
        <is>
          <t>P_US_ULTA</t>
        </is>
      </c>
      <c r="D2115" t="inlineStr">
        <is>
          <t>Stat Fcst AR-NNET</t>
        </is>
      </c>
    </row>
    <row r="2116">
      <c r="A2116" s="1" t="n">
        <v>4064941092797</v>
      </c>
      <c r="B2116" t="inlineStr">
        <is>
          <t>KJ MU ES PALET  16G BRONZE NUDES IV</t>
        </is>
      </c>
      <c r="C2116" t="inlineStr">
        <is>
          <t>P_US_ULTA</t>
        </is>
      </c>
      <c r="D2116" t="inlineStr">
        <is>
          <t>Stat Fcst Auto ARIMA</t>
        </is>
      </c>
    </row>
    <row r="2117">
      <c r="A2117" s="1" t="n">
        <v>4064941092797</v>
      </c>
      <c r="B2117" t="inlineStr">
        <is>
          <t>KJ MU ES PALET  16G BRONZE NUDES IV</t>
        </is>
      </c>
      <c r="C2117" t="inlineStr">
        <is>
          <t>P_US_ULTA</t>
        </is>
      </c>
      <c r="D2117" t="inlineStr">
        <is>
          <t>Stat Fcst Croston</t>
        </is>
      </c>
    </row>
    <row r="2118">
      <c r="A2118" s="1" t="n">
        <v>4064941092797</v>
      </c>
      <c r="B2118" t="inlineStr">
        <is>
          <t>KJ MU ES PALET  16G BRONZE NUDES IV</t>
        </is>
      </c>
      <c r="C2118" t="inlineStr">
        <is>
          <t>P_US_ULTA</t>
        </is>
      </c>
      <c r="D2118" t="inlineStr">
        <is>
          <t>Stat Fcst DES</t>
        </is>
      </c>
    </row>
    <row r="2119">
      <c r="A2119" s="1" t="n">
        <v>4064941092797</v>
      </c>
      <c r="B2119" t="inlineStr">
        <is>
          <t>KJ MU ES PALET  16G BRONZE NUDES IV</t>
        </is>
      </c>
      <c r="C2119" t="inlineStr">
        <is>
          <t>P_US_ULTA</t>
        </is>
      </c>
      <c r="D2119" t="inlineStr">
        <is>
          <t>Stat Fcst ETS</t>
        </is>
      </c>
    </row>
    <row r="2120">
      <c r="A2120" s="1" t="n">
        <v>4064941092797</v>
      </c>
      <c r="B2120" t="inlineStr">
        <is>
          <t>KJ MU ES PALET  16G BRONZE NUDES IV</t>
        </is>
      </c>
      <c r="C2120" t="inlineStr">
        <is>
          <t>P_US_ULTA</t>
        </is>
      </c>
      <c r="D2120" t="inlineStr">
        <is>
          <t>Stat Fcst Moving Average</t>
        </is>
      </c>
    </row>
    <row r="2121">
      <c r="A2121" s="1" t="n">
        <v>4064941092797</v>
      </c>
      <c r="B2121" t="inlineStr">
        <is>
          <t>KJ MU ES PALET  16G BRONZE NUDES IV</t>
        </is>
      </c>
      <c r="C2121" t="inlineStr">
        <is>
          <t>P_US_ULTA</t>
        </is>
      </c>
      <c r="D2121" t="inlineStr">
        <is>
          <t>Stat Fcst Naive Random Walk</t>
        </is>
      </c>
    </row>
    <row r="2122">
      <c r="A2122" s="1" t="n">
        <v>4064941092797</v>
      </c>
      <c r="B2122" t="inlineStr">
        <is>
          <t>KJ MU ES PALET  16G BRONZE NUDES IV</t>
        </is>
      </c>
      <c r="C2122" t="inlineStr">
        <is>
          <t>P_US_ULTA</t>
        </is>
      </c>
      <c r="D2122" t="inlineStr">
        <is>
          <t>Stat Fcst Prophet</t>
        </is>
      </c>
    </row>
    <row r="2123">
      <c r="A2123" s="1" t="n">
        <v>4064941092797</v>
      </c>
      <c r="B2123" t="inlineStr">
        <is>
          <t>KJ MU ES PALET  16G BRONZE NUDES IV</t>
        </is>
      </c>
      <c r="C2123" t="inlineStr">
        <is>
          <t>P_US_ULTA</t>
        </is>
      </c>
      <c r="D2123" t="inlineStr">
        <is>
          <t>Stat Fcst sARIMA</t>
        </is>
      </c>
    </row>
    <row r="2124">
      <c r="A2124" s="1" t="n">
        <v>4064941092797</v>
      </c>
      <c r="B2124" t="inlineStr">
        <is>
          <t>KJ MU ES PALET  16G BRONZE NUDES IV</t>
        </is>
      </c>
      <c r="C2124" t="inlineStr">
        <is>
          <t>P_US_ULTA</t>
        </is>
      </c>
      <c r="D2124" t="inlineStr">
        <is>
          <t>Stat Fcst Seasonal Naive YoY</t>
        </is>
      </c>
    </row>
    <row r="2125">
      <c r="A2125" s="1" t="n">
        <v>4064941092797</v>
      </c>
      <c r="B2125" t="inlineStr">
        <is>
          <t>KJ MU ES PALET  16G BRONZE NUDES IV</t>
        </is>
      </c>
      <c r="C2125" t="inlineStr">
        <is>
          <t>P_US_ULTA</t>
        </is>
      </c>
      <c r="D2125" t="inlineStr">
        <is>
          <t>Stat Fcst SES</t>
        </is>
      </c>
    </row>
    <row r="2126">
      <c r="A2126" s="1" t="n">
        <v>4064941092797</v>
      </c>
      <c r="B2126" t="inlineStr">
        <is>
          <t>KJ MU ES PALET  16G BRONZE NUDES IV</t>
        </is>
      </c>
      <c r="C2126" t="inlineStr">
        <is>
          <t>P_US_ULTA</t>
        </is>
      </c>
      <c r="D2126" t="inlineStr">
        <is>
          <t>Stat Fcst STLF</t>
        </is>
      </c>
      <c r="E2126" t="n">
        <v>35.8566111237593</v>
      </c>
      <c r="F2126" t="n">
        <v>20.0556189791858</v>
      </c>
      <c r="G2126" t="n">
        <v>29.9688198861027</v>
      </c>
      <c r="H2126" t="n">
        <v>16.8092922544357</v>
      </c>
      <c r="I2126" t="n">
        <v>0</v>
      </c>
      <c r="J2126" t="n">
        <v>42.9688995539227</v>
      </c>
      <c r="K2126" t="n">
        <v>9.05459892360348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4064941092797</v>
      </c>
      <c r="B2127" t="inlineStr">
        <is>
          <t>KJ MU ES PALET  16G BRONZE NUDES IV</t>
        </is>
      </c>
      <c r="C2127" t="inlineStr">
        <is>
          <t>P_US_ULTA</t>
        </is>
      </c>
      <c r="D2127" t="inlineStr">
        <is>
          <t>Stat Fcst TBATS</t>
        </is>
      </c>
    </row>
    <row r="2128">
      <c r="A2128" s="1" t="n">
        <v>4064941092797</v>
      </c>
      <c r="B2128" t="inlineStr">
        <is>
          <t>KJ MU ES PALET  16G BRONZE NUDES IV</t>
        </is>
      </c>
      <c r="C2128" t="inlineStr">
        <is>
          <t>P_US_ULTA</t>
        </is>
      </c>
      <c r="D2128" t="inlineStr">
        <is>
          <t>Stat Fcst TES</t>
        </is>
      </c>
      <c r="E2128" t="n">
        <v>21.7146491367444</v>
      </c>
      <c r="F2128" t="n">
        <v>22.6763418516571</v>
      </c>
      <c r="G2128" t="n">
        <v>37.4568070270375</v>
      </c>
      <c r="H2128" t="n">
        <v>15.6075571267738</v>
      </c>
      <c r="I2128" t="n">
        <v>17.7705037253543</v>
      </c>
      <c r="J2128" t="n">
        <v>38.4379385606331</v>
      </c>
      <c r="K2128" t="n">
        <v>4.5514132969826</v>
      </c>
      <c r="L2128" t="n">
        <v>18.7699736836166</v>
      </c>
      <c r="M2128" t="n">
        <v>2.04143877775402</v>
      </c>
      <c r="N2128" t="n">
        <v>0</v>
      </c>
      <c r="O2128" t="n">
        <v>0</v>
      </c>
      <c r="P2128" t="n">
        <v>0</v>
      </c>
    </row>
    <row r="2129">
      <c r="A2129" s="1" t="n">
        <v>4064941092797</v>
      </c>
      <c r="B2129" t="inlineStr">
        <is>
          <t>KJ MU ES PALET  16G BRONZE NUDES IV</t>
        </is>
      </c>
      <c r="C2129" t="inlineStr">
        <is>
          <t>P_US_ULTA</t>
        </is>
      </c>
      <c r="D2129" t="inlineStr">
        <is>
          <t>Stat Fcst Theta</t>
        </is>
      </c>
    </row>
    <row r="2130">
      <c r="A2130" s="1" t="n">
        <v>4064941092797</v>
      </c>
      <c r="B2130" t="inlineStr">
        <is>
          <t>KJ MU ES PALET  16G BRONZE NUDES IV</t>
        </is>
      </c>
      <c r="C2130" t="inlineStr">
        <is>
          <t>P_US_ULTA</t>
        </is>
      </c>
      <c r="D2130" t="inlineStr">
        <is>
          <t>System ML Fcst L1</t>
        </is>
      </c>
    </row>
    <row r="2131">
      <c r="A2131" s="1" t="n">
        <v>4064941092797</v>
      </c>
      <c r="B2131" t="inlineStr">
        <is>
          <t>KJ MU ES PALET  16G BRONZE NUDES IV</t>
        </is>
      </c>
      <c r="C2131" t="inlineStr">
        <is>
          <t>P_US_ULTA</t>
        </is>
      </c>
      <c r="D2131" t="inlineStr">
        <is>
          <t>Stat Fcst Simple Snaive</t>
        </is>
      </c>
      <c r="E2131" t="n">
        <v>17.4999994784593</v>
      </c>
      <c r="F2131" t="n">
        <v>18.9999994337558</v>
      </c>
      <c r="G2131" t="n">
        <v>44.6666669994592</v>
      </c>
      <c r="H2131" t="n">
        <v>26.6666639645894</v>
      </c>
      <c r="I2131" t="n">
        <v>31.9124910824931</v>
      </c>
      <c r="J2131" t="n">
        <v>54.9999951819579</v>
      </c>
      <c r="K2131" t="n">
        <v>22.9999978840351</v>
      </c>
      <c r="L2131" t="n">
        <v>38.6666666666666</v>
      </c>
      <c r="M2131" t="n">
        <v>22.9999993145465</v>
      </c>
      <c r="N2131" t="n">
        <v>20.3333342721064</v>
      </c>
      <c r="O2131" t="n">
        <v>10.9999996721744</v>
      </c>
      <c r="P2131" t="n">
        <v>12.6666667610406</v>
      </c>
    </row>
    <row r="2132">
      <c r="A2132" s="1" t="n">
        <v>4064941092797</v>
      </c>
      <c r="B2132" t="inlineStr">
        <is>
          <t>KJ MU ES PALET  16G BRONZE NUDES IV</t>
        </is>
      </c>
      <c r="C2132" t="inlineStr">
        <is>
          <t>P_US_ULTA</t>
        </is>
      </c>
      <c r="D2132" t="inlineStr">
        <is>
          <t>Stat Fcst Simple AOA</t>
        </is>
      </c>
    </row>
    <row r="2133">
      <c r="A2133" s="1" t="n">
        <v>4064941092797</v>
      </c>
      <c r="B2133" t="inlineStr">
        <is>
          <t>KJ MU ES PALET  16G BRONZE NUDES IV</t>
        </is>
      </c>
      <c r="C2133" t="inlineStr">
        <is>
          <t>P_US_ULTA</t>
        </is>
      </c>
      <c r="D2133" t="inlineStr">
        <is>
          <t>Stat Fcst Weighted Snaive</t>
        </is>
      </c>
    </row>
    <row r="2134">
      <c r="A2134" s="1" t="n">
        <v>4064941092797</v>
      </c>
      <c r="B2134" t="inlineStr">
        <is>
          <t>KJ MU ES PALET  16G BRONZE NUDES IV</t>
        </is>
      </c>
      <c r="C2134" t="inlineStr">
        <is>
          <t>P_US_ULTA</t>
        </is>
      </c>
      <c r="D2134" t="inlineStr">
        <is>
          <t>Stat Fcst Weighted AOA</t>
        </is>
      </c>
    </row>
    <row r="2135">
      <c r="A2135" s="1" t="n">
        <v>4064941092797</v>
      </c>
      <c r="B2135" t="inlineStr">
        <is>
          <t>KJ MU ES PALET  16G BRONZE NUDES IV</t>
        </is>
      </c>
      <c r="C2135" t="inlineStr">
        <is>
          <t>P_US_ULTA</t>
        </is>
      </c>
      <c r="D2135" t="inlineStr">
        <is>
          <t>Stat Fcst Growth Snaive</t>
        </is>
      </c>
    </row>
    <row r="2136">
      <c r="A2136" s="1" t="n">
        <v>4064941092797</v>
      </c>
      <c r="B2136" t="inlineStr">
        <is>
          <t>KJ MU ES PALET  16G BRONZE NUDES IV</t>
        </is>
      </c>
      <c r="C2136" t="inlineStr">
        <is>
          <t>P_US_ULTA</t>
        </is>
      </c>
      <c r="D2136" t="inlineStr">
        <is>
          <t>Stat Fcst Growth AOA</t>
        </is>
      </c>
    </row>
    <row r="2137">
      <c r="A2137" s="1" t="n">
        <v>4064941092797</v>
      </c>
      <c r="B2137" t="inlineStr">
        <is>
          <t>KJ MU ES PALET  16G BRONZE NUDES IV</t>
        </is>
      </c>
      <c r="C2137" t="inlineStr">
        <is>
          <t>P_US_ULTA</t>
        </is>
      </c>
      <c r="D2137" t="inlineStr">
        <is>
          <t>System Stat Fcst Bestfit</t>
        </is>
      </c>
      <c r="H2137" t="n">
        <v>26.6666633288066</v>
      </c>
      <c r="I2137" t="n">
        <v>31.9124910824931</v>
      </c>
      <c r="J2137" t="n">
        <v>54.9999945461751</v>
      </c>
      <c r="K2137" t="n">
        <v>22.9999954998494</v>
      </c>
      <c r="L2137" t="n">
        <v>38.6666679382324</v>
      </c>
      <c r="M2137" t="n">
        <v>22.9999993145465</v>
      </c>
      <c r="N2137" t="n">
        <v>20.3333342721064</v>
      </c>
      <c r="O2137" t="n">
        <v>10.9999996721744</v>
      </c>
      <c r="P2137" t="n">
        <v>12.6666670789321</v>
      </c>
    </row>
    <row r="2138">
      <c r="A2138" s="1" t="n">
        <v>4064941111719</v>
      </c>
      <c r="B2138" t="inlineStr">
        <is>
          <t>KJ COSMIC EDP 100 ML FML IV</t>
        </is>
      </c>
      <c r="C2138" t="inlineStr">
        <is>
          <t>P_US_ALL_OTHERS</t>
        </is>
      </c>
      <c r="D2138" t="inlineStr">
        <is>
          <t>Stat Fcst L1</t>
        </is>
      </c>
      <c r="E2138" t="n">
        <v>531.999984145164</v>
      </c>
      <c r="F2138" t="n">
        <v>1931.99994242191</v>
      </c>
      <c r="G2138" t="n">
        <v>5</v>
      </c>
      <c r="H2138" t="n">
        <v>1386</v>
      </c>
      <c r="I2138" t="n">
        <v>1384</v>
      </c>
      <c r="J2138" t="n">
        <v>1386</v>
      </c>
      <c r="K2138" t="n">
        <v>1386</v>
      </c>
      <c r="L2138" t="n">
        <v>1384</v>
      </c>
      <c r="M2138" t="n">
        <v>1386</v>
      </c>
      <c r="N2138" t="n">
        <v>1385</v>
      </c>
      <c r="O2138" t="n">
        <v>1386</v>
      </c>
      <c r="P2138" t="n">
        <v>1384</v>
      </c>
    </row>
    <row r="2139">
      <c r="A2139" s="1" t="n">
        <v>4064941111719</v>
      </c>
      <c r="B2139" t="inlineStr">
        <is>
          <t>KJ COSMIC EDP 100 ML FML IV</t>
        </is>
      </c>
      <c r="C2139" t="inlineStr">
        <is>
          <t>P_US_ALL_OTHERS</t>
        </is>
      </c>
      <c r="D2139" t="inlineStr">
        <is>
          <t>Stat Fcst AR-NNET</t>
        </is>
      </c>
    </row>
    <row r="2140">
      <c r="A2140" s="1" t="n">
        <v>4064941111719</v>
      </c>
      <c r="B2140" t="inlineStr">
        <is>
          <t>KJ COSMIC EDP 100 ML FML IV</t>
        </is>
      </c>
      <c r="C2140" t="inlineStr">
        <is>
          <t>P_US_ALL_OTHERS</t>
        </is>
      </c>
      <c r="D2140" t="inlineStr">
        <is>
          <t>Stat Fcst Auto ARIMA</t>
        </is>
      </c>
    </row>
    <row r="2141">
      <c r="A2141" s="1" t="n">
        <v>4064941111719</v>
      </c>
      <c r="B2141" t="inlineStr">
        <is>
          <t>KJ COSMIC EDP 100 ML FML IV</t>
        </is>
      </c>
      <c r="C2141" t="inlineStr">
        <is>
          <t>P_US_ALL_OTHERS</t>
        </is>
      </c>
      <c r="D2141" t="inlineStr">
        <is>
          <t>Stat Fcst Croston</t>
        </is>
      </c>
    </row>
    <row r="2142">
      <c r="A2142" s="1" t="n">
        <v>4064941111719</v>
      </c>
      <c r="B2142" t="inlineStr">
        <is>
          <t>KJ COSMIC EDP 100 ML FML IV</t>
        </is>
      </c>
      <c r="C2142" t="inlineStr">
        <is>
          <t>P_US_ALL_OTHERS</t>
        </is>
      </c>
      <c r="D2142" t="inlineStr">
        <is>
          <t>Stat Fcst DES</t>
        </is>
      </c>
      <c r="E2142" t="n">
        <v>242.271958373532</v>
      </c>
      <c r="F2142" t="n">
        <v>174.629550645637</v>
      </c>
      <c r="G2142" t="n">
        <v>112.02531101789</v>
      </c>
      <c r="H2142" t="n">
        <v>54.0794625420728</v>
      </c>
      <c r="I2142" t="n">
        <v>6.00000004470348</v>
      </c>
      <c r="J2142" t="n">
        <v>5.99999982118606</v>
      </c>
      <c r="K2142" t="n">
        <v>5.99999982118606</v>
      </c>
      <c r="L2142" t="n">
        <v>6</v>
      </c>
      <c r="M2142" t="n">
        <v>5.99999982118606</v>
      </c>
      <c r="N2142" t="n">
        <v>6.00000008940696</v>
      </c>
      <c r="O2142" t="n">
        <v>5.99999982118606</v>
      </c>
      <c r="P2142" t="n">
        <v>6.00000004470348</v>
      </c>
    </row>
    <row r="2143">
      <c r="A2143" s="1" t="n">
        <v>4064941111719</v>
      </c>
      <c r="B2143" t="inlineStr">
        <is>
          <t>KJ COSMIC EDP 100 ML FML IV</t>
        </is>
      </c>
      <c r="C2143" t="inlineStr">
        <is>
          <t>P_US_ALL_OTHERS</t>
        </is>
      </c>
      <c r="D2143" t="inlineStr">
        <is>
          <t>Stat Fcst ETS</t>
        </is>
      </c>
    </row>
    <row r="2144">
      <c r="A2144" s="1" t="n">
        <v>4064941111719</v>
      </c>
      <c r="B2144" t="inlineStr">
        <is>
          <t>KJ COSMIC EDP 100 ML FML IV</t>
        </is>
      </c>
      <c r="C2144" t="inlineStr">
        <is>
          <t>P_US_ALL_OTHERS</t>
        </is>
      </c>
      <c r="D2144" t="inlineStr">
        <is>
          <t>Stat Fcst Moving Average</t>
        </is>
      </c>
      <c r="E2144" t="n">
        <v>734.799978101253</v>
      </c>
      <c r="F2144" t="n">
        <v>248.399992597103</v>
      </c>
      <c r="G2144" t="n">
        <v>608.4000045329331</v>
      </c>
      <c r="H2144" t="n">
        <v>678.679979773759</v>
      </c>
      <c r="I2144" t="n">
        <v>774.420005769878</v>
      </c>
      <c r="J2144" t="n">
        <v>905.099973025918</v>
      </c>
      <c r="K2144" t="n">
        <v>979.719970802068</v>
      </c>
      <c r="L2144" t="n">
        <v>789.26</v>
      </c>
      <c r="M2144" t="n">
        <v>825.439975399971</v>
      </c>
      <c r="N2144" t="n">
        <v>854.790012737363</v>
      </c>
      <c r="O2144" t="n">
        <v>870.859974046349</v>
      </c>
      <c r="P2144" t="n">
        <v>864.010006437376</v>
      </c>
    </row>
    <row r="2145">
      <c r="A2145" s="1" t="n">
        <v>4064941111719</v>
      </c>
      <c r="B2145" t="inlineStr">
        <is>
          <t>KJ COSMIC EDP 100 ML FML IV</t>
        </is>
      </c>
      <c r="C2145" t="inlineStr">
        <is>
          <t>P_US_ALL_OTHERS</t>
        </is>
      </c>
      <c r="D2145" t="inlineStr">
        <is>
          <t>Stat Fcst Naive Random Walk</t>
        </is>
      </c>
    </row>
    <row r="2146">
      <c r="A2146" s="1" t="n">
        <v>4064941111719</v>
      </c>
      <c r="B2146" t="inlineStr">
        <is>
          <t>KJ COSMIC EDP 100 ML FML IV</t>
        </is>
      </c>
      <c r="C2146" t="inlineStr">
        <is>
          <t>P_US_ALL_OTHERS</t>
        </is>
      </c>
      <c r="D2146" t="inlineStr">
        <is>
          <t>Stat Fcst Prophet</t>
        </is>
      </c>
    </row>
    <row r="2147">
      <c r="A2147" s="1" t="n">
        <v>4064941111719</v>
      </c>
      <c r="B2147" t="inlineStr">
        <is>
          <t>KJ COSMIC EDP 100 ML FML IV</t>
        </is>
      </c>
      <c r="C2147" t="inlineStr">
        <is>
          <t>P_US_ALL_OTHERS</t>
        </is>
      </c>
      <c r="D2147" t="inlineStr">
        <is>
          <t>Stat Fcst sARIMA</t>
        </is>
      </c>
    </row>
    <row r="2148">
      <c r="A2148" s="1" t="n">
        <v>4064941111719</v>
      </c>
      <c r="B2148" t="inlineStr">
        <is>
          <t>KJ COSMIC EDP 100 ML FML IV</t>
        </is>
      </c>
      <c r="C2148" t="inlineStr">
        <is>
          <t>P_US_ALL_OTHERS</t>
        </is>
      </c>
      <c r="D2148" t="inlineStr">
        <is>
          <t>Stat Fcst Seasonal Naive YoY</t>
        </is>
      </c>
    </row>
    <row r="2149">
      <c r="A2149" s="1" t="n">
        <v>4064941111719</v>
      </c>
      <c r="B2149" t="inlineStr">
        <is>
          <t>KJ COSMIC EDP 100 ML FML IV</t>
        </is>
      </c>
      <c r="C2149" t="inlineStr">
        <is>
          <t>P_US_ALL_OTHERS</t>
        </is>
      </c>
      <c r="D2149" t="inlineStr">
        <is>
          <t>Stat Fcst SES</t>
        </is>
      </c>
      <c r="E2149" t="n">
        <v>1406.71189368121</v>
      </c>
      <c r="F2149" t="n">
        <v>1336.73494091833</v>
      </c>
      <c r="G2149" t="n">
        <v>1384.3561926099</v>
      </c>
      <c r="H2149" t="n">
        <v>1384.35614103862</v>
      </c>
      <c r="I2149" t="n">
        <v>1384.3561926099</v>
      </c>
      <c r="J2149" t="n">
        <v>1384.35614103862</v>
      </c>
      <c r="K2149" t="n">
        <v>1384.35614103862</v>
      </c>
      <c r="L2149" t="n">
        <v>1384.35618229565</v>
      </c>
      <c r="M2149" t="n">
        <v>1384.35614103862</v>
      </c>
      <c r="N2149" t="n">
        <v>1384.35620292416</v>
      </c>
      <c r="O2149" t="n">
        <v>1384.35614103862</v>
      </c>
      <c r="P2149" t="n">
        <v>1384.3561926099</v>
      </c>
    </row>
    <row r="2150">
      <c r="A2150" s="1" t="n">
        <v>4064941111719</v>
      </c>
      <c r="B2150" t="inlineStr">
        <is>
          <t>KJ COSMIC EDP 100 ML FML IV</t>
        </is>
      </c>
      <c r="C2150" t="inlineStr">
        <is>
          <t>P_US_ALL_OTHERS</t>
        </is>
      </c>
      <c r="D2150" t="inlineStr">
        <is>
          <t>Stat Fcst STLF</t>
        </is>
      </c>
    </row>
    <row r="2151">
      <c r="A2151" s="1" t="n">
        <v>4064941111719</v>
      </c>
      <c r="B2151" t="inlineStr">
        <is>
          <t>KJ COSMIC EDP 100 ML FML IV</t>
        </is>
      </c>
      <c r="C2151" t="inlineStr">
        <is>
          <t>P_US_ALL_OTHERS</t>
        </is>
      </c>
      <c r="D2151" t="inlineStr">
        <is>
          <t>Stat Fcst TBATS</t>
        </is>
      </c>
    </row>
    <row r="2152">
      <c r="A2152" s="1" t="n">
        <v>4064941111719</v>
      </c>
      <c r="B2152" t="inlineStr">
        <is>
          <t>KJ COSMIC EDP 100 ML FML IV</t>
        </is>
      </c>
      <c r="C2152" t="inlineStr">
        <is>
          <t>P_US_ALL_OTHERS</t>
        </is>
      </c>
      <c r="D2152" t="inlineStr">
        <is>
          <t>Stat Fcst TES</t>
        </is>
      </c>
    </row>
    <row r="2153">
      <c r="A2153" s="1" t="n">
        <v>4064941111719</v>
      </c>
      <c r="B2153" t="inlineStr">
        <is>
          <t>KJ COSMIC EDP 100 ML FML IV</t>
        </is>
      </c>
      <c r="C2153" t="inlineStr">
        <is>
          <t>P_US_ALL_OTHERS</t>
        </is>
      </c>
      <c r="D2153" t="inlineStr">
        <is>
          <t>Stat Fcst Theta</t>
        </is>
      </c>
    </row>
    <row r="2154">
      <c r="A2154" s="1" t="n">
        <v>4064941111719</v>
      </c>
      <c r="B2154" t="inlineStr">
        <is>
          <t>KJ COSMIC EDP 100 ML FML IV</t>
        </is>
      </c>
      <c r="C2154" t="inlineStr">
        <is>
          <t>P_US_ALL_OTHERS</t>
        </is>
      </c>
      <c r="D2154" t="inlineStr">
        <is>
          <t>System ML Fcst L1</t>
        </is>
      </c>
    </row>
    <row r="2155">
      <c r="A2155" s="1" t="n">
        <v>4064941111719</v>
      </c>
      <c r="B2155" t="inlineStr">
        <is>
          <t>KJ COSMIC EDP 100 ML FML IV</t>
        </is>
      </c>
      <c r="C2155" t="inlineStr">
        <is>
          <t>P_US_ALL_OTHERS</t>
        </is>
      </c>
      <c r="D2155" t="inlineStr">
        <is>
          <t>Stat Fcst Simple Snaive</t>
        </is>
      </c>
    </row>
    <row r="2156">
      <c r="A2156" s="1" t="n">
        <v>4064941111719</v>
      </c>
      <c r="B2156" t="inlineStr">
        <is>
          <t>KJ COSMIC EDP 100 ML FML IV</t>
        </is>
      </c>
      <c r="C2156" t="inlineStr">
        <is>
          <t>P_US_ALL_OTHERS</t>
        </is>
      </c>
      <c r="D2156" t="inlineStr">
        <is>
          <t>Stat Fcst Simple AOA</t>
        </is>
      </c>
    </row>
    <row r="2157">
      <c r="A2157" s="1" t="n">
        <v>4064941111719</v>
      </c>
      <c r="B2157" t="inlineStr">
        <is>
          <t>KJ COSMIC EDP 100 ML FML IV</t>
        </is>
      </c>
      <c r="C2157" t="inlineStr">
        <is>
          <t>P_US_ALL_OTHERS</t>
        </is>
      </c>
      <c r="D2157" t="inlineStr">
        <is>
          <t>Stat Fcst Weighted Snaive</t>
        </is>
      </c>
    </row>
    <row r="2158">
      <c r="A2158" s="1" t="n">
        <v>4064941111719</v>
      </c>
      <c r="B2158" t="inlineStr">
        <is>
          <t>KJ COSMIC EDP 100 ML FML IV</t>
        </is>
      </c>
      <c r="C2158" t="inlineStr">
        <is>
          <t>P_US_ALL_OTHERS</t>
        </is>
      </c>
      <c r="D2158" t="inlineStr">
        <is>
          <t>Stat Fcst Weighted AOA</t>
        </is>
      </c>
    </row>
    <row r="2159">
      <c r="A2159" s="1" t="n">
        <v>4064941111719</v>
      </c>
      <c r="B2159" t="inlineStr">
        <is>
          <t>KJ COSMIC EDP 100 ML FML IV</t>
        </is>
      </c>
      <c r="C2159" t="inlineStr">
        <is>
          <t>P_US_ALL_OTHERS</t>
        </is>
      </c>
      <c r="D2159" t="inlineStr">
        <is>
          <t>Stat Fcst Growth Snaive</t>
        </is>
      </c>
    </row>
    <row r="2160">
      <c r="A2160" s="1" t="n">
        <v>4064941111719</v>
      </c>
      <c r="B2160" t="inlineStr">
        <is>
          <t>KJ COSMIC EDP 100 ML FML IV</t>
        </is>
      </c>
      <c r="C2160" t="inlineStr">
        <is>
          <t>P_US_ALL_OTHERS</t>
        </is>
      </c>
      <c r="D2160" t="inlineStr">
        <is>
          <t>Stat Fcst Growth AOA</t>
        </is>
      </c>
    </row>
    <row r="2161">
      <c r="A2161" s="1" t="n">
        <v>4064941111719</v>
      </c>
      <c r="B2161" t="inlineStr">
        <is>
          <t>KJ COSMIC EDP 100 ML FML IV</t>
        </is>
      </c>
      <c r="C2161" t="inlineStr">
        <is>
          <t>P_US_ALL_OTHERS</t>
        </is>
      </c>
      <c r="D2161" t="inlineStr">
        <is>
          <t>System Stat Fcst Bestfit</t>
        </is>
      </c>
      <c r="H2161" t="n">
        <v>1384.35615991484</v>
      </c>
      <c r="I2161" t="n">
        <v>1384.35621148613</v>
      </c>
      <c r="J2161" t="n">
        <v>1384.35615991484</v>
      </c>
      <c r="K2161" t="n">
        <v>1384.35615991484</v>
      </c>
      <c r="L2161" t="n">
        <v>1384.35620117187</v>
      </c>
      <c r="M2161" t="n">
        <v>1384.35615991484</v>
      </c>
      <c r="N2161" t="n">
        <v>1384.35622180039</v>
      </c>
      <c r="O2161" t="n">
        <v>1384.35615991484</v>
      </c>
      <c r="P2161" t="n">
        <v>1384.35621148613</v>
      </c>
    </row>
    <row r="2162">
      <c r="A2162" s="1" t="n">
        <v>4064941111719</v>
      </c>
      <c r="B2162" t="inlineStr">
        <is>
          <t>KJ COSMIC EDP 100 ML FML IV</t>
        </is>
      </c>
      <c r="C2162" t="inlineStr">
        <is>
          <t>P_US_ULTA</t>
        </is>
      </c>
      <c r="D2162" t="inlineStr">
        <is>
          <t>Stat Fcst L1</t>
        </is>
      </c>
      <c r="E2162" t="n">
        <v>4008.99988052248</v>
      </c>
      <c r="F2162" t="n">
        <v>6477.99980694055</v>
      </c>
      <c r="G2162" t="n">
        <v>7380</v>
      </c>
      <c r="H2162" t="n">
        <v>3614</v>
      </c>
      <c r="I2162" t="n">
        <v>9772</v>
      </c>
      <c r="J2162" t="n">
        <v>1457</v>
      </c>
      <c r="K2162" t="n">
        <v>7994</v>
      </c>
      <c r="L2162" t="n">
        <v>9856</v>
      </c>
      <c r="M2162" t="n">
        <v>12232</v>
      </c>
      <c r="N2162" t="n">
        <v>11692</v>
      </c>
      <c r="O2162" t="n">
        <v>10987</v>
      </c>
      <c r="P2162" t="n">
        <v>9707</v>
      </c>
    </row>
    <row r="2163">
      <c r="A2163" s="1" t="n">
        <v>4064941111719</v>
      </c>
      <c r="B2163" t="inlineStr">
        <is>
          <t>KJ COSMIC EDP 100 ML FML IV</t>
        </is>
      </c>
      <c r="C2163" t="inlineStr">
        <is>
          <t>P_US_ULTA</t>
        </is>
      </c>
      <c r="D2163" t="inlineStr">
        <is>
          <t>Stat Fcst AR-NNET</t>
        </is>
      </c>
    </row>
    <row r="2164">
      <c r="A2164" s="1" t="n">
        <v>4064941111719</v>
      </c>
      <c r="B2164" t="inlineStr">
        <is>
          <t>KJ COSMIC EDP 100 ML FML IV</t>
        </is>
      </c>
      <c r="C2164" t="inlineStr">
        <is>
          <t>P_US_ULTA</t>
        </is>
      </c>
      <c r="D2164" t="inlineStr">
        <is>
          <t>Stat Fcst Auto ARIMA</t>
        </is>
      </c>
    </row>
    <row r="2165">
      <c r="A2165" s="1" t="n">
        <v>4064941111719</v>
      </c>
      <c r="B2165" t="inlineStr">
        <is>
          <t>KJ COSMIC EDP 100 ML FML IV</t>
        </is>
      </c>
      <c r="C2165" t="inlineStr">
        <is>
          <t>P_US_ULTA</t>
        </is>
      </c>
      <c r="D2165" t="inlineStr">
        <is>
          <t>Stat Fcst Croston</t>
        </is>
      </c>
    </row>
    <row r="2166">
      <c r="A2166" s="1" t="n">
        <v>4064941111719</v>
      </c>
      <c r="B2166" t="inlineStr">
        <is>
          <t>KJ COSMIC EDP 100 ML FML IV</t>
        </is>
      </c>
      <c r="C2166" t="inlineStr">
        <is>
          <t>P_US_ULTA</t>
        </is>
      </c>
      <c r="D2166" t="inlineStr">
        <is>
          <t>Stat Fcst DES</t>
        </is>
      </c>
    </row>
    <row r="2167">
      <c r="A2167" s="1" t="n">
        <v>4064941111719</v>
      </c>
      <c r="B2167" t="inlineStr">
        <is>
          <t>KJ COSMIC EDP 100 ML FML IV</t>
        </is>
      </c>
      <c r="C2167" t="inlineStr">
        <is>
          <t>P_US_ULTA</t>
        </is>
      </c>
      <c r="D2167" t="inlineStr">
        <is>
          <t>Stat Fcst ETS</t>
        </is>
      </c>
    </row>
    <row r="2168">
      <c r="A2168" s="1" t="n">
        <v>4064941111719</v>
      </c>
      <c r="B2168" t="inlineStr">
        <is>
          <t>KJ COSMIC EDP 100 ML FML IV</t>
        </is>
      </c>
      <c r="C2168" t="inlineStr">
        <is>
          <t>P_US_ULTA</t>
        </is>
      </c>
      <c r="D2168" t="inlineStr">
        <is>
          <t>Stat Fcst Moving Average</t>
        </is>
      </c>
    </row>
    <row r="2169">
      <c r="A2169" s="1" t="n">
        <v>4064941111719</v>
      </c>
      <c r="B2169" t="inlineStr">
        <is>
          <t>KJ COSMIC EDP 100 ML FML IV</t>
        </is>
      </c>
      <c r="C2169" t="inlineStr">
        <is>
          <t>P_US_ULTA</t>
        </is>
      </c>
      <c r="D2169" t="inlineStr">
        <is>
          <t>Stat Fcst Naive Random Walk</t>
        </is>
      </c>
    </row>
    <row r="2170">
      <c r="A2170" s="1" t="n">
        <v>4064941111719</v>
      </c>
      <c r="B2170" t="inlineStr">
        <is>
          <t>KJ COSMIC EDP 100 ML FML IV</t>
        </is>
      </c>
      <c r="C2170" t="inlineStr">
        <is>
          <t>P_US_ULTA</t>
        </is>
      </c>
      <c r="D2170" t="inlineStr">
        <is>
          <t>Stat Fcst Prophet</t>
        </is>
      </c>
    </row>
    <row r="2171">
      <c r="A2171" s="1" t="n">
        <v>4064941111719</v>
      </c>
      <c r="B2171" t="inlineStr">
        <is>
          <t>KJ COSMIC EDP 100 ML FML IV</t>
        </is>
      </c>
      <c r="C2171" t="inlineStr">
        <is>
          <t>P_US_ULTA</t>
        </is>
      </c>
      <c r="D2171" t="inlineStr">
        <is>
          <t>Stat Fcst sARIMA</t>
        </is>
      </c>
    </row>
    <row r="2172">
      <c r="A2172" s="1" t="n">
        <v>4064941111719</v>
      </c>
      <c r="B2172" t="inlineStr">
        <is>
          <t>KJ COSMIC EDP 100 ML FML IV</t>
        </is>
      </c>
      <c r="C2172" t="inlineStr">
        <is>
          <t>P_US_ULTA</t>
        </is>
      </c>
      <c r="D2172" t="inlineStr">
        <is>
          <t>Stat Fcst Seasonal Naive YoY</t>
        </is>
      </c>
    </row>
    <row r="2173">
      <c r="A2173" s="1" t="n">
        <v>4064941111719</v>
      </c>
      <c r="B2173" t="inlineStr">
        <is>
          <t>KJ COSMIC EDP 100 ML FML IV</t>
        </is>
      </c>
      <c r="C2173" t="inlineStr">
        <is>
          <t>P_US_ULTA</t>
        </is>
      </c>
      <c r="D2173" t="inlineStr">
        <is>
          <t>Stat Fcst SES</t>
        </is>
      </c>
    </row>
    <row r="2174">
      <c r="A2174" s="1" t="n">
        <v>4064941111719</v>
      </c>
      <c r="B2174" t="inlineStr">
        <is>
          <t>KJ COSMIC EDP 100 ML FML IV</t>
        </is>
      </c>
      <c r="C2174" t="inlineStr">
        <is>
          <t>P_US_ULTA</t>
        </is>
      </c>
      <c r="D2174" t="inlineStr">
        <is>
          <t>Stat Fcst STLF</t>
        </is>
      </c>
      <c r="E2174" t="n">
        <v>3394.4981520086</v>
      </c>
      <c r="F2174" t="n">
        <v>2041.57800658299</v>
      </c>
      <c r="G2174" t="n">
        <v>15751.6198690848</v>
      </c>
      <c r="H2174" t="n">
        <v>440.003470565909</v>
      </c>
      <c r="I2174" t="n">
        <v>8998.15899739421</v>
      </c>
      <c r="J2174" t="n">
        <v>277.852371782088</v>
      </c>
      <c r="K2174" t="n">
        <v>550.210421307869</v>
      </c>
      <c r="L2174" t="n">
        <v>1408.81424266899</v>
      </c>
      <c r="M2174" t="n">
        <v>8271.826038296531</v>
      </c>
      <c r="N2174" t="n">
        <v>2120.96965585817</v>
      </c>
      <c r="O2174" t="n">
        <v>2936.82552575282</v>
      </c>
      <c r="P2174" t="n">
        <v>2253.49258537245</v>
      </c>
    </row>
    <row r="2175">
      <c r="A2175" s="1" t="n">
        <v>4064941111719</v>
      </c>
      <c r="B2175" t="inlineStr">
        <is>
          <t>KJ COSMIC EDP 100 ML FML IV</t>
        </is>
      </c>
      <c r="C2175" t="inlineStr">
        <is>
          <t>P_US_ULTA</t>
        </is>
      </c>
      <c r="D2175" t="inlineStr">
        <is>
          <t>Stat Fcst TBATS</t>
        </is>
      </c>
    </row>
    <row r="2176">
      <c r="A2176" s="1" t="n">
        <v>4064941111719</v>
      </c>
      <c r="B2176" t="inlineStr">
        <is>
          <t>KJ COSMIC EDP 100 ML FML IV</t>
        </is>
      </c>
      <c r="C2176" t="inlineStr">
        <is>
          <t>P_US_ULTA</t>
        </is>
      </c>
      <c r="D2176" t="inlineStr">
        <is>
          <t>Stat Fcst TES</t>
        </is>
      </c>
      <c r="E2176" t="n">
        <v>0</v>
      </c>
      <c r="F2176" t="n">
        <v>218.513495453127</v>
      </c>
      <c r="G2176" t="n">
        <v>7980.63018499653</v>
      </c>
      <c r="H2176" t="n">
        <v>2821.09929900725</v>
      </c>
      <c r="I2176" t="n">
        <v>4606.04346265987</v>
      </c>
      <c r="J2176" t="n">
        <v>0</v>
      </c>
      <c r="K2176" t="n">
        <v>1156.29074948846</v>
      </c>
      <c r="L2176" t="n">
        <v>4827.80307090768</v>
      </c>
      <c r="M2176" t="n">
        <v>5312.94093185786</v>
      </c>
      <c r="N2176" t="n">
        <v>3704.81895523408</v>
      </c>
      <c r="O2176" t="n">
        <v>1184.71952338079</v>
      </c>
      <c r="P2176" t="n">
        <v>46.6737405081628</v>
      </c>
    </row>
    <row r="2177">
      <c r="A2177" s="1" t="n">
        <v>4064941111719</v>
      </c>
      <c r="B2177" t="inlineStr">
        <is>
          <t>KJ COSMIC EDP 100 ML FML IV</t>
        </is>
      </c>
      <c r="C2177" t="inlineStr">
        <is>
          <t>P_US_ULTA</t>
        </is>
      </c>
      <c r="D2177" t="inlineStr">
        <is>
          <t>Stat Fcst Theta</t>
        </is>
      </c>
    </row>
    <row r="2178">
      <c r="A2178" s="1" t="n">
        <v>4064941111719</v>
      </c>
      <c r="B2178" t="inlineStr">
        <is>
          <t>KJ COSMIC EDP 100 ML FML IV</t>
        </is>
      </c>
      <c r="C2178" t="inlineStr">
        <is>
          <t>P_US_ULTA</t>
        </is>
      </c>
      <c r="D2178" t="inlineStr">
        <is>
          <t>System ML Fcst L1</t>
        </is>
      </c>
    </row>
    <row r="2179">
      <c r="A2179" s="1" t="n">
        <v>4064941111719</v>
      </c>
      <c r="B2179" t="inlineStr">
        <is>
          <t>KJ COSMIC EDP 100 ML FML IV</t>
        </is>
      </c>
      <c r="C2179" t="inlineStr">
        <is>
          <t>P_US_ULTA</t>
        </is>
      </c>
      <c r="D2179" t="inlineStr">
        <is>
          <t>Stat Fcst Simple Snaive</t>
        </is>
      </c>
      <c r="E2179" t="n">
        <v>878.499912783505</v>
      </c>
      <c r="F2179" t="n">
        <v>319.999990463256</v>
      </c>
      <c r="G2179" t="n">
        <v>8186.50006099417</v>
      </c>
      <c r="H2179" t="n">
        <v>3614.99964812398</v>
      </c>
      <c r="I2179" t="n">
        <v>9772.00007280707</v>
      </c>
      <c r="J2179" t="n">
        <v>1458.99995651841</v>
      </c>
      <c r="K2179" t="n">
        <v>7992.99976179003</v>
      </c>
      <c r="L2179" t="n">
        <v>9857.33333333333</v>
      </c>
      <c r="M2179" t="n">
        <v>12233.4462499982</v>
      </c>
      <c r="N2179" t="n">
        <v>11691.0001742094</v>
      </c>
      <c r="O2179" t="n">
        <v>10987.7796204553</v>
      </c>
      <c r="P2179" t="n">
        <v>9706.66673898696</v>
      </c>
    </row>
    <row r="2180">
      <c r="A2180" s="1" t="n">
        <v>4064941111719</v>
      </c>
      <c r="B2180" t="inlineStr">
        <is>
          <t>KJ COSMIC EDP 100 ML FML IV</t>
        </is>
      </c>
      <c r="C2180" t="inlineStr">
        <is>
          <t>P_US_ULTA</t>
        </is>
      </c>
      <c r="D2180" t="inlineStr">
        <is>
          <t>Stat Fcst Simple AOA</t>
        </is>
      </c>
    </row>
    <row r="2181">
      <c r="A2181" s="1" t="n">
        <v>4064941111719</v>
      </c>
      <c r="B2181" t="inlineStr">
        <is>
          <t>KJ COSMIC EDP 100 ML FML IV</t>
        </is>
      </c>
      <c r="C2181" t="inlineStr">
        <is>
          <t>P_US_ULTA</t>
        </is>
      </c>
      <c r="D2181" t="inlineStr">
        <is>
          <t>Stat Fcst Weighted Snaive</t>
        </is>
      </c>
    </row>
    <row r="2182">
      <c r="A2182" s="1" t="n">
        <v>4064941111719</v>
      </c>
      <c r="B2182" t="inlineStr">
        <is>
          <t>KJ COSMIC EDP 100 ML FML IV</t>
        </is>
      </c>
      <c r="C2182" t="inlineStr">
        <is>
          <t>P_US_ULTA</t>
        </is>
      </c>
      <c r="D2182" t="inlineStr">
        <is>
          <t>Stat Fcst Weighted AOA</t>
        </is>
      </c>
    </row>
    <row r="2183">
      <c r="A2183" s="1" t="n">
        <v>4064941111719</v>
      </c>
      <c r="B2183" t="inlineStr">
        <is>
          <t>KJ COSMIC EDP 100 ML FML IV</t>
        </is>
      </c>
      <c r="C2183" t="inlineStr">
        <is>
          <t>P_US_ULTA</t>
        </is>
      </c>
      <c r="D2183" t="inlineStr">
        <is>
          <t>Stat Fcst Growth Snaive</t>
        </is>
      </c>
    </row>
    <row r="2184">
      <c r="A2184" s="1" t="n">
        <v>4064941111719</v>
      </c>
      <c r="B2184" t="inlineStr">
        <is>
          <t>KJ COSMIC EDP 100 ML FML IV</t>
        </is>
      </c>
      <c r="C2184" t="inlineStr">
        <is>
          <t>P_US_ULTA</t>
        </is>
      </c>
      <c r="D2184" t="inlineStr">
        <is>
          <t>Stat Fcst Growth AOA</t>
        </is>
      </c>
    </row>
    <row r="2185">
      <c r="A2185" s="1" t="n">
        <v>4064941111719</v>
      </c>
      <c r="B2185" t="inlineStr">
        <is>
          <t>KJ COSMIC EDP 100 ML FML IV</t>
        </is>
      </c>
      <c r="C2185" t="inlineStr">
        <is>
          <t>P_US_ULTA</t>
        </is>
      </c>
      <c r="D2185" t="inlineStr">
        <is>
          <t>System Stat Fcst Bestfit</t>
        </is>
      </c>
      <c r="H2185" t="n">
        <v>3614.99940398336</v>
      </c>
      <c r="I2185" t="n">
        <v>9772.00007280707</v>
      </c>
      <c r="J2185" t="n">
        <v>1458.99995651841</v>
      </c>
      <c r="K2185" t="n">
        <v>7992.99976179003</v>
      </c>
      <c r="L2185" t="n">
        <v>9857.3330078125</v>
      </c>
      <c r="M2185" t="n">
        <v>12233.4459244773</v>
      </c>
      <c r="N2185" t="n">
        <v>11691.0001742094</v>
      </c>
      <c r="O2185" t="n">
        <v>10987.7799459761</v>
      </c>
      <c r="P2185" t="n">
        <v>9706.667064507799</v>
      </c>
    </row>
    <row r="2186">
      <c r="A2186" s="1" t="n">
        <v>4064941112709</v>
      </c>
      <c r="B2186" t="inlineStr">
        <is>
          <t>KJ MU MASC CRM 5ml 001VOLUME BTG IV</t>
        </is>
      </c>
      <c r="C2186" t="inlineStr">
        <is>
          <t>P_US_ALL_OTHERS</t>
        </is>
      </c>
      <c r="D2186" t="inlineStr">
        <is>
          <t>Stat Fcst L1</t>
        </is>
      </c>
      <c r="E2186" t="n">
        <v>68.9999979436397</v>
      </c>
      <c r="F2186" t="n">
        <v>80.9999975860118</v>
      </c>
      <c r="G2186" t="n">
        <v>30</v>
      </c>
      <c r="H2186" t="n">
        <v>5</v>
      </c>
      <c r="I2186" t="n">
        <v>34</v>
      </c>
      <c r="J2186" t="n">
        <v>102</v>
      </c>
      <c r="K2186" t="n">
        <v>9</v>
      </c>
      <c r="L2186" t="n">
        <v>4</v>
      </c>
      <c r="M2186" t="n">
        <v>93</v>
      </c>
      <c r="N2186" t="n">
        <v>47</v>
      </c>
      <c r="O2186" t="n">
        <v>4</v>
      </c>
      <c r="P2186" t="n">
        <v>4</v>
      </c>
    </row>
    <row r="2187">
      <c r="A2187" s="1" t="n">
        <v>4064941112709</v>
      </c>
      <c r="B2187" t="inlineStr">
        <is>
          <t>KJ MU MASC CRM 5ml 001VOLUME BTG IV</t>
        </is>
      </c>
      <c r="C2187" t="inlineStr">
        <is>
          <t>P_US_ALL_OTHERS</t>
        </is>
      </c>
      <c r="D2187" t="inlineStr">
        <is>
          <t>Stat Fcst AR-NNET</t>
        </is>
      </c>
    </row>
    <row r="2188">
      <c r="A2188" s="1" t="n">
        <v>4064941112709</v>
      </c>
      <c r="B2188" t="inlineStr">
        <is>
          <t>KJ MU MASC CRM 5ml 001VOLUME BTG IV</t>
        </is>
      </c>
      <c r="C2188" t="inlineStr">
        <is>
          <t>P_US_ALL_OTHERS</t>
        </is>
      </c>
      <c r="D2188" t="inlineStr">
        <is>
          <t>Stat Fcst Auto ARIMA</t>
        </is>
      </c>
    </row>
    <row r="2189">
      <c r="A2189" s="1" t="n">
        <v>4064941112709</v>
      </c>
      <c r="B2189" t="inlineStr">
        <is>
          <t>KJ MU MASC CRM 5ml 001VOLUME BTG IV</t>
        </is>
      </c>
      <c r="C2189" t="inlineStr">
        <is>
          <t>P_US_ALL_OTHERS</t>
        </is>
      </c>
      <c r="D2189" t="inlineStr">
        <is>
          <t>Stat Fcst Croston</t>
        </is>
      </c>
    </row>
    <row r="2190">
      <c r="A2190" s="1" t="n">
        <v>4064941112709</v>
      </c>
      <c r="B2190" t="inlineStr">
        <is>
          <t>KJ MU MASC CRM 5ml 001VOLUME BTG IV</t>
        </is>
      </c>
      <c r="C2190" t="inlineStr">
        <is>
          <t>P_US_ALL_OTHERS</t>
        </is>
      </c>
      <c r="D2190" t="inlineStr">
        <is>
          <t>Stat Fcst DES</t>
        </is>
      </c>
    </row>
    <row r="2191">
      <c r="A2191" s="1" t="n">
        <v>4064941112709</v>
      </c>
      <c r="B2191" t="inlineStr">
        <is>
          <t>KJ MU MASC CRM 5ml 001VOLUME BTG IV</t>
        </is>
      </c>
      <c r="C2191" t="inlineStr">
        <is>
          <t>P_US_ALL_OTHERS</t>
        </is>
      </c>
      <c r="D2191" t="inlineStr">
        <is>
          <t>Stat Fcst ETS</t>
        </is>
      </c>
    </row>
    <row r="2192">
      <c r="A2192" s="1" t="n">
        <v>4064941112709</v>
      </c>
      <c r="B2192" t="inlineStr">
        <is>
          <t>KJ MU MASC CRM 5ml 001VOLUME BTG IV</t>
        </is>
      </c>
      <c r="C2192" t="inlineStr">
        <is>
          <t>P_US_ALL_OTHERS</t>
        </is>
      </c>
      <c r="D2192" t="inlineStr">
        <is>
          <t>Stat Fcst Moving Average</t>
        </is>
      </c>
    </row>
    <row r="2193">
      <c r="A2193" s="1" t="n">
        <v>4064941112709</v>
      </c>
      <c r="B2193" t="inlineStr">
        <is>
          <t>KJ MU MASC CRM 5ml 001VOLUME BTG IV</t>
        </is>
      </c>
      <c r="C2193" t="inlineStr">
        <is>
          <t>P_US_ALL_OTHERS</t>
        </is>
      </c>
      <c r="D2193" t="inlineStr">
        <is>
          <t>Stat Fcst Naive Random Walk</t>
        </is>
      </c>
    </row>
    <row r="2194">
      <c r="A2194" s="1" t="n">
        <v>4064941112709</v>
      </c>
      <c r="B2194" t="inlineStr">
        <is>
          <t>KJ MU MASC CRM 5ml 001VOLUME BTG IV</t>
        </is>
      </c>
      <c r="C2194" t="inlineStr">
        <is>
          <t>P_US_ALL_OTHERS</t>
        </is>
      </c>
      <c r="D2194" t="inlineStr">
        <is>
          <t>Stat Fcst Prophet</t>
        </is>
      </c>
    </row>
    <row r="2195">
      <c r="A2195" s="1" t="n">
        <v>4064941112709</v>
      </c>
      <c r="B2195" t="inlineStr">
        <is>
          <t>KJ MU MASC CRM 5ml 001VOLUME BTG IV</t>
        </is>
      </c>
      <c r="C2195" t="inlineStr">
        <is>
          <t>P_US_ALL_OTHERS</t>
        </is>
      </c>
      <c r="D2195" t="inlineStr">
        <is>
          <t>Stat Fcst sARIMA</t>
        </is>
      </c>
    </row>
    <row r="2196">
      <c r="A2196" s="1" t="n">
        <v>4064941112709</v>
      </c>
      <c r="B2196" t="inlineStr">
        <is>
          <t>KJ MU MASC CRM 5ml 001VOLUME BTG IV</t>
        </is>
      </c>
      <c r="C2196" t="inlineStr">
        <is>
          <t>P_US_ALL_OTHERS</t>
        </is>
      </c>
      <c r="D2196" t="inlineStr">
        <is>
          <t>Stat Fcst Seasonal Naive YoY</t>
        </is>
      </c>
    </row>
    <row r="2197">
      <c r="A2197" s="1" t="n">
        <v>4064941112709</v>
      </c>
      <c r="B2197" t="inlineStr">
        <is>
          <t>KJ MU MASC CRM 5ml 001VOLUME BTG IV</t>
        </is>
      </c>
      <c r="C2197" t="inlineStr">
        <is>
          <t>P_US_ALL_OTHERS</t>
        </is>
      </c>
      <c r="D2197" t="inlineStr">
        <is>
          <t>Stat Fcst SES</t>
        </is>
      </c>
    </row>
    <row r="2198">
      <c r="A2198" s="1" t="n">
        <v>4064941112709</v>
      </c>
      <c r="B2198" t="inlineStr">
        <is>
          <t>KJ MU MASC CRM 5ml 001VOLUME BTG IV</t>
        </is>
      </c>
      <c r="C2198" t="inlineStr">
        <is>
          <t>P_US_ALL_OTHERS</t>
        </is>
      </c>
      <c r="D2198" t="inlineStr">
        <is>
          <t>Stat Fcst STLF</t>
        </is>
      </c>
      <c r="E2198" t="n">
        <v>3.99999988079071</v>
      </c>
      <c r="F2198" t="n">
        <v>3.99999988079071</v>
      </c>
      <c r="G2198" t="n">
        <v>31.3061991574866</v>
      </c>
      <c r="H2198" t="n">
        <v>3.99999988079071</v>
      </c>
      <c r="I2198" t="n">
        <v>34.137443907647</v>
      </c>
      <c r="J2198" t="n">
        <v>103.476175785589</v>
      </c>
      <c r="K2198" t="n">
        <v>7.70233867145679</v>
      </c>
      <c r="L2198" t="n">
        <v>4</v>
      </c>
      <c r="M2198" t="n">
        <v>94.91095974308629</v>
      </c>
      <c r="N2198" t="n">
        <v>47.0475683313448</v>
      </c>
      <c r="O2198" t="n">
        <v>3.99999988079071</v>
      </c>
      <c r="P2198" t="n">
        <v>4.00000002980232</v>
      </c>
    </row>
    <row r="2199">
      <c r="A2199" s="1" t="n">
        <v>4064941112709</v>
      </c>
      <c r="B2199" t="inlineStr">
        <is>
          <t>KJ MU MASC CRM 5ml 001VOLUME BTG IV</t>
        </is>
      </c>
      <c r="C2199" t="inlineStr">
        <is>
          <t>P_US_ALL_OTHERS</t>
        </is>
      </c>
      <c r="D2199" t="inlineStr">
        <is>
          <t>Stat Fcst TBATS</t>
        </is>
      </c>
    </row>
    <row r="2200">
      <c r="A2200" s="1" t="n">
        <v>4064941112709</v>
      </c>
      <c r="B2200" t="inlineStr">
        <is>
          <t>KJ MU MASC CRM 5ml 001VOLUME BTG IV</t>
        </is>
      </c>
      <c r="C2200" t="inlineStr">
        <is>
          <t>P_US_ALL_OTHERS</t>
        </is>
      </c>
      <c r="D2200" t="inlineStr">
        <is>
          <t>Stat Fcst TES</t>
        </is>
      </c>
      <c r="E2200" t="n">
        <v>3.99999988079071</v>
      </c>
      <c r="F2200" t="n">
        <v>3.99999988079071</v>
      </c>
      <c r="G2200" t="n">
        <v>55.5853495246524</v>
      </c>
      <c r="H2200" t="n">
        <v>3.99999988079071</v>
      </c>
      <c r="I2200" t="n">
        <v>4.00000002980232</v>
      </c>
      <c r="J2200" t="n">
        <v>138.135839165556</v>
      </c>
      <c r="K2200" t="n">
        <v>194.596359297933</v>
      </c>
      <c r="L2200" t="n">
        <v>203.34094479441</v>
      </c>
      <c r="M2200" t="n">
        <v>61.5515216745873</v>
      </c>
      <c r="N2200" t="n">
        <v>4.00000005960464</v>
      </c>
      <c r="O2200" t="n">
        <v>86.0867003527386</v>
      </c>
      <c r="P2200" t="n">
        <v>4.00000002980232</v>
      </c>
    </row>
    <row r="2201">
      <c r="A2201" s="1" t="n">
        <v>4064941112709</v>
      </c>
      <c r="B2201" t="inlineStr">
        <is>
          <t>KJ MU MASC CRM 5ml 001VOLUME BTG IV</t>
        </is>
      </c>
      <c r="C2201" t="inlineStr">
        <is>
          <t>P_US_ALL_OTHERS</t>
        </is>
      </c>
      <c r="D2201" t="inlineStr">
        <is>
          <t>Stat Fcst Theta</t>
        </is>
      </c>
    </row>
    <row r="2202">
      <c r="A2202" s="1" t="n">
        <v>4064941112709</v>
      </c>
      <c r="B2202" t="inlineStr">
        <is>
          <t>KJ MU MASC CRM 5ml 001VOLUME BTG IV</t>
        </is>
      </c>
      <c r="C2202" t="inlineStr">
        <is>
          <t>P_US_ALL_OTHERS</t>
        </is>
      </c>
      <c r="D2202" t="inlineStr">
        <is>
          <t>System ML Fcst L1</t>
        </is>
      </c>
    </row>
    <row r="2203">
      <c r="A2203" s="1" t="n">
        <v>4064941112709</v>
      </c>
      <c r="B2203" t="inlineStr">
        <is>
          <t>KJ MU MASC CRM 5ml 001VOLUME BTG IV</t>
        </is>
      </c>
      <c r="C2203" t="inlineStr">
        <is>
          <t>P_US_ALL_OTHERS</t>
        </is>
      </c>
      <c r="D2203" t="inlineStr">
        <is>
          <t>Stat Fcst Simple Snaive</t>
        </is>
      </c>
      <c r="E2203" t="n">
        <v>35.4999989420175</v>
      </c>
      <c r="F2203" t="n">
        <v>168.499994978308</v>
      </c>
      <c r="G2203" t="n">
        <v>262.666668623685</v>
      </c>
      <c r="H2203" t="n">
        <v>155.999985178312</v>
      </c>
      <c r="I2203" t="n">
        <v>176.333334647119</v>
      </c>
      <c r="J2203" t="n">
        <v>331.999987562497</v>
      </c>
      <c r="K2203" t="n">
        <v>406.707019129185</v>
      </c>
      <c r="L2203" t="n">
        <v>363.040364583333</v>
      </c>
      <c r="M2203" t="n">
        <v>204.999988804261</v>
      </c>
      <c r="N2203" t="n">
        <v>45.3333340088526</v>
      </c>
      <c r="O2203" t="n">
        <v>188.666650871436</v>
      </c>
      <c r="P2203" t="n">
        <v>83.0000006183981</v>
      </c>
    </row>
    <row r="2204">
      <c r="A2204" s="1" t="n">
        <v>4064941112709</v>
      </c>
      <c r="B2204" t="inlineStr">
        <is>
          <t>KJ MU MASC CRM 5ml 001VOLUME BTG IV</t>
        </is>
      </c>
      <c r="C2204" t="inlineStr">
        <is>
          <t>P_US_ALL_OTHERS</t>
        </is>
      </c>
      <c r="D2204" t="inlineStr">
        <is>
          <t>Stat Fcst Simple AOA</t>
        </is>
      </c>
    </row>
    <row r="2205">
      <c r="A2205" s="1" t="n">
        <v>4064941112709</v>
      </c>
      <c r="B2205" t="inlineStr">
        <is>
          <t>KJ MU MASC CRM 5ml 001VOLUME BTG IV</t>
        </is>
      </c>
      <c r="C2205" t="inlineStr">
        <is>
          <t>P_US_ALL_OTHERS</t>
        </is>
      </c>
      <c r="D2205" t="inlineStr">
        <is>
          <t>Stat Fcst Weighted Snaive</t>
        </is>
      </c>
    </row>
    <row r="2206">
      <c r="A2206" s="1" t="n">
        <v>4064941112709</v>
      </c>
      <c r="B2206" t="inlineStr">
        <is>
          <t>KJ MU MASC CRM 5ml 001VOLUME BTG IV</t>
        </is>
      </c>
      <c r="C2206" t="inlineStr">
        <is>
          <t>P_US_ALL_OTHERS</t>
        </is>
      </c>
      <c r="D2206" t="inlineStr">
        <is>
          <t>Stat Fcst Weighted AOA</t>
        </is>
      </c>
    </row>
    <row r="2207">
      <c r="A2207" s="1" t="n">
        <v>4064941112709</v>
      </c>
      <c r="B2207" t="inlineStr">
        <is>
          <t>KJ MU MASC CRM 5ml 001VOLUME BTG IV</t>
        </is>
      </c>
      <c r="C2207" t="inlineStr">
        <is>
          <t>P_US_ALL_OTHERS</t>
        </is>
      </c>
      <c r="D2207" t="inlineStr">
        <is>
          <t>Stat Fcst Growth Snaive</t>
        </is>
      </c>
    </row>
    <row r="2208">
      <c r="A2208" s="1" t="n">
        <v>4064941112709</v>
      </c>
      <c r="B2208" t="inlineStr">
        <is>
          <t>KJ MU MASC CRM 5ml 001VOLUME BTG IV</t>
        </is>
      </c>
      <c r="C2208" t="inlineStr">
        <is>
          <t>P_US_ALL_OTHERS</t>
        </is>
      </c>
      <c r="D2208" t="inlineStr">
        <is>
          <t>Stat Fcst Growth AOA</t>
        </is>
      </c>
    </row>
    <row r="2209">
      <c r="A2209" s="1" t="n">
        <v>4064941112709</v>
      </c>
      <c r="B2209" t="inlineStr">
        <is>
          <t>KJ MU MASC CRM 5ml 001VOLUME BTG IV</t>
        </is>
      </c>
      <c r="C2209" t="inlineStr">
        <is>
          <t>P_US_ALL_OTHERS</t>
        </is>
      </c>
      <c r="D2209" t="inlineStr">
        <is>
          <t>System Stat Fcst Bestfit</t>
        </is>
      </c>
      <c r="H2209" t="n">
        <v>3.99999988079071</v>
      </c>
      <c r="I2209" t="n">
        <v>34.1374437968242</v>
      </c>
      <c r="J2209" t="n">
        <v>103.476170317048</v>
      </c>
      <c r="K2209" t="n">
        <v>7.70233846597854</v>
      </c>
      <c r="L2209" t="n">
        <v>4</v>
      </c>
      <c r="M2209" t="n">
        <v>94.9109545078588</v>
      </c>
      <c r="N2209" t="n">
        <v>47.0475699759657</v>
      </c>
      <c r="O2209" t="n">
        <v>3.99999988079071</v>
      </c>
      <c r="P2209" t="n">
        <v>4.00000002980232</v>
      </c>
    </row>
    <row r="2210">
      <c r="A2210" s="1" t="n">
        <v>4064941112709</v>
      </c>
      <c r="B2210" t="inlineStr">
        <is>
          <t>KJ MU MASC CRM 5ml 001VOLUME BTG IV</t>
        </is>
      </c>
      <c r="C2210" t="inlineStr">
        <is>
          <t>P_US_ULTA</t>
        </is>
      </c>
      <c r="D2210" t="inlineStr">
        <is>
          <t>Stat Fcst L1</t>
        </is>
      </c>
      <c r="E2210" t="n">
        <v>546.999983698129</v>
      </c>
      <c r="F2210" t="n">
        <v>587.999982476234</v>
      </c>
      <c r="G2210" t="n">
        <v>921</v>
      </c>
      <c r="H2210" t="n">
        <v>310</v>
      </c>
      <c r="I2210" t="n">
        <v>668</v>
      </c>
      <c r="J2210" t="n">
        <v>355</v>
      </c>
      <c r="K2210" t="n">
        <v>708</v>
      </c>
      <c r="L2210" t="n">
        <v>1092</v>
      </c>
      <c r="M2210" t="n">
        <v>1160</v>
      </c>
      <c r="N2210" t="n">
        <v>1101</v>
      </c>
      <c r="O2210" t="n">
        <v>558</v>
      </c>
      <c r="P2210" t="n">
        <v>338</v>
      </c>
    </row>
    <row r="2211">
      <c r="A2211" s="1" t="n">
        <v>4064941112709</v>
      </c>
      <c r="B2211" t="inlineStr">
        <is>
          <t>KJ MU MASC CRM 5ml 001VOLUME BTG IV</t>
        </is>
      </c>
      <c r="C2211" t="inlineStr">
        <is>
          <t>P_US_ULTA</t>
        </is>
      </c>
      <c r="D2211" t="inlineStr">
        <is>
          <t>Stat Fcst AR-NNET</t>
        </is>
      </c>
    </row>
    <row r="2212">
      <c r="A2212" s="1" t="n">
        <v>4064941112709</v>
      </c>
      <c r="B2212" t="inlineStr">
        <is>
          <t>KJ MU MASC CRM 5ml 001VOLUME BTG IV</t>
        </is>
      </c>
      <c r="C2212" t="inlineStr">
        <is>
          <t>P_US_ULTA</t>
        </is>
      </c>
      <c r="D2212" t="inlineStr">
        <is>
          <t>Stat Fcst Auto ARIMA</t>
        </is>
      </c>
    </row>
    <row r="2213">
      <c r="A2213" s="1" t="n">
        <v>4064941112709</v>
      </c>
      <c r="B2213" t="inlineStr">
        <is>
          <t>KJ MU MASC CRM 5ml 001VOLUME BTG IV</t>
        </is>
      </c>
      <c r="C2213" t="inlineStr">
        <is>
          <t>P_US_ULTA</t>
        </is>
      </c>
      <c r="D2213" t="inlineStr">
        <is>
          <t>Stat Fcst Croston</t>
        </is>
      </c>
    </row>
    <row r="2214">
      <c r="A2214" s="1" t="n">
        <v>4064941112709</v>
      </c>
      <c r="B2214" t="inlineStr">
        <is>
          <t>KJ MU MASC CRM 5ml 001VOLUME BTG IV</t>
        </is>
      </c>
      <c r="C2214" t="inlineStr">
        <is>
          <t>P_US_ULTA</t>
        </is>
      </c>
      <c r="D2214" t="inlineStr">
        <is>
          <t>Stat Fcst DES</t>
        </is>
      </c>
    </row>
    <row r="2215">
      <c r="A2215" s="1" t="n">
        <v>4064941112709</v>
      </c>
      <c r="B2215" t="inlineStr">
        <is>
          <t>KJ MU MASC CRM 5ml 001VOLUME BTG IV</t>
        </is>
      </c>
      <c r="C2215" t="inlineStr">
        <is>
          <t>P_US_ULTA</t>
        </is>
      </c>
      <c r="D2215" t="inlineStr">
        <is>
          <t>Stat Fcst ETS</t>
        </is>
      </c>
    </row>
    <row r="2216">
      <c r="A2216" s="1" t="n">
        <v>4064941112709</v>
      </c>
      <c r="B2216" t="inlineStr">
        <is>
          <t>KJ MU MASC CRM 5ml 001VOLUME BTG IV</t>
        </is>
      </c>
      <c r="C2216" t="inlineStr">
        <is>
          <t>P_US_ULTA</t>
        </is>
      </c>
      <c r="D2216" t="inlineStr">
        <is>
          <t>Stat Fcst Moving Average</t>
        </is>
      </c>
    </row>
    <row r="2217">
      <c r="A2217" s="1" t="n">
        <v>4064941112709</v>
      </c>
      <c r="B2217" t="inlineStr">
        <is>
          <t>KJ MU MASC CRM 5ml 001VOLUME BTG IV</t>
        </is>
      </c>
      <c r="C2217" t="inlineStr">
        <is>
          <t>P_US_ULTA</t>
        </is>
      </c>
      <c r="D2217" t="inlineStr">
        <is>
          <t>Stat Fcst Naive Random Walk</t>
        </is>
      </c>
    </row>
    <row r="2218">
      <c r="A2218" s="1" t="n">
        <v>4064941112709</v>
      </c>
      <c r="B2218" t="inlineStr">
        <is>
          <t>KJ MU MASC CRM 5ml 001VOLUME BTG IV</t>
        </is>
      </c>
      <c r="C2218" t="inlineStr">
        <is>
          <t>P_US_ULTA</t>
        </is>
      </c>
      <c r="D2218" t="inlineStr">
        <is>
          <t>Stat Fcst Prophet</t>
        </is>
      </c>
    </row>
    <row r="2219">
      <c r="A2219" s="1" t="n">
        <v>4064941112709</v>
      </c>
      <c r="B2219" t="inlineStr">
        <is>
          <t>KJ MU MASC CRM 5ml 001VOLUME BTG IV</t>
        </is>
      </c>
      <c r="C2219" t="inlineStr">
        <is>
          <t>P_US_ULTA</t>
        </is>
      </c>
      <c r="D2219" t="inlineStr">
        <is>
          <t>Stat Fcst sARIMA</t>
        </is>
      </c>
    </row>
    <row r="2220">
      <c r="A2220" s="1" t="n">
        <v>4064941112709</v>
      </c>
      <c r="B2220" t="inlineStr">
        <is>
          <t>KJ MU MASC CRM 5ml 001VOLUME BTG IV</t>
        </is>
      </c>
      <c r="C2220" t="inlineStr">
        <is>
          <t>P_US_ULTA</t>
        </is>
      </c>
      <c r="D2220" t="inlineStr">
        <is>
          <t>Stat Fcst Seasonal Naive YoY</t>
        </is>
      </c>
    </row>
    <row r="2221">
      <c r="A2221" s="1" t="n">
        <v>4064941112709</v>
      </c>
      <c r="B2221" t="inlineStr">
        <is>
          <t>KJ MU MASC CRM 5ml 001VOLUME BTG IV</t>
        </is>
      </c>
      <c r="C2221" t="inlineStr">
        <is>
          <t>P_US_ULTA</t>
        </is>
      </c>
      <c r="D2221" t="inlineStr">
        <is>
          <t>Stat Fcst SES</t>
        </is>
      </c>
    </row>
    <row r="2222">
      <c r="A2222" s="1" t="n">
        <v>4064941112709</v>
      </c>
      <c r="B2222" t="inlineStr">
        <is>
          <t>KJ MU MASC CRM 5ml 001VOLUME BTG IV</t>
        </is>
      </c>
      <c r="C2222" t="inlineStr">
        <is>
          <t>P_US_ULTA</t>
        </is>
      </c>
      <c r="D2222" t="inlineStr">
        <is>
          <t>Stat Fcst STLF</t>
        </is>
      </c>
      <c r="E2222" t="n">
        <v>772.957750838472</v>
      </c>
      <c r="F2222" t="n">
        <v>173.785163810925</v>
      </c>
      <c r="G2222" t="n">
        <v>174.06538920493</v>
      </c>
      <c r="H2222" t="n">
        <v>388.258879555647</v>
      </c>
      <c r="I2222" t="n">
        <v>667.467491767896</v>
      </c>
      <c r="J2222" t="n">
        <v>274.027618614678</v>
      </c>
      <c r="K2222" t="n">
        <v>411.072637430025</v>
      </c>
      <c r="L2222" t="n">
        <v>590.252561835616</v>
      </c>
      <c r="M2222" t="n">
        <v>754.0512276690509</v>
      </c>
      <c r="N2222" t="n">
        <v>595.614814590867</v>
      </c>
      <c r="O2222" t="n">
        <v>1082.88643596079</v>
      </c>
      <c r="P2222" t="n">
        <v>603.036473791327</v>
      </c>
    </row>
    <row r="2223">
      <c r="A2223" s="1" t="n">
        <v>4064941112709</v>
      </c>
      <c r="B2223" t="inlineStr">
        <is>
          <t>KJ MU MASC CRM 5ml 001VOLUME BTG IV</t>
        </is>
      </c>
      <c r="C2223" t="inlineStr">
        <is>
          <t>P_US_ULTA</t>
        </is>
      </c>
      <c r="D2223" t="inlineStr">
        <is>
          <t>Stat Fcst TBATS</t>
        </is>
      </c>
    </row>
    <row r="2224">
      <c r="A2224" s="1" t="n">
        <v>4064941112709</v>
      </c>
      <c r="B2224" t="inlineStr">
        <is>
          <t>KJ MU MASC CRM 5ml 001VOLUME BTG IV</t>
        </is>
      </c>
      <c r="C2224" t="inlineStr">
        <is>
          <t>P_US_ULTA</t>
        </is>
      </c>
      <c r="D2224" t="inlineStr">
        <is>
          <t>Stat Fcst TES</t>
        </is>
      </c>
      <c r="E2224" t="n">
        <v>230.261795538995</v>
      </c>
      <c r="F2224" t="n">
        <v>0</v>
      </c>
      <c r="G2224" t="n">
        <v>193.061113660205</v>
      </c>
      <c r="H2224" t="n">
        <v>255.987709723035</v>
      </c>
      <c r="I2224" t="n">
        <v>188.691863420708</v>
      </c>
      <c r="J2224" t="n">
        <v>168.620371311882</v>
      </c>
      <c r="K2224" t="n">
        <v>916.30060325165</v>
      </c>
      <c r="L2224" t="n">
        <v>994.933539440658</v>
      </c>
      <c r="M2224" t="n">
        <v>720.343305302199</v>
      </c>
      <c r="N2224" t="n">
        <v>473.508097731205</v>
      </c>
      <c r="O2224" t="n">
        <v>307.590675146048</v>
      </c>
      <c r="P2224" t="n">
        <v>564.9403289126481</v>
      </c>
    </row>
    <row r="2225">
      <c r="A2225" s="1" t="n">
        <v>4064941112709</v>
      </c>
      <c r="B2225" t="inlineStr">
        <is>
          <t>KJ MU MASC CRM 5ml 001VOLUME BTG IV</t>
        </is>
      </c>
      <c r="C2225" t="inlineStr">
        <is>
          <t>P_US_ULTA</t>
        </is>
      </c>
      <c r="D2225" t="inlineStr">
        <is>
          <t>Stat Fcst Theta</t>
        </is>
      </c>
    </row>
    <row r="2226">
      <c r="A2226" s="1" t="n">
        <v>4064941112709</v>
      </c>
      <c r="B2226" t="inlineStr">
        <is>
          <t>KJ MU MASC CRM 5ml 001VOLUME BTG IV</t>
        </is>
      </c>
      <c r="C2226" t="inlineStr">
        <is>
          <t>P_US_ULTA</t>
        </is>
      </c>
      <c r="D2226" t="inlineStr">
        <is>
          <t>System ML Fcst L1</t>
        </is>
      </c>
    </row>
    <row r="2227">
      <c r="A2227" s="1" t="n">
        <v>4064941112709</v>
      </c>
      <c r="B2227" t="inlineStr">
        <is>
          <t>KJ MU MASC CRM 5ml 001VOLUME BTG IV</t>
        </is>
      </c>
      <c r="C2227" t="inlineStr">
        <is>
          <t>P_US_ULTA</t>
        </is>
      </c>
      <c r="D2227" t="inlineStr">
        <is>
          <t>Stat Fcst Simple Snaive</t>
        </is>
      </c>
      <c r="E2227" t="n">
        <v>419.499987497925</v>
      </c>
      <c r="F2227" t="n">
        <v>143.999995708465</v>
      </c>
      <c r="G2227" t="n">
        <v>827.979213525696</v>
      </c>
      <c r="H2227" t="n">
        <v>310.333313912153</v>
      </c>
      <c r="I2227" t="n">
        <v>669.3333383202551</v>
      </c>
      <c r="J2227" t="n">
        <v>355.666656066974</v>
      </c>
      <c r="K2227" t="n">
        <v>706.999978929758</v>
      </c>
      <c r="L2227" t="n">
        <v>1093.66666666666</v>
      </c>
      <c r="M2227" t="n">
        <v>1158.31245530707</v>
      </c>
      <c r="N2227" t="n">
        <v>1099.33341074983</v>
      </c>
      <c r="O2227" t="n">
        <v>556.666650076707</v>
      </c>
      <c r="P2227" t="n">
        <v>337.333335846662</v>
      </c>
    </row>
    <row r="2228">
      <c r="A2228" s="1" t="n">
        <v>4064941112709</v>
      </c>
      <c r="B2228" t="inlineStr">
        <is>
          <t>KJ MU MASC CRM 5ml 001VOLUME BTG IV</t>
        </is>
      </c>
      <c r="C2228" t="inlineStr">
        <is>
          <t>P_US_ULTA</t>
        </is>
      </c>
      <c r="D2228" t="inlineStr">
        <is>
          <t>Stat Fcst Simple AOA</t>
        </is>
      </c>
    </row>
    <row r="2229">
      <c r="A2229" s="1" t="n">
        <v>4064941112709</v>
      </c>
      <c r="B2229" t="inlineStr">
        <is>
          <t>KJ MU MASC CRM 5ml 001VOLUME BTG IV</t>
        </is>
      </c>
      <c r="C2229" t="inlineStr">
        <is>
          <t>P_US_ULTA</t>
        </is>
      </c>
      <c r="D2229" t="inlineStr">
        <is>
          <t>Stat Fcst Weighted Snaive</t>
        </is>
      </c>
    </row>
    <row r="2230">
      <c r="A2230" s="1" t="n">
        <v>4064941112709</v>
      </c>
      <c r="B2230" t="inlineStr">
        <is>
          <t>KJ MU MASC CRM 5ml 001VOLUME BTG IV</t>
        </is>
      </c>
      <c r="C2230" t="inlineStr">
        <is>
          <t>P_US_ULTA</t>
        </is>
      </c>
      <c r="D2230" t="inlineStr">
        <is>
          <t>Stat Fcst Weighted AOA</t>
        </is>
      </c>
    </row>
    <row r="2231">
      <c r="A2231" s="1" t="n">
        <v>4064941112709</v>
      </c>
      <c r="B2231" t="inlineStr">
        <is>
          <t>KJ MU MASC CRM 5ml 001VOLUME BTG IV</t>
        </is>
      </c>
      <c r="C2231" t="inlineStr">
        <is>
          <t>P_US_ULTA</t>
        </is>
      </c>
      <c r="D2231" t="inlineStr">
        <is>
          <t>Stat Fcst Growth Snaive</t>
        </is>
      </c>
    </row>
    <row r="2232">
      <c r="A2232" s="1" t="n">
        <v>4064941112709</v>
      </c>
      <c r="B2232" t="inlineStr">
        <is>
          <t>KJ MU MASC CRM 5ml 001VOLUME BTG IV</t>
        </is>
      </c>
      <c r="C2232" t="inlineStr">
        <is>
          <t>P_US_ULTA</t>
        </is>
      </c>
      <c r="D2232" t="inlineStr">
        <is>
          <t>Stat Fcst Growth AOA</t>
        </is>
      </c>
    </row>
    <row r="2233">
      <c r="A2233" s="1" t="n">
        <v>4064941112709</v>
      </c>
      <c r="B2233" t="inlineStr">
        <is>
          <t>KJ MU MASC CRM 5ml 001VOLUME BTG IV</t>
        </is>
      </c>
      <c r="C2233" t="inlineStr">
        <is>
          <t>P_US_ULTA</t>
        </is>
      </c>
      <c r="D2233" t="inlineStr">
        <is>
          <t>System Stat Fcst Bestfit</t>
        </is>
      </c>
      <c r="H2233" t="n">
        <v>310.333303739627</v>
      </c>
      <c r="I2233" t="n">
        <v>669.333379010359</v>
      </c>
      <c r="J2233" t="n">
        <v>355.666645894448</v>
      </c>
      <c r="K2233" t="n">
        <v>706.999978929758</v>
      </c>
      <c r="L2233" t="n">
        <v>1093.66662597656</v>
      </c>
      <c r="M2233" t="n">
        <v>1158.31234340928</v>
      </c>
      <c r="N2233" t="n">
        <v>1099.33351247509</v>
      </c>
      <c r="O2233" t="n">
        <v>556.666609386604</v>
      </c>
      <c r="P2233" t="n">
        <v>337.333346019188</v>
      </c>
    </row>
    <row r="2234">
      <c r="A2234" s="1" t="n">
        <v>4064941118183</v>
      </c>
      <c r="B2234" t="inlineStr">
        <is>
          <t>KJ MU HIGH GLS LG 3.3 ML 808KYLIE VP IV</t>
        </is>
      </c>
      <c r="C2234" t="inlineStr">
        <is>
          <t>P_US_ALL_OTHERS</t>
        </is>
      </c>
      <c r="D2234" t="inlineStr">
        <is>
          <t>Stat Fcst L1</t>
        </is>
      </c>
      <c r="E2234" t="n">
        <v>108.999996751546</v>
      </c>
      <c r="F2234" t="n">
        <v>110.999996691942</v>
      </c>
      <c r="G2234" t="n">
        <v>108</v>
      </c>
      <c r="H2234" t="n">
        <v>141</v>
      </c>
      <c r="I2234" t="n">
        <v>60</v>
      </c>
      <c r="J2234" t="n">
        <v>105</v>
      </c>
      <c r="K2234" t="n">
        <v>84</v>
      </c>
      <c r="L2234" t="n">
        <v>88</v>
      </c>
      <c r="M2234" t="n">
        <v>75</v>
      </c>
      <c r="N2234" t="n">
        <v>38</v>
      </c>
      <c r="O2234" t="n">
        <v>53</v>
      </c>
      <c r="P2234" t="n">
        <v>137</v>
      </c>
    </row>
    <row r="2235">
      <c r="A2235" s="1" t="n">
        <v>4064941118183</v>
      </c>
      <c r="B2235" t="inlineStr">
        <is>
          <t>KJ MU HIGH GLS LG 3.3 ML 808KYLIE VP IV</t>
        </is>
      </c>
      <c r="C2235" t="inlineStr">
        <is>
          <t>P_US_ALL_OTHERS</t>
        </is>
      </c>
      <c r="D2235" t="inlineStr">
        <is>
          <t>Stat Fcst AR-NNET</t>
        </is>
      </c>
    </row>
    <row r="2236">
      <c r="A2236" s="1" t="n">
        <v>4064941118183</v>
      </c>
      <c r="B2236" t="inlineStr">
        <is>
          <t>KJ MU HIGH GLS LG 3.3 ML 808KYLIE VP IV</t>
        </is>
      </c>
      <c r="C2236" t="inlineStr">
        <is>
          <t>P_US_ALL_OTHERS</t>
        </is>
      </c>
      <c r="D2236" t="inlineStr">
        <is>
          <t>Stat Fcst Auto ARIMA</t>
        </is>
      </c>
    </row>
    <row r="2237">
      <c r="A2237" s="1" t="n">
        <v>4064941118183</v>
      </c>
      <c r="B2237" t="inlineStr">
        <is>
          <t>KJ MU HIGH GLS LG 3.3 ML 808KYLIE VP IV</t>
        </is>
      </c>
      <c r="C2237" t="inlineStr">
        <is>
          <t>P_US_ALL_OTHERS</t>
        </is>
      </c>
      <c r="D2237" t="inlineStr">
        <is>
          <t>Stat Fcst Croston</t>
        </is>
      </c>
    </row>
    <row r="2238">
      <c r="A2238" s="1" t="n">
        <v>4064941118183</v>
      </c>
      <c r="B2238" t="inlineStr">
        <is>
          <t>KJ MU HIGH GLS LG 3.3 ML 808KYLIE VP IV</t>
        </is>
      </c>
      <c r="C2238" t="inlineStr">
        <is>
          <t>P_US_ALL_OTHERS</t>
        </is>
      </c>
      <c r="D2238" t="inlineStr">
        <is>
          <t>Stat Fcst DES</t>
        </is>
      </c>
    </row>
    <row r="2239">
      <c r="A2239" s="1" t="n">
        <v>4064941118183</v>
      </c>
      <c r="B2239" t="inlineStr">
        <is>
          <t>KJ MU HIGH GLS LG 3.3 ML 808KYLIE VP IV</t>
        </is>
      </c>
      <c r="C2239" t="inlineStr">
        <is>
          <t>P_US_ALL_OTHERS</t>
        </is>
      </c>
      <c r="D2239" t="inlineStr">
        <is>
          <t>Stat Fcst ETS</t>
        </is>
      </c>
    </row>
    <row r="2240">
      <c r="A2240" s="1" t="n">
        <v>4064941118183</v>
      </c>
      <c r="B2240" t="inlineStr">
        <is>
          <t>KJ MU HIGH GLS LG 3.3 ML 808KYLIE VP IV</t>
        </is>
      </c>
      <c r="C2240" t="inlineStr">
        <is>
          <t>P_US_ALL_OTHERS</t>
        </is>
      </c>
      <c r="D2240" t="inlineStr">
        <is>
          <t>Stat Fcst Moving Average</t>
        </is>
      </c>
    </row>
    <row r="2241">
      <c r="A2241" s="1" t="n">
        <v>4064941118183</v>
      </c>
      <c r="B2241" t="inlineStr">
        <is>
          <t>KJ MU HIGH GLS LG 3.3 ML 808KYLIE VP IV</t>
        </is>
      </c>
      <c r="C2241" t="inlineStr">
        <is>
          <t>P_US_ALL_OTHERS</t>
        </is>
      </c>
      <c r="D2241" t="inlineStr">
        <is>
          <t>Stat Fcst Naive Random Walk</t>
        </is>
      </c>
    </row>
    <row r="2242">
      <c r="A2242" s="1" t="n">
        <v>4064941118183</v>
      </c>
      <c r="B2242" t="inlineStr">
        <is>
          <t>KJ MU HIGH GLS LG 3.3 ML 808KYLIE VP IV</t>
        </is>
      </c>
      <c r="C2242" t="inlineStr">
        <is>
          <t>P_US_ALL_OTHERS</t>
        </is>
      </c>
      <c r="D2242" t="inlineStr">
        <is>
          <t>Stat Fcst Prophet</t>
        </is>
      </c>
    </row>
    <row r="2243">
      <c r="A2243" s="1" t="n">
        <v>4064941118183</v>
      </c>
      <c r="B2243" t="inlineStr">
        <is>
          <t>KJ MU HIGH GLS LG 3.3 ML 808KYLIE VP IV</t>
        </is>
      </c>
      <c r="C2243" t="inlineStr">
        <is>
          <t>P_US_ALL_OTHERS</t>
        </is>
      </c>
      <c r="D2243" t="inlineStr">
        <is>
          <t>Stat Fcst sARIMA</t>
        </is>
      </c>
    </row>
    <row r="2244">
      <c r="A2244" s="1" t="n">
        <v>4064941118183</v>
      </c>
      <c r="B2244" t="inlineStr">
        <is>
          <t>KJ MU HIGH GLS LG 3.3 ML 808KYLIE VP IV</t>
        </is>
      </c>
      <c r="C2244" t="inlineStr">
        <is>
          <t>P_US_ALL_OTHERS</t>
        </is>
      </c>
      <c r="D2244" t="inlineStr">
        <is>
          <t>Stat Fcst Seasonal Naive YoY</t>
        </is>
      </c>
    </row>
    <row r="2245">
      <c r="A2245" s="1" t="n">
        <v>4064941118183</v>
      </c>
      <c r="B2245" t="inlineStr">
        <is>
          <t>KJ MU HIGH GLS LG 3.3 ML 808KYLIE VP IV</t>
        </is>
      </c>
      <c r="C2245" t="inlineStr">
        <is>
          <t>P_US_ALL_OTHERS</t>
        </is>
      </c>
      <c r="D2245" t="inlineStr">
        <is>
          <t>Stat Fcst SES</t>
        </is>
      </c>
    </row>
    <row r="2246">
      <c r="A2246" s="1" t="n">
        <v>4064941118183</v>
      </c>
      <c r="B2246" t="inlineStr">
        <is>
          <t>KJ MU HIGH GLS LG 3.3 ML 808KYLIE VP IV</t>
        </is>
      </c>
      <c r="C2246" t="inlineStr">
        <is>
          <t>P_US_ALL_OTHERS</t>
        </is>
      </c>
      <c r="D2246" t="inlineStr">
        <is>
          <t>Stat Fcst STLF</t>
        </is>
      </c>
      <c r="E2246" t="n">
        <v>319.969686334063</v>
      </c>
      <c r="F2246" t="n">
        <v>168.210572407961</v>
      </c>
      <c r="G2246" t="n">
        <v>217.9706694276</v>
      </c>
      <c r="H2246" t="n">
        <v>97.8596248237229</v>
      </c>
      <c r="I2246" t="n">
        <v>57.9819153934749</v>
      </c>
      <c r="J2246" t="n">
        <v>117.631545836964</v>
      </c>
      <c r="K2246" t="n">
        <v>49.013525112485</v>
      </c>
      <c r="L2246" t="n">
        <v>146.872255821307</v>
      </c>
      <c r="M2246" t="n">
        <v>98.6812101037133</v>
      </c>
      <c r="N2246" t="n">
        <v>81.223687741517</v>
      </c>
      <c r="O2246" t="n">
        <v>117.979511691194</v>
      </c>
      <c r="P2246" t="n">
        <v>49.4852151321275</v>
      </c>
    </row>
    <row r="2247">
      <c r="A2247" s="1" t="n">
        <v>4064941118183</v>
      </c>
      <c r="B2247" t="inlineStr">
        <is>
          <t>KJ MU HIGH GLS LG 3.3 ML 808KYLIE VP IV</t>
        </is>
      </c>
      <c r="C2247" t="inlineStr">
        <is>
          <t>P_US_ALL_OTHERS</t>
        </is>
      </c>
      <c r="D2247" t="inlineStr">
        <is>
          <t>Stat Fcst TBATS</t>
        </is>
      </c>
    </row>
    <row r="2248">
      <c r="A2248" s="1" t="n">
        <v>4064941118183</v>
      </c>
      <c r="B2248" t="inlineStr">
        <is>
          <t>KJ MU HIGH GLS LG 3.3 ML 808KYLIE VP IV</t>
        </is>
      </c>
      <c r="C2248" t="inlineStr">
        <is>
          <t>P_US_ALL_OTHERS</t>
        </is>
      </c>
      <c r="D2248" t="inlineStr">
        <is>
          <t>Stat Fcst TES</t>
        </is>
      </c>
      <c r="E2248" t="n">
        <v>183.61877016539</v>
      </c>
      <c r="F2248" t="n">
        <v>211.108154850785</v>
      </c>
      <c r="G2248" t="n">
        <v>122.202213719372</v>
      </c>
      <c r="H2248" t="n">
        <v>107.175572171669</v>
      </c>
      <c r="I2248" t="n">
        <v>80.2550314819336</v>
      </c>
      <c r="J2248" t="n">
        <v>0</v>
      </c>
      <c r="K2248" t="n">
        <v>0</v>
      </c>
      <c r="L2248" t="n">
        <v>38.4826099571909</v>
      </c>
      <c r="M2248" t="n">
        <v>54.6763298218209</v>
      </c>
      <c r="N2248" t="n">
        <v>0</v>
      </c>
      <c r="O2248" t="n">
        <v>65.4468482276565</v>
      </c>
      <c r="P2248" t="n">
        <v>8.57558321982718</v>
      </c>
    </row>
    <row r="2249">
      <c r="A2249" s="1" t="n">
        <v>4064941118183</v>
      </c>
      <c r="B2249" t="inlineStr">
        <is>
          <t>KJ MU HIGH GLS LG 3.3 ML 808KYLIE VP IV</t>
        </is>
      </c>
      <c r="C2249" t="inlineStr">
        <is>
          <t>P_US_ALL_OTHERS</t>
        </is>
      </c>
      <c r="D2249" t="inlineStr">
        <is>
          <t>Stat Fcst Theta</t>
        </is>
      </c>
    </row>
    <row r="2250">
      <c r="A2250" s="1" t="n">
        <v>4064941118183</v>
      </c>
      <c r="B2250" t="inlineStr">
        <is>
          <t>KJ MU HIGH GLS LG 3.3 ML 808KYLIE VP IV</t>
        </is>
      </c>
      <c r="C2250" t="inlineStr">
        <is>
          <t>P_US_ALL_OTHERS</t>
        </is>
      </c>
      <c r="D2250" t="inlineStr">
        <is>
          <t>System ML Fcst L1</t>
        </is>
      </c>
    </row>
    <row r="2251">
      <c r="A2251" s="1" t="n">
        <v>4064941118183</v>
      </c>
      <c r="B2251" t="inlineStr">
        <is>
          <t>KJ MU HIGH GLS LG 3.3 ML 808KYLIE VP IV</t>
        </is>
      </c>
      <c r="C2251" t="inlineStr">
        <is>
          <t>P_US_ALL_OTHERS</t>
        </is>
      </c>
      <c r="D2251" t="inlineStr">
        <is>
          <t>Stat Fcst Simple Snaive</t>
        </is>
      </c>
      <c r="E2251" t="n">
        <v>179.999994635581</v>
      </c>
      <c r="F2251" t="n">
        <v>208.499978527427</v>
      </c>
      <c r="G2251" t="n">
        <v>107.19907713333</v>
      </c>
      <c r="H2251" t="n">
        <v>139.999992012977</v>
      </c>
      <c r="I2251" t="n">
        <v>61.333335061868</v>
      </c>
      <c r="J2251" t="n">
        <v>104.53240655266</v>
      </c>
      <c r="K2251" t="n">
        <v>83.9999949534734</v>
      </c>
      <c r="L2251" t="n">
        <v>86.6666666666666</v>
      </c>
      <c r="M2251" t="n">
        <v>77.3333259423575</v>
      </c>
      <c r="N2251" t="n">
        <v>38.6666685144106</v>
      </c>
      <c r="O2251" t="n">
        <v>52.9999984204769</v>
      </c>
      <c r="P2251" t="n">
        <v>136.333334349095</v>
      </c>
    </row>
    <row r="2252">
      <c r="A2252" s="1" t="n">
        <v>4064941118183</v>
      </c>
      <c r="B2252" t="inlineStr">
        <is>
          <t>KJ MU HIGH GLS LG 3.3 ML 808KYLIE VP IV</t>
        </is>
      </c>
      <c r="C2252" t="inlineStr">
        <is>
          <t>P_US_ALL_OTHERS</t>
        </is>
      </c>
      <c r="D2252" t="inlineStr">
        <is>
          <t>Stat Fcst Simple AOA</t>
        </is>
      </c>
    </row>
    <row r="2253">
      <c r="A2253" s="1" t="n">
        <v>4064941118183</v>
      </c>
      <c r="B2253" t="inlineStr">
        <is>
          <t>KJ MU HIGH GLS LG 3.3 ML 808KYLIE VP IV</t>
        </is>
      </c>
      <c r="C2253" t="inlineStr">
        <is>
          <t>P_US_ALL_OTHERS</t>
        </is>
      </c>
      <c r="D2253" t="inlineStr">
        <is>
          <t>Stat Fcst Weighted Snaive</t>
        </is>
      </c>
    </row>
    <row r="2254">
      <c r="A2254" s="1" t="n">
        <v>4064941118183</v>
      </c>
      <c r="B2254" t="inlineStr">
        <is>
          <t>KJ MU HIGH GLS LG 3.3 ML 808KYLIE VP IV</t>
        </is>
      </c>
      <c r="C2254" t="inlineStr">
        <is>
          <t>P_US_ALL_OTHERS</t>
        </is>
      </c>
      <c r="D2254" t="inlineStr">
        <is>
          <t>Stat Fcst Weighted AOA</t>
        </is>
      </c>
    </row>
    <row r="2255">
      <c r="A2255" s="1" t="n">
        <v>4064941118183</v>
      </c>
      <c r="B2255" t="inlineStr">
        <is>
          <t>KJ MU HIGH GLS LG 3.3 ML 808KYLIE VP IV</t>
        </is>
      </c>
      <c r="C2255" t="inlineStr">
        <is>
          <t>P_US_ALL_OTHERS</t>
        </is>
      </c>
      <c r="D2255" t="inlineStr">
        <is>
          <t>Stat Fcst Growth Snaive</t>
        </is>
      </c>
    </row>
    <row r="2256">
      <c r="A2256" s="1" t="n">
        <v>4064941118183</v>
      </c>
      <c r="B2256" t="inlineStr">
        <is>
          <t>KJ MU HIGH GLS LG 3.3 ML 808KYLIE VP IV</t>
        </is>
      </c>
      <c r="C2256" t="inlineStr">
        <is>
          <t>P_US_ALL_OTHERS</t>
        </is>
      </c>
      <c r="D2256" t="inlineStr">
        <is>
          <t>Stat Fcst Growth AOA</t>
        </is>
      </c>
    </row>
    <row r="2257">
      <c r="A2257" s="1" t="n">
        <v>4064941118183</v>
      </c>
      <c r="B2257" t="inlineStr">
        <is>
          <t>KJ MU HIGH GLS LG 3.3 ML 808KYLIE VP IV</t>
        </is>
      </c>
      <c r="C2257" t="inlineStr">
        <is>
          <t>P_US_ALL_OTHERS</t>
        </is>
      </c>
      <c r="D2257" t="inlineStr">
        <is>
          <t>System Stat Fcst Bestfit</t>
        </is>
      </c>
      <c r="H2257" t="n">
        <v>139.999995827674</v>
      </c>
      <c r="I2257" t="n">
        <v>61.3333363334338</v>
      </c>
      <c r="J2257" t="n">
        <v>104.53240655266</v>
      </c>
      <c r="K2257" t="n">
        <v>83.99999749660491</v>
      </c>
      <c r="L2257" t="n">
        <v>86.6666641235351</v>
      </c>
      <c r="M2257" t="n">
        <v>77.3333259423575</v>
      </c>
      <c r="N2257" t="n">
        <v>38.6666685144106</v>
      </c>
      <c r="O2257" t="n">
        <v>52.9999984204769</v>
      </c>
      <c r="P2257" t="n">
        <v>136.333329262832</v>
      </c>
    </row>
    <row r="2258">
      <c r="A2258" s="1" t="n">
        <v>4064941118183</v>
      </c>
      <c r="B2258" t="inlineStr">
        <is>
          <t>KJ MU HIGH GLS LG 3.3 ML 808KYLIE VP IV</t>
        </is>
      </c>
      <c r="C2258" t="inlineStr">
        <is>
          <t>P_US_ULTA</t>
        </is>
      </c>
      <c r="D2258" t="inlineStr">
        <is>
          <t>Stat Fcst L1</t>
        </is>
      </c>
      <c r="E2258" t="n">
        <v>479.999985694885</v>
      </c>
      <c r="F2258" t="n">
        <v>719.999978542327</v>
      </c>
      <c r="G2258" t="n">
        <v>870</v>
      </c>
      <c r="H2258" t="n">
        <v>660</v>
      </c>
      <c r="I2258" t="n">
        <v>912</v>
      </c>
      <c r="J2258" t="n">
        <v>952</v>
      </c>
      <c r="K2258" t="n">
        <v>647</v>
      </c>
      <c r="L2258" t="n">
        <v>1032</v>
      </c>
      <c r="M2258" t="n">
        <v>1049</v>
      </c>
      <c r="N2258" t="n">
        <v>802</v>
      </c>
      <c r="O2258" t="n">
        <v>1103</v>
      </c>
      <c r="P2258" t="n">
        <v>591</v>
      </c>
    </row>
    <row r="2259">
      <c r="A2259" s="1" t="n">
        <v>4064941118183</v>
      </c>
      <c r="B2259" t="inlineStr">
        <is>
          <t>KJ MU HIGH GLS LG 3.3 ML 808KYLIE VP IV</t>
        </is>
      </c>
      <c r="C2259" t="inlineStr">
        <is>
          <t>P_US_ULTA</t>
        </is>
      </c>
      <c r="D2259" t="inlineStr">
        <is>
          <t>Stat Fcst AR-NNET</t>
        </is>
      </c>
    </row>
    <row r="2260">
      <c r="A2260" s="1" t="n">
        <v>4064941118183</v>
      </c>
      <c r="B2260" t="inlineStr">
        <is>
          <t>KJ MU HIGH GLS LG 3.3 ML 808KYLIE VP IV</t>
        </is>
      </c>
      <c r="C2260" t="inlineStr">
        <is>
          <t>P_US_ULTA</t>
        </is>
      </c>
      <c r="D2260" t="inlineStr">
        <is>
          <t>Stat Fcst Auto ARIMA</t>
        </is>
      </c>
    </row>
    <row r="2261">
      <c r="A2261" s="1" t="n">
        <v>4064941118183</v>
      </c>
      <c r="B2261" t="inlineStr">
        <is>
          <t>KJ MU HIGH GLS LG 3.3 ML 808KYLIE VP IV</t>
        </is>
      </c>
      <c r="C2261" t="inlineStr">
        <is>
          <t>P_US_ULTA</t>
        </is>
      </c>
      <c r="D2261" t="inlineStr">
        <is>
          <t>Stat Fcst Croston</t>
        </is>
      </c>
    </row>
    <row r="2262">
      <c r="A2262" s="1" t="n">
        <v>4064941118183</v>
      </c>
      <c r="B2262" t="inlineStr">
        <is>
          <t>KJ MU HIGH GLS LG 3.3 ML 808KYLIE VP IV</t>
        </is>
      </c>
      <c r="C2262" t="inlineStr">
        <is>
          <t>P_US_ULTA</t>
        </is>
      </c>
      <c r="D2262" t="inlineStr">
        <is>
          <t>Stat Fcst DES</t>
        </is>
      </c>
    </row>
    <row r="2263">
      <c r="A2263" s="1" t="n">
        <v>4064941118183</v>
      </c>
      <c r="B2263" t="inlineStr">
        <is>
          <t>KJ MU HIGH GLS LG 3.3 ML 808KYLIE VP IV</t>
        </is>
      </c>
      <c r="C2263" t="inlineStr">
        <is>
          <t>P_US_ULTA</t>
        </is>
      </c>
      <c r="D2263" t="inlineStr">
        <is>
          <t>Stat Fcst ETS</t>
        </is>
      </c>
    </row>
    <row r="2264">
      <c r="A2264" s="1" t="n">
        <v>4064941118183</v>
      </c>
      <c r="B2264" t="inlineStr">
        <is>
          <t>KJ MU HIGH GLS LG 3.3 ML 808KYLIE VP IV</t>
        </is>
      </c>
      <c r="C2264" t="inlineStr">
        <is>
          <t>P_US_ULTA</t>
        </is>
      </c>
      <c r="D2264" t="inlineStr">
        <is>
          <t>Stat Fcst Moving Average</t>
        </is>
      </c>
    </row>
    <row r="2265">
      <c r="A2265" s="1" t="n">
        <v>4064941118183</v>
      </c>
      <c r="B2265" t="inlineStr">
        <is>
          <t>KJ MU HIGH GLS LG 3.3 ML 808KYLIE VP IV</t>
        </is>
      </c>
      <c r="C2265" t="inlineStr">
        <is>
          <t>P_US_ULTA</t>
        </is>
      </c>
      <c r="D2265" t="inlineStr">
        <is>
          <t>Stat Fcst Naive Random Walk</t>
        </is>
      </c>
    </row>
    <row r="2266">
      <c r="A2266" s="1" t="n">
        <v>4064941118183</v>
      </c>
      <c r="B2266" t="inlineStr">
        <is>
          <t>KJ MU HIGH GLS LG 3.3 ML 808KYLIE VP IV</t>
        </is>
      </c>
      <c r="C2266" t="inlineStr">
        <is>
          <t>P_US_ULTA</t>
        </is>
      </c>
      <c r="D2266" t="inlineStr">
        <is>
          <t>Stat Fcst Prophet</t>
        </is>
      </c>
    </row>
    <row r="2267">
      <c r="A2267" s="1" t="n">
        <v>4064941118183</v>
      </c>
      <c r="B2267" t="inlineStr">
        <is>
          <t>KJ MU HIGH GLS LG 3.3 ML 808KYLIE VP IV</t>
        </is>
      </c>
      <c r="C2267" t="inlineStr">
        <is>
          <t>P_US_ULTA</t>
        </is>
      </c>
      <c r="D2267" t="inlineStr">
        <is>
          <t>Stat Fcst sARIMA</t>
        </is>
      </c>
    </row>
    <row r="2268">
      <c r="A2268" s="1" t="n">
        <v>4064941118183</v>
      </c>
      <c r="B2268" t="inlineStr">
        <is>
          <t>KJ MU HIGH GLS LG 3.3 ML 808KYLIE VP IV</t>
        </is>
      </c>
      <c r="C2268" t="inlineStr">
        <is>
          <t>P_US_ULTA</t>
        </is>
      </c>
      <c r="D2268" t="inlineStr">
        <is>
          <t>Stat Fcst Seasonal Naive YoY</t>
        </is>
      </c>
    </row>
    <row r="2269">
      <c r="A2269" s="1" t="n">
        <v>4064941118183</v>
      </c>
      <c r="B2269" t="inlineStr">
        <is>
          <t>KJ MU HIGH GLS LG 3.3 ML 808KYLIE VP IV</t>
        </is>
      </c>
      <c r="C2269" t="inlineStr">
        <is>
          <t>P_US_ULTA</t>
        </is>
      </c>
      <c r="D2269" t="inlineStr">
        <is>
          <t>Stat Fcst SES</t>
        </is>
      </c>
    </row>
    <row r="2270">
      <c r="A2270" s="1" t="n">
        <v>4064941118183</v>
      </c>
      <c r="B2270" t="inlineStr">
        <is>
          <t>KJ MU HIGH GLS LG 3.3 ML 808KYLIE VP IV</t>
        </is>
      </c>
      <c r="C2270" t="inlineStr">
        <is>
          <t>P_US_ULTA</t>
        </is>
      </c>
      <c r="D2270" t="inlineStr">
        <is>
          <t>Stat Fcst STLF</t>
        </is>
      </c>
      <c r="E2270" t="n">
        <v>1342.41356960551</v>
      </c>
      <c r="F2270" t="n">
        <v>759.298945329054</v>
      </c>
      <c r="G2270" t="n">
        <v>1244.68813458512</v>
      </c>
      <c r="H2270" t="n">
        <v>1062.01455303329</v>
      </c>
      <c r="I2270" t="n">
        <v>1436.88383788101</v>
      </c>
      <c r="J2270" t="n">
        <v>470.232636667195</v>
      </c>
      <c r="K2270" t="n">
        <v>757.971230474573</v>
      </c>
      <c r="L2270" t="n">
        <v>569.07883479931</v>
      </c>
      <c r="M2270" t="n">
        <v>1015.06690482387</v>
      </c>
      <c r="N2270" t="n">
        <v>702.864540010891</v>
      </c>
      <c r="O2270" t="n">
        <v>891.527380419978</v>
      </c>
      <c r="P2270" t="n">
        <v>751.108066065561</v>
      </c>
    </row>
    <row r="2271">
      <c r="A2271" s="1" t="n">
        <v>4064941118183</v>
      </c>
      <c r="B2271" t="inlineStr">
        <is>
          <t>KJ MU HIGH GLS LG 3.3 ML 808KYLIE VP IV</t>
        </is>
      </c>
      <c r="C2271" t="inlineStr">
        <is>
          <t>P_US_ULTA</t>
        </is>
      </c>
      <c r="D2271" t="inlineStr">
        <is>
          <t>Stat Fcst TBATS</t>
        </is>
      </c>
    </row>
    <row r="2272">
      <c r="A2272" s="1" t="n">
        <v>4064941118183</v>
      </c>
      <c r="B2272" t="inlineStr">
        <is>
          <t>KJ MU HIGH GLS LG 3.3 ML 808KYLIE VP IV</t>
        </is>
      </c>
      <c r="C2272" t="inlineStr">
        <is>
          <t>P_US_ULTA</t>
        </is>
      </c>
      <c r="D2272" t="inlineStr">
        <is>
          <t>Stat Fcst TES</t>
        </is>
      </c>
      <c r="E2272" t="n">
        <v>1063.00761954543</v>
      </c>
      <c r="F2272" t="n">
        <v>1122.62823230752</v>
      </c>
      <c r="G2272" t="n">
        <v>863.884990912285</v>
      </c>
      <c r="H2272" t="n">
        <v>660.197264664967</v>
      </c>
      <c r="I2272" t="n">
        <v>911.7912931090571</v>
      </c>
      <c r="J2272" t="n">
        <v>950.816549348468</v>
      </c>
      <c r="K2272" t="n">
        <v>646.131638524136</v>
      </c>
      <c r="L2272" t="n">
        <v>1033.29881953719</v>
      </c>
      <c r="M2272" t="n">
        <v>1048.50425970788</v>
      </c>
      <c r="N2272" t="n">
        <v>802.444195622136</v>
      </c>
      <c r="O2272" t="n">
        <v>1100.72443585697</v>
      </c>
      <c r="P2272" t="n">
        <v>591.6840426116109</v>
      </c>
    </row>
    <row r="2273">
      <c r="A2273" s="1" t="n">
        <v>4064941118183</v>
      </c>
      <c r="B2273" t="inlineStr">
        <is>
          <t>KJ MU HIGH GLS LG 3.3 ML 808KYLIE VP IV</t>
        </is>
      </c>
      <c r="C2273" t="inlineStr">
        <is>
          <t>P_US_ULTA</t>
        </is>
      </c>
      <c r="D2273" t="inlineStr">
        <is>
          <t>Stat Fcst Theta</t>
        </is>
      </c>
    </row>
    <row r="2274">
      <c r="A2274" s="1" t="n">
        <v>4064941118183</v>
      </c>
      <c r="B2274" t="inlineStr">
        <is>
          <t>KJ MU HIGH GLS LG 3.3 ML 808KYLIE VP IV</t>
        </is>
      </c>
      <c r="C2274" t="inlineStr">
        <is>
          <t>P_US_ULTA</t>
        </is>
      </c>
      <c r="D2274" t="inlineStr">
        <is>
          <t>System ML Fcst L1</t>
        </is>
      </c>
    </row>
    <row r="2275">
      <c r="A2275" s="1" t="n">
        <v>4064941118183</v>
      </c>
      <c r="B2275" t="inlineStr">
        <is>
          <t>KJ MU HIGH GLS LG 3.3 ML 808KYLIE VP IV</t>
        </is>
      </c>
      <c r="C2275" t="inlineStr">
        <is>
          <t>P_US_ULTA</t>
        </is>
      </c>
      <c r="D2275" t="inlineStr">
        <is>
          <t>Stat Fcst Simple Snaive</t>
        </is>
      </c>
      <c r="E2275" t="n">
        <v>1705.23664351592</v>
      </c>
      <c r="F2275" t="n">
        <v>799.999976158142</v>
      </c>
      <c r="G2275" t="n">
        <v>984.000007331371</v>
      </c>
      <c r="H2275" t="n">
        <v>746.666644414265</v>
      </c>
      <c r="I2275" t="n">
        <v>1110.15784518538</v>
      </c>
      <c r="J2275" t="n">
        <v>746.66663424174</v>
      </c>
      <c r="K2275" t="n">
        <v>613.3333099683121</v>
      </c>
      <c r="L2275" t="n">
        <v>960</v>
      </c>
      <c r="M2275" t="n">
        <v>1146.66663249333</v>
      </c>
      <c r="N2275" t="n">
        <v>880.0000131130211</v>
      </c>
      <c r="O2275" t="n">
        <v>1226.66663010915</v>
      </c>
      <c r="P2275" t="n">
        <v>800.000005960464</v>
      </c>
    </row>
    <row r="2276">
      <c r="A2276" s="1" t="n">
        <v>4064941118183</v>
      </c>
      <c r="B2276" t="inlineStr">
        <is>
          <t>KJ MU HIGH GLS LG 3.3 ML 808KYLIE VP IV</t>
        </is>
      </c>
      <c r="C2276" t="inlineStr">
        <is>
          <t>P_US_ULTA</t>
        </is>
      </c>
      <c r="D2276" t="inlineStr">
        <is>
          <t>Stat Fcst Simple AOA</t>
        </is>
      </c>
    </row>
    <row r="2277">
      <c r="A2277" s="1" t="n">
        <v>4064941118183</v>
      </c>
      <c r="B2277" t="inlineStr">
        <is>
          <t>KJ MU HIGH GLS LG 3.3 ML 808KYLIE VP IV</t>
        </is>
      </c>
      <c r="C2277" t="inlineStr">
        <is>
          <t>P_US_ULTA</t>
        </is>
      </c>
      <c r="D2277" t="inlineStr">
        <is>
          <t>Stat Fcst Weighted Snaive</t>
        </is>
      </c>
    </row>
    <row r="2278">
      <c r="A2278" s="1" t="n">
        <v>4064941118183</v>
      </c>
      <c r="B2278" t="inlineStr">
        <is>
          <t>KJ MU HIGH GLS LG 3.3 ML 808KYLIE VP IV</t>
        </is>
      </c>
      <c r="C2278" t="inlineStr">
        <is>
          <t>P_US_ULTA</t>
        </is>
      </c>
      <c r="D2278" t="inlineStr">
        <is>
          <t>Stat Fcst Weighted AOA</t>
        </is>
      </c>
    </row>
    <row r="2279">
      <c r="A2279" s="1" t="n">
        <v>4064941118183</v>
      </c>
      <c r="B2279" t="inlineStr">
        <is>
          <t>KJ MU HIGH GLS LG 3.3 ML 808KYLIE VP IV</t>
        </is>
      </c>
      <c r="C2279" t="inlineStr">
        <is>
          <t>P_US_ULTA</t>
        </is>
      </c>
      <c r="D2279" t="inlineStr">
        <is>
          <t>Stat Fcst Growth Snaive</t>
        </is>
      </c>
    </row>
    <row r="2280">
      <c r="A2280" s="1" t="n">
        <v>4064941118183</v>
      </c>
      <c r="B2280" t="inlineStr">
        <is>
          <t>KJ MU HIGH GLS LG 3.3 ML 808KYLIE VP IV</t>
        </is>
      </c>
      <c r="C2280" t="inlineStr">
        <is>
          <t>P_US_ULTA</t>
        </is>
      </c>
      <c r="D2280" t="inlineStr">
        <is>
          <t>Stat Fcst Growth AOA</t>
        </is>
      </c>
    </row>
    <row r="2281">
      <c r="A2281" s="1" t="n">
        <v>4064941118183</v>
      </c>
      <c r="B2281" t="inlineStr">
        <is>
          <t>KJ MU HIGH GLS LG 3.3 ML 808KYLIE VP IV</t>
        </is>
      </c>
      <c r="C2281" t="inlineStr">
        <is>
          <t>P_US_ULTA</t>
        </is>
      </c>
      <c r="D2281" t="inlineStr">
        <is>
          <t>System Stat Fcst Bestfit</t>
        </is>
      </c>
      <c r="H2281" t="n">
        <v>660.197245949588</v>
      </c>
      <c r="I2281" t="n">
        <v>911.791266558999</v>
      </c>
      <c r="J2281" t="n">
        <v>950.816499983771</v>
      </c>
      <c r="K2281" t="n">
        <v>646.131633575807</v>
      </c>
      <c r="L2281" t="n">
        <v>1033.298828125</v>
      </c>
      <c r="M2281" t="n">
        <v>1048.50424121307</v>
      </c>
      <c r="N2281" t="n">
        <v>802.444225824538</v>
      </c>
      <c r="O2281" t="n">
        <v>1100.72433243023</v>
      </c>
      <c r="P2281" t="n">
        <v>591.684086439639</v>
      </c>
    </row>
    <row r="2282">
      <c r="A2282" s="1" t="n">
        <v>4064941130680</v>
      </c>
      <c r="B2282" t="inlineStr">
        <is>
          <t>KJ MU SPP GLZ LG 3 ML 001ALL YOURS IV</t>
        </is>
      </c>
      <c r="C2282" t="inlineStr">
        <is>
          <t>P_US_ALL_OTHERS</t>
        </is>
      </c>
      <c r="D2282" t="inlineStr">
        <is>
          <t>Stat Fcst L1</t>
        </is>
      </c>
      <c r="E2282" t="n">
        <v>26.9999991953372</v>
      </c>
      <c r="F2282" t="n">
        <v>46.9999985992908</v>
      </c>
      <c r="G2282" t="n">
        <v>0</v>
      </c>
      <c r="H2282" t="n">
        <v>4</v>
      </c>
      <c r="I2282" t="n">
        <v>0</v>
      </c>
      <c r="J2282" t="n">
        <v>297</v>
      </c>
      <c r="K2282" t="n">
        <v>57</v>
      </c>
      <c r="L2282" t="n">
        <v>156</v>
      </c>
      <c r="M2282" t="n">
        <v>58</v>
      </c>
      <c r="N2282" t="n">
        <v>56</v>
      </c>
      <c r="O2282" t="n">
        <v>31</v>
      </c>
      <c r="P2282" t="n">
        <v>0</v>
      </c>
    </row>
    <row r="2283">
      <c r="A2283" s="1" t="n">
        <v>4064941130680</v>
      </c>
      <c r="B2283" t="inlineStr">
        <is>
          <t>KJ MU SPP GLZ LG 3 ML 001ALL YOURS IV</t>
        </is>
      </c>
      <c r="C2283" t="inlineStr">
        <is>
          <t>P_US_ALL_OTHERS</t>
        </is>
      </c>
      <c r="D2283" t="inlineStr">
        <is>
          <t>Stat Fcst AR-NNET</t>
        </is>
      </c>
    </row>
    <row r="2284">
      <c r="A2284" s="1" t="n">
        <v>4064941130680</v>
      </c>
      <c r="B2284" t="inlineStr">
        <is>
          <t>KJ MU SPP GLZ LG 3 ML 001ALL YOURS IV</t>
        </is>
      </c>
      <c r="C2284" t="inlineStr">
        <is>
          <t>P_US_ALL_OTHERS</t>
        </is>
      </c>
      <c r="D2284" t="inlineStr">
        <is>
          <t>Stat Fcst Auto ARIMA</t>
        </is>
      </c>
    </row>
    <row r="2285">
      <c r="A2285" s="1" t="n">
        <v>4064941130680</v>
      </c>
      <c r="B2285" t="inlineStr">
        <is>
          <t>KJ MU SPP GLZ LG 3 ML 001ALL YOURS IV</t>
        </is>
      </c>
      <c r="C2285" t="inlineStr">
        <is>
          <t>P_US_ALL_OTHERS</t>
        </is>
      </c>
      <c r="D2285" t="inlineStr">
        <is>
          <t>Stat Fcst Croston</t>
        </is>
      </c>
    </row>
    <row r="2286">
      <c r="A2286" s="1" t="n">
        <v>4064941130680</v>
      </c>
      <c r="B2286" t="inlineStr">
        <is>
          <t>KJ MU SPP GLZ LG 3 ML 001ALL YOURS IV</t>
        </is>
      </c>
      <c r="C2286" t="inlineStr">
        <is>
          <t>P_US_ALL_OTHERS</t>
        </is>
      </c>
      <c r="D2286" t="inlineStr">
        <is>
          <t>Stat Fcst DES</t>
        </is>
      </c>
    </row>
    <row r="2287">
      <c r="A2287" s="1" t="n">
        <v>4064941130680</v>
      </c>
      <c r="B2287" t="inlineStr">
        <is>
          <t>KJ MU SPP GLZ LG 3 ML 001ALL YOURS IV</t>
        </is>
      </c>
      <c r="C2287" t="inlineStr">
        <is>
          <t>P_US_ALL_OTHERS</t>
        </is>
      </c>
      <c r="D2287" t="inlineStr">
        <is>
          <t>Stat Fcst ETS</t>
        </is>
      </c>
    </row>
    <row r="2288">
      <c r="A2288" s="1" t="n">
        <v>4064941130680</v>
      </c>
      <c r="B2288" t="inlineStr">
        <is>
          <t>KJ MU SPP GLZ LG 3 ML 001ALL YOURS IV</t>
        </is>
      </c>
      <c r="C2288" t="inlineStr">
        <is>
          <t>P_US_ALL_OTHERS</t>
        </is>
      </c>
      <c r="D2288" t="inlineStr">
        <is>
          <t>Stat Fcst Moving Average</t>
        </is>
      </c>
    </row>
    <row r="2289">
      <c r="A2289" s="1" t="n">
        <v>4064941130680</v>
      </c>
      <c r="B2289" t="inlineStr">
        <is>
          <t>KJ MU SPP GLZ LG 3 ML 001ALL YOURS IV</t>
        </is>
      </c>
      <c r="C2289" t="inlineStr">
        <is>
          <t>P_US_ALL_OTHERS</t>
        </is>
      </c>
      <c r="D2289" t="inlineStr">
        <is>
          <t>Stat Fcst Naive Random Walk</t>
        </is>
      </c>
    </row>
    <row r="2290">
      <c r="A2290" s="1" t="n">
        <v>4064941130680</v>
      </c>
      <c r="B2290" t="inlineStr">
        <is>
          <t>KJ MU SPP GLZ LG 3 ML 001ALL YOURS IV</t>
        </is>
      </c>
      <c r="C2290" t="inlineStr">
        <is>
          <t>P_US_ALL_OTHERS</t>
        </is>
      </c>
      <c r="D2290" t="inlineStr">
        <is>
          <t>Stat Fcst Prophet</t>
        </is>
      </c>
    </row>
    <row r="2291">
      <c r="A2291" s="1" t="n">
        <v>4064941130680</v>
      </c>
      <c r="B2291" t="inlineStr">
        <is>
          <t>KJ MU SPP GLZ LG 3 ML 001ALL YOURS IV</t>
        </is>
      </c>
      <c r="C2291" t="inlineStr">
        <is>
          <t>P_US_ALL_OTHERS</t>
        </is>
      </c>
      <c r="D2291" t="inlineStr">
        <is>
          <t>Stat Fcst sARIMA</t>
        </is>
      </c>
    </row>
    <row r="2292">
      <c r="A2292" s="1" t="n">
        <v>4064941130680</v>
      </c>
      <c r="B2292" t="inlineStr">
        <is>
          <t>KJ MU SPP GLZ LG 3 ML 001ALL YOURS IV</t>
        </is>
      </c>
      <c r="C2292" t="inlineStr">
        <is>
          <t>P_US_ALL_OTHERS</t>
        </is>
      </c>
      <c r="D2292" t="inlineStr">
        <is>
          <t>Stat Fcst Seasonal Naive YoY</t>
        </is>
      </c>
    </row>
    <row r="2293">
      <c r="A2293" s="1" t="n">
        <v>4064941130680</v>
      </c>
      <c r="B2293" t="inlineStr">
        <is>
          <t>KJ MU SPP GLZ LG 3 ML 001ALL YOURS IV</t>
        </is>
      </c>
      <c r="C2293" t="inlineStr">
        <is>
          <t>P_US_ALL_OTHERS</t>
        </is>
      </c>
      <c r="D2293" t="inlineStr">
        <is>
          <t>Stat Fcst SES</t>
        </is>
      </c>
    </row>
    <row r="2294">
      <c r="A2294" s="1" t="n">
        <v>4064941130680</v>
      </c>
      <c r="B2294" t="inlineStr">
        <is>
          <t>KJ MU SPP GLZ LG 3 ML 001ALL YOURS IV</t>
        </is>
      </c>
      <c r="C2294" t="inlineStr">
        <is>
          <t>P_US_ALL_OTHERS</t>
        </is>
      </c>
      <c r="D2294" t="inlineStr">
        <is>
          <t>Stat Fcst STLF</t>
        </is>
      </c>
      <c r="E2294" t="n">
        <v>0</v>
      </c>
      <c r="F2294" t="n">
        <v>0</v>
      </c>
      <c r="G2294" t="n">
        <v>56.3010910465996</v>
      </c>
      <c r="H2294" t="n">
        <v>0</v>
      </c>
      <c r="I2294" t="n">
        <v>0</v>
      </c>
      <c r="J2294" t="n">
        <v>0</v>
      </c>
      <c r="K2294" t="n">
        <v>16.2502387069544</v>
      </c>
      <c r="L2294" t="n">
        <v>210.791667127638</v>
      </c>
      <c r="M2294" t="n">
        <v>23.3741329323774</v>
      </c>
      <c r="N2294" t="n">
        <v>24.0456233203274</v>
      </c>
      <c r="O2294" t="n">
        <v>27.7039904259895</v>
      </c>
      <c r="P2294" t="n">
        <v>0</v>
      </c>
    </row>
    <row r="2295">
      <c r="A2295" s="1" t="n">
        <v>4064941130680</v>
      </c>
      <c r="B2295" t="inlineStr">
        <is>
          <t>KJ MU SPP GLZ LG 3 ML 001ALL YOURS IV</t>
        </is>
      </c>
      <c r="C2295" t="inlineStr">
        <is>
          <t>P_US_ALL_OTHERS</t>
        </is>
      </c>
      <c r="D2295" t="inlineStr">
        <is>
          <t>Stat Fcst TBATS</t>
        </is>
      </c>
    </row>
    <row r="2296">
      <c r="A2296" s="1" t="n">
        <v>4064941130680</v>
      </c>
      <c r="B2296" t="inlineStr">
        <is>
          <t>KJ MU SPP GLZ LG 3 ML 001ALL YOURS IV</t>
        </is>
      </c>
      <c r="C2296" t="inlineStr">
        <is>
          <t>P_US_ALL_OTHERS</t>
        </is>
      </c>
      <c r="D2296" t="inlineStr">
        <is>
          <t>Stat Fcst TES</t>
        </is>
      </c>
      <c r="E2296" t="n">
        <v>83.4124244938575</v>
      </c>
      <c r="F2296" t="n">
        <v>83.40791891583859</v>
      </c>
      <c r="G2296" t="n">
        <v>0</v>
      </c>
      <c r="H2296" t="n">
        <v>3.5486057618992</v>
      </c>
      <c r="I2296" t="n">
        <v>0</v>
      </c>
      <c r="J2296" t="n">
        <v>297.14839733441</v>
      </c>
      <c r="K2296" t="n">
        <v>56.1786891323099</v>
      </c>
      <c r="L2296" t="n">
        <v>157.878029604395</v>
      </c>
      <c r="M2296" t="n">
        <v>59.3753240227941</v>
      </c>
      <c r="N2296" t="n">
        <v>56.6191085575972</v>
      </c>
      <c r="O2296" t="n">
        <v>30.1439504699778</v>
      </c>
      <c r="P2296" t="n">
        <v>0</v>
      </c>
    </row>
    <row r="2297">
      <c r="A2297" s="1" t="n">
        <v>4064941130680</v>
      </c>
      <c r="B2297" t="inlineStr">
        <is>
          <t>KJ MU SPP GLZ LG 3 ML 001ALL YOURS IV</t>
        </is>
      </c>
      <c r="C2297" t="inlineStr">
        <is>
          <t>P_US_ALL_OTHERS</t>
        </is>
      </c>
      <c r="D2297" t="inlineStr">
        <is>
          <t>Stat Fcst Theta</t>
        </is>
      </c>
    </row>
    <row r="2298">
      <c r="A2298" s="1" t="n">
        <v>4064941130680</v>
      </c>
      <c r="B2298" t="inlineStr">
        <is>
          <t>KJ MU SPP GLZ LG 3 ML 001ALL YOURS IV</t>
        </is>
      </c>
      <c r="C2298" t="inlineStr">
        <is>
          <t>P_US_ALL_OTHERS</t>
        </is>
      </c>
      <c r="D2298" t="inlineStr">
        <is>
          <t>System ML Fcst L1</t>
        </is>
      </c>
    </row>
    <row r="2299">
      <c r="A2299" s="1" t="n">
        <v>4064941130680</v>
      </c>
      <c r="B2299" t="inlineStr">
        <is>
          <t>KJ MU SPP GLZ LG 3 ML 001ALL YOURS IV</t>
        </is>
      </c>
      <c r="C2299" t="inlineStr">
        <is>
          <t>P_US_ALL_OTHERS</t>
        </is>
      </c>
      <c r="D2299" t="inlineStr">
        <is>
          <t>Stat Fcst Simple Snaive</t>
        </is>
      </c>
      <c r="E2299" t="n">
        <v>103.499989286065</v>
      </c>
      <c r="F2299" t="n">
        <v>75.4999977499246</v>
      </c>
      <c r="G2299" t="n">
        <v>43.5000003241002</v>
      </c>
      <c r="H2299" t="n">
        <v>63.4999981075525</v>
      </c>
      <c r="I2299" t="n">
        <v>35.5000002644956</v>
      </c>
      <c r="J2299" t="n">
        <v>315.499990597367</v>
      </c>
      <c r="K2299" t="n">
        <v>86.99999645352359</v>
      </c>
      <c r="L2299" t="n">
        <v>187</v>
      </c>
      <c r="M2299" t="n">
        <v>77.9999976754188</v>
      </c>
      <c r="N2299" t="n">
        <v>70.0000010430812</v>
      </c>
      <c r="O2299" t="n">
        <v>39.9999988079071</v>
      </c>
      <c r="P2299" t="n">
        <v>233.584983022895</v>
      </c>
    </row>
    <row r="2300">
      <c r="A2300" s="1" t="n">
        <v>4064941130680</v>
      </c>
      <c r="B2300" t="inlineStr">
        <is>
          <t>KJ MU SPP GLZ LG 3 ML 001ALL YOURS IV</t>
        </is>
      </c>
      <c r="C2300" t="inlineStr">
        <is>
          <t>P_US_ALL_OTHERS</t>
        </is>
      </c>
      <c r="D2300" t="inlineStr">
        <is>
          <t>Stat Fcst Simple AOA</t>
        </is>
      </c>
    </row>
    <row r="2301">
      <c r="A2301" s="1" t="n">
        <v>4064941130680</v>
      </c>
      <c r="B2301" t="inlineStr">
        <is>
          <t>KJ MU SPP GLZ LG 3 ML 001ALL YOURS IV</t>
        </is>
      </c>
      <c r="C2301" t="inlineStr">
        <is>
          <t>P_US_ALL_OTHERS</t>
        </is>
      </c>
      <c r="D2301" t="inlineStr">
        <is>
          <t>Stat Fcst Weighted Snaive</t>
        </is>
      </c>
    </row>
    <row r="2302">
      <c r="A2302" s="1" t="n">
        <v>4064941130680</v>
      </c>
      <c r="B2302" t="inlineStr">
        <is>
          <t>KJ MU SPP GLZ LG 3 ML 001ALL YOURS IV</t>
        </is>
      </c>
      <c r="C2302" t="inlineStr">
        <is>
          <t>P_US_ALL_OTHERS</t>
        </is>
      </c>
      <c r="D2302" t="inlineStr">
        <is>
          <t>Stat Fcst Weighted AOA</t>
        </is>
      </c>
    </row>
    <row r="2303">
      <c r="A2303" s="1" t="n">
        <v>4064941130680</v>
      </c>
      <c r="B2303" t="inlineStr">
        <is>
          <t>KJ MU SPP GLZ LG 3 ML 001ALL YOURS IV</t>
        </is>
      </c>
      <c r="C2303" t="inlineStr">
        <is>
          <t>P_US_ALL_OTHERS</t>
        </is>
      </c>
      <c r="D2303" t="inlineStr">
        <is>
          <t>Stat Fcst Growth Snaive</t>
        </is>
      </c>
    </row>
    <row r="2304">
      <c r="A2304" s="1" t="n">
        <v>4064941130680</v>
      </c>
      <c r="B2304" t="inlineStr">
        <is>
          <t>KJ MU SPP GLZ LG 3 ML 001ALL YOURS IV</t>
        </is>
      </c>
      <c r="C2304" t="inlineStr">
        <is>
          <t>P_US_ALL_OTHERS</t>
        </is>
      </c>
      <c r="D2304" t="inlineStr">
        <is>
          <t>Stat Fcst Growth AOA</t>
        </is>
      </c>
    </row>
    <row r="2305">
      <c r="A2305" s="1" t="n">
        <v>4064941130680</v>
      </c>
      <c r="B2305" t="inlineStr">
        <is>
          <t>KJ MU SPP GLZ LG 3 ML 001ALL YOURS IV</t>
        </is>
      </c>
      <c r="C2305" t="inlineStr">
        <is>
          <t>P_US_ALL_OTHERS</t>
        </is>
      </c>
      <c r="D2305" t="inlineStr">
        <is>
          <t>System Stat Fcst Bestfit</t>
        </is>
      </c>
      <c r="H2305" t="n">
        <v>3.54860581312757</v>
      </c>
      <c r="I2305" t="n">
        <v>0</v>
      </c>
      <c r="J2305" t="n">
        <v>297.148367609132</v>
      </c>
      <c r="K2305" t="n">
        <v>56.178686375061</v>
      </c>
      <c r="L2305" t="n">
        <v>157.878036499023</v>
      </c>
      <c r="M2305" t="n">
        <v>59.375322479745</v>
      </c>
      <c r="N2305" t="n">
        <v>56.6191109511123</v>
      </c>
      <c r="O2305" t="n">
        <v>30.1439486103072</v>
      </c>
      <c r="P2305" t="n">
        <v>0</v>
      </c>
    </row>
    <row r="2306">
      <c r="A2306" s="1" t="n">
        <v>4064941130680</v>
      </c>
      <c r="B2306" t="inlineStr">
        <is>
          <t>KJ MU SPP GLZ LG 3 ML 001ALL YOURS IV</t>
        </is>
      </c>
      <c r="C2306" t="inlineStr">
        <is>
          <t>P_US_ULTA</t>
        </is>
      </c>
      <c r="D2306" t="inlineStr">
        <is>
          <t>Stat Fcst L1</t>
        </is>
      </c>
      <c r="E2306" t="n">
        <v>95.99999713897699</v>
      </c>
      <c r="F2306" t="n">
        <v>959.9999713897701</v>
      </c>
      <c r="G2306" t="n">
        <v>77</v>
      </c>
      <c r="H2306" t="n">
        <v>279</v>
      </c>
      <c r="I2306" t="n">
        <v>334</v>
      </c>
      <c r="J2306" t="n">
        <v>385</v>
      </c>
      <c r="K2306" t="n">
        <v>443</v>
      </c>
      <c r="L2306" t="n">
        <v>340</v>
      </c>
      <c r="M2306" t="n">
        <v>354</v>
      </c>
      <c r="N2306" t="n">
        <v>373</v>
      </c>
      <c r="O2306" t="n">
        <v>376</v>
      </c>
      <c r="P2306" t="n">
        <v>377</v>
      </c>
    </row>
    <row r="2307">
      <c r="A2307" s="1" t="n">
        <v>4064941130680</v>
      </c>
      <c r="B2307" t="inlineStr">
        <is>
          <t>KJ MU SPP GLZ LG 3 ML 001ALL YOURS IV</t>
        </is>
      </c>
      <c r="C2307" t="inlineStr">
        <is>
          <t>P_US_ULTA</t>
        </is>
      </c>
      <c r="D2307" t="inlineStr">
        <is>
          <t>Stat Fcst AR-NNET</t>
        </is>
      </c>
    </row>
    <row r="2308">
      <c r="A2308" s="1" t="n">
        <v>4064941130680</v>
      </c>
      <c r="B2308" t="inlineStr">
        <is>
          <t>KJ MU SPP GLZ LG 3 ML 001ALL YOURS IV</t>
        </is>
      </c>
      <c r="C2308" t="inlineStr">
        <is>
          <t>P_US_ULTA</t>
        </is>
      </c>
      <c r="D2308" t="inlineStr">
        <is>
          <t>Stat Fcst Auto ARIMA</t>
        </is>
      </c>
    </row>
    <row r="2309">
      <c r="A2309" s="1" t="n">
        <v>4064941130680</v>
      </c>
      <c r="B2309" t="inlineStr">
        <is>
          <t>KJ MU SPP GLZ LG 3 ML 001ALL YOURS IV</t>
        </is>
      </c>
      <c r="C2309" t="inlineStr">
        <is>
          <t>P_US_ULTA</t>
        </is>
      </c>
      <c r="D2309" t="inlineStr">
        <is>
          <t>Stat Fcst Croston</t>
        </is>
      </c>
    </row>
    <row r="2310">
      <c r="A2310" s="1" t="n">
        <v>4064941130680</v>
      </c>
      <c r="B2310" t="inlineStr">
        <is>
          <t>KJ MU SPP GLZ LG 3 ML 001ALL YOURS IV</t>
        </is>
      </c>
      <c r="C2310" t="inlineStr">
        <is>
          <t>P_US_ULTA</t>
        </is>
      </c>
      <c r="D2310" t="inlineStr">
        <is>
          <t>Stat Fcst DES</t>
        </is>
      </c>
      <c r="E2310" t="n">
        <v>0</v>
      </c>
      <c r="F2310" t="n">
        <v>0</v>
      </c>
      <c r="G2310" t="n">
        <v>47.3173489181322</v>
      </c>
      <c r="H2310" t="n">
        <v>46.5301974037715</v>
      </c>
      <c r="I2310" t="n">
        <v>45.9004793123758</v>
      </c>
      <c r="J2310" t="n">
        <v>45.3967017613923</v>
      </c>
      <c r="K2310" t="n">
        <v>44.9936810885464</v>
      </c>
      <c r="L2310" t="n">
        <v>44.6712658815772</v>
      </c>
      <c r="M2310" t="n">
        <v>44.4133313196483</v>
      </c>
      <c r="N2310" t="n">
        <v>44.2069867113575</v>
      </c>
      <c r="O2310" t="n">
        <v>44.0419074675536</v>
      </c>
      <c r="P2310" t="n">
        <v>43.9098472892447</v>
      </c>
    </row>
    <row r="2311">
      <c r="A2311" s="1" t="n">
        <v>4064941130680</v>
      </c>
      <c r="B2311" t="inlineStr">
        <is>
          <t>KJ MU SPP GLZ LG 3 ML 001ALL YOURS IV</t>
        </is>
      </c>
      <c r="C2311" t="inlineStr">
        <is>
          <t>P_US_ULTA</t>
        </is>
      </c>
      <c r="D2311" t="inlineStr">
        <is>
          <t>Stat Fcst ETS</t>
        </is>
      </c>
    </row>
    <row r="2312">
      <c r="A2312" s="1" t="n">
        <v>4064941130680</v>
      </c>
      <c r="B2312" t="inlineStr">
        <is>
          <t>KJ MU SPP GLZ LG 3 ML 001ALL YOURS IV</t>
        </is>
      </c>
      <c r="C2312" t="inlineStr">
        <is>
          <t>P_US_ULTA</t>
        </is>
      </c>
      <c r="D2312" t="inlineStr">
        <is>
          <t>Stat Fcst Moving Average</t>
        </is>
      </c>
      <c r="E2312" t="n">
        <v>28.9399991375207</v>
      </c>
      <c r="F2312" t="n">
        <v>34.7299989649653</v>
      </c>
      <c r="G2312" t="n">
        <v>249.600001859664</v>
      </c>
      <c r="H2312" t="n">
        <v>280.319991645813</v>
      </c>
      <c r="I2312" t="n">
        <v>336.380002506226</v>
      </c>
      <c r="J2312" t="n">
        <v>384.459988542199</v>
      </c>
      <c r="K2312" t="n">
        <v>442.149986822903</v>
      </c>
      <c r="L2312" t="n">
        <v>338.58</v>
      </c>
      <c r="M2312" t="n">
        <v>356.379989379048</v>
      </c>
      <c r="N2312" t="n">
        <v>371.590005537122</v>
      </c>
      <c r="O2312" t="n">
        <v>378.629988715946</v>
      </c>
      <c r="P2312" t="n">
        <v>377.47000281237</v>
      </c>
    </row>
    <row r="2313">
      <c r="A2313" s="1" t="n">
        <v>4064941130680</v>
      </c>
      <c r="B2313" t="inlineStr">
        <is>
          <t>KJ MU SPP GLZ LG 3 ML 001ALL YOURS IV</t>
        </is>
      </c>
      <c r="C2313" t="inlineStr">
        <is>
          <t>P_US_ULTA</t>
        </is>
      </c>
      <c r="D2313" t="inlineStr">
        <is>
          <t>Stat Fcst Naive Random Walk</t>
        </is>
      </c>
    </row>
    <row r="2314">
      <c r="A2314" s="1" t="n">
        <v>4064941130680</v>
      </c>
      <c r="B2314" t="inlineStr">
        <is>
          <t>KJ MU SPP GLZ LG 3 ML 001ALL YOURS IV</t>
        </is>
      </c>
      <c r="C2314" t="inlineStr">
        <is>
          <t>P_US_ULTA</t>
        </is>
      </c>
      <c r="D2314" t="inlineStr">
        <is>
          <t>Stat Fcst Prophet</t>
        </is>
      </c>
    </row>
    <row r="2315">
      <c r="A2315" s="1" t="n">
        <v>4064941130680</v>
      </c>
      <c r="B2315" t="inlineStr">
        <is>
          <t>KJ MU SPP GLZ LG 3 ML 001ALL YOURS IV</t>
        </is>
      </c>
      <c r="C2315" t="inlineStr">
        <is>
          <t>P_US_ULTA</t>
        </is>
      </c>
      <c r="D2315" t="inlineStr">
        <is>
          <t>Stat Fcst sARIMA</t>
        </is>
      </c>
    </row>
    <row r="2316">
      <c r="A2316" s="1" t="n">
        <v>4064941130680</v>
      </c>
      <c r="B2316" t="inlineStr">
        <is>
          <t>KJ MU SPP GLZ LG 3 ML 001ALL YOURS IV</t>
        </is>
      </c>
      <c r="C2316" t="inlineStr">
        <is>
          <t>P_US_ULTA</t>
        </is>
      </c>
      <c r="D2316" t="inlineStr">
        <is>
          <t>Stat Fcst Seasonal Naive YoY</t>
        </is>
      </c>
    </row>
    <row r="2317">
      <c r="A2317" s="1" t="n">
        <v>4064941130680</v>
      </c>
      <c r="B2317" t="inlineStr">
        <is>
          <t>KJ MU SPP GLZ LG 3 ML 001ALL YOURS IV</t>
        </is>
      </c>
      <c r="C2317" t="inlineStr">
        <is>
          <t>P_US_ULTA</t>
        </is>
      </c>
      <c r="D2317" t="inlineStr">
        <is>
          <t>Stat Fcst SES</t>
        </is>
      </c>
    </row>
    <row r="2318">
      <c r="A2318" s="1" t="n">
        <v>4064941130680</v>
      </c>
      <c r="B2318" t="inlineStr">
        <is>
          <t>KJ MU SPP GLZ LG 3 ML 001ALL YOURS IV</t>
        </is>
      </c>
      <c r="C2318" t="inlineStr">
        <is>
          <t>P_US_ULTA</t>
        </is>
      </c>
      <c r="D2318" t="inlineStr">
        <is>
          <t>Stat Fcst STLF</t>
        </is>
      </c>
      <c r="E2318" t="n">
        <v>0</v>
      </c>
      <c r="F2318" t="n">
        <v>0</v>
      </c>
      <c r="G2318" t="n">
        <v>496.655595063688</v>
      </c>
      <c r="H2318" t="n">
        <v>424.924508117414</v>
      </c>
      <c r="I2318" t="n">
        <v>524.1631178929561</v>
      </c>
      <c r="J2318" t="n">
        <v>525.182922798703</v>
      </c>
      <c r="K2318" t="n">
        <v>426.032355377739</v>
      </c>
      <c r="L2318" t="n">
        <v>421.068732457077</v>
      </c>
      <c r="M2318" t="n">
        <v>604.129778367113</v>
      </c>
      <c r="N2318" t="n">
        <v>497.68411842794</v>
      </c>
      <c r="O2318" t="n">
        <v>387.764171750594</v>
      </c>
      <c r="P2318" t="n">
        <v>67.46807076158341</v>
      </c>
    </row>
    <row r="2319">
      <c r="A2319" s="1" t="n">
        <v>4064941130680</v>
      </c>
      <c r="B2319" t="inlineStr">
        <is>
          <t>KJ MU SPP GLZ LG 3 ML 001ALL YOURS IV</t>
        </is>
      </c>
      <c r="C2319" t="inlineStr">
        <is>
          <t>P_US_ULTA</t>
        </is>
      </c>
      <c r="D2319" t="inlineStr">
        <is>
          <t>Stat Fcst TBATS</t>
        </is>
      </c>
    </row>
    <row r="2320">
      <c r="A2320" s="1" t="n">
        <v>4064941130680</v>
      </c>
      <c r="B2320" t="inlineStr">
        <is>
          <t>KJ MU SPP GLZ LG 3 ML 001ALL YOURS IV</t>
        </is>
      </c>
      <c r="C2320" t="inlineStr">
        <is>
          <t>P_US_ULTA</t>
        </is>
      </c>
      <c r="D2320" t="inlineStr">
        <is>
          <t>Stat Fcst TES</t>
        </is>
      </c>
    </row>
    <row r="2321">
      <c r="A2321" s="1" t="n">
        <v>4064941130680</v>
      </c>
      <c r="B2321" t="inlineStr">
        <is>
          <t>KJ MU SPP GLZ LG 3 ML 001ALL YOURS IV</t>
        </is>
      </c>
      <c r="C2321" t="inlineStr">
        <is>
          <t>P_US_ULTA</t>
        </is>
      </c>
      <c r="D2321" t="inlineStr">
        <is>
          <t>Stat Fcst Theta</t>
        </is>
      </c>
    </row>
    <row r="2322">
      <c r="A2322" s="1" t="n">
        <v>4064941130680</v>
      </c>
      <c r="B2322" t="inlineStr">
        <is>
          <t>KJ MU SPP GLZ LG 3 ML 001ALL YOURS IV</t>
        </is>
      </c>
      <c r="C2322" t="inlineStr">
        <is>
          <t>P_US_ULTA</t>
        </is>
      </c>
      <c r="D2322" t="inlineStr">
        <is>
          <t>System ML Fcst L1</t>
        </is>
      </c>
    </row>
    <row r="2323">
      <c r="A2323" s="1" t="n">
        <v>4064941130680</v>
      </c>
      <c r="B2323" t="inlineStr">
        <is>
          <t>KJ MU SPP GLZ LG 3 ML 001ALL YOURS IV</t>
        </is>
      </c>
      <c r="C2323" t="inlineStr">
        <is>
          <t>P_US_ULTA</t>
        </is>
      </c>
      <c r="D2323" t="inlineStr">
        <is>
          <t>Stat Fcst Simple Snaive</t>
        </is>
      </c>
    </row>
    <row r="2324">
      <c r="A2324" s="1" t="n">
        <v>4064941130680</v>
      </c>
      <c r="B2324" t="inlineStr">
        <is>
          <t>KJ MU SPP GLZ LG 3 ML 001ALL YOURS IV</t>
        </is>
      </c>
      <c r="C2324" t="inlineStr">
        <is>
          <t>P_US_ULTA</t>
        </is>
      </c>
      <c r="D2324" t="inlineStr">
        <is>
          <t>Stat Fcst Simple AOA</t>
        </is>
      </c>
    </row>
    <row r="2325">
      <c r="A2325" s="1" t="n">
        <v>4064941130680</v>
      </c>
      <c r="B2325" t="inlineStr">
        <is>
          <t>KJ MU SPP GLZ LG 3 ML 001ALL YOURS IV</t>
        </is>
      </c>
      <c r="C2325" t="inlineStr">
        <is>
          <t>P_US_ULTA</t>
        </is>
      </c>
      <c r="D2325" t="inlineStr">
        <is>
          <t>Stat Fcst Weighted Snaive</t>
        </is>
      </c>
    </row>
    <row r="2326">
      <c r="A2326" s="1" t="n">
        <v>4064941130680</v>
      </c>
      <c r="B2326" t="inlineStr">
        <is>
          <t>KJ MU SPP GLZ LG 3 ML 001ALL YOURS IV</t>
        </is>
      </c>
      <c r="C2326" t="inlineStr">
        <is>
          <t>P_US_ULTA</t>
        </is>
      </c>
      <c r="D2326" t="inlineStr">
        <is>
          <t>Stat Fcst Weighted AOA</t>
        </is>
      </c>
      <c r="E2326" t="n">
        <v>95.9999895095827</v>
      </c>
      <c r="F2326" t="n">
        <v>671.999979972839</v>
      </c>
      <c r="G2326" t="n">
        <v>96.00000071525569</v>
      </c>
      <c r="H2326" t="n">
        <v>383.999958038331</v>
      </c>
      <c r="I2326" t="n">
        <v>1008.00000751018</v>
      </c>
      <c r="J2326" t="n">
        <v>95.9999895095827</v>
      </c>
      <c r="K2326" t="n">
        <v>0</v>
      </c>
      <c r="L2326" t="n">
        <v>48</v>
      </c>
      <c r="M2326" t="n">
        <v>95.9999895095827</v>
      </c>
      <c r="N2326" t="n">
        <v>48.0000007152557</v>
      </c>
      <c r="O2326" t="n">
        <v>47.9999947547913</v>
      </c>
      <c r="P2326" t="n">
        <v>1270.25839162562</v>
      </c>
    </row>
    <row r="2327">
      <c r="A2327" s="1" t="n">
        <v>4064941130680</v>
      </c>
      <c r="B2327" t="inlineStr">
        <is>
          <t>KJ MU SPP GLZ LG 3 ML 001ALL YOURS IV</t>
        </is>
      </c>
      <c r="C2327" t="inlineStr">
        <is>
          <t>P_US_ULTA</t>
        </is>
      </c>
      <c r="D2327" t="inlineStr">
        <is>
          <t>Stat Fcst Growth Snaive</t>
        </is>
      </c>
    </row>
    <row r="2328">
      <c r="A2328" s="1" t="n">
        <v>4064941130680</v>
      </c>
      <c r="B2328" t="inlineStr">
        <is>
          <t>KJ MU SPP GLZ LG 3 ML 001ALL YOURS IV</t>
        </is>
      </c>
      <c r="C2328" t="inlineStr">
        <is>
          <t>P_US_ULTA</t>
        </is>
      </c>
      <c r="D2328" t="inlineStr">
        <is>
          <t>Stat Fcst Growth AOA</t>
        </is>
      </c>
    </row>
    <row r="2329">
      <c r="A2329" s="1" t="n">
        <v>4064941130680</v>
      </c>
      <c r="B2329" t="inlineStr">
        <is>
          <t>KJ MU SPP GLZ LG 3 ML 001ALL YOURS IV</t>
        </is>
      </c>
      <c r="C2329" t="inlineStr">
        <is>
          <t>P_US_ULTA</t>
        </is>
      </c>
      <c r="D2329" t="inlineStr">
        <is>
          <t>System Stat Fcst Bestfit</t>
        </is>
      </c>
      <c r="H2329" t="n">
        <v>280.319968452454</v>
      </c>
      <c r="I2329" t="n">
        <v>336.380007389038</v>
      </c>
      <c r="J2329" t="n">
        <v>384.459979997277</v>
      </c>
      <c r="K2329" t="n">
        <v>442.14995020181</v>
      </c>
      <c r="L2329" t="n">
        <v>338.579986572265</v>
      </c>
      <c r="M2329" t="n">
        <v>356.379963744283</v>
      </c>
      <c r="N2329" t="n">
        <v>371.590001875013</v>
      </c>
      <c r="O2329" t="n">
        <v>378.629963081181</v>
      </c>
      <c r="P2329" t="n">
        <v>377.470004033073</v>
      </c>
    </row>
    <row r="2330">
      <c r="A2330" s="1" t="n">
        <v>4064941130697</v>
      </c>
      <c r="B2330" t="inlineStr">
        <is>
          <t>KJ MU SPP GLZ LG 3 ML 002LIKE MAGIC IV</t>
        </is>
      </c>
      <c r="C2330" t="inlineStr">
        <is>
          <t>P_US_ALL_OTHERS</t>
        </is>
      </c>
      <c r="D2330" t="inlineStr">
        <is>
          <t>Stat Fcst L1</t>
        </is>
      </c>
      <c r="E2330" t="n">
        <v>81.99999755620949</v>
      </c>
      <c r="F2330" t="n">
        <v>102.99999693036</v>
      </c>
      <c r="G2330" t="n">
        <v>145</v>
      </c>
      <c r="H2330" t="n">
        <v>167</v>
      </c>
      <c r="I2330" t="n">
        <v>300</v>
      </c>
      <c r="J2330" t="n">
        <v>150</v>
      </c>
      <c r="K2330" t="n">
        <v>98</v>
      </c>
      <c r="L2330" t="n">
        <v>308</v>
      </c>
      <c r="M2330" t="n">
        <v>84</v>
      </c>
      <c r="N2330" t="n">
        <v>85</v>
      </c>
      <c r="O2330" t="n">
        <v>23</v>
      </c>
      <c r="P2330" t="n">
        <v>99</v>
      </c>
    </row>
    <row r="2331">
      <c r="A2331" s="1" t="n">
        <v>4064941130697</v>
      </c>
      <c r="B2331" t="inlineStr">
        <is>
          <t>KJ MU SPP GLZ LG 3 ML 002LIKE MAGIC IV</t>
        </is>
      </c>
      <c r="C2331" t="inlineStr">
        <is>
          <t>P_US_ALL_OTHERS</t>
        </is>
      </c>
      <c r="D2331" t="inlineStr">
        <is>
          <t>Stat Fcst AR-NNET</t>
        </is>
      </c>
    </row>
    <row r="2332">
      <c r="A2332" s="1" t="n">
        <v>4064941130697</v>
      </c>
      <c r="B2332" t="inlineStr">
        <is>
          <t>KJ MU SPP GLZ LG 3 ML 002LIKE MAGIC IV</t>
        </is>
      </c>
      <c r="C2332" t="inlineStr">
        <is>
          <t>P_US_ALL_OTHERS</t>
        </is>
      </c>
      <c r="D2332" t="inlineStr">
        <is>
          <t>Stat Fcst Auto ARIMA</t>
        </is>
      </c>
    </row>
    <row r="2333">
      <c r="A2333" s="1" t="n">
        <v>4064941130697</v>
      </c>
      <c r="B2333" t="inlineStr">
        <is>
          <t>KJ MU SPP GLZ LG 3 ML 002LIKE MAGIC IV</t>
        </is>
      </c>
      <c r="C2333" t="inlineStr">
        <is>
          <t>P_US_ALL_OTHERS</t>
        </is>
      </c>
      <c r="D2333" t="inlineStr">
        <is>
          <t>Stat Fcst Croston</t>
        </is>
      </c>
    </row>
    <row r="2334">
      <c r="A2334" s="1" t="n">
        <v>4064941130697</v>
      </c>
      <c r="B2334" t="inlineStr">
        <is>
          <t>KJ MU SPP GLZ LG 3 ML 002LIKE MAGIC IV</t>
        </is>
      </c>
      <c r="C2334" t="inlineStr">
        <is>
          <t>P_US_ALL_OTHERS</t>
        </is>
      </c>
      <c r="D2334" t="inlineStr">
        <is>
          <t>Stat Fcst DES</t>
        </is>
      </c>
    </row>
    <row r="2335">
      <c r="A2335" s="1" t="n">
        <v>4064941130697</v>
      </c>
      <c r="B2335" t="inlineStr">
        <is>
          <t>KJ MU SPP GLZ LG 3 ML 002LIKE MAGIC IV</t>
        </is>
      </c>
      <c r="C2335" t="inlineStr">
        <is>
          <t>P_US_ALL_OTHERS</t>
        </is>
      </c>
      <c r="D2335" t="inlineStr">
        <is>
          <t>Stat Fcst ETS</t>
        </is>
      </c>
    </row>
    <row r="2336">
      <c r="A2336" s="1" t="n">
        <v>4064941130697</v>
      </c>
      <c r="B2336" t="inlineStr">
        <is>
          <t>KJ MU SPP GLZ LG 3 ML 002LIKE MAGIC IV</t>
        </is>
      </c>
      <c r="C2336" t="inlineStr">
        <is>
          <t>P_US_ALL_OTHERS</t>
        </is>
      </c>
      <c r="D2336" t="inlineStr">
        <is>
          <t>Stat Fcst Moving Average</t>
        </is>
      </c>
    </row>
    <row r="2337">
      <c r="A2337" s="1" t="n">
        <v>4064941130697</v>
      </c>
      <c r="B2337" t="inlineStr">
        <is>
          <t>KJ MU SPP GLZ LG 3 ML 002LIKE MAGIC IV</t>
        </is>
      </c>
      <c r="C2337" t="inlineStr">
        <is>
          <t>P_US_ALL_OTHERS</t>
        </is>
      </c>
      <c r="D2337" t="inlineStr">
        <is>
          <t>Stat Fcst Naive Random Walk</t>
        </is>
      </c>
    </row>
    <row r="2338">
      <c r="A2338" s="1" t="n">
        <v>4064941130697</v>
      </c>
      <c r="B2338" t="inlineStr">
        <is>
          <t>KJ MU SPP GLZ LG 3 ML 002LIKE MAGIC IV</t>
        </is>
      </c>
      <c r="C2338" t="inlineStr">
        <is>
          <t>P_US_ALL_OTHERS</t>
        </is>
      </c>
      <c r="D2338" t="inlineStr">
        <is>
          <t>Stat Fcst Prophet</t>
        </is>
      </c>
    </row>
    <row r="2339">
      <c r="A2339" s="1" t="n">
        <v>4064941130697</v>
      </c>
      <c r="B2339" t="inlineStr">
        <is>
          <t>KJ MU SPP GLZ LG 3 ML 002LIKE MAGIC IV</t>
        </is>
      </c>
      <c r="C2339" t="inlineStr">
        <is>
          <t>P_US_ALL_OTHERS</t>
        </is>
      </c>
      <c r="D2339" t="inlineStr">
        <is>
          <t>Stat Fcst sARIMA</t>
        </is>
      </c>
    </row>
    <row r="2340">
      <c r="A2340" s="1" t="n">
        <v>4064941130697</v>
      </c>
      <c r="B2340" t="inlineStr">
        <is>
          <t>KJ MU SPP GLZ LG 3 ML 002LIKE MAGIC IV</t>
        </is>
      </c>
      <c r="C2340" t="inlineStr">
        <is>
          <t>P_US_ALL_OTHERS</t>
        </is>
      </c>
      <c r="D2340" t="inlineStr">
        <is>
          <t>Stat Fcst Seasonal Naive YoY</t>
        </is>
      </c>
    </row>
    <row r="2341">
      <c r="A2341" s="1" t="n">
        <v>4064941130697</v>
      </c>
      <c r="B2341" t="inlineStr">
        <is>
          <t>KJ MU SPP GLZ LG 3 ML 002LIKE MAGIC IV</t>
        </is>
      </c>
      <c r="C2341" t="inlineStr">
        <is>
          <t>P_US_ALL_OTHERS</t>
        </is>
      </c>
      <c r="D2341" t="inlineStr">
        <is>
          <t>Stat Fcst SES</t>
        </is>
      </c>
    </row>
    <row r="2342">
      <c r="A2342" s="1" t="n">
        <v>4064941130697</v>
      </c>
      <c r="B2342" t="inlineStr">
        <is>
          <t>KJ MU SPP GLZ LG 3 ML 002LIKE MAGIC IV</t>
        </is>
      </c>
      <c r="C2342" t="inlineStr">
        <is>
          <t>P_US_ALL_OTHERS</t>
        </is>
      </c>
      <c r="D2342" t="inlineStr">
        <is>
          <t>Stat Fcst STLF</t>
        </is>
      </c>
      <c r="E2342" t="n">
        <v>13.9999995827674</v>
      </c>
      <c r="F2342" t="n">
        <v>13.9999995827674</v>
      </c>
      <c r="G2342" t="n">
        <v>424.253467386874</v>
      </c>
      <c r="H2342" t="n">
        <v>83.9654938464862</v>
      </c>
      <c r="I2342" t="n">
        <v>57.6334461785842</v>
      </c>
      <c r="J2342" t="n">
        <v>65.1169636754687</v>
      </c>
      <c r="K2342" t="n">
        <v>56.0030454350645</v>
      </c>
      <c r="L2342" t="n">
        <v>167.121008913968</v>
      </c>
      <c r="M2342" t="n">
        <v>98.62030790989751</v>
      </c>
      <c r="N2342" t="n">
        <v>84.5677704830676</v>
      </c>
      <c r="O2342" t="n">
        <v>47.852093770934</v>
      </c>
      <c r="P2342" t="n">
        <v>14.0000001043081</v>
      </c>
    </row>
    <row r="2343">
      <c r="A2343" s="1" t="n">
        <v>4064941130697</v>
      </c>
      <c r="B2343" t="inlineStr">
        <is>
          <t>KJ MU SPP GLZ LG 3 ML 002LIKE MAGIC IV</t>
        </is>
      </c>
      <c r="C2343" t="inlineStr">
        <is>
          <t>P_US_ALL_OTHERS</t>
        </is>
      </c>
      <c r="D2343" t="inlineStr">
        <is>
          <t>Stat Fcst TBATS</t>
        </is>
      </c>
    </row>
    <row r="2344">
      <c r="A2344" s="1" t="n">
        <v>4064941130697</v>
      </c>
      <c r="B2344" t="inlineStr">
        <is>
          <t>KJ MU SPP GLZ LG 3 ML 002LIKE MAGIC IV</t>
        </is>
      </c>
      <c r="C2344" t="inlineStr">
        <is>
          <t>P_US_ALL_OTHERS</t>
        </is>
      </c>
      <c r="D2344" t="inlineStr">
        <is>
          <t>Stat Fcst TES</t>
        </is>
      </c>
      <c r="E2344" t="n">
        <v>136.731217312133</v>
      </c>
      <c r="F2344" t="n">
        <v>136.635174368135</v>
      </c>
      <c r="G2344" t="n">
        <v>177.948894603891</v>
      </c>
      <c r="H2344" t="n">
        <v>166.584203448304</v>
      </c>
      <c r="I2344" t="n">
        <v>300.393938006566</v>
      </c>
      <c r="J2344" t="n">
        <v>148.494037261229</v>
      </c>
      <c r="K2344" t="n">
        <v>99.0517677388833</v>
      </c>
      <c r="L2344" t="n">
        <v>306.602340038783</v>
      </c>
      <c r="M2344" t="n">
        <v>86.2407830139154</v>
      </c>
      <c r="N2344" t="n">
        <v>84.26340409210459</v>
      </c>
      <c r="O2344" t="n">
        <v>24.1835983264775</v>
      </c>
      <c r="P2344" t="n">
        <v>98.29119250810371</v>
      </c>
    </row>
    <row r="2345">
      <c r="A2345" s="1" t="n">
        <v>4064941130697</v>
      </c>
      <c r="B2345" t="inlineStr">
        <is>
          <t>KJ MU SPP GLZ LG 3 ML 002LIKE MAGIC IV</t>
        </is>
      </c>
      <c r="C2345" t="inlineStr">
        <is>
          <t>P_US_ALL_OTHERS</t>
        </is>
      </c>
      <c r="D2345" t="inlineStr">
        <is>
          <t>Stat Fcst Theta</t>
        </is>
      </c>
    </row>
    <row r="2346">
      <c r="A2346" s="1" t="n">
        <v>4064941130697</v>
      </c>
      <c r="B2346" t="inlineStr">
        <is>
          <t>KJ MU SPP GLZ LG 3 ML 002LIKE MAGIC IV</t>
        </is>
      </c>
      <c r="C2346" t="inlineStr">
        <is>
          <t>P_US_ALL_OTHERS</t>
        </is>
      </c>
      <c r="D2346" t="inlineStr">
        <is>
          <t>System ML Fcst L1</t>
        </is>
      </c>
    </row>
    <row r="2347">
      <c r="A2347" s="1" t="n">
        <v>4064941130697</v>
      </c>
      <c r="B2347" t="inlineStr">
        <is>
          <t>KJ MU SPP GLZ LG 3 ML 002LIKE MAGIC IV</t>
        </is>
      </c>
      <c r="C2347" t="inlineStr">
        <is>
          <t>P_US_ALL_OTHERS</t>
        </is>
      </c>
      <c r="D2347" t="inlineStr">
        <is>
          <t>Stat Fcst Simple Snaive</t>
        </is>
      </c>
      <c r="E2347" t="n">
        <v>126.499992415309</v>
      </c>
      <c r="F2347" t="n">
        <v>106.999992996454</v>
      </c>
      <c r="G2347" t="n">
        <v>229.000001706182</v>
      </c>
      <c r="H2347" t="n">
        <v>163.999983668327</v>
      </c>
      <c r="I2347" t="n">
        <v>79.0000005885958</v>
      </c>
      <c r="J2347" t="n">
        <v>340.253316275676</v>
      </c>
      <c r="K2347" t="n">
        <v>174.499994799494</v>
      </c>
      <c r="L2347" t="n">
        <v>201</v>
      </c>
      <c r="M2347" t="n">
        <v>125.999988615513</v>
      </c>
      <c r="N2347" t="n">
        <v>126.000001877546</v>
      </c>
      <c r="O2347" t="n">
        <v>92.49999724328509</v>
      </c>
      <c r="P2347" t="n">
        <v>240.835552738375</v>
      </c>
    </row>
    <row r="2348">
      <c r="A2348" s="1" t="n">
        <v>4064941130697</v>
      </c>
      <c r="B2348" t="inlineStr">
        <is>
          <t>KJ MU SPP GLZ LG 3 ML 002LIKE MAGIC IV</t>
        </is>
      </c>
      <c r="C2348" t="inlineStr">
        <is>
          <t>P_US_ALL_OTHERS</t>
        </is>
      </c>
      <c r="D2348" t="inlineStr">
        <is>
          <t>Stat Fcst Simple AOA</t>
        </is>
      </c>
    </row>
    <row r="2349">
      <c r="A2349" s="1" t="n">
        <v>4064941130697</v>
      </c>
      <c r="B2349" t="inlineStr">
        <is>
          <t>KJ MU SPP GLZ LG 3 ML 002LIKE MAGIC IV</t>
        </is>
      </c>
      <c r="C2349" t="inlineStr">
        <is>
          <t>P_US_ALL_OTHERS</t>
        </is>
      </c>
      <c r="D2349" t="inlineStr">
        <is>
          <t>Stat Fcst Weighted Snaive</t>
        </is>
      </c>
    </row>
    <row r="2350">
      <c r="A2350" s="1" t="n">
        <v>4064941130697</v>
      </c>
      <c r="B2350" t="inlineStr">
        <is>
          <t>KJ MU SPP GLZ LG 3 ML 002LIKE MAGIC IV</t>
        </is>
      </c>
      <c r="C2350" t="inlineStr">
        <is>
          <t>P_US_ALL_OTHERS</t>
        </is>
      </c>
      <c r="D2350" t="inlineStr">
        <is>
          <t>Stat Fcst Weighted AOA</t>
        </is>
      </c>
    </row>
    <row r="2351">
      <c r="A2351" s="1" t="n">
        <v>4064941130697</v>
      </c>
      <c r="B2351" t="inlineStr">
        <is>
          <t>KJ MU SPP GLZ LG 3 ML 002LIKE MAGIC IV</t>
        </is>
      </c>
      <c r="C2351" t="inlineStr">
        <is>
          <t>P_US_ALL_OTHERS</t>
        </is>
      </c>
      <c r="D2351" t="inlineStr">
        <is>
          <t>Stat Fcst Growth Snaive</t>
        </is>
      </c>
    </row>
    <row r="2352">
      <c r="A2352" s="1" t="n">
        <v>4064941130697</v>
      </c>
      <c r="B2352" t="inlineStr">
        <is>
          <t>KJ MU SPP GLZ LG 3 ML 002LIKE MAGIC IV</t>
        </is>
      </c>
      <c r="C2352" t="inlineStr">
        <is>
          <t>P_US_ALL_OTHERS</t>
        </is>
      </c>
      <c r="D2352" t="inlineStr">
        <is>
          <t>Stat Fcst Growth AOA</t>
        </is>
      </c>
    </row>
    <row r="2353">
      <c r="A2353" s="1" t="n">
        <v>4064941130697</v>
      </c>
      <c r="B2353" t="inlineStr">
        <is>
          <t>KJ MU SPP GLZ LG 3 ML 002LIKE MAGIC IV</t>
        </is>
      </c>
      <c r="C2353" t="inlineStr">
        <is>
          <t>P_US_ALL_OTHERS</t>
        </is>
      </c>
      <c r="D2353" t="inlineStr">
        <is>
          <t>System Stat Fcst Bestfit</t>
        </is>
      </c>
      <c r="H2353" t="n">
        <v>166.58419303345</v>
      </c>
      <c r="I2353" t="n">
        <v>300.393953654124</v>
      </c>
      <c r="J2353" t="n">
        <v>148.494029388009</v>
      </c>
      <c r="K2353" t="n">
        <v>99.0517624899218</v>
      </c>
      <c r="L2353" t="n">
        <v>306.602325439453</v>
      </c>
      <c r="M2353" t="n">
        <v>86.2407811212306</v>
      </c>
      <c r="N2353" t="n">
        <v>84.2634061018139</v>
      </c>
      <c r="O2353" t="n">
        <v>24.1835968439698</v>
      </c>
      <c r="P2353" t="n">
        <v>98.29119946279521</v>
      </c>
    </row>
    <row r="2354">
      <c r="A2354" s="1" t="n">
        <v>4064941130697</v>
      </c>
      <c r="B2354" t="inlineStr">
        <is>
          <t>KJ MU SPP GLZ LG 3 ML 002LIKE MAGIC IV</t>
        </is>
      </c>
      <c r="C2354" t="inlineStr">
        <is>
          <t>P_US_ULTA</t>
        </is>
      </c>
      <c r="D2354" t="inlineStr">
        <is>
          <t>Stat Fcst L1</t>
        </is>
      </c>
      <c r="E2354" t="n">
        <v>287.999991416931</v>
      </c>
      <c r="F2354" t="n">
        <v>2591.99992275238</v>
      </c>
      <c r="G2354" t="n">
        <v>185</v>
      </c>
      <c r="H2354" t="n">
        <v>363</v>
      </c>
      <c r="I2354" t="n">
        <v>326</v>
      </c>
      <c r="J2354" t="n">
        <v>291</v>
      </c>
      <c r="K2354" t="n">
        <v>257</v>
      </c>
      <c r="L2354" t="n">
        <v>224</v>
      </c>
      <c r="M2354" t="n">
        <v>195</v>
      </c>
      <c r="N2354" t="n">
        <v>163</v>
      </c>
      <c r="O2354" t="n">
        <v>137</v>
      </c>
      <c r="P2354" t="n">
        <v>111</v>
      </c>
    </row>
    <row r="2355">
      <c r="A2355" s="1" t="n">
        <v>4064941130697</v>
      </c>
      <c r="B2355" t="inlineStr">
        <is>
          <t>KJ MU SPP GLZ LG 3 ML 002LIKE MAGIC IV</t>
        </is>
      </c>
      <c r="C2355" t="inlineStr">
        <is>
          <t>P_US_ULTA</t>
        </is>
      </c>
      <c r="D2355" t="inlineStr">
        <is>
          <t>Stat Fcst AR-NNET</t>
        </is>
      </c>
    </row>
    <row r="2356">
      <c r="A2356" s="1" t="n">
        <v>4064941130697</v>
      </c>
      <c r="B2356" t="inlineStr">
        <is>
          <t>KJ MU SPP GLZ LG 3 ML 002LIKE MAGIC IV</t>
        </is>
      </c>
      <c r="C2356" t="inlineStr">
        <is>
          <t>P_US_ULTA</t>
        </is>
      </c>
      <c r="D2356" t="inlineStr">
        <is>
          <t>Stat Fcst Auto ARIMA</t>
        </is>
      </c>
    </row>
    <row r="2357">
      <c r="A2357" s="1" t="n">
        <v>4064941130697</v>
      </c>
      <c r="B2357" t="inlineStr">
        <is>
          <t>KJ MU SPP GLZ LG 3 ML 002LIKE MAGIC IV</t>
        </is>
      </c>
      <c r="C2357" t="inlineStr">
        <is>
          <t>P_US_ULTA</t>
        </is>
      </c>
      <c r="D2357" t="inlineStr">
        <is>
          <t>Stat Fcst Croston</t>
        </is>
      </c>
    </row>
    <row r="2358">
      <c r="A2358" s="1" t="n">
        <v>4064941130697</v>
      </c>
      <c r="B2358" t="inlineStr">
        <is>
          <t>KJ MU SPP GLZ LG 3 ML 002LIKE MAGIC IV</t>
        </is>
      </c>
      <c r="C2358" t="inlineStr">
        <is>
          <t>P_US_ULTA</t>
        </is>
      </c>
      <c r="D2358" t="inlineStr">
        <is>
          <t>Stat Fcst DES</t>
        </is>
      </c>
      <c r="E2358" t="n">
        <v>382.131350219791</v>
      </c>
      <c r="F2358" t="n">
        <v>336.307570583388</v>
      </c>
      <c r="G2358" t="n">
        <v>403.289998638107</v>
      </c>
      <c r="H2358" t="n">
        <v>363.728094329098</v>
      </c>
      <c r="I2358" t="n">
        <v>326.154317071382</v>
      </c>
      <c r="J2358" t="n">
        <v>290.468707595702</v>
      </c>
      <c r="K2358" t="n">
        <v>256.576415214661</v>
      </c>
      <c r="L2358" t="n">
        <v>224.387315681705</v>
      </c>
      <c r="M2358" t="n">
        <v>193.815798882126</v>
      </c>
      <c r="N2358" t="n">
        <v>164.78060333989</v>
      </c>
      <c r="O2358" t="n">
        <v>137.204496368445</v>
      </c>
      <c r="P2358" t="n">
        <v>111.014180022007</v>
      </c>
    </row>
    <row r="2359">
      <c r="A2359" s="1" t="n">
        <v>4064941130697</v>
      </c>
      <c r="B2359" t="inlineStr">
        <is>
          <t>KJ MU SPP GLZ LG 3 ML 002LIKE MAGIC IV</t>
        </is>
      </c>
      <c r="C2359" t="inlineStr">
        <is>
          <t>P_US_ULTA</t>
        </is>
      </c>
      <c r="D2359" t="inlineStr">
        <is>
          <t>Stat Fcst ETS</t>
        </is>
      </c>
    </row>
    <row r="2360">
      <c r="A2360" s="1" t="n">
        <v>4064941130697</v>
      </c>
      <c r="B2360" t="inlineStr">
        <is>
          <t>KJ MU SPP GLZ LG 3 ML 002LIKE MAGIC IV</t>
        </is>
      </c>
      <c r="C2360" t="inlineStr">
        <is>
          <t>P_US_ULTA</t>
        </is>
      </c>
      <c r="D2360" t="inlineStr">
        <is>
          <t>Stat Fcst Moving Average</t>
        </is>
      </c>
    </row>
    <row r="2361">
      <c r="A2361" s="1" t="n">
        <v>4064941130697</v>
      </c>
      <c r="B2361" t="inlineStr">
        <is>
          <t>KJ MU SPP GLZ LG 3 ML 002LIKE MAGIC IV</t>
        </is>
      </c>
      <c r="C2361" t="inlineStr">
        <is>
          <t>P_US_ULTA</t>
        </is>
      </c>
      <c r="D2361" t="inlineStr">
        <is>
          <t>Stat Fcst Naive Random Walk</t>
        </is>
      </c>
    </row>
    <row r="2362">
      <c r="A2362" s="1" t="n">
        <v>4064941130697</v>
      </c>
      <c r="B2362" t="inlineStr">
        <is>
          <t>KJ MU SPP GLZ LG 3 ML 002LIKE MAGIC IV</t>
        </is>
      </c>
      <c r="C2362" t="inlineStr">
        <is>
          <t>P_US_ULTA</t>
        </is>
      </c>
      <c r="D2362" t="inlineStr">
        <is>
          <t>Stat Fcst Prophet</t>
        </is>
      </c>
    </row>
    <row r="2363">
      <c r="A2363" s="1" t="n">
        <v>4064941130697</v>
      </c>
      <c r="B2363" t="inlineStr">
        <is>
          <t>KJ MU SPP GLZ LG 3 ML 002LIKE MAGIC IV</t>
        </is>
      </c>
      <c r="C2363" t="inlineStr">
        <is>
          <t>P_US_ULTA</t>
        </is>
      </c>
      <c r="D2363" t="inlineStr">
        <is>
          <t>Stat Fcst sARIMA</t>
        </is>
      </c>
    </row>
    <row r="2364">
      <c r="A2364" s="1" t="n">
        <v>4064941130697</v>
      </c>
      <c r="B2364" t="inlineStr">
        <is>
          <t>KJ MU SPP GLZ LG 3 ML 002LIKE MAGIC IV</t>
        </is>
      </c>
      <c r="C2364" t="inlineStr">
        <is>
          <t>P_US_ULTA</t>
        </is>
      </c>
      <c r="D2364" t="inlineStr">
        <is>
          <t>Stat Fcst Seasonal Naive YoY</t>
        </is>
      </c>
    </row>
    <row r="2365">
      <c r="A2365" s="1" t="n">
        <v>4064941130697</v>
      </c>
      <c r="B2365" t="inlineStr">
        <is>
          <t>KJ MU SPP GLZ LG 3 ML 002LIKE MAGIC IV</t>
        </is>
      </c>
      <c r="C2365" t="inlineStr">
        <is>
          <t>P_US_ULTA</t>
        </is>
      </c>
      <c r="D2365" t="inlineStr">
        <is>
          <t>Stat Fcst SES</t>
        </is>
      </c>
    </row>
    <row r="2366">
      <c r="A2366" s="1" t="n">
        <v>4064941130697</v>
      </c>
      <c r="B2366" t="inlineStr">
        <is>
          <t>KJ MU SPP GLZ LG 3 ML 002LIKE MAGIC IV</t>
        </is>
      </c>
      <c r="C2366" t="inlineStr">
        <is>
          <t>P_US_ULTA</t>
        </is>
      </c>
      <c r="D2366" t="inlineStr">
        <is>
          <t>Stat Fcst STLF</t>
        </is>
      </c>
      <c r="E2366" t="n">
        <v>0</v>
      </c>
      <c r="F2366" t="n">
        <v>4126.59122270134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4064941130697</v>
      </c>
      <c r="B2367" t="inlineStr">
        <is>
          <t>KJ MU SPP GLZ LG 3 ML 002LIKE MAGIC IV</t>
        </is>
      </c>
      <c r="C2367" t="inlineStr">
        <is>
          <t>P_US_ULTA</t>
        </is>
      </c>
      <c r="D2367" t="inlineStr">
        <is>
          <t>Stat Fcst TBATS</t>
        </is>
      </c>
    </row>
    <row r="2368">
      <c r="A2368" s="1" t="n">
        <v>4064941130697</v>
      </c>
      <c r="B2368" t="inlineStr">
        <is>
          <t>KJ MU SPP GLZ LG 3 ML 002LIKE MAGIC IV</t>
        </is>
      </c>
      <c r="C2368" t="inlineStr">
        <is>
          <t>P_US_ULTA</t>
        </is>
      </c>
      <c r="D2368" t="inlineStr">
        <is>
          <t>Stat Fcst TES</t>
        </is>
      </c>
    </row>
    <row r="2369">
      <c r="A2369" s="1" t="n">
        <v>4064941130697</v>
      </c>
      <c r="B2369" t="inlineStr">
        <is>
          <t>KJ MU SPP GLZ LG 3 ML 002LIKE MAGIC IV</t>
        </is>
      </c>
      <c r="C2369" t="inlineStr">
        <is>
          <t>P_US_ULTA</t>
        </is>
      </c>
      <c r="D2369" t="inlineStr">
        <is>
          <t>Stat Fcst Theta</t>
        </is>
      </c>
    </row>
    <row r="2370">
      <c r="A2370" s="1" t="n">
        <v>4064941130697</v>
      </c>
      <c r="B2370" t="inlineStr">
        <is>
          <t>KJ MU SPP GLZ LG 3 ML 002LIKE MAGIC IV</t>
        </is>
      </c>
      <c r="C2370" t="inlineStr">
        <is>
          <t>P_US_ULTA</t>
        </is>
      </c>
      <c r="D2370" t="inlineStr">
        <is>
          <t>System ML Fcst L1</t>
        </is>
      </c>
    </row>
    <row r="2371">
      <c r="A2371" s="1" t="n">
        <v>4064941130697</v>
      </c>
      <c r="B2371" t="inlineStr">
        <is>
          <t>KJ MU SPP GLZ LG 3 ML 002LIKE MAGIC IV</t>
        </is>
      </c>
      <c r="C2371" t="inlineStr">
        <is>
          <t>P_US_ULTA</t>
        </is>
      </c>
      <c r="D2371" t="inlineStr">
        <is>
          <t>Stat Fcst Simple Snaive</t>
        </is>
      </c>
    </row>
    <row r="2372">
      <c r="A2372" s="1" t="n">
        <v>4064941130697</v>
      </c>
      <c r="B2372" t="inlineStr">
        <is>
          <t>KJ MU SPP GLZ LG 3 ML 002LIKE MAGIC IV</t>
        </is>
      </c>
      <c r="C2372" t="inlineStr">
        <is>
          <t>P_US_ULTA</t>
        </is>
      </c>
      <c r="D2372" t="inlineStr">
        <is>
          <t>Stat Fcst Simple AOA</t>
        </is>
      </c>
    </row>
    <row r="2373">
      <c r="A2373" s="1" t="n">
        <v>4064941130697</v>
      </c>
      <c r="B2373" t="inlineStr">
        <is>
          <t>KJ MU SPP GLZ LG 3 ML 002LIKE MAGIC IV</t>
        </is>
      </c>
      <c r="C2373" t="inlineStr">
        <is>
          <t>P_US_ULTA</t>
        </is>
      </c>
      <c r="D2373" t="inlineStr">
        <is>
          <t>Stat Fcst Weighted Snaive</t>
        </is>
      </c>
    </row>
    <row r="2374">
      <c r="A2374" s="1" t="n">
        <v>4064941130697</v>
      </c>
      <c r="B2374" t="inlineStr">
        <is>
          <t>KJ MU SPP GLZ LG 3 ML 002LIKE MAGIC IV</t>
        </is>
      </c>
      <c r="C2374" t="inlineStr">
        <is>
          <t>P_US_ULTA</t>
        </is>
      </c>
      <c r="D2374" t="inlineStr">
        <is>
          <t>Stat Fcst Weighted AOA</t>
        </is>
      </c>
      <c r="E2374" t="n">
        <v>287.999991416931</v>
      </c>
      <c r="F2374" t="n">
        <v>2783.99965763092</v>
      </c>
      <c r="G2374" t="n">
        <v>240.000001788139</v>
      </c>
      <c r="H2374" t="n">
        <v>3695.99985933303</v>
      </c>
      <c r="I2374" t="n">
        <v>3024.00002253055</v>
      </c>
      <c r="J2374" t="n">
        <v>143.999995708465</v>
      </c>
      <c r="K2374" t="n">
        <v>239.999992847442</v>
      </c>
      <c r="L2374" t="n">
        <v>480</v>
      </c>
      <c r="M2374" t="n">
        <v>1967.99981164932</v>
      </c>
      <c r="N2374" t="n">
        <v>0</v>
      </c>
      <c r="O2374" t="n">
        <v>511.999964396159</v>
      </c>
      <c r="P2374" t="n">
        <v>2836.68231280159</v>
      </c>
    </row>
    <row r="2375">
      <c r="A2375" s="1" t="n">
        <v>4064941130697</v>
      </c>
      <c r="B2375" t="inlineStr">
        <is>
          <t>KJ MU SPP GLZ LG 3 ML 002LIKE MAGIC IV</t>
        </is>
      </c>
      <c r="C2375" t="inlineStr">
        <is>
          <t>P_US_ULTA</t>
        </is>
      </c>
      <c r="D2375" t="inlineStr">
        <is>
          <t>Stat Fcst Growth Snaive</t>
        </is>
      </c>
    </row>
    <row r="2376">
      <c r="A2376" s="1" t="n">
        <v>4064941130697</v>
      </c>
      <c r="B2376" t="inlineStr">
        <is>
          <t>KJ MU SPP GLZ LG 3 ML 002LIKE MAGIC IV</t>
        </is>
      </c>
      <c r="C2376" t="inlineStr">
        <is>
          <t>P_US_ULTA</t>
        </is>
      </c>
      <c r="D2376" t="inlineStr">
        <is>
          <t>Stat Fcst Growth AOA</t>
        </is>
      </c>
    </row>
    <row r="2377">
      <c r="A2377" s="1" t="n">
        <v>4064941130697</v>
      </c>
      <c r="B2377" t="inlineStr">
        <is>
          <t>KJ MU SPP GLZ LG 3 ML 002LIKE MAGIC IV</t>
        </is>
      </c>
      <c r="C2377" t="inlineStr">
        <is>
          <t>P_US_ULTA</t>
        </is>
      </c>
      <c r="D2377" t="inlineStr">
        <is>
          <t>System Stat Fcst Bestfit</t>
        </is>
      </c>
      <c r="H2377" t="n">
        <v>363.728077538964</v>
      </c>
      <c r="I2377" t="n">
        <v>326.154329822617</v>
      </c>
      <c r="J2377" t="n">
        <v>290.468680308202</v>
      </c>
      <c r="K2377" t="n">
        <v>256.576408369051</v>
      </c>
      <c r="L2377" t="n">
        <v>224.387313842773</v>
      </c>
      <c r="M2377" t="n">
        <v>193.815790122276</v>
      </c>
      <c r="N2377" t="n">
        <v>164.780611586281</v>
      </c>
      <c r="O2377" t="n">
        <v>137.204494202002</v>
      </c>
      <c r="P2377" t="n">
        <v>111.014183871553</v>
      </c>
    </row>
    <row r="2378">
      <c r="A2378" s="1" t="n">
        <v>4064941130703</v>
      </c>
      <c r="B2378" t="inlineStr">
        <is>
          <t>KJ MU SPP GLZ LG 3 ML 003ROSE BLOOM IV</t>
        </is>
      </c>
      <c r="C2378" t="inlineStr">
        <is>
          <t>P_US_ALL_OTHERS</t>
        </is>
      </c>
      <c r="D2378" t="inlineStr">
        <is>
          <t>Stat Fcst L1</t>
        </is>
      </c>
      <c r="E2378" t="n">
        <v>57.9999982714653</v>
      </c>
      <c r="F2378" t="n">
        <v>90.99999728798861</v>
      </c>
      <c r="G2378" t="n">
        <v>8</v>
      </c>
      <c r="H2378" t="n">
        <v>71</v>
      </c>
      <c r="I2378" t="n">
        <v>4</v>
      </c>
      <c r="J2378" t="n">
        <v>322</v>
      </c>
      <c r="K2378" t="n">
        <v>111</v>
      </c>
      <c r="L2378" t="n">
        <v>140</v>
      </c>
      <c r="M2378" t="n">
        <v>111</v>
      </c>
      <c r="N2378" t="n">
        <v>77</v>
      </c>
      <c r="O2378" t="n">
        <v>53</v>
      </c>
      <c r="P2378" t="n">
        <v>0</v>
      </c>
    </row>
    <row r="2379">
      <c r="A2379" s="1" t="n">
        <v>4064941130703</v>
      </c>
      <c r="B2379" t="inlineStr">
        <is>
          <t>KJ MU SPP GLZ LG 3 ML 003ROSE BLOOM IV</t>
        </is>
      </c>
      <c r="C2379" t="inlineStr">
        <is>
          <t>P_US_ALL_OTHERS</t>
        </is>
      </c>
      <c r="D2379" t="inlineStr">
        <is>
          <t>Stat Fcst AR-NNET</t>
        </is>
      </c>
    </row>
    <row r="2380">
      <c r="A2380" s="1" t="n">
        <v>4064941130703</v>
      </c>
      <c r="B2380" t="inlineStr">
        <is>
          <t>KJ MU SPP GLZ LG 3 ML 003ROSE BLOOM IV</t>
        </is>
      </c>
      <c r="C2380" t="inlineStr">
        <is>
          <t>P_US_ALL_OTHERS</t>
        </is>
      </c>
      <c r="D2380" t="inlineStr">
        <is>
          <t>Stat Fcst Auto ARIMA</t>
        </is>
      </c>
    </row>
    <row r="2381">
      <c r="A2381" s="1" t="n">
        <v>4064941130703</v>
      </c>
      <c r="B2381" t="inlineStr">
        <is>
          <t>KJ MU SPP GLZ LG 3 ML 003ROSE BLOOM IV</t>
        </is>
      </c>
      <c r="C2381" t="inlineStr">
        <is>
          <t>P_US_ALL_OTHERS</t>
        </is>
      </c>
      <c r="D2381" t="inlineStr">
        <is>
          <t>Stat Fcst Croston</t>
        </is>
      </c>
    </row>
    <row r="2382">
      <c r="A2382" s="1" t="n">
        <v>4064941130703</v>
      </c>
      <c r="B2382" t="inlineStr">
        <is>
          <t>KJ MU SPP GLZ LG 3 ML 003ROSE BLOOM IV</t>
        </is>
      </c>
      <c r="C2382" t="inlineStr">
        <is>
          <t>P_US_ALL_OTHERS</t>
        </is>
      </c>
      <c r="D2382" t="inlineStr">
        <is>
          <t>Stat Fcst DES</t>
        </is>
      </c>
    </row>
    <row r="2383">
      <c r="A2383" s="1" t="n">
        <v>4064941130703</v>
      </c>
      <c r="B2383" t="inlineStr">
        <is>
          <t>KJ MU SPP GLZ LG 3 ML 003ROSE BLOOM IV</t>
        </is>
      </c>
      <c r="C2383" t="inlineStr">
        <is>
          <t>P_US_ALL_OTHERS</t>
        </is>
      </c>
      <c r="D2383" t="inlineStr">
        <is>
          <t>Stat Fcst ETS</t>
        </is>
      </c>
    </row>
    <row r="2384">
      <c r="A2384" s="1" t="n">
        <v>4064941130703</v>
      </c>
      <c r="B2384" t="inlineStr">
        <is>
          <t>KJ MU SPP GLZ LG 3 ML 003ROSE BLOOM IV</t>
        </is>
      </c>
      <c r="C2384" t="inlineStr">
        <is>
          <t>P_US_ALL_OTHERS</t>
        </is>
      </c>
      <c r="D2384" t="inlineStr">
        <is>
          <t>Stat Fcst Moving Average</t>
        </is>
      </c>
    </row>
    <row r="2385">
      <c r="A2385" s="1" t="n">
        <v>4064941130703</v>
      </c>
      <c r="B2385" t="inlineStr">
        <is>
          <t>KJ MU SPP GLZ LG 3 ML 003ROSE BLOOM IV</t>
        </is>
      </c>
      <c r="C2385" t="inlineStr">
        <is>
          <t>P_US_ALL_OTHERS</t>
        </is>
      </c>
      <c r="D2385" t="inlineStr">
        <is>
          <t>Stat Fcst Naive Random Walk</t>
        </is>
      </c>
    </row>
    <row r="2386">
      <c r="A2386" s="1" t="n">
        <v>4064941130703</v>
      </c>
      <c r="B2386" t="inlineStr">
        <is>
          <t>KJ MU SPP GLZ LG 3 ML 003ROSE BLOOM IV</t>
        </is>
      </c>
      <c r="C2386" t="inlineStr">
        <is>
          <t>P_US_ALL_OTHERS</t>
        </is>
      </c>
      <c r="D2386" t="inlineStr">
        <is>
          <t>Stat Fcst Prophet</t>
        </is>
      </c>
    </row>
    <row r="2387">
      <c r="A2387" s="1" t="n">
        <v>4064941130703</v>
      </c>
      <c r="B2387" t="inlineStr">
        <is>
          <t>KJ MU SPP GLZ LG 3 ML 003ROSE BLOOM IV</t>
        </is>
      </c>
      <c r="C2387" t="inlineStr">
        <is>
          <t>P_US_ALL_OTHERS</t>
        </is>
      </c>
      <c r="D2387" t="inlineStr">
        <is>
          <t>Stat Fcst sARIMA</t>
        </is>
      </c>
    </row>
    <row r="2388">
      <c r="A2388" s="1" t="n">
        <v>4064941130703</v>
      </c>
      <c r="B2388" t="inlineStr">
        <is>
          <t>KJ MU SPP GLZ LG 3 ML 003ROSE BLOOM IV</t>
        </is>
      </c>
      <c r="C2388" t="inlineStr">
        <is>
          <t>P_US_ALL_OTHERS</t>
        </is>
      </c>
      <c r="D2388" t="inlineStr">
        <is>
          <t>Stat Fcst Seasonal Naive YoY</t>
        </is>
      </c>
    </row>
    <row r="2389">
      <c r="A2389" s="1" t="n">
        <v>4064941130703</v>
      </c>
      <c r="B2389" t="inlineStr">
        <is>
          <t>KJ MU SPP GLZ LG 3 ML 003ROSE BLOOM IV</t>
        </is>
      </c>
      <c r="C2389" t="inlineStr">
        <is>
          <t>P_US_ALL_OTHERS</t>
        </is>
      </c>
      <c r="D2389" t="inlineStr">
        <is>
          <t>Stat Fcst SES</t>
        </is>
      </c>
    </row>
    <row r="2390">
      <c r="A2390" s="1" t="n">
        <v>4064941130703</v>
      </c>
      <c r="B2390" t="inlineStr">
        <is>
          <t>KJ MU SPP GLZ LG 3 ML 003ROSE BLOOM IV</t>
        </is>
      </c>
      <c r="C2390" t="inlineStr">
        <is>
          <t>P_US_ALL_OTHERS</t>
        </is>
      </c>
      <c r="D2390" t="inlineStr">
        <is>
          <t>Stat Fcst STLF</t>
        </is>
      </c>
      <c r="E2390" t="n">
        <v>0</v>
      </c>
      <c r="F2390" t="n">
        <v>0</v>
      </c>
      <c r="G2390" t="n">
        <v>176.064181500902</v>
      </c>
      <c r="H2390" t="n">
        <v>6.77459928632553</v>
      </c>
      <c r="I2390" t="n">
        <v>7.18885206805039</v>
      </c>
      <c r="J2390" t="n">
        <v>6.78794603541004</v>
      </c>
      <c r="K2390" t="n">
        <v>44.0761258925791</v>
      </c>
      <c r="L2390" t="n">
        <v>125.800021357552</v>
      </c>
      <c r="M2390" t="n">
        <v>24.6243934115003</v>
      </c>
      <c r="N2390" t="n">
        <v>46.0296101347201</v>
      </c>
      <c r="O2390" t="n">
        <v>40.7096981534321</v>
      </c>
      <c r="P2390" t="n">
        <v>0</v>
      </c>
    </row>
    <row r="2391">
      <c r="A2391" s="1" t="n">
        <v>4064941130703</v>
      </c>
      <c r="B2391" t="inlineStr">
        <is>
          <t>KJ MU SPP GLZ LG 3 ML 003ROSE BLOOM IV</t>
        </is>
      </c>
      <c r="C2391" t="inlineStr">
        <is>
          <t>P_US_ALL_OTHERS</t>
        </is>
      </c>
      <c r="D2391" t="inlineStr">
        <is>
          <t>Stat Fcst TBATS</t>
        </is>
      </c>
    </row>
    <row r="2392">
      <c r="A2392" s="1" t="n">
        <v>4064941130703</v>
      </c>
      <c r="B2392" t="inlineStr">
        <is>
          <t>KJ MU SPP GLZ LG 3 ML 003ROSE BLOOM IV</t>
        </is>
      </c>
      <c r="C2392" t="inlineStr">
        <is>
          <t>P_US_ALL_OTHERS</t>
        </is>
      </c>
      <c r="D2392" t="inlineStr">
        <is>
          <t>Stat Fcst TES</t>
        </is>
      </c>
      <c r="E2392" t="n">
        <v>113.314027085805</v>
      </c>
      <c r="F2392" t="n">
        <v>113.313343426761</v>
      </c>
      <c r="G2392" t="n">
        <v>18.9012670160795</v>
      </c>
      <c r="H2392" t="n">
        <v>71.881172793625</v>
      </c>
      <c r="I2392" t="n">
        <v>6.03068532322364</v>
      </c>
      <c r="J2392" t="n">
        <v>321.479536351611</v>
      </c>
      <c r="K2392" t="n">
        <v>112.852233945829</v>
      </c>
      <c r="L2392" t="n">
        <v>141.094285529882</v>
      </c>
      <c r="M2392" t="n">
        <v>110.332196185628</v>
      </c>
      <c r="N2392" t="n">
        <v>77.6372003096034</v>
      </c>
      <c r="O2392" t="n">
        <v>53.9362316905133</v>
      </c>
      <c r="P2392" t="n">
        <v>0</v>
      </c>
    </row>
    <row r="2393">
      <c r="A2393" s="1" t="n">
        <v>4064941130703</v>
      </c>
      <c r="B2393" t="inlineStr">
        <is>
          <t>KJ MU SPP GLZ LG 3 ML 003ROSE BLOOM IV</t>
        </is>
      </c>
      <c r="C2393" t="inlineStr">
        <is>
          <t>P_US_ALL_OTHERS</t>
        </is>
      </c>
      <c r="D2393" t="inlineStr">
        <is>
          <t>Stat Fcst Theta</t>
        </is>
      </c>
    </row>
    <row r="2394">
      <c r="A2394" s="1" t="n">
        <v>4064941130703</v>
      </c>
      <c r="B2394" t="inlineStr">
        <is>
          <t>KJ MU SPP GLZ LG 3 ML 003ROSE BLOOM IV</t>
        </is>
      </c>
      <c r="C2394" t="inlineStr">
        <is>
          <t>P_US_ALL_OTHERS</t>
        </is>
      </c>
      <c r="D2394" t="inlineStr">
        <is>
          <t>System ML Fcst L1</t>
        </is>
      </c>
    </row>
    <row r="2395">
      <c r="A2395" s="1" t="n">
        <v>4064941130703</v>
      </c>
      <c r="B2395" t="inlineStr">
        <is>
          <t>KJ MU SPP GLZ LG 3 ML 003ROSE BLOOM IV</t>
        </is>
      </c>
      <c r="C2395" t="inlineStr">
        <is>
          <t>P_US_ALL_OTHERS</t>
        </is>
      </c>
      <c r="D2395" t="inlineStr">
        <is>
          <t>Stat Fcst Simple Snaive</t>
        </is>
      </c>
      <c r="E2395" t="n">
        <v>114.499996587634</v>
      </c>
      <c r="F2395" t="n">
        <v>104.999996870756</v>
      </c>
      <c r="G2395" t="n">
        <v>117.500000875443</v>
      </c>
      <c r="H2395" t="n">
        <v>146.999986082315</v>
      </c>
      <c r="I2395" t="n">
        <v>74.00000055134289</v>
      </c>
      <c r="J2395" t="n">
        <v>367.999989032745</v>
      </c>
      <c r="K2395" t="n">
        <v>165.499995067715</v>
      </c>
      <c r="L2395" t="n">
        <v>189.5</v>
      </c>
      <c r="M2395" t="n">
        <v>148.999987930059</v>
      </c>
      <c r="N2395" t="n">
        <v>114.500001706182</v>
      </c>
      <c r="O2395" t="n">
        <v>86.4999936074019</v>
      </c>
      <c r="P2395" t="n">
        <v>223.26009280925</v>
      </c>
    </row>
    <row r="2396">
      <c r="A2396" s="1" t="n">
        <v>4064941130703</v>
      </c>
      <c r="B2396" t="inlineStr">
        <is>
          <t>KJ MU SPP GLZ LG 3 ML 003ROSE BLOOM IV</t>
        </is>
      </c>
      <c r="C2396" t="inlineStr">
        <is>
          <t>P_US_ALL_OTHERS</t>
        </is>
      </c>
      <c r="D2396" t="inlineStr">
        <is>
          <t>Stat Fcst Simple AOA</t>
        </is>
      </c>
    </row>
    <row r="2397">
      <c r="A2397" s="1" t="n">
        <v>4064941130703</v>
      </c>
      <c r="B2397" t="inlineStr">
        <is>
          <t>KJ MU SPP GLZ LG 3 ML 003ROSE BLOOM IV</t>
        </is>
      </c>
      <c r="C2397" t="inlineStr">
        <is>
          <t>P_US_ALL_OTHERS</t>
        </is>
      </c>
      <c r="D2397" t="inlineStr">
        <is>
          <t>Stat Fcst Weighted Snaive</t>
        </is>
      </c>
    </row>
    <row r="2398">
      <c r="A2398" s="1" t="n">
        <v>4064941130703</v>
      </c>
      <c r="B2398" t="inlineStr">
        <is>
          <t>KJ MU SPP GLZ LG 3 ML 003ROSE BLOOM IV</t>
        </is>
      </c>
      <c r="C2398" t="inlineStr">
        <is>
          <t>P_US_ALL_OTHERS</t>
        </is>
      </c>
      <c r="D2398" t="inlineStr">
        <is>
          <t>Stat Fcst Weighted AOA</t>
        </is>
      </c>
    </row>
    <row r="2399">
      <c r="A2399" s="1" t="n">
        <v>4064941130703</v>
      </c>
      <c r="B2399" t="inlineStr">
        <is>
          <t>KJ MU SPP GLZ LG 3 ML 003ROSE BLOOM IV</t>
        </is>
      </c>
      <c r="C2399" t="inlineStr">
        <is>
          <t>P_US_ALL_OTHERS</t>
        </is>
      </c>
      <c r="D2399" t="inlineStr">
        <is>
          <t>Stat Fcst Growth Snaive</t>
        </is>
      </c>
    </row>
    <row r="2400">
      <c r="A2400" s="1" t="n">
        <v>4064941130703</v>
      </c>
      <c r="B2400" t="inlineStr">
        <is>
          <t>KJ MU SPP GLZ LG 3 ML 003ROSE BLOOM IV</t>
        </is>
      </c>
      <c r="C2400" t="inlineStr">
        <is>
          <t>P_US_ALL_OTHERS</t>
        </is>
      </c>
      <c r="D2400" t="inlineStr">
        <is>
          <t>Stat Fcst Growth AOA</t>
        </is>
      </c>
    </row>
    <row r="2401">
      <c r="A2401" s="1" t="n">
        <v>4064941130703</v>
      </c>
      <c r="B2401" t="inlineStr">
        <is>
          <t>KJ MU SPP GLZ LG 3 ML 003ROSE BLOOM IV</t>
        </is>
      </c>
      <c r="C2401" t="inlineStr">
        <is>
          <t>P_US_ALL_OTHERS</t>
        </is>
      </c>
      <c r="D2401" t="inlineStr">
        <is>
          <t>System Stat Fcst Bestfit</t>
        </is>
      </c>
      <c r="H2401" t="n">
        <v>71.8811700379499</v>
      </c>
      <c r="I2401" t="n">
        <v>6.03068546973679</v>
      </c>
      <c r="J2401" t="n">
        <v>321.479543641818</v>
      </c>
      <c r="K2401" t="n">
        <v>112.85223052346</v>
      </c>
      <c r="L2401" t="n">
        <v>141.094284057617</v>
      </c>
      <c r="M2401" t="n">
        <v>110.332188179129</v>
      </c>
      <c r="N2401" t="n">
        <v>77.63720055873981</v>
      </c>
      <c r="O2401" t="n">
        <v>53.9362280983856</v>
      </c>
      <c r="P2401" t="n">
        <v>0</v>
      </c>
    </row>
    <row r="2402">
      <c r="A2402" s="1" t="n">
        <v>4064941130703</v>
      </c>
      <c r="B2402" t="inlineStr">
        <is>
          <t>KJ MU SPP GLZ LG 3 ML 003ROSE BLOOM IV</t>
        </is>
      </c>
      <c r="C2402" t="inlineStr">
        <is>
          <t>P_US_ULTA</t>
        </is>
      </c>
      <c r="D2402" t="inlineStr">
        <is>
          <t>Stat Fcst L1</t>
        </is>
      </c>
      <c r="E2402" t="n">
        <v>287.999991416931</v>
      </c>
      <c r="F2402" t="n">
        <v>2975.99991130828</v>
      </c>
      <c r="G2402" t="n">
        <v>72</v>
      </c>
      <c r="H2402" t="n">
        <v>253</v>
      </c>
      <c r="I2402" t="n">
        <v>222</v>
      </c>
      <c r="J2402" t="n">
        <v>195</v>
      </c>
      <c r="K2402" t="n">
        <v>173</v>
      </c>
      <c r="L2402" t="n">
        <v>148</v>
      </c>
      <c r="M2402" t="n">
        <v>124</v>
      </c>
      <c r="N2402" t="n">
        <v>103</v>
      </c>
      <c r="O2402" t="n">
        <v>80</v>
      </c>
      <c r="P2402" t="n">
        <v>60</v>
      </c>
    </row>
    <row r="2403">
      <c r="A2403" s="1" t="n">
        <v>4064941130703</v>
      </c>
      <c r="B2403" t="inlineStr">
        <is>
          <t>KJ MU SPP GLZ LG 3 ML 003ROSE BLOOM IV</t>
        </is>
      </c>
      <c r="C2403" t="inlineStr">
        <is>
          <t>P_US_ULTA</t>
        </is>
      </c>
      <c r="D2403" t="inlineStr">
        <is>
          <t>Stat Fcst AR-NNET</t>
        </is>
      </c>
    </row>
    <row r="2404">
      <c r="A2404" s="1" t="n">
        <v>4064941130703</v>
      </c>
      <c r="B2404" t="inlineStr">
        <is>
          <t>KJ MU SPP GLZ LG 3 ML 003ROSE BLOOM IV</t>
        </is>
      </c>
      <c r="C2404" t="inlineStr">
        <is>
          <t>P_US_ULTA</t>
        </is>
      </c>
      <c r="D2404" t="inlineStr">
        <is>
          <t>Stat Fcst Auto ARIMA</t>
        </is>
      </c>
    </row>
    <row r="2405">
      <c r="A2405" s="1" t="n">
        <v>4064941130703</v>
      </c>
      <c r="B2405" t="inlineStr">
        <is>
          <t>KJ MU SPP GLZ LG 3 ML 003ROSE BLOOM IV</t>
        </is>
      </c>
      <c r="C2405" t="inlineStr">
        <is>
          <t>P_US_ULTA</t>
        </is>
      </c>
      <c r="D2405" t="inlineStr">
        <is>
          <t>Stat Fcst Croston</t>
        </is>
      </c>
    </row>
    <row r="2406">
      <c r="A2406" s="1" t="n">
        <v>4064941130703</v>
      </c>
      <c r="B2406" t="inlineStr">
        <is>
          <t>KJ MU SPP GLZ LG 3 ML 003ROSE BLOOM IV</t>
        </is>
      </c>
      <c r="C2406" t="inlineStr">
        <is>
          <t>P_US_ULTA</t>
        </is>
      </c>
      <c r="D2406" t="inlineStr">
        <is>
          <t>Stat Fcst DES</t>
        </is>
      </c>
      <c r="E2406" t="n">
        <v>57.3540467979506</v>
      </c>
      <c r="F2406" t="n">
        <v>20.1935239050558</v>
      </c>
      <c r="G2406" t="n">
        <v>284.288939724458</v>
      </c>
      <c r="H2406" t="n">
        <v>253.284815718331</v>
      </c>
      <c r="I2406" t="n">
        <v>224.083086748992</v>
      </c>
      <c r="J2406" t="n">
        <v>196.578938840573</v>
      </c>
      <c r="K2406" t="n">
        <v>170.673709820843</v>
      </c>
      <c r="L2406" t="n">
        <v>146.274445514285</v>
      </c>
      <c r="M2406" t="n">
        <v>123.293586170971</v>
      </c>
      <c r="N2406" t="n">
        <v>101.648692131071</v>
      </c>
      <c r="O2406" t="n">
        <v>81.26208164760919</v>
      </c>
      <c r="P2406" t="n">
        <v>62.0606217712679</v>
      </c>
    </row>
    <row r="2407">
      <c r="A2407" s="1" t="n">
        <v>4064941130703</v>
      </c>
      <c r="B2407" t="inlineStr">
        <is>
          <t>KJ MU SPP GLZ LG 3 ML 003ROSE BLOOM IV</t>
        </is>
      </c>
      <c r="C2407" t="inlineStr">
        <is>
          <t>P_US_ULTA</t>
        </is>
      </c>
      <c r="D2407" t="inlineStr">
        <is>
          <t>Stat Fcst ETS</t>
        </is>
      </c>
    </row>
    <row r="2408">
      <c r="A2408" s="1" t="n">
        <v>4064941130703</v>
      </c>
      <c r="B2408" t="inlineStr">
        <is>
          <t>KJ MU SPP GLZ LG 3 ML 003ROSE BLOOM IV</t>
        </is>
      </c>
      <c r="C2408" t="inlineStr">
        <is>
          <t>P_US_ULTA</t>
        </is>
      </c>
      <c r="D2408" t="inlineStr">
        <is>
          <t>Stat Fcst Moving Average</t>
        </is>
      </c>
      <c r="E2408" t="n">
        <v>407.619987851977</v>
      </c>
      <c r="F2408" t="n">
        <v>412.349987711012</v>
      </c>
      <c r="G2408" t="n">
        <v>768.000005722045</v>
      </c>
      <c r="H2408" t="n">
        <v>921.599972534179</v>
      </c>
      <c r="I2408" t="n">
        <v>1048.32000781059</v>
      </c>
      <c r="J2408" t="n">
        <v>1200.37996422588</v>
      </c>
      <c r="K2408" t="n">
        <v>1382.85995878756</v>
      </c>
      <c r="L2408" t="n">
        <v>1064.23</v>
      </c>
      <c r="M2408" t="n">
        <v>1123.47996651768</v>
      </c>
      <c r="N2408" t="n">
        <v>1163.85001734271</v>
      </c>
      <c r="O2408" t="n">
        <v>1186.95996462583</v>
      </c>
      <c r="P2408" t="n">
        <v>1184.28000882357</v>
      </c>
    </row>
    <row r="2409">
      <c r="A2409" s="1" t="n">
        <v>4064941130703</v>
      </c>
      <c r="B2409" t="inlineStr">
        <is>
          <t>KJ MU SPP GLZ LG 3 ML 003ROSE BLOOM IV</t>
        </is>
      </c>
      <c r="C2409" t="inlineStr">
        <is>
          <t>P_US_ULTA</t>
        </is>
      </c>
      <c r="D2409" t="inlineStr">
        <is>
          <t>Stat Fcst Naive Random Walk</t>
        </is>
      </c>
    </row>
    <row r="2410">
      <c r="A2410" s="1" t="n">
        <v>4064941130703</v>
      </c>
      <c r="B2410" t="inlineStr">
        <is>
          <t>KJ MU SPP GLZ LG 3 ML 003ROSE BLOOM IV</t>
        </is>
      </c>
      <c r="C2410" t="inlineStr">
        <is>
          <t>P_US_ULTA</t>
        </is>
      </c>
      <c r="D2410" t="inlineStr">
        <is>
          <t>Stat Fcst Prophet</t>
        </is>
      </c>
    </row>
    <row r="2411">
      <c r="A2411" s="1" t="n">
        <v>4064941130703</v>
      </c>
      <c r="B2411" t="inlineStr">
        <is>
          <t>KJ MU SPP GLZ LG 3 ML 003ROSE BLOOM IV</t>
        </is>
      </c>
      <c r="C2411" t="inlineStr">
        <is>
          <t>P_US_ULTA</t>
        </is>
      </c>
      <c r="D2411" t="inlineStr">
        <is>
          <t>Stat Fcst sARIMA</t>
        </is>
      </c>
    </row>
    <row r="2412">
      <c r="A2412" s="1" t="n">
        <v>4064941130703</v>
      </c>
      <c r="B2412" t="inlineStr">
        <is>
          <t>KJ MU SPP GLZ LG 3 ML 003ROSE BLOOM IV</t>
        </is>
      </c>
      <c r="C2412" t="inlineStr">
        <is>
          <t>P_US_ULTA</t>
        </is>
      </c>
      <c r="D2412" t="inlineStr">
        <is>
          <t>Stat Fcst Seasonal Naive YoY</t>
        </is>
      </c>
    </row>
    <row r="2413">
      <c r="A2413" s="1" t="n">
        <v>4064941130703</v>
      </c>
      <c r="B2413" t="inlineStr">
        <is>
          <t>KJ MU SPP GLZ LG 3 ML 003ROSE BLOOM IV</t>
        </is>
      </c>
      <c r="C2413" t="inlineStr">
        <is>
          <t>P_US_ULTA</t>
        </is>
      </c>
      <c r="D2413" t="inlineStr">
        <is>
          <t>Stat Fcst SES</t>
        </is>
      </c>
    </row>
    <row r="2414">
      <c r="A2414" s="1" t="n">
        <v>4064941130703</v>
      </c>
      <c r="B2414" t="inlineStr">
        <is>
          <t>KJ MU SPP GLZ LG 3 ML 003ROSE BLOOM IV</t>
        </is>
      </c>
      <c r="C2414" t="inlineStr">
        <is>
          <t>P_US_ULTA</t>
        </is>
      </c>
      <c r="D2414" t="inlineStr">
        <is>
          <t>Stat Fcst STLF</t>
        </is>
      </c>
      <c r="E2414" t="n">
        <v>0</v>
      </c>
      <c r="F2414" t="n">
        <v>0</v>
      </c>
      <c r="G2414" t="n">
        <v>0</v>
      </c>
      <c r="H2414" t="n">
        <v>33.0605269518793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4064941130703</v>
      </c>
      <c r="B2415" t="inlineStr">
        <is>
          <t>KJ MU SPP GLZ LG 3 ML 003ROSE BLOOM IV</t>
        </is>
      </c>
      <c r="C2415" t="inlineStr">
        <is>
          <t>P_US_ULTA</t>
        </is>
      </c>
      <c r="D2415" t="inlineStr">
        <is>
          <t>Stat Fcst TBATS</t>
        </is>
      </c>
    </row>
    <row r="2416">
      <c r="A2416" s="1" t="n">
        <v>4064941130703</v>
      </c>
      <c r="B2416" t="inlineStr">
        <is>
          <t>KJ MU SPP GLZ LG 3 ML 003ROSE BLOOM IV</t>
        </is>
      </c>
      <c r="C2416" t="inlineStr">
        <is>
          <t>P_US_ULTA</t>
        </is>
      </c>
      <c r="D2416" t="inlineStr">
        <is>
          <t>Stat Fcst TES</t>
        </is>
      </c>
    </row>
    <row r="2417">
      <c r="A2417" s="1" t="n">
        <v>4064941130703</v>
      </c>
      <c r="B2417" t="inlineStr">
        <is>
          <t>KJ MU SPP GLZ LG 3 ML 003ROSE BLOOM IV</t>
        </is>
      </c>
      <c r="C2417" t="inlineStr">
        <is>
          <t>P_US_ULTA</t>
        </is>
      </c>
      <c r="D2417" t="inlineStr">
        <is>
          <t>Stat Fcst Theta</t>
        </is>
      </c>
    </row>
    <row r="2418">
      <c r="A2418" s="1" t="n">
        <v>4064941130703</v>
      </c>
      <c r="B2418" t="inlineStr">
        <is>
          <t>KJ MU SPP GLZ LG 3 ML 003ROSE BLOOM IV</t>
        </is>
      </c>
      <c r="C2418" t="inlineStr">
        <is>
          <t>P_US_ULTA</t>
        </is>
      </c>
      <c r="D2418" t="inlineStr">
        <is>
          <t>System ML Fcst L1</t>
        </is>
      </c>
    </row>
    <row r="2419">
      <c r="A2419" s="1" t="n">
        <v>4064941130703</v>
      </c>
      <c r="B2419" t="inlineStr">
        <is>
          <t>KJ MU SPP GLZ LG 3 ML 003ROSE BLOOM IV</t>
        </is>
      </c>
      <c r="C2419" t="inlineStr">
        <is>
          <t>P_US_ULTA</t>
        </is>
      </c>
      <c r="D2419" t="inlineStr">
        <is>
          <t>Stat Fcst Simple Snaive</t>
        </is>
      </c>
    </row>
    <row r="2420">
      <c r="A2420" s="1" t="n">
        <v>4064941130703</v>
      </c>
      <c r="B2420" t="inlineStr">
        <is>
          <t>KJ MU SPP GLZ LG 3 ML 003ROSE BLOOM IV</t>
        </is>
      </c>
      <c r="C2420" t="inlineStr">
        <is>
          <t>P_US_ULTA</t>
        </is>
      </c>
      <c r="D2420" t="inlineStr">
        <is>
          <t>Stat Fcst Simple AOA</t>
        </is>
      </c>
    </row>
    <row r="2421">
      <c r="A2421" s="1" t="n">
        <v>4064941130703</v>
      </c>
      <c r="B2421" t="inlineStr">
        <is>
          <t>KJ MU SPP GLZ LG 3 ML 003ROSE BLOOM IV</t>
        </is>
      </c>
      <c r="C2421" t="inlineStr">
        <is>
          <t>P_US_ULTA</t>
        </is>
      </c>
      <c r="D2421" t="inlineStr">
        <is>
          <t>Stat Fcst Weighted Snaive</t>
        </is>
      </c>
    </row>
    <row r="2422">
      <c r="A2422" s="1" t="n">
        <v>4064941130703</v>
      </c>
      <c r="B2422" t="inlineStr">
        <is>
          <t>KJ MU SPP GLZ LG 3 ML 003ROSE BLOOM IV</t>
        </is>
      </c>
      <c r="C2422" t="inlineStr">
        <is>
          <t>P_US_ULTA</t>
        </is>
      </c>
      <c r="D2422" t="inlineStr">
        <is>
          <t>Stat Fcst Weighted AOA</t>
        </is>
      </c>
      <c r="E2422" t="n">
        <v>527.999984264373</v>
      </c>
      <c r="F2422" t="n">
        <v>479.999985694885</v>
      </c>
      <c r="G2422" t="n">
        <v>288.000002145767</v>
      </c>
      <c r="H2422" t="n">
        <v>1871.99979162216</v>
      </c>
      <c r="I2422" t="n">
        <v>3360.00002503395</v>
      </c>
      <c r="J2422" t="n">
        <v>191.999979019165</v>
      </c>
      <c r="K2422" t="n">
        <v>143.999995708465</v>
      </c>
      <c r="L2422" t="n">
        <v>336</v>
      </c>
      <c r="M2422" t="n">
        <v>1535.99995422363</v>
      </c>
      <c r="N2422" t="n">
        <v>48.0000007152557</v>
      </c>
      <c r="O2422" t="n">
        <v>543.999963442485</v>
      </c>
      <c r="P2422" t="n">
        <v>2585.21844374054</v>
      </c>
    </row>
    <row r="2423">
      <c r="A2423" s="1" t="n">
        <v>4064941130703</v>
      </c>
      <c r="B2423" t="inlineStr">
        <is>
          <t>KJ MU SPP GLZ LG 3 ML 003ROSE BLOOM IV</t>
        </is>
      </c>
      <c r="C2423" t="inlineStr">
        <is>
          <t>P_US_ULTA</t>
        </is>
      </c>
      <c r="D2423" t="inlineStr">
        <is>
          <t>Stat Fcst Growth Snaive</t>
        </is>
      </c>
    </row>
    <row r="2424">
      <c r="A2424" s="1" t="n">
        <v>4064941130703</v>
      </c>
      <c r="B2424" t="inlineStr">
        <is>
          <t>KJ MU SPP GLZ LG 3 ML 003ROSE BLOOM IV</t>
        </is>
      </c>
      <c r="C2424" t="inlineStr">
        <is>
          <t>P_US_ULTA</t>
        </is>
      </c>
      <c r="D2424" t="inlineStr">
        <is>
          <t>Stat Fcst Growth AOA</t>
        </is>
      </c>
    </row>
    <row r="2425">
      <c r="A2425" s="1" t="n">
        <v>4064941130703</v>
      </c>
      <c r="B2425" t="inlineStr">
        <is>
          <t>KJ MU SPP GLZ LG 3 ML 003ROSE BLOOM IV</t>
        </is>
      </c>
      <c r="C2425" t="inlineStr">
        <is>
          <t>P_US_ULTA</t>
        </is>
      </c>
      <c r="D2425" t="inlineStr">
        <is>
          <t>System Stat Fcst Bestfit</t>
        </is>
      </c>
      <c r="H2425" t="n">
        <v>253.284813008164</v>
      </c>
      <c r="I2425" t="n">
        <v>224.083085775994</v>
      </c>
      <c r="J2425" t="n">
        <v>196.5789431161</v>
      </c>
      <c r="K2425" t="n">
        <v>170.673716227003</v>
      </c>
      <c r="L2425" t="n">
        <v>146.274444580078</v>
      </c>
      <c r="M2425" t="n">
        <v>123.293583056521</v>
      </c>
      <c r="N2425" t="n">
        <v>101.648690784703</v>
      </c>
      <c r="O2425" t="n">
        <v>81.2620825391386</v>
      </c>
      <c r="P2425" t="n">
        <v>62.0606236313329</v>
      </c>
    </row>
    <row r="2426">
      <c r="A2426" s="1" t="n">
        <v>4064941130727</v>
      </c>
      <c r="B2426" t="inlineStr">
        <is>
          <t>KJ MU SPP GLZ LG 3 ML 005LOVABLE IV</t>
        </is>
      </c>
      <c r="C2426" t="inlineStr">
        <is>
          <t>P_US_ALL_OTHERS</t>
        </is>
      </c>
      <c r="D2426" t="inlineStr">
        <is>
          <t>Stat Fcst L1</t>
        </is>
      </c>
      <c r="E2426" t="n">
        <v>69.9999979138374</v>
      </c>
      <c r="F2426" t="n">
        <v>96.9999971091747</v>
      </c>
      <c r="G2426" t="n">
        <v>253</v>
      </c>
      <c r="H2426" t="n">
        <v>57</v>
      </c>
      <c r="I2426" t="n">
        <v>34</v>
      </c>
      <c r="J2426" t="n">
        <v>26</v>
      </c>
      <c r="K2426" t="n">
        <v>150</v>
      </c>
      <c r="L2426" t="n">
        <v>164</v>
      </c>
      <c r="M2426" t="n">
        <v>62</v>
      </c>
      <c r="N2426" t="n">
        <v>60</v>
      </c>
      <c r="O2426" t="n">
        <v>27</v>
      </c>
      <c r="P2426" t="n">
        <v>4</v>
      </c>
    </row>
    <row r="2427">
      <c r="A2427" s="1" t="n">
        <v>4064941130727</v>
      </c>
      <c r="B2427" t="inlineStr">
        <is>
          <t>KJ MU SPP GLZ LG 3 ML 005LOVABLE IV</t>
        </is>
      </c>
      <c r="C2427" t="inlineStr">
        <is>
          <t>P_US_ALL_OTHERS</t>
        </is>
      </c>
      <c r="D2427" t="inlineStr">
        <is>
          <t>Stat Fcst AR-NNET</t>
        </is>
      </c>
    </row>
    <row r="2428">
      <c r="A2428" s="1" t="n">
        <v>4064941130727</v>
      </c>
      <c r="B2428" t="inlineStr">
        <is>
          <t>KJ MU SPP GLZ LG 3 ML 005LOVABLE IV</t>
        </is>
      </c>
      <c r="C2428" t="inlineStr">
        <is>
          <t>P_US_ALL_OTHERS</t>
        </is>
      </c>
      <c r="D2428" t="inlineStr">
        <is>
          <t>Stat Fcst Auto ARIMA</t>
        </is>
      </c>
    </row>
    <row r="2429">
      <c r="A2429" s="1" t="n">
        <v>4064941130727</v>
      </c>
      <c r="B2429" t="inlineStr">
        <is>
          <t>KJ MU SPP GLZ LG 3 ML 005LOVABLE IV</t>
        </is>
      </c>
      <c r="C2429" t="inlineStr">
        <is>
          <t>P_US_ALL_OTHERS</t>
        </is>
      </c>
      <c r="D2429" t="inlineStr">
        <is>
          <t>Stat Fcst Croston</t>
        </is>
      </c>
    </row>
    <row r="2430">
      <c r="A2430" s="1" t="n">
        <v>4064941130727</v>
      </c>
      <c r="B2430" t="inlineStr">
        <is>
          <t>KJ MU SPP GLZ LG 3 ML 005LOVABLE IV</t>
        </is>
      </c>
      <c r="C2430" t="inlineStr">
        <is>
          <t>P_US_ALL_OTHERS</t>
        </is>
      </c>
      <c r="D2430" t="inlineStr">
        <is>
          <t>Stat Fcst DES</t>
        </is>
      </c>
    </row>
    <row r="2431">
      <c r="A2431" s="1" t="n">
        <v>4064941130727</v>
      </c>
      <c r="B2431" t="inlineStr">
        <is>
          <t>KJ MU SPP GLZ LG 3 ML 005LOVABLE IV</t>
        </is>
      </c>
      <c r="C2431" t="inlineStr">
        <is>
          <t>P_US_ALL_OTHERS</t>
        </is>
      </c>
      <c r="D2431" t="inlineStr">
        <is>
          <t>Stat Fcst ETS</t>
        </is>
      </c>
    </row>
    <row r="2432">
      <c r="A2432" s="1" t="n">
        <v>4064941130727</v>
      </c>
      <c r="B2432" t="inlineStr">
        <is>
          <t>KJ MU SPP GLZ LG 3 ML 005LOVABLE IV</t>
        </is>
      </c>
      <c r="C2432" t="inlineStr">
        <is>
          <t>P_US_ALL_OTHERS</t>
        </is>
      </c>
      <c r="D2432" t="inlineStr">
        <is>
          <t>Stat Fcst Moving Average</t>
        </is>
      </c>
    </row>
    <row r="2433">
      <c r="A2433" s="1" t="n">
        <v>4064941130727</v>
      </c>
      <c r="B2433" t="inlineStr">
        <is>
          <t>KJ MU SPP GLZ LG 3 ML 005LOVABLE IV</t>
        </is>
      </c>
      <c r="C2433" t="inlineStr">
        <is>
          <t>P_US_ALL_OTHERS</t>
        </is>
      </c>
      <c r="D2433" t="inlineStr">
        <is>
          <t>Stat Fcst Naive Random Walk</t>
        </is>
      </c>
    </row>
    <row r="2434">
      <c r="A2434" s="1" t="n">
        <v>4064941130727</v>
      </c>
      <c r="B2434" t="inlineStr">
        <is>
          <t>KJ MU SPP GLZ LG 3 ML 005LOVABLE IV</t>
        </is>
      </c>
      <c r="C2434" t="inlineStr">
        <is>
          <t>P_US_ALL_OTHERS</t>
        </is>
      </c>
      <c r="D2434" t="inlineStr">
        <is>
          <t>Stat Fcst Prophet</t>
        </is>
      </c>
    </row>
    <row r="2435">
      <c r="A2435" s="1" t="n">
        <v>4064941130727</v>
      </c>
      <c r="B2435" t="inlineStr">
        <is>
          <t>KJ MU SPP GLZ LG 3 ML 005LOVABLE IV</t>
        </is>
      </c>
      <c r="C2435" t="inlineStr">
        <is>
          <t>P_US_ALL_OTHERS</t>
        </is>
      </c>
      <c r="D2435" t="inlineStr">
        <is>
          <t>Stat Fcst sARIMA</t>
        </is>
      </c>
    </row>
    <row r="2436">
      <c r="A2436" s="1" t="n">
        <v>4064941130727</v>
      </c>
      <c r="B2436" t="inlineStr">
        <is>
          <t>KJ MU SPP GLZ LG 3 ML 005LOVABLE IV</t>
        </is>
      </c>
      <c r="C2436" t="inlineStr">
        <is>
          <t>P_US_ALL_OTHERS</t>
        </is>
      </c>
      <c r="D2436" t="inlineStr">
        <is>
          <t>Stat Fcst Seasonal Naive YoY</t>
        </is>
      </c>
    </row>
    <row r="2437">
      <c r="A2437" s="1" t="n">
        <v>4064941130727</v>
      </c>
      <c r="B2437" t="inlineStr">
        <is>
          <t>KJ MU SPP GLZ LG 3 ML 005LOVABLE IV</t>
        </is>
      </c>
      <c r="C2437" t="inlineStr">
        <is>
          <t>P_US_ALL_OTHERS</t>
        </is>
      </c>
      <c r="D2437" t="inlineStr">
        <is>
          <t>Stat Fcst SES</t>
        </is>
      </c>
    </row>
    <row r="2438">
      <c r="A2438" s="1" t="n">
        <v>4064941130727</v>
      </c>
      <c r="B2438" t="inlineStr">
        <is>
          <t>KJ MU SPP GLZ LG 3 ML 005LOVABLE IV</t>
        </is>
      </c>
      <c r="C2438" t="inlineStr">
        <is>
          <t>P_US_ALL_OTHERS</t>
        </is>
      </c>
      <c r="D2438" t="inlineStr">
        <is>
          <t>Stat Fcst STLF</t>
        </is>
      </c>
      <c r="E2438" t="n">
        <v>12.1923085458616</v>
      </c>
      <c r="F2438" t="n">
        <v>26.1849996773028</v>
      </c>
      <c r="G2438" t="n">
        <v>240.363358429867</v>
      </c>
      <c r="H2438" t="n">
        <v>58.0923885649735</v>
      </c>
      <c r="I2438" t="n">
        <v>36.2386557552671</v>
      </c>
      <c r="J2438" t="n">
        <v>25.7248606219284</v>
      </c>
      <c r="K2438" t="n">
        <v>148.859294910879</v>
      </c>
      <c r="L2438" t="n">
        <v>165.496839256252</v>
      </c>
      <c r="M2438" t="n">
        <v>64.1337731839924</v>
      </c>
      <c r="N2438" t="n">
        <v>62.0169375310522</v>
      </c>
      <c r="O2438" t="n">
        <v>27.9046404052233</v>
      </c>
      <c r="P2438" t="n">
        <v>3.00000002235174</v>
      </c>
    </row>
    <row r="2439">
      <c r="A2439" s="1" t="n">
        <v>4064941130727</v>
      </c>
      <c r="B2439" t="inlineStr">
        <is>
          <t>KJ MU SPP GLZ LG 3 ML 005LOVABLE IV</t>
        </is>
      </c>
      <c r="C2439" t="inlineStr">
        <is>
          <t>P_US_ALL_OTHERS</t>
        </is>
      </c>
      <c r="D2439" t="inlineStr">
        <is>
          <t>Stat Fcst TBATS</t>
        </is>
      </c>
    </row>
    <row r="2440">
      <c r="A2440" s="1" t="n">
        <v>4064941130727</v>
      </c>
      <c r="B2440" t="inlineStr">
        <is>
          <t>KJ MU SPP GLZ LG 3 ML 005LOVABLE IV</t>
        </is>
      </c>
      <c r="C2440" t="inlineStr">
        <is>
          <t>P_US_ALL_OTHERS</t>
        </is>
      </c>
      <c r="D2440" t="inlineStr">
        <is>
          <t>Stat Fcst TES</t>
        </is>
      </c>
      <c r="E2440" t="n">
        <v>135.221209960099</v>
      </c>
      <c r="F2440" t="n">
        <v>134.891928101012</v>
      </c>
      <c r="G2440" t="n">
        <v>56.8248432989085</v>
      </c>
      <c r="H2440" t="n">
        <v>103.235212626722</v>
      </c>
      <c r="I2440" t="n">
        <v>11.6425444004265</v>
      </c>
      <c r="J2440" t="n">
        <v>248.290533642032</v>
      </c>
      <c r="K2440" t="n">
        <v>117.921707088738</v>
      </c>
      <c r="L2440" t="n">
        <v>162.754156035007</v>
      </c>
      <c r="M2440" t="n">
        <v>95.38901719931781</v>
      </c>
      <c r="N2440" t="n">
        <v>85.08573290406321</v>
      </c>
      <c r="O2440" t="n">
        <v>67.673508806648</v>
      </c>
      <c r="P2440" t="n">
        <v>48.2110189347435</v>
      </c>
    </row>
    <row r="2441">
      <c r="A2441" s="1" t="n">
        <v>4064941130727</v>
      </c>
      <c r="B2441" t="inlineStr">
        <is>
          <t>KJ MU SPP GLZ LG 3 ML 005LOVABLE IV</t>
        </is>
      </c>
      <c r="C2441" t="inlineStr">
        <is>
          <t>P_US_ALL_OTHERS</t>
        </is>
      </c>
      <c r="D2441" t="inlineStr">
        <is>
          <t>Stat Fcst Theta</t>
        </is>
      </c>
    </row>
    <row r="2442">
      <c r="A2442" s="1" t="n">
        <v>4064941130727</v>
      </c>
      <c r="B2442" t="inlineStr">
        <is>
          <t>KJ MU SPP GLZ LG 3 ML 005LOVABLE IV</t>
        </is>
      </c>
      <c r="C2442" t="inlineStr">
        <is>
          <t>P_US_ALL_OTHERS</t>
        </is>
      </c>
      <c r="D2442" t="inlineStr">
        <is>
          <t>System ML Fcst L1</t>
        </is>
      </c>
    </row>
    <row r="2443">
      <c r="A2443" s="1" t="n">
        <v>4064941130727</v>
      </c>
      <c r="B2443" t="inlineStr">
        <is>
          <t>KJ MU SPP GLZ LG 3 ML 005LOVABLE IV</t>
        </is>
      </c>
      <c r="C2443" t="inlineStr">
        <is>
          <t>P_US_ALL_OTHERS</t>
        </is>
      </c>
      <c r="D2443" t="inlineStr">
        <is>
          <t>Stat Fcst Simple Snaive</t>
        </is>
      </c>
      <c r="E2443" t="n">
        <v>106.999992996454</v>
      </c>
      <c r="F2443" t="n">
        <v>115.999992728233</v>
      </c>
      <c r="G2443" t="n">
        <v>141.000001050531</v>
      </c>
      <c r="H2443" t="n">
        <v>171.999994874</v>
      </c>
      <c r="I2443" t="n">
        <v>84.500000629574</v>
      </c>
      <c r="J2443" t="n">
        <v>303.512379183996</v>
      </c>
      <c r="K2443" t="n">
        <v>175.999994754791</v>
      </c>
      <c r="L2443" t="n">
        <v>218</v>
      </c>
      <c r="M2443" t="n">
        <v>143.499988093972</v>
      </c>
      <c r="N2443" t="n">
        <v>128.000005722045</v>
      </c>
      <c r="O2443" t="n">
        <v>106.499996826052</v>
      </c>
      <c r="P2443" t="n">
        <v>225.341595103404</v>
      </c>
    </row>
    <row r="2444">
      <c r="A2444" s="1" t="n">
        <v>4064941130727</v>
      </c>
      <c r="B2444" t="inlineStr">
        <is>
          <t>KJ MU SPP GLZ LG 3 ML 005LOVABLE IV</t>
        </is>
      </c>
      <c r="C2444" t="inlineStr">
        <is>
          <t>P_US_ALL_OTHERS</t>
        </is>
      </c>
      <c r="D2444" t="inlineStr">
        <is>
          <t>Stat Fcst Simple AOA</t>
        </is>
      </c>
    </row>
    <row r="2445">
      <c r="A2445" s="1" t="n">
        <v>4064941130727</v>
      </c>
      <c r="B2445" t="inlineStr">
        <is>
          <t>KJ MU SPP GLZ LG 3 ML 005LOVABLE IV</t>
        </is>
      </c>
      <c r="C2445" t="inlineStr">
        <is>
          <t>P_US_ALL_OTHERS</t>
        </is>
      </c>
      <c r="D2445" t="inlineStr">
        <is>
          <t>Stat Fcst Weighted Snaive</t>
        </is>
      </c>
    </row>
    <row r="2446">
      <c r="A2446" s="1" t="n">
        <v>4064941130727</v>
      </c>
      <c r="B2446" t="inlineStr">
        <is>
          <t>KJ MU SPP GLZ LG 3 ML 005LOVABLE IV</t>
        </is>
      </c>
      <c r="C2446" t="inlineStr">
        <is>
          <t>P_US_ALL_OTHERS</t>
        </is>
      </c>
      <c r="D2446" t="inlineStr">
        <is>
          <t>Stat Fcst Weighted AOA</t>
        </is>
      </c>
    </row>
    <row r="2447">
      <c r="A2447" s="1" t="n">
        <v>4064941130727</v>
      </c>
      <c r="B2447" t="inlineStr">
        <is>
          <t>KJ MU SPP GLZ LG 3 ML 005LOVABLE IV</t>
        </is>
      </c>
      <c r="C2447" t="inlineStr">
        <is>
          <t>P_US_ALL_OTHERS</t>
        </is>
      </c>
      <c r="D2447" t="inlineStr">
        <is>
          <t>Stat Fcst Growth Snaive</t>
        </is>
      </c>
    </row>
    <row r="2448">
      <c r="A2448" s="1" t="n">
        <v>4064941130727</v>
      </c>
      <c r="B2448" t="inlineStr">
        <is>
          <t>KJ MU SPP GLZ LG 3 ML 005LOVABLE IV</t>
        </is>
      </c>
      <c r="C2448" t="inlineStr">
        <is>
          <t>P_US_ALL_OTHERS</t>
        </is>
      </c>
      <c r="D2448" t="inlineStr">
        <is>
          <t>Stat Fcst Growth AOA</t>
        </is>
      </c>
    </row>
    <row r="2449">
      <c r="A2449" s="1" t="n">
        <v>4064941130727</v>
      </c>
      <c r="B2449" t="inlineStr">
        <is>
          <t>KJ MU SPP GLZ LG 3 ML 005LOVABLE IV</t>
        </is>
      </c>
      <c r="C2449" t="inlineStr">
        <is>
          <t>P_US_ALL_OTHERS</t>
        </is>
      </c>
      <c r="D2449" t="inlineStr">
        <is>
          <t>System Stat Fcst Bestfit</t>
        </is>
      </c>
      <c r="H2449" t="n">
        <v>58.092386421788</v>
      </c>
      <c r="I2449" t="n">
        <v>36.238655360331</v>
      </c>
      <c r="J2449" t="n">
        <v>25.7248603783589</v>
      </c>
      <c r="K2449" t="n">
        <v>148.859279010913</v>
      </c>
      <c r="L2449" t="n">
        <v>165.496841430664</v>
      </c>
      <c r="M2449" t="n">
        <v>64.13377189237551</v>
      </c>
      <c r="N2449" t="n">
        <v>62.0169381799837</v>
      </c>
      <c r="O2449" t="n">
        <v>27.9046393661308</v>
      </c>
      <c r="P2449" t="n">
        <v>3.00000002235174</v>
      </c>
    </row>
    <row r="2450">
      <c r="A2450" s="1" t="n">
        <v>4064941130727</v>
      </c>
      <c r="B2450" t="inlineStr">
        <is>
          <t>KJ MU SPP GLZ LG 3 ML 005LOVABLE IV</t>
        </is>
      </c>
      <c r="C2450" t="inlineStr">
        <is>
          <t>P_US_ULTA</t>
        </is>
      </c>
      <c r="D2450" t="inlineStr">
        <is>
          <t>Stat Fcst L1</t>
        </is>
      </c>
      <c r="E2450" t="n">
        <v>383.999988555908</v>
      </c>
      <c r="F2450" t="n">
        <v>2397.99992853403</v>
      </c>
      <c r="G2450" t="n">
        <v>0</v>
      </c>
      <c r="H2450" t="n">
        <v>1360</v>
      </c>
      <c r="I2450" t="n">
        <v>432</v>
      </c>
      <c r="J2450" t="n">
        <v>14</v>
      </c>
      <c r="K2450" t="n">
        <v>67</v>
      </c>
      <c r="L2450" t="n">
        <v>280</v>
      </c>
      <c r="M2450" t="n">
        <v>607</v>
      </c>
      <c r="N2450" t="n">
        <v>835</v>
      </c>
      <c r="O2450" t="n">
        <v>133</v>
      </c>
      <c r="P2450" t="n">
        <v>711</v>
      </c>
    </row>
    <row r="2451">
      <c r="A2451" s="1" t="n">
        <v>4064941130727</v>
      </c>
      <c r="B2451" t="inlineStr">
        <is>
          <t>KJ MU SPP GLZ LG 3 ML 005LOVABLE IV</t>
        </is>
      </c>
      <c r="C2451" t="inlineStr">
        <is>
          <t>P_US_ULTA</t>
        </is>
      </c>
      <c r="D2451" t="inlineStr">
        <is>
          <t>Stat Fcst AR-NNET</t>
        </is>
      </c>
    </row>
    <row r="2452">
      <c r="A2452" s="1" t="n">
        <v>4064941130727</v>
      </c>
      <c r="B2452" t="inlineStr">
        <is>
          <t>KJ MU SPP GLZ LG 3 ML 005LOVABLE IV</t>
        </is>
      </c>
      <c r="C2452" t="inlineStr">
        <is>
          <t>P_US_ULTA</t>
        </is>
      </c>
      <c r="D2452" t="inlineStr">
        <is>
          <t>Stat Fcst Auto ARIMA</t>
        </is>
      </c>
    </row>
    <row r="2453">
      <c r="A2453" s="1" t="n">
        <v>4064941130727</v>
      </c>
      <c r="B2453" t="inlineStr">
        <is>
          <t>KJ MU SPP GLZ LG 3 ML 005LOVABLE IV</t>
        </is>
      </c>
      <c r="C2453" t="inlineStr">
        <is>
          <t>P_US_ULTA</t>
        </is>
      </c>
      <c r="D2453" t="inlineStr">
        <is>
          <t>Stat Fcst Croston</t>
        </is>
      </c>
    </row>
    <row r="2454">
      <c r="A2454" s="1" t="n">
        <v>4064941130727</v>
      </c>
      <c r="B2454" t="inlineStr">
        <is>
          <t>KJ MU SPP GLZ LG 3 ML 005LOVABLE IV</t>
        </is>
      </c>
      <c r="C2454" t="inlineStr">
        <is>
          <t>P_US_ULTA</t>
        </is>
      </c>
      <c r="D2454" t="inlineStr">
        <is>
          <t>Stat Fcst DES</t>
        </is>
      </c>
    </row>
    <row r="2455">
      <c r="A2455" s="1" t="n">
        <v>4064941130727</v>
      </c>
      <c r="B2455" t="inlineStr">
        <is>
          <t>KJ MU SPP GLZ LG 3 ML 005LOVABLE IV</t>
        </is>
      </c>
      <c r="C2455" t="inlineStr">
        <is>
          <t>P_US_ULTA</t>
        </is>
      </c>
      <c r="D2455" t="inlineStr">
        <is>
          <t>Stat Fcst ETS</t>
        </is>
      </c>
    </row>
    <row r="2456">
      <c r="A2456" s="1" t="n">
        <v>4064941130727</v>
      </c>
      <c r="B2456" t="inlineStr">
        <is>
          <t>KJ MU SPP GLZ LG 3 ML 005LOVABLE IV</t>
        </is>
      </c>
      <c r="C2456" t="inlineStr">
        <is>
          <t>P_US_ULTA</t>
        </is>
      </c>
      <c r="D2456" t="inlineStr">
        <is>
          <t>Stat Fcst Moving Average</t>
        </is>
      </c>
    </row>
    <row r="2457">
      <c r="A2457" s="1" t="n">
        <v>4064941130727</v>
      </c>
      <c r="B2457" t="inlineStr">
        <is>
          <t>KJ MU SPP GLZ LG 3 ML 005LOVABLE IV</t>
        </is>
      </c>
      <c r="C2457" t="inlineStr">
        <is>
          <t>P_US_ULTA</t>
        </is>
      </c>
      <c r="D2457" t="inlineStr">
        <is>
          <t>Stat Fcst Naive Random Walk</t>
        </is>
      </c>
    </row>
    <row r="2458">
      <c r="A2458" s="1" t="n">
        <v>4064941130727</v>
      </c>
      <c r="B2458" t="inlineStr">
        <is>
          <t>KJ MU SPP GLZ LG 3 ML 005LOVABLE IV</t>
        </is>
      </c>
      <c r="C2458" t="inlineStr">
        <is>
          <t>P_US_ULTA</t>
        </is>
      </c>
      <c r="D2458" t="inlineStr">
        <is>
          <t>Stat Fcst Prophet</t>
        </is>
      </c>
    </row>
    <row r="2459">
      <c r="A2459" s="1" t="n">
        <v>4064941130727</v>
      </c>
      <c r="B2459" t="inlineStr">
        <is>
          <t>KJ MU SPP GLZ LG 3 ML 005LOVABLE IV</t>
        </is>
      </c>
      <c r="C2459" t="inlineStr">
        <is>
          <t>P_US_ULTA</t>
        </is>
      </c>
      <c r="D2459" t="inlineStr">
        <is>
          <t>Stat Fcst sARIMA</t>
        </is>
      </c>
    </row>
    <row r="2460">
      <c r="A2460" s="1" t="n">
        <v>4064941130727</v>
      </c>
      <c r="B2460" t="inlineStr">
        <is>
          <t>KJ MU SPP GLZ LG 3 ML 005LOVABLE IV</t>
        </is>
      </c>
      <c r="C2460" t="inlineStr">
        <is>
          <t>P_US_ULTA</t>
        </is>
      </c>
      <c r="D2460" t="inlineStr">
        <is>
          <t>Stat Fcst Seasonal Naive YoY</t>
        </is>
      </c>
    </row>
    <row r="2461">
      <c r="A2461" s="1" t="n">
        <v>4064941130727</v>
      </c>
      <c r="B2461" t="inlineStr">
        <is>
          <t>KJ MU SPP GLZ LG 3 ML 005LOVABLE IV</t>
        </is>
      </c>
      <c r="C2461" t="inlineStr">
        <is>
          <t>P_US_ULTA</t>
        </is>
      </c>
      <c r="D2461" t="inlineStr">
        <is>
          <t>Stat Fcst SES</t>
        </is>
      </c>
    </row>
    <row r="2462">
      <c r="A2462" s="1" t="n">
        <v>4064941130727</v>
      </c>
      <c r="B2462" t="inlineStr">
        <is>
          <t>KJ MU SPP GLZ LG 3 ML 005LOVABLE IV</t>
        </is>
      </c>
      <c r="C2462" t="inlineStr">
        <is>
          <t>P_US_ULTA</t>
        </is>
      </c>
      <c r="D2462" t="inlineStr">
        <is>
          <t>Stat Fcst STLF</t>
        </is>
      </c>
      <c r="E2462" t="n">
        <v>0</v>
      </c>
      <c r="F2462" t="n">
        <v>0</v>
      </c>
      <c r="G2462" t="n">
        <v>75.01384041284049</v>
      </c>
      <c r="H2462" t="n">
        <v>113.20280833871</v>
      </c>
      <c r="I2462" t="n">
        <v>261.203172643719</v>
      </c>
      <c r="J2462" t="n">
        <v>15.0170860701194</v>
      </c>
      <c r="K2462" t="n">
        <v>0</v>
      </c>
      <c r="L2462" t="n">
        <v>508.460465766459</v>
      </c>
      <c r="M2462" t="n">
        <v>0</v>
      </c>
      <c r="N2462" t="n">
        <v>883.755593916056</v>
      </c>
      <c r="O2462" t="n">
        <v>489.031510379141</v>
      </c>
      <c r="P2462" t="n">
        <v>0</v>
      </c>
    </row>
    <row r="2463">
      <c r="A2463" s="1" t="n">
        <v>4064941130727</v>
      </c>
      <c r="B2463" t="inlineStr">
        <is>
          <t>KJ MU SPP GLZ LG 3 ML 005LOVABLE IV</t>
        </is>
      </c>
      <c r="C2463" t="inlineStr">
        <is>
          <t>P_US_ULTA</t>
        </is>
      </c>
      <c r="D2463" t="inlineStr">
        <is>
          <t>Stat Fcst TBATS</t>
        </is>
      </c>
    </row>
    <row r="2464">
      <c r="A2464" s="1" t="n">
        <v>4064941130727</v>
      </c>
      <c r="B2464" t="inlineStr">
        <is>
          <t>KJ MU SPP GLZ LG 3 ML 005LOVABLE IV</t>
        </is>
      </c>
      <c r="C2464" t="inlineStr">
        <is>
          <t>P_US_ULTA</t>
        </is>
      </c>
      <c r="D2464" t="inlineStr">
        <is>
          <t>Stat Fcst TES</t>
        </is>
      </c>
      <c r="E2464" t="n">
        <v>255.326900198487</v>
      </c>
      <c r="F2464" t="n">
        <v>248.908314133866</v>
      </c>
      <c r="G2464" t="n">
        <v>0</v>
      </c>
      <c r="H2464" t="n">
        <v>1360.26908048536</v>
      </c>
      <c r="I2464" t="n">
        <v>433.402767957597</v>
      </c>
      <c r="J2464" t="n">
        <v>13.2791933273869</v>
      </c>
      <c r="K2464" t="n">
        <v>68.1950768416697</v>
      </c>
      <c r="L2464" t="n">
        <v>280.19498053131</v>
      </c>
      <c r="M2464" t="n">
        <v>605.179753928689</v>
      </c>
      <c r="N2464" t="n">
        <v>836.123937972157</v>
      </c>
      <c r="O2464" t="n">
        <v>132.533616812642</v>
      </c>
      <c r="P2464" t="n">
        <v>710.5394083521051</v>
      </c>
    </row>
    <row r="2465">
      <c r="A2465" s="1" t="n">
        <v>4064941130727</v>
      </c>
      <c r="B2465" t="inlineStr">
        <is>
          <t>KJ MU SPP GLZ LG 3 ML 005LOVABLE IV</t>
        </is>
      </c>
      <c r="C2465" t="inlineStr">
        <is>
          <t>P_US_ULTA</t>
        </is>
      </c>
      <c r="D2465" t="inlineStr">
        <is>
          <t>Stat Fcst Theta</t>
        </is>
      </c>
    </row>
    <row r="2466">
      <c r="A2466" s="1" t="n">
        <v>4064941130727</v>
      </c>
      <c r="B2466" t="inlineStr">
        <is>
          <t>KJ MU SPP GLZ LG 3 ML 005LOVABLE IV</t>
        </is>
      </c>
      <c r="C2466" t="inlineStr">
        <is>
          <t>P_US_ULTA</t>
        </is>
      </c>
      <c r="D2466" t="inlineStr">
        <is>
          <t>System ML Fcst L1</t>
        </is>
      </c>
    </row>
    <row r="2467">
      <c r="A2467" s="1" t="n">
        <v>4064941130727</v>
      </c>
      <c r="B2467" t="inlineStr">
        <is>
          <t>KJ MU SPP GLZ LG 3 ML 005LOVABLE IV</t>
        </is>
      </c>
      <c r="C2467" t="inlineStr">
        <is>
          <t>P_US_ULTA</t>
        </is>
      </c>
      <c r="D2467" t="inlineStr">
        <is>
          <t>Stat Fcst Simple Snaive</t>
        </is>
      </c>
      <c r="E2467" t="n">
        <v>143.999995708465</v>
      </c>
      <c r="F2467" t="n">
        <v>95.9999895095827</v>
      </c>
      <c r="G2467" t="n">
        <v>48.0000003576278</v>
      </c>
      <c r="H2467" t="n">
        <v>479.999981880188</v>
      </c>
      <c r="I2467" t="n">
        <v>1296.00000965595</v>
      </c>
      <c r="J2467" t="n">
        <v>0</v>
      </c>
      <c r="K2467" t="n">
        <v>95.9999895095827</v>
      </c>
      <c r="L2467" t="n">
        <v>96</v>
      </c>
      <c r="M2467" t="n">
        <v>191.999979019165</v>
      </c>
      <c r="N2467" t="n">
        <v>144.000002145767</v>
      </c>
      <c r="O2467" t="n">
        <v>703.999958674113</v>
      </c>
      <c r="P2467" t="n">
        <v>2329.61134548195</v>
      </c>
    </row>
    <row r="2468">
      <c r="A2468" s="1" t="n">
        <v>4064941130727</v>
      </c>
      <c r="B2468" t="inlineStr">
        <is>
          <t>KJ MU SPP GLZ LG 3 ML 005LOVABLE IV</t>
        </is>
      </c>
      <c r="C2468" t="inlineStr">
        <is>
          <t>P_US_ULTA</t>
        </is>
      </c>
      <c r="D2468" t="inlineStr">
        <is>
          <t>Stat Fcst Simple AOA</t>
        </is>
      </c>
    </row>
    <row r="2469">
      <c r="A2469" s="1" t="n">
        <v>4064941130727</v>
      </c>
      <c r="B2469" t="inlineStr">
        <is>
          <t>KJ MU SPP GLZ LG 3 ML 005LOVABLE IV</t>
        </is>
      </c>
      <c r="C2469" t="inlineStr">
        <is>
          <t>P_US_ULTA</t>
        </is>
      </c>
      <c r="D2469" t="inlineStr">
        <is>
          <t>Stat Fcst Weighted Snaive</t>
        </is>
      </c>
    </row>
    <row r="2470">
      <c r="A2470" s="1" t="n">
        <v>4064941130727</v>
      </c>
      <c r="B2470" t="inlineStr">
        <is>
          <t>KJ MU SPP GLZ LG 3 ML 005LOVABLE IV</t>
        </is>
      </c>
      <c r="C2470" t="inlineStr">
        <is>
          <t>P_US_ULTA</t>
        </is>
      </c>
      <c r="D2470" t="inlineStr">
        <is>
          <t>Stat Fcst Weighted AOA</t>
        </is>
      </c>
    </row>
    <row r="2471">
      <c r="A2471" s="1" t="n">
        <v>4064941130727</v>
      </c>
      <c r="B2471" t="inlineStr">
        <is>
          <t>KJ MU SPP GLZ LG 3 ML 005LOVABLE IV</t>
        </is>
      </c>
      <c r="C2471" t="inlineStr">
        <is>
          <t>P_US_ULTA</t>
        </is>
      </c>
      <c r="D2471" t="inlineStr">
        <is>
          <t>Stat Fcst Growth Snaive</t>
        </is>
      </c>
    </row>
    <row r="2472">
      <c r="A2472" s="1" t="n">
        <v>4064941130727</v>
      </c>
      <c r="B2472" t="inlineStr">
        <is>
          <t>KJ MU SPP GLZ LG 3 ML 005LOVABLE IV</t>
        </is>
      </c>
      <c r="C2472" t="inlineStr">
        <is>
          <t>P_US_ULTA</t>
        </is>
      </c>
      <c r="D2472" t="inlineStr">
        <is>
          <t>Stat Fcst Growth AOA</t>
        </is>
      </c>
    </row>
    <row r="2473">
      <c r="A2473" s="1" t="n">
        <v>4064941130727</v>
      </c>
      <c r="B2473" t="inlineStr">
        <is>
          <t>KJ MU SPP GLZ LG 3 ML 005LOVABLE IV</t>
        </is>
      </c>
      <c r="C2473" t="inlineStr">
        <is>
          <t>P_US_ULTA</t>
        </is>
      </c>
      <c r="D2473" t="inlineStr">
        <is>
          <t>System Stat Fcst Bestfit</t>
        </is>
      </c>
      <c r="H2473" t="n">
        <v>1360.26900242957</v>
      </c>
      <c r="I2473" t="n">
        <v>433.402774225196</v>
      </c>
      <c r="J2473" t="n">
        <v>13.2791925287487</v>
      </c>
      <c r="K2473" t="n">
        <v>68.19507395639781</v>
      </c>
      <c r="L2473" t="n">
        <v>280.19497680664</v>
      </c>
      <c r="M2473" t="n">
        <v>605.1797304993941</v>
      </c>
      <c r="N2473" t="n">
        <v>836.123913826404</v>
      </c>
      <c r="O2473" t="n">
        <v>132.533611162495</v>
      </c>
      <c r="P2473" t="n">
        <v>710.539434004868</v>
      </c>
    </row>
    <row r="2474">
      <c r="A2474" s="1" t="n">
        <v>4064941130734</v>
      </c>
      <c r="B2474" t="inlineStr">
        <is>
          <t>KJ MU POUT LINPEN 1G PRECIS 627 24IV</t>
        </is>
      </c>
      <c r="C2474" t="inlineStr">
        <is>
          <t>P_US_ALL_OTHERS</t>
        </is>
      </c>
      <c r="D2474" t="inlineStr">
        <is>
          <t>Stat Fcst L1</t>
        </is>
      </c>
      <c r="E2474" t="n">
        <v>0.9999999701976769</v>
      </c>
      <c r="F2474" t="n">
        <v>1.99999994039535</v>
      </c>
      <c r="G2474" t="n">
        <v>8</v>
      </c>
      <c r="H2474" t="n">
        <v>5</v>
      </c>
      <c r="I2474" t="n">
        <v>4</v>
      </c>
      <c r="J2474" t="n">
        <v>5</v>
      </c>
      <c r="K2474" t="n">
        <v>4</v>
      </c>
      <c r="L2474" t="n">
        <v>4</v>
      </c>
      <c r="M2474" t="n">
        <v>4</v>
      </c>
      <c r="N2474" t="n">
        <v>5</v>
      </c>
      <c r="O2474" t="n">
        <v>4</v>
      </c>
      <c r="P2474" t="n">
        <v>4</v>
      </c>
    </row>
    <row r="2475">
      <c r="A2475" s="1" t="n">
        <v>4064941130734</v>
      </c>
      <c r="B2475" t="inlineStr">
        <is>
          <t>KJ MU POUT LINPEN 1G PRECIS 627 24IV</t>
        </is>
      </c>
      <c r="C2475" t="inlineStr">
        <is>
          <t>P_US_ALL_OTHERS</t>
        </is>
      </c>
      <c r="D2475" t="inlineStr">
        <is>
          <t>Stat Fcst AR-NNET</t>
        </is>
      </c>
    </row>
    <row r="2476">
      <c r="A2476" s="1" t="n">
        <v>4064941130734</v>
      </c>
      <c r="B2476" t="inlineStr">
        <is>
          <t>KJ MU POUT LINPEN 1G PRECIS 627 24IV</t>
        </is>
      </c>
      <c r="C2476" t="inlineStr">
        <is>
          <t>P_US_ALL_OTHERS</t>
        </is>
      </c>
      <c r="D2476" t="inlineStr">
        <is>
          <t>Stat Fcst Auto ARIMA</t>
        </is>
      </c>
    </row>
    <row r="2477">
      <c r="A2477" s="1" t="n">
        <v>4064941130734</v>
      </c>
      <c r="B2477" t="inlineStr">
        <is>
          <t>KJ MU POUT LINPEN 1G PRECIS 627 24IV</t>
        </is>
      </c>
      <c r="C2477" t="inlineStr">
        <is>
          <t>P_US_ALL_OTHERS</t>
        </is>
      </c>
      <c r="D2477" t="inlineStr">
        <is>
          <t>Stat Fcst Croston</t>
        </is>
      </c>
    </row>
    <row r="2478">
      <c r="A2478" s="1" t="n">
        <v>4064941130734</v>
      </c>
      <c r="B2478" t="inlineStr">
        <is>
          <t>KJ MU POUT LINPEN 1G PRECIS 627 24IV</t>
        </is>
      </c>
      <c r="C2478" t="inlineStr">
        <is>
          <t>P_US_ALL_OTHERS</t>
        </is>
      </c>
      <c r="D2478" t="inlineStr">
        <is>
          <t>Stat Fcst DES</t>
        </is>
      </c>
      <c r="E2478" t="n">
        <v>18.5025097530416</v>
      </c>
      <c r="F2478" t="n">
        <v>18.4479940125275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4064941130734</v>
      </c>
      <c r="B2479" t="inlineStr">
        <is>
          <t>KJ MU POUT LINPEN 1G PRECIS 627 24IV</t>
        </is>
      </c>
      <c r="C2479" t="inlineStr">
        <is>
          <t>P_US_ALL_OTHERS</t>
        </is>
      </c>
      <c r="D2479" t="inlineStr">
        <is>
          <t>Stat Fcst ETS</t>
        </is>
      </c>
    </row>
    <row r="2480">
      <c r="A2480" s="1" t="n">
        <v>4064941130734</v>
      </c>
      <c r="B2480" t="inlineStr">
        <is>
          <t>KJ MU POUT LINPEN 1G PRECIS 627 24IV</t>
        </is>
      </c>
      <c r="C2480" t="inlineStr">
        <is>
          <t>P_US_ALL_OTHERS</t>
        </is>
      </c>
      <c r="D2480" t="inlineStr">
        <is>
          <t>Stat Fcst Moving Average</t>
        </is>
      </c>
      <c r="E2480" t="n">
        <v>11.1099996688961</v>
      </c>
      <c r="F2480" t="n">
        <v>9.329999721944329</v>
      </c>
      <c r="G2480" t="n">
        <v>6.00000004470348</v>
      </c>
      <c r="H2480" t="n">
        <v>5.39999983906746</v>
      </c>
      <c r="I2480" t="n">
        <v>5.28000003933906</v>
      </c>
      <c r="J2480" t="n">
        <v>3.93999988257884</v>
      </c>
      <c r="K2480" t="n">
        <v>4.5199998652935</v>
      </c>
      <c r="L2480" t="n">
        <v>5.03</v>
      </c>
      <c r="M2480" t="n">
        <v>4.82999985605478</v>
      </c>
      <c r="N2480" t="n">
        <v>4.72000007033348</v>
      </c>
      <c r="O2480" t="n">
        <v>4.60999986261129</v>
      </c>
      <c r="P2480" t="n">
        <v>4.74000003531575</v>
      </c>
    </row>
    <row r="2481">
      <c r="A2481" s="1" t="n">
        <v>4064941130734</v>
      </c>
      <c r="B2481" t="inlineStr">
        <is>
          <t>KJ MU POUT LINPEN 1G PRECIS 627 24IV</t>
        </is>
      </c>
      <c r="C2481" t="inlineStr">
        <is>
          <t>P_US_ALL_OTHERS</t>
        </is>
      </c>
      <c r="D2481" t="inlineStr">
        <is>
          <t>Stat Fcst Naive Random Walk</t>
        </is>
      </c>
    </row>
    <row r="2482">
      <c r="A2482" s="1" t="n">
        <v>4064941130734</v>
      </c>
      <c r="B2482" t="inlineStr">
        <is>
          <t>KJ MU POUT LINPEN 1G PRECIS 627 24IV</t>
        </is>
      </c>
      <c r="C2482" t="inlineStr">
        <is>
          <t>P_US_ALL_OTHERS</t>
        </is>
      </c>
      <c r="D2482" t="inlineStr">
        <is>
          <t>Stat Fcst Prophet</t>
        </is>
      </c>
    </row>
    <row r="2483">
      <c r="A2483" s="1" t="n">
        <v>4064941130734</v>
      </c>
      <c r="B2483" t="inlineStr">
        <is>
          <t>KJ MU POUT LINPEN 1G PRECIS 627 24IV</t>
        </is>
      </c>
      <c r="C2483" t="inlineStr">
        <is>
          <t>P_US_ALL_OTHERS</t>
        </is>
      </c>
      <c r="D2483" t="inlineStr">
        <is>
          <t>Stat Fcst sARIMA</t>
        </is>
      </c>
    </row>
    <row r="2484">
      <c r="A2484" s="1" t="n">
        <v>4064941130734</v>
      </c>
      <c r="B2484" t="inlineStr">
        <is>
          <t>KJ MU POUT LINPEN 1G PRECIS 627 24IV</t>
        </is>
      </c>
      <c r="C2484" t="inlineStr">
        <is>
          <t>P_US_ALL_OTHERS</t>
        </is>
      </c>
      <c r="D2484" t="inlineStr">
        <is>
          <t>Stat Fcst Seasonal Naive YoY</t>
        </is>
      </c>
    </row>
    <row r="2485">
      <c r="A2485" s="1" t="n">
        <v>4064941130734</v>
      </c>
      <c r="B2485" t="inlineStr">
        <is>
          <t>KJ MU POUT LINPEN 1G PRECIS 627 24IV</t>
        </is>
      </c>
      <c r="C2485" t="inlineStr">
        <is>
          <t>P_US_ALL_OTHERS</t>
        </is>
      </c>
      <c r="D2485" t="inlineStr">
        <is>
          <t>Stat Fcst SES</t>
        </is>
      </c>
    </row>
    <row r="2486">
      <c r="A2486" s="1" t="n">
        <v>4064941130734</v>
      </c>
      <c r="B2486" t="inlineStr">
        <is>
          <t>KJ MU POUT LINPEN 1G PRECIS 627 24IV</t>
        </is>
      </c>
      <c r="C2486" t="inlineStr">
        <is>
          <t>P_US_ALL_OTHERS</t>
        </is>
      </c>
      <c r="D2486" t="inlineStr">
        <is>
          <t>Stat Fcst STLF</t>
        </is>
      </c>
      <c r="E2486" t="n">
        <v>4.43896730705077</v>
      </c>
      <c r="F2486" t="n">
        <v>5.97500746931838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16.725797480325</v>
      </c>
      <c r="M2486" t="n">
        <v>15.0442889591378</v>
      </c>
      <c r="N2486" t="n">
        <v>20.4279695898681</v>
      </c>
      <c r="O2486" t="n">
        <v>0</v>
      </c>
      <c r="P2486" t="n">
        <v>16.2357863979038</v>
      </c>
    </row>
    <row r="2487">
      <c r="A2487" s="1" t="n">
        <v>4064941130734</v>
      </c>
      <c r="B2487" t="inlineStr">
        <is>
          <t>KJ MU POUT LINPEN 1G PRECIS 627 24IV</t>
        </is>
      </c>
      <c r="C2487" t="inlineStr">
        <is>
          <t>P_US_ALL_OTHERS</t>
        </is>
      </c>
      <c r="D2487" t="inlineStr">
        <is>
          <t>Stat Fcst TBATS</t>
        </is>
      </c>
    </row>
    <row r="2488">
      <c r="A2488" s="1" t="n">
        <v>4064941130734</v>
      </c>
      <c r="B2488" t="inlineStr">
        <is>
          <t>KJ MU POUT LINPEN 1G PRECIS 627 24IV</t>
        </is>
      </c>
      <c r="C2488" t="inlineStr">
        <is>
          <t>P_US_ALL_OTHERS</t>
        </is>
      </c>
      <c r="D2488" t="inlineStr">
        <is>
          <t>Stat Fcst TES</t>
        </is>
      </c>
    </row>
    <row r="2489">
      <c r="A2489" s="1" t="n">
        <v>4064941130734</v>
      </c>
      <c r="B2489" t="inlineStr">
        <is>
          <t>KJ MU POUT LINPEN 1G PRECIS 627 24IV</t>
        </is>
      </c>
      <c r="C2489" t="inlineStr">
        <is>
          <t>P_US_ALL_OTHERS</t>
        </is>
      </c>
      <c r="D2489" t="inlineStr">
        <is>
          <t>Stat Fcst Theta</t>
        </is>
      </c>
    </row>
    <row r="2490">
      <c r="A2490" s="1" t="n">
        <v>4064941130734</v>
      </c>
      <c r="B2490" t="inlineStr">
        <is>
          <t>KJ MU POUT LINPEN 1G PRECIS 627 24IV</t>
        </is>
      </c>
      <c r="C2490" t="inlineStr">
        <is>
          <t>P_US_ALL_OTHERS</t>
        </is>
      </c>
      <c r="D2490" t="inlineStr">
        <is>
          <t>System ML Fcst L1</t>
        </is>
      </c>
    </row>
    <row r="2491">
      <c r="A2491" s="1" t="n">
        <v>4064941130734</v>
      </c>
      <c r="B2491" t="inlineStr">
        <is>
          <t>KJ MU POUT LINPEN 1G PRECIS 627 24IV</t>
        </is>
      </c>
      <c r="C2491" t="inlineStr">
        <is>
          <t>P_US_ALL_OTHERS</t>
        </is>
      </c>
      <c r="D2491" t="inlineStr">
        <is>
          <t>Stat Fcst Simple Snaive</t>
        </is>
      </c>
    </row>
    <row r="2492">
      <c r="A2492" s="1" t="n">
        <v>4064941130734</v>
      </c>
      <c r="B2492" t="inlineStr">
        <is>
          <t>KJ MU POUT LINPEN 1G PRECIS 627 24IV</t>
        </is>
      </c>
      <c r="C2492" t="inlineStr">
        <is>
          <t>P_US_ALL_OTHERS</t>
        </is>
      </c>
      <c r="D2492" t="inlineStr">
        <is>
          <t>Stat Fcst Simple AOA</t>
        </is>
      </c>
    </row>
    <row r="2493">
      <c r="A2493" s="1" t="n">
        <v>4064941130734</v>
      </c>
      <c r="B2493" t="inlineStr">
        <is>
          <t>KJ MU POUT LINPEN 1G PRECIS 627 24IV</t>
        </is>
      </c>
      <c r="C2493" t="inlineStr">
        <is>
          <t>P_US_ALL_OTHERS</t>
        </is>
      </c>
      <c r="D2493" t="inlineStr">
        <is>
          <t>Stat Fcst Weighted Snaive</t>
        </is>
      </c>
    </row>
    <row r="2494">
      <c r="A2494" s="1" t="n">
        <v>4064941130734</v>
      </c>
      <c r="B2494" t="inlineStr">
        <is>
          <t>KJ MU POUT LINPEN 1G PRECIS 627 24IV</t>
        </is>
      </c>
      <c r="C2494" t="inlineStr">
        <is>
          <t>P_US_ALL_OTHERS</t>
        </is>
      </c>
      <c r="D2494" t="inlineStr">
        <is>
          <t>Stat Fcst Weighted AOA</t>
        </is>
      </c>
      <c r="E2494" t="n">
        <v>32.4999985545873</v>
      </c>
      <c r="F2494" t="n">
        <v>83.499997511506</v>
      </c>
      <c r="G2494" t="n">
        <v>67.0000004991889</v>
      </c>
      <c r="H2494" t="n">
        <v>141.499995306134</v>
      </c>
      <c r="I2494" t="n">
        <v>15.0000001117587</v>
      </c>
      <c r="J2494" t="n">
        <v>11.9999986886978</v>
      </c>
      <c r="K2494" t="n">
        <v>173.084752328651</v>
      </c>
      <c r="L2494" t="n">
        <v>6.66666666666666</v>
      </c>
      <c r="M2494" t="n">
        <v>8.99999973177909</v>
      </c>
      <c r="N2494" t="n">
        <v>13.000000193715</v>
      </c>
      <c r="O2494" t="n">
        <v>85.33332999547321</v>
      </c>
      <c r="P2494" t="n">
        <v>14.3333334401249</v>
      </c>
    </row>
    <row r="2495">
      <c r="A2495" s="1" t="n">
        <v>4064941130734</v>
      </c>
      <c r="B2495" t="inlineStr">
        <is>
          <t>KJ MU POUT LINPEN 1G PRECIS 627 24IV</t>
        </is>
      </c>
      <c r="C2495" t="inlineStr">
        <is>
          <t>P_US_ALL_OTHERS</t>
        </is>
      </c>
      <c r="D2495" t="inlineStr">
        <is>
          <t>Stat Fcst Growth Snaive</t>
        </is>
      </c>
    </row>
    <row r="2496">
      <c r="A2496" s="1" t="n">
        <v>4064941130734</v>
      </c>
      <c r="B2496" t="inlineStr">
        <is>
          <t>KJ MU POUT LINPEN 1G PRECIS 627 24IV</t>
        </is>
      </c>
      <c r="C2496" t="inlineStr">
        <is>
          <t>P_US_ALL_OTHERS</t>
        </is>
      </c>
      <c r="D2496" t="inlineStr">
        <is>
          <t>Stat Fcst Growth AOA</t>
        </is>
      </c>
    </row>
    <row r="2497">
      <c r="A2497" s="1" t="n">
        <v>4064941130734</v>
      </c>
      <c r="B2497" t="inlineStr">
        <is>
          <t>KJ MU POUT LINPEN 1G PRECIS 627 24IV</t>
        </is>
      </c>
      <c r="C2497" t="inlineStr">
        <is>
          <t>P_US_ALL_OTHERS</t>
        </is>
      </c>
      <c r="D2497" t="inlineStr">
        <is>
          <t>System Stat Fcst Bestfit</t>
        </is>
      </c>
      <c r="H2497" t="n">
        <v>5.39999945759774</v>
      </c>
      <c r="I2497" t="n">
        <v>5.28000024914741</v>
      </c>
      <c r="J2497" t="n">
        <v>3.9399999397993</v>
      </c>
      <c r="K2497" t="n">
        <v>4.51999984622001</v>
      </c>
      <c r="L2497" t="n">
        <v>5.03000020980835</v>
      </c>
      <c r="M2497" t="n">
        <v>4.82999930292369</v>
      </c>
      <c r="N2497" t="n">
        <v>4.72000033736229</v>
      </c>
      <c r="O2497" t="n">
        <v>4.60999951928855</v>
      </c>
      <c r="P2497" t="n">
        <v>4.73999980643391</v>
      </c>
    </row>
    <row r="2498">
      <c r="A2498" s="1" t="n">
        <v>4064941130734</v>
      </c>
      <c r="B2498" t="inlineStr">
        <is>
          <t>KJ MU POUT LINPEN 1G PRECIS 627 24IV</t>
        </is>
      </c>
      <c r="C2498" t="inlineStr">
        <is>
          <t>P_US_ULTA</t>
        </is>
      </c>
      <c r="D2498" t="inlineStr">
        <is>
          <t>Stat Fcst L1</t>
        </is>
      </c>
      <c r="E2498" t="n">
        <v>431.999987125396</v>
      </c>
      <c r="F2498" t="n">
        <v>1035.99996912479</v>
      </c>
      <c r="G2498" t="n">
        <v>322</v>
      </c>
      <c r="H2498" t="n">
        <v>1050</v>
      </c>
      <c r="I2498" t="n">
        <v>810</v>
      </c>
      <c r="J2498" t="n">
        <v>1006</v>
      </c>
      <c r="K2498" t="n">
        <v>252</v>
      </c>
      <c r="L2498" t="n">
        <v>196</v>
      </c>
      <c r="M2498" t="n">
        <v>3729</v>
      </c>
      <c r="N2498" t="n">
        <v>695</v>
      </c>
      <c r="O2498" t="n">
        <v>407</v>
      </c>
      <c r="P2498" t="n">
        <v>145</v>
      </c>
    </row>
    <row r="2499">
      <c r="A2499" s="1" t="n">
        <v>4064941130734</v>
      </c>
      <c r="B2499" t="inlineStr">
        <is>
          <t>KJ MU POUT LINPEN 1G PRECIS 627 24IV</t>
        </is>
      </c>
      <c r="C2499" t="inlineStr">
        <is>
          <t>P_US_ULTA</t>
        </is>
      </c>
      <c r="D2499" t="inlineStr">
        <is>
          <t>Stat Fcst AR-NNET</t>
        </is>
      </c>
    </row>
    <row r="2500">
      <c r="A2500" s="1" t="n">
        <v>4064941130734</v>
      </c>
      <c r="B2500" t="inlineStr">
        <is>
          <t>KJ MU POUT LINPEN 1G PRECIS 627 24IV</t>
        </is>
      </c>
      <c r="C2500" t="inlineStr">
        <is>
          <t>P_US_ULTA</t>
        </is>
      </c>
      <c r="D2500" t="inlineStr">
        <is>
          <t>Stat Fcst Auto ARIMA</t>
        </is>
      </c>
    </row>
    <row r="2501">
      <c r="A2501" s="1" t="n">
        <v>4064941130734</v>
      </c>
      <c r="B2501" t="inlineStr">
        <is>
          <t>KJ MU POUT LINPEN 1G PRECIS 627 24IV</t>
        </is>
      </c>
      <c r="C2501" t="inlineStr">
        <is>
          <t>P_US_ULTA</t>
        </is>
      </c>
      <c r="D2501" t="inlineStr">
        <is>
          <t>Stat Fcst Croston</t>
        </is>
      </c>
    </row>
    <row r="2502">
      <c r="A2502" s="1" t="n">
        <v>4064941130734</v>
      </c>
      <c r="B2502" t="inlineStr">
        <is>
          <t>KJ MU POUT LINPEN 1G PRECIS 627 24IV</t>
        </is>
      </c>
      <c r="C2502" t="inlineStr">
        <is>
          <t>P_US_ULTA</t>
        </is>
      </c>
      <c r="D2502" t="inlineStr">
        <is>
          <t>Stat Fcst DES</t>
        </is>
      </c>
    </row>
    <row r="2503">
      <c r="A2503" s="1" t="n">
        <v>4064941130734</v>
      </c>
      <c r="B2503" t="inlineStr">
        <is>
          <t>KJ MU POUT LINPEN 1G PRECIS 627 24IV</t>
        </is>
      </c>
      <c r="C2503" t="inlineStr">
        <is>
          <t>P_US_ULTA</t>
        </is>
      </c>
      <c r="D2503" t="inlineStr">
        <is>
          <t>Stat Fcst ETS</t>
        </is>
      </c>
    </row>
    <row r="2504">
      <c r="A2504" s="1" t="n">
        <v>4064941130734</v>
      </c>
      <c r="B2504" t="inlineStr">
        <is>
          <t>KJ MU POUT LINPEN 1G PRECIS 627 24IV</t>
        </is>
      </c>
      <c r="C2504" t="inlineStr">
        <is>
          <t>P_US_ULTA</t>
        </is>
      </c>
      <c r="D2504" t="inlineStr">
        <is>
          <t>Stat Fcst Moving Average</t>
        </is>
      </c>
    </row>
    <row r="2505">
      <c r="A2505" s="1" t="n">
        <v>4064941130734</v>
      </c>
      <c r="B2505" t="inlineStr">
        <is>
          <t>KJ MU POUT LINPEN 1G PRECIS 627 24IV</t>
        </is>
      </c>
      <c r="C2505" t="inlineStr">
        <is>
          <t>P_US_ULTA</t>
        </is>
      </c>
      <c r="D2505" t="inlineStr">
        <is>
          <t>Stat Fcst Naive Random Walk</t>
        </is>
      </c>
    </row>
    <row r="2506">
      <c r="A2506" s="1" t="n">
        <v>4064941130734</v>
      </c>
      <c r="B2506" t="inlineStr">
        <is>
          <t>KJ MU POUT LINPEN 1G PRECIS 627 24IV</t>
        </is>
      </c>
      <c r="C2506" t="inlineStr">
        <is>
          <t>P_US_ULTA</t>
        </is>
      </c>
      <c r="D2506" t="inlineStr">
        <is>
          <t>Stat Fcst Prophet</t>
        </is>
      </c>
    </row>
    <row r="2507">
      <c r="A2507" s="1" t="n">
        <v>4064941130734</v>
      </c>
      <c r="B2507" t="inlineStr">
        <is>
          <t>KJ MU POUT LINPEN 1G PRECIS 627 24IV</t>
        </is>
      </c>
      <c r="C2507" t="inlineStr">
        <is>
          <t>P_US_ULTA</t>
        </is>
      </c>
      <c r="D2507" t="inlineStr">
        <is>
          <t>Stat Fcst sARIMA</t>
        </is>
      </c>
    </row>
    <row r="2508">
      <c r="A2508" s="1" t="n">
        <v>4064941130734</v>
      </c>
      <c r="B2508" t="inlineStr">
        <is>
          <t>KJ MU POUT LINPEN 1G PRECIS 627 24IV</t>
        </is>
      </c>
      <c r="C2508" t="inlineStr">
        <is>
          <t>P_US_ULTA</t>
        </is>
      </c>
      <c r="D2508" t="inlineStr">
        <is>
          <t>Stat Fcst Seasonal Naive YoY</t>
        </is>
      </c>
    </row>
    <row r="2509">
      <c r="A2509" s="1" t="n">
        <v>4064941130734</v>
      </c>
      <c r="B2509" t="inlineStr">
        <is>
          <t>KJ MU POUT LINPEN 1G PRECIS 627 24IV</t>
        </is>
      </c>
      <c r="C2509" t="inlineStr">
        <is>
          <t>P_US_ULTA</t>
        </is>
      </c>
      <c r="D2509" t="inlineStr">
        <is>
          <t>Stat Fcst SES</t>
        </is>
      </c>
    </row>
    <row r="2510">
      <c r="A2510" s="1" t="n">
        <v>4064941130734</v>
      </c>
      <c r="B2510" t="inlineStr">
        <is>
          <t>KJ MU POUT LINPEN 1G PRECIS 627 24IV</t>
        </is>
      </c>
      <c r="C2510" t="inlineStr">
        <is>
          <t>P_US_ULTA</t>
        </is>
      </c>
      <c r="D2510" t="inlineStr">
        <is>
          <t>Stat Fcst STLF</t>
        </is>
      </c>
      <c r="E2510" t="n">
        <v>1581.29822466866</v>
      </c>
      <c r="F2510" t="n">
        <v>1034.46757389339</v>
      </c>
      <c r="G2510" t="n">
        <v>901.585594721307</v>
      </c>
      <c r="H2510" t="n">
        <v>1050.4853292006</v>
      </c>
      <c r="I2510" t="n">
        <v>809.191999450912</v>
      </c>
      <c r="J2510" t="n">
        <v>1005.33790013592</v>
      </c>
      <c r="K2510" t="n">
        <v>251.118352883703</v>
      </c>
      <c r="L2510" t="n">
        <v>194.961651876327</v>
      </c>
      <c r="M2510" t="n">
        <v>3728.29884316769</v>
      </c>
      <c r="N2510" t="n">
        <v>694.541708609796</v>
      </c>
      <c r="O2510" t="n">
        <v>408.530017469954</v>
      </c>
      <c r="P2510" t="n">
        <v>144.000001072883</v>
      </c>
    </row>
    <row r="2511">
      <c r="A2511" s="1" t="n">
        <v>4064941130734</v>
      </c>
      <c r="B2511" t="inlineStr">
        <is>
          <t>KJ MU POUT LINPEN 1G PRECIS 627 24IV</t>
        </is>
      </c>
      <c r="C2511" t="inlineStr">
        <is>
          <t>P_US_ULTA</t>
        </is>
      </c>
      <c r="D2511" t="inlineStr">
        <is>
          <t>Stat Fcst TBATS</t>
        </is>
      </c>
    </row>
    <row r="2512">
      <c r="A2512" s="1" t="n">
        <v>4064941130734</v>
      </c>
      <c r="B2512" t="inlineStr">
        <is>
          <t>KJ MU POUT LINPEN 1G PRECIS 627 24IV</t>
        </is>
      </c>
      <c r="C2512" t="inlineStr">
        <is>
          <t>P_US_ULTA</t>
        </is>
      </c>
      <c r="D2512" t="inlineStr">
        <is>
          <t>Stat Fcst TES</t>
        </is>
      </c>
      <c r="E2512" t="n">
        <v>1216.5195442892</v>
      </c>
      <c r="F2512" t="n">
        <v>1596.791151324</v>
      </c>
      <c r="G2512" t="n">
        <v>490.90803233434</v>
      </c>
      <c r="H2512" t="n">
        <v>448.182094651452</v>
      </c>
      <c r="I2512" t="n">
        <v>737.34716439837</v>
      </c>
      <c r="J2512" t="n">
        <v>1454.67462407893</v>
      </c>
      <c r="K2512" t="n">
        <v>411.914246538391</v>
      </c>
      <c r="L2512" t="n">
        <v>1390.73656610493</v>
      </c>
      <c r="M2512" t="n">
        <v>1086.47055199384</v>
      </c>
      <c r="N2512" t="n">
        <v>431.929875111973</v>
      </c>
      <c r="O2512" t="n">
        <v>2801.15488522836</v>
      </c>
      <c r="P2512" t="n">
        <v>1648.74121054233</v>
      </c>
    </row>
    <row r="2513">
      <c r="A2513" s="1" t="n">
        <v>4064941130734</v>
      </c>
      <c r="B2513" t="inlineStr">
        <is>
          <t>KJ MU POUT LINPEN 1G PRECIS 627 24IV</t>
        </is>
      </c>
      <c r="C2513" t="inlineStr">
        <is>
          <t>P_US_ULTA</t>
        </is>
      </c>
      <c r="D2513" t="inlineStr">
        <is>
          <t>Stat Fcst Theta</t>
        </is>
      </c>
    </row>
    <row r="2514">
      <c r="A2514" s="1" t="n">
        <v>4064941130734</v>
      </c>
      <c r="B2514" t="inlineStr">
        <is>
          <t>KJ MU POUT LINPEN 1G PRECIS 627 24IV</t>
        </is>
      </c>
      <c r="C2514" t="inlineStr">
        <is>
          <t>P_US_ULTA</t>
        </is>
      </c>
      <c r="D2514" t="inlineStr">
        <is>
          <t>System ML Fcst L1</t>
        </is>
      </c>
    </row>
    <row r="2515">
      <c r="A2515" s="1" t="n">
        <v>4064941130734</v>
      </c>
      <c r="B2515" t="inlineStr">
        <is>
          <t>KJ MU POUT LINPEN 1G PRECIS 627 24IV</t>
        </is>
      </c>
      <c r="C2515" t="inlineStr">
        <is>
          <t>P_US_ULTA</t>
        </is>
      </c>
      <c r="D2515" t="inlineStr">
        <is>
          <t>Stat Fcst Simple Snaive</t>
        </is>
      </c>
      <c r="E2515" t="n">
        <v>1588.49995265901</v>
      </c>
      <c r="F2515" t="n">
        <v>1506.99989405274</v>
      </c>
      <c r="G2515" t="n">
        <v>1684.00001254677</v>
      </c>
      <c r="H2515" t="n">
        <v>1286.49996165931</v>
      </c>
      <c r="I2515" t="n">
        <v>1497.50001115724</v>
      </c>
      <c r="J2515" t="n">
        <v>870.666640718778</v>
      </c>
      <c r="K2515" t="n">
        <v>1774.02883710377</v>
      </c>
      <c r="L2515" t="n">
        <v>1758.36222330729</v>
      </c>
      <c r="M2515" t="n">
        <v>2053.02878809882</v>
      </c>
      <c r="N2515" t="n">
        <v>991.333348105351</v>
      </c>
      <c r="O2515" t="n">
        <v>1829.66661213835</v>
      </c>
      <c r="P2515" t="n">
        <v>1752.36235843372</v>
      </c>
    </row>
    <row r="2516">
      <c r="A2516" s="1" t="n">
        <v>4064941130734</v>
      </c>
      <c r="B2516" t="inlineStr">
        <is>
          <t>KJ MU POUT LINPEN 1G PRECIS 627 24IV</t>
        </is>
      </c>
      <c r="C2516" t="inlineStr">
        <is>
          <t>P_US_ULTA</t>
        </is>
      </c>
      <c r="D2516" t="inlineStr">
        <is>
          <t>Stat Fcst Simple AOA</t>
        </is>
      </c>
    </row>
    <row r="2517">
      <c r="A2517" s="1" t="n">
        <v>4064941130734</v>
      </c>
      <c r="B2517" t="inlineStr">
        <is>
          <t>KJ MU POUT LINPEN 1G PRECIS 627 24IV</t>
        </is>
      </c>
      <c r="C2517" t="inlineStr">
        <is>
          <t>P_US_ULTA</t>
        </is>
      </c>
      <c r="D2517" t="inlineStr">
        <is>
          <t>Stat Fcst Weighted Snaive</t>
        </is>
      </c>
    </row>
    <row r="2518">
      <c r="A2518" s="1" t="n">
        <v>4064941130734</v>
      </c>
      <c r="B2518" t="inlineStr">
        <is>
          <t>KJ MU POUT LINPEN 1G PRECIS 627 24IV</t>
        </is>
      </c>
      <c r="C2518" t="inlineStr">
        <is>
          <t>P_US_ULTA</t>
        </is>
      </c>
      <c r="D2518" t="inlineStr">
        <is>
          <t>Stat Fcst Weighted AOA</t>
        </is>
      </c>
    </row>
    <row r="2519">
      <c r="A2519" s="1" t="n">
        <v>4064941130734</v>
      </c>
      <c r="B2519" t="inlineStr">
        <is>
          <t>KJ MU POUT LINPEN 1G PRECIS 627 24IV</t>
        </is>
      </c>
      <c r="C2519" t="inlineStr">
        <is>
          <t>P_US_ULTA</t>
        </is>
      </c>
      <c r="D2519" t="inlineStr">
        <is>
          <t>Stat Fcst Growth Snaive</t>
        </is>
      </c>
    </row>
    <row r="2520">
      <c r="A2520" s="1" t="n">
        <v>4064941130734</v>
      </c>
      <c r="B2520" t="inlineStr">
        <is>
          <t>KJ MU POUT LINPEN 1G PRECIS 627 24IV</t>
        </is>
      </c>
      <c r="C2520" t="inlineStr">
        <is>
          <t>P_US_ULTA</t>
        </is>
      </c>
      <c r="D2520" t="inlineStr">
        <is>
          <t>Stat Fcst Growth AOA</t>
        </is>
      </c>
    </row>
    <row r="2521">
      <c r="A2521" s="1" t="n">
        <v>4064941130734</v>
      </c>
      <c r="B2521" t="inlineStr">
        <is>
          <t>KJ MU POUT LINPEN 1G PRECIS 627 24IV</t>
        </is>
      </c>
      <c r="C2521" t="inlineStr">
        <is>
          <t>P_US_ULTA</t>
        </is>
      </c>
      <c r="D2521" t="inlineStr">
        <is>
          <t>System Stat Fcst Bestfit</t>
        </is>
      </c>
      <c r="H2521" t="n">
        <v>1050.48532025559</v>
      </c>
      <c r="I2521" t="n">
        <v>809.192022630512</v>
      </c>
      <c r="J2521" t="n">
        <v>1005.33786066359</v>
      </c>
      <c r="K2521" t="n">
        <v>251.118339684058</v>
      </c>
      <c r="L2521" t="n">
        <v>194.961654663085</v>
      </c>
      <c r="M2521" t="n">
        <v>3728.29871701303</v>
      </c>
      <c r="N2521" t="n">
        <v>694.541697361196</v>
      </c>
      <c r="O2521" t="n">
        <v>408.529986604154</v>
      </c>
      <c r="P2521" t="n">
        <v>144.000001072883</v>
      </c>
    </row>
    <row r="2522">
      <c r="A2522" s="1" t="n">
        <v>4064941130741</v>
      </c>
      <c r="B2522" t="inlineStr">
        <is>
          <t>KJ MU POUT LINPEN 1G PRECIS 355 24IV</t>
        </is>
      </c>
      <c r="C2522" t="inlineStr">
        <is>
          <t>P_US_ALL_OTHERS</t>
        </is>
      </c>
      <c r="D2522" t="inlineStr">
        <is>
          <t>Stat Fcst L1</t>
        </is>
      </c>
      <c r="E2522" t="n">
        <v>217.999993503093</v>
      </c>
      <c r="F2522" t="n">
        <v>306.999990850687</v>
      </c>
      <c r="G2522" t="n">
        <v>287</v>
      </c>
      <c r="H2522" t="n">
        <v>421</v>
      </c>
      <c r="I2522" t="n">
        <v>98</v>
      </c>
      <c r="J2522" t="n">
        <v>363</v>
      </c>
      <c r="K2522" t="n">
        <v>403</v>
      </c>
      <c r="L2522" t="n">
        <v>440</v>
      </c>
      <c r="M2522" t="n">
        <v>279</v>
      </c>
      <c r="N2522" t="n">
        <v>145</v>
      </c>
      <c r="O2522" t="n">
        <v>349</v>
      </c>
      <c r="P2522" t="n">
        <v>245</v>
      </c>
    </row>
    <row r="2523">
      <c r="A2523" s="1" t="n">
        <v>4064941130741</v>
      </c>
      <c r="B2523" t="inlineStr">
        <is>
          <t>KJ MU POUT LINPEN 1G PRECIS 355 24IV</t>
        </is>
      </c>
      <c r="C2523" t="inlineStr">
        <is>
          <t>P_US_ALL_OTHERS</t>
        </is>
      </c>
      <c r="D2523" t="inlineStr">
        <is>
          <t>Stat Fcst AR-NNET</t>
        </is>
      </c>
    </row>
    <row r="2524">
      <c r="A2524" s="1" t="n">
        <v>4064941130741</v>
      </c>
      <c r="B2524" t="inlineStr">
        <is>
          <t>KJ MU POUT LINPEN 1G PRECIS 355 24IV</t>
        </is>
      </c>
      <c r="C2524" t="inlineStr">
        <is>
          <t>P_US_ALL_OTHERS</t>
        </is>
      </c>
      <c r="D2524" t="inlineStr">
        <is>
          <t>Stat Fcst Auto ARIMA</t>
        </is>
      </c>
    </row>
    <row r="2525">
      <c r="A2525" s="1" t="n">
        <v>4064941130741</v>
      </c>
      <c r="B2525" t="inlineStr">
        <is>
          <t>KJ MU POUT LINPEN 1G PRECIS 355 24IV</t>
        </is>
      </c>
      <c r="C2525" t="inlineStr">
        <is>
          <t>P_US_ALL_OTHERS</t>
        </is>
      </c>
      <c r="D2525" t="inlineStr">
        <is>
          <t>Stat Fcst Croston</t>
        </is>
      </c>
    </row>
    <row r="2526">
      <c r="A2526" s="1" t="n">
        <v>4064941130741</v>
      </c>
      <c r="B2526" t="inlineStr">
        <is>
          <t>KJ MU POUT LINPEN 1G PRECIS 355 24IV</t>
        </is>
      </c>
      <c r="C2526" t="inlineStr">
        <is>
          <t>P_US_ALL_OTHERS</t>
        </is>
      </c>
      <c r="D2526" t="inlineStr">
        <is>
          <t>Stat Fcst DES</t>
        </is>
      </c>
    </row>
    <row r="2527">
      <c r="A2527" s="1" t="n">
        <v>4064941130741</v>
      </c>
      <c r="B2527" t="inlineStr">
        <is>
          <t>KJ MU POUT LINPEN 1G PRECIS 355 24IV</t>
        </is>
      </c>
      <c r="C2527" t="inlineStr">
        <is>
          <t>P_US_ALL_OTHERS</t>
        </is>
      </c>
      <c r="D2527" t="inlineStr">
        <is>
          <t>Stat Fcst ETS</t>
        </is>
      </c>
    </row>
    <row r="2528">
      <c r="A2528" s="1" t="n">
        <v>4064941130741</v>
      </c>
      <c r="B2528" t="inlineStr">
        <is>
          <t>KJ MU POUT LINPEN 1G PRECIS 355 24IV</t>
        </is>
      </c>
      <c r="C2528" t="inlineStr">
        <is>
          <t>P_US_ALL_OTHERS</t>
        </is>
      </c>
      <c r="D2528" t="inlineStr">
        <is>
          <t>Stat Fcst Moving Average</t>
        </is>
      </c>
    </row>
    <row r="2529">
      <c r="A2529" s="1" t="n">
        <v>4064941130741</v>
      </c>
      <c r="B2529" t="inlineStr">
        <is>
          <t>KJ MU POUT LINPEN 1G PRECIS 355 24IV</t>
        </is>
      </c>
      <c r="C2529" t="inlineStr">
        <is>
          <t>P_US_ALL_OTHERS</t>
        </is>
      </c>
      <c r="D2529" t="inlineStr">
        <is>
          <t>Stat Fcst Naive Random Walk</t>
        </is>
      </c>
    </row>
    <row r="2530">
      <c r="A2530" s="1" t="n">
        <v>4064941130741</v>
      </c>
      <c r="B2530" t="inlineStr">
        <is>
          <t>KJ MU POUT LINPEN 1G PRECIS 355 24IV</t>
        </is>
      </c>
      <c r="C2530" t="inlineStr">
        <is>
          <t>P_US_ALL_OTHERS</t>
        </is>
      </c>
      <c r="D2530" t="inlineStr">
        <is>
          <t>Stat Fcst Prophet</t>
        </is>
      </c>
    </row>
    <row r="2531">
      <c r="A2531" s="1" t="n">
        <v>4064941130741</v>
      </c>
      <c r="B2531" t="inlineStr">
        <is>
          <t>KJ MU POUT LINPEN 1G PRECIS 355 24IV</t>
        </is>
      </c>
      <c r="C2531" t="inlineStr">
        <is>
          <t>P_US_ALL_OTHERS</t>
        </is>
      </c>
      <c r="D2531" t="inlineStr">
        <is>
          <t>Stat Fcst sARIMA</t>
        </is>
      </c>
    </row>
    <row r="2532">
      <c r="A2532" s="1" t="n">
        <v>4064941130741</v>
      </c>
      <c r="B2532" t="inlineStr">
        <is>
          <t>KJ MU POUT LINPEN 1G PRECIS 355 24IV</t>
        </is>
      </c>
      <c r="C2532" t="inlineStr">
        <is>
          <t>P_US_ALL_OTHERS</t>
        </is>
      </c>
      <c r="D2532" t="inlineStr">
        <is>
          <t>Stat Fcst Seasonal Naive YoY</t>
        </is>
      </c>
    </row>
    <row r="2533">
      <c r="A2533" s="1" t="n">
        <v>4064941130741</v>
      </c>
      <c r="B2533" t="inlineStr">
        <is>
          <t>KJ MU POUT LINPEN 1G PRECIS 355 24IV</t>
        </is>
      </c>
      <c r="C2533" t="inlineStr">
        <is>
          <t>P_US_ALL_OTHERS</t>
        </is>
      </c>
      <c r="D2533" t="inlineStr">
        <is>
          <t>Stat Fcst SES</t>
        </is>
      </c>
    </row>
    <row r="2534">
      <c r="A2534" s="1" t="n">
        <v>4064941130741</v>
      </c>
      <c r="B2534" t="inlineStr">
        <is>
          <t>KJ MU POUT LINPEN 1G PRECIS 355 24IV</t>
        </is>
      </c>
      <c r="C2534" t="inlineStr">
        <is>
          <t>P_US_ALL_OTHERS</t>
        </is>
      </c>
      <c r="D2534" t="inlineStr">
        <is>
          <t>Stat Fcst STLF</t>
        </is>
      </c>
      <c r="E2534" t="n">
        <v>372.981015354142</v>
      </c>
      <c r="F2534" t="n">
        <v>39.1553769224755</v>
      </c>
      <c r="G2534" t="n">
        <v>0</v>
      </c>
      <c r="H2534" t="n">
        <v>312.448707256968</v>
      </c>
      <c r="I2534" t="n">
        <v>155.65618865973</v>
      </c>
      <c r="J2534" t="n">
        <v>162.708551067138</v>
      </c>
      <c r="K2534" t="n">
        <v>87.03306452398721</v>
      </c>
      <c r="L2534" t="n">
        <v>482.620252249749</v>
      </c>
      <c r="M2534" t="n">
        <v>307.079645812059</v>
      </c>
      <c r="N2534" t="n">
        <v>210.533928397165</v>
      </c>
      <c r="O2534" t="n">
        <v>130.630623284117</v>
      </c>
      <c r="P2534" t="n">
        <v>211.938916544191</v>
      </c>
    </row>
    <row r="2535">
      <c r="A2535" s="1" t="n">
        <v>4064941130741</v>
      </c>
      <c r="B2535" t="inlineStr">
        <is>
          <t>KJ MU POUT LINPEN 1G PRECIS 355 24IV</t>
        </is>
      </c>
      <c r="C2535" t="inlineStr">
        <is>
          <t>P_US_ALL_OTHERS</t>
        </is>
      </c>
      <c r="D2535" t="inlineStr">
        <is>
          <t>Stat Fcst TBATS</t>
        </is>
      </c>
    </row>
    <row r="2536">
      <c r="A2536" s="1" t="n">
        <v>4064941130741</v>
      </c>
      <c r="B2536" t="inlineStr">
        <is>
          <t>KJ MU POUT LINPEN 1G PRECIS 355 24IV</t>
        </is>
      </c>
      <c r="C2536" t="inlineStr">
        <is>
          <t>P_US_ALL_OTHERS</t>
        </is>
      </c>
      <c r="D2536" t="inlineStr">
        <is>
          <t>Stat Fcst TES</t>
        </is>
      </c>
      <c r="E2536" t="n">
        <v>151.019306231969</v>
      </c>
      <c r="F2536" t="n">
        <v>135.645483226717</v>
      </c>
      <c r="G2536" t="n">
        <v>107.623285358107</v>
      </c>
      <c r="H2536" t="n">
        <v>429.712908513218</v>
      </c>
      <c r="I2536" t="n">
        <v>156.415226493371</v>
      </c>
      <c r="J2536" t="n">
        <v>231.568800387038</v>
      </c>
      <c r="K2536" t="n">
        <v>345.01756928355</v>
      </c>
      <c r="L2536" t="n">
        <v>245.572839959166</v>
      </c>
      <c r="M2536" t="n">
        <v>302.726119373771</v>
      </c>
      <c r="N2536" t="n">
        <v>157.737732614644</v>
      </c>
      <c r="O2536" t="n">
        <v>295.233396340987</v>
      </c>
      <c r="P2536" t="n">
        <v>153.626240513994</v>
      </c>
    </row>
    <row r="2537">
      <c r="A2537" s="1" t="n">
        <v>4064941130741</v>
      </c>
      <c r="B2537" t="inlineStr">
        <is>
          <t>KJ MU POUT LINPEN 1G PRECIS 355 24IV</t>
        </is>
      </c>
      <c r="C2537" t="inlineStr">
        <is>
          <t>P_US_ALL_OTHERS</t>
        </is>
      </c>
      <c r="D2537" t="inlineStr">
        <is>
          <t>Stat Fcst Theta</t>
        </is>
      </c>
    </row>
    <row r="2538">
      <c r="A2538" s="1" t="n">
        <v>4064941130741</v>
      </c>
      <c r="B2538" t="inlineStr">
        <is>
          <t>KJ MU POUT LINPEN 1G PRECIS 355 24IV</t>
        </is>
      </c>
      <c r="C2538" t="inlineStr">
        <is>
          <t>P_US_ALL_OTHERS</t>
        </is>
      </c>
      <c r="D2538" t="inlineStr">
        <is>
          <t>System ML Fcst L1</t>
        </is>
      </c>
    </row>
    <row r="2539">
      <c r="A2539" s="1" t="n">
        <v>4064941130741</v>
      </c>
      <c r="B2539" t="inlineStr">
        <is>
          <t>KJ MU POUT LINPEN 1G PRECIS 355 24IV</t>
        </is>
      </c>
      <c r="C2539" t="inlineStr">
        <is>
          <t>P_US_ALL_OTHERS</t>
        </is>
      </c>
      <c r="D2539" t="inlineStr">
        <is>
          <t>Stat Fcst Simple Snaive</t>
        </is>
      </c>
      <c r="E2539" t="n">
        <v>237.999977648258</v>
      </c>
      <c r="F2539" t="n">
        <v>208.499993786215</v>
      </c>
      <c r="G2539" t="n">
        <v>159.000001184642</v>
      </c>
      <c r="H2539" t="n">
        <v>421.499987438321</v>
      </c>
      <c r="I2539" t="n">
        <v>97.50000072643159</v>
      </c>
      <c r="J2539" t="n">
        <v>362.499981567263</v>
      </c>
      <c r="K2539" t="n">
        <v>402.913969112019</v>
      </c>
      <c r="L2539" t="n">
        <v>442</v>
      </c>
      <c r="M2539" t="n">
        <v>276.999990473191</v>
      </c>
      <c r="N2539" t="n">
        <v>144.333335484067</v>
      </c>
      <c r="O2539" t="n">
        <v>348.666651189327</v>
      </c>
      <c r="P2539" t="n">
        <v>246.000001832842</v>
      </c>
    </row>
    <row r="2540">
      <c r="A2540" s="1" t="n">
        <v>4064941130741</v>
      </c>
      <c r="B2540" t="inlineStr">
        <is>
          <t>KJ MU POUT LINPEN 1G PRECIS 355 24IV</t>
        </is>
      </c>
      <c r="C2540" t="inlineStr">
        <is>
          <t>P_US_ALL_OTHERS</t>
        </is>
      </c>
      <c r="D2540" t="inlineStr">
        <is>
          <t>Stat Fcst Simple AOA</t>
        </is>
      </c>
    </row>
    <row r="2541">
      <c r="A2541" s="1" t="n">
        <v>4064941130741</v>
      </c>
      <c r="B2541" t="inlineStr">
        <is>
          <t>KJ MU POUT LINPEN 1G PRECIS 355 24IV</t>
        </is>
      </c>
      <c r="C2541" t="inlineStr">
        <is>
          <t>P_US_ALL_OTHERS</t>
        </is>
      </c>
      <c r="D2541" t="inlineStr">
        <is>
          <t>Stat Fcst Weighted Snaive</t>
        </is>
      </c>
    </row>
    <row r="2542">
      <c r="A2542" s="1" t="n">
        <v>4064941130741</v>
      </c>
      <c r="B2542" t="inlineStr">
        <is>
          <t>KJ MU POUT LINPEN 1G PRECIS 355 24IV</t>
        </is>
      </c>
      <c r="C2542" t="inlineStr">
        <is>
          <t>P_US_ALL_OTHERS</t>
        </is>
      </c>
      <c r="D2542" t="inlineStr">
        <is>
          <t>Stat Fcst Weighted AOA</t>
        </is>
      </c>
    </row>
    <row r="2543">
      <c r="A2543" s="1" t="n">
        <v>4064941130741</v>
      </c>
      <c r="B2543" t="inlineStr">
        <is>
          <t>KJ MU POUT LINPEN 1G PRECIS 355 24IV</t>
        </is>
      </c>
      <c r="C2543" t="inlineStr">
        <is>
          <t>P_US_ALL_OTHERS</t>
        </is>
      </c>
      <c r="D2543" t="inlineStr">
        <is>
          <t>Stat Fcst Growth Snaive</t>
        </is>
      </c>
    </row>
    <row r="2544">
      <c r="A2544" s="1" t="n">
        <v>4064941130741</v>
      </c>
      <c r="B2544" t="inlineStr">
        <is>
          <t>KJ MU POUT LINPEN 1G PRECIS 355 24IV</t>
        </is>
      </c>
      <c r="C2544" t="inlineStr">
        <is>
          <t>P_US_ALL_OTHERS</t>
        </is>
      </c>
      <c r="D2544" t="inlineStr">
        <is>
          <t>Stat Fcst Growth AOA</t>
        </is>
      </c>
    </row>
    <row r="2545">
      <c r="A2545" s="1" t="n">
        <v>4064941130741</v>
      </c>
      <c r="B2545" t="inlineStr">
        <is>
          <t>KJ MU POUT LINPEN 1G PRECIS 355 24IV</t>
        </is>
      </c>
      <c r="C2545" t="inlineStr">
        <is>
          <t>P_US_ALL_OTHERS</t>
        </is>
      </c>
      <c r="D2545" t="inlineStr">
        <is>
          <t>System Stat Fcst Bestfit</t>
        </is>
      </c>
      <c r="H2545" t="n">
        <v>421.499987438321</v>
      </c>
      <c r="I2545" t="n">
        <v>97.50000072643159</v>
      </c>
      <c r="J2545" t="n">
        <v>362.499989196658</v>
      </c>
      <c r="K2545" t="n">
        <v>402.913958939493</v>
      </c>
      <c r="L2545" t="n">
        <v>442</v>
      </c>
      <c r="M2545" t="n">
        <v>276.999991744756</v>
      </c>
      <c r="N2545" t="n">
        <v>144.333330397804</v>
      </c>
      <c r="O2545" t="n">
        <v>348.666646103064</v>
      </c>
      <c r="P2545" t="n">
        <v>246.000001832842</v>
      </c>
    </row>
    <row r="2546">
      <c r="A2546" s="1" t="n">
        <v>4064941130741</v>
      </c>
      <c r="B2546" t="inlineStr">
        <is>
          <t>KJ MU POUT LINPEN 1G PRECIS 355 24IV</t>
        </is>
      </c>
      <c r="C2546" t="inlineStr">
        <is>
          <t>P_US_ULTA</t>
        </is>
      </c>
      <c r="D2546" t="inlineStr">
        <is>
          <t>Stat Fcst L1</t>
        </is>
      </c>
      <c r="E2546" t="n">
        <v>2768.99991747736</v>
      </c>
      <c r="F2546" t="n">
        <v>2463.99992656707</v>
      </c>
      <c r="G2546" t="n">
        <v>3206</v>
      </c>
      <c r="H2546" t="n">
        <v>2998</v>
      </c>
      <c r="I2546" t="n">
        <v>2996</v>
      </c>
      <c r="J2546" t="n">
        <v>2990</v>
      </c>
      <c r="K2546" t="n">
        <v>2989</v>
      </c>
      <c r="L2546" t="n">
        <v>2984</v>
      </c>
      <c r="M2546" t="n">
        <v>2981</v>
      </c>
      <c r="N2546" t="n">
        <v>2978</v>
      </c>
      <c r="O2546" t="n">
        <v>2976</v>
      </c>
      <c r="P2546" t="n">
        <v>2974</v>
      </c>
    </row>
    <row r="2547">
      <c r="A2547" s="1" t="n">
        <v>4064941130741</v>
      </c>
      <c r="B2547" t="inlineStr">
        <is>
          <t>KJ MU POUT LINPEN 1G PRECIS 355 24IV</t>
        </is>
      </c>
      <c r="C2547" t="inlineStr">
        <is>
          <t>P_US_ULTA</t>
        </is>
      </c>
      <c r="D2547" t="inlineStr">
        <is>
          <t>Stat Fcst AR-NNET</t>
        </is>
      </c>
    </row>
    <row r="2548">
      <c r="A2548" s="1" t="n">
        <v>4064941130741</v>
      </c>
      <c r="B2548" t="inlineStr">
        <is>
          <t>KJ MU POUT LINPEN 1G PRECIS 355 24IV</t>
        </is>
      </c>
      <c r="C2548" t="inlineStr">
        <is>
          <t>P_US_ULTA</t>
        </is>
      </c>
      <c r="D2548" t="inlineStr">
        <is>
          <t>Stat Fcst Auto ARIMA</t>
        </is>
      </c>
    </row>
    <row r="2549">
      <c r="A2549" s="1" t="n">
        <v>4064941130741</v>
      </c>
      <c r="B2549" t="inlineStr">
        <is>
          <t>KJ MU POUT LINPEN 1G PRECIS 355 24IV</t>
        </is>
      </c>
      <c r="C2549" t="inlineStr">
        <is>
          <t>P_US_ULTA</t>
        </is>
      </c>
      <c r="D2549" t="inlineStr">
        <is>
          <t>Stat Fcst Croston</t>
        </is>
      </c>
    </row>
    <row r="2550">
      <c r="A2550" s="1" t="n">
        <v>4064941130741</v>
      </c>
      <c r="B2550" t="inlineStr">
        <is>
          <t>KJ MU POUT LINPEN 1G PRECIS 355 24IV</t>
        </is>
      </c>
      <c r="C2550" t="inlineStr">
        <is>
          <t>P_US_ULTA</t>
        </is>
      </c>
      <c r="D2550" t="inlineStr">
        <is>
          <t>Stat Fcst DES</t>
        </is>
      </c>
      <c r="E2550" t="n">
        <v>2704.15791553781</v>
      </c>
      <c r="F2550" t="n">
        <v>2696.32440668709</v>
      </c>
      <c r="G2550" t="n">
        <v>3002.92566161322</v>
      </c>
      <c r="H2550" t="n">
        <v>2998.91215963353</v>
      </c>
      <c r="I2550" t="n">
        <v>2995.09955060329</v>
      </c>
      <c r="J2550" t="n">
        <v>2991.47735445107</v>
      </c>
      <c r="K2550" t="n">
        <v>2988.0363741038</v>
      </c>
      <c r="L2550" t="n">
        <v>2984.76753172691</v>
      </c>
      <c r="M2550" t="n">
        <v>2981.66195801049</v>
      </c>
      <c r="N2550" t="n">
        <v>2978.71188064405</v>
      </c>
      <c r="O2550" t="n">
        <v>2975.90904748628</v>
      </c>
      <c r="P2550" t="n">
        <v>2973.24659324932</v>
      </c>
    </row>
    <row r="2551">
      <c r="A2551" s="1" t="n">
        <v>4064941130741</v>
      </c>
      <c r="B2551" t="inlineStr">
        <is>
          <t>KJ MU POUT LINPEN 1G PRECIS 355 24IV</t>
        </is>
      </c>
      <c r="C2551" t="inlineStr">
        <is>
          <t>P_US_ULTA</t>
        </is>
      </c>
      <c r="D2551" t="inlineStr">
        <is>
          <t>Stat Fcst ETS</t>
        </is>
      </c>
    </row>
    <row r="2552">
      <c r="A2552" s="1" t="n">
        <v>4064941130741</v>
      </c>
      <c r="B2552" t="inlineStr">
        <is>
          <t>KJ MU POUT LINPEN 1G PRECIS 355 24IV</t>
        </is>
      </c>
      <c r="C2552" t="inlineStr">
        <is>
          <t>P_US_ULTA</t>
        </is>
      </c>
      <c r="D2552" t="inlineStr">
        <is>
          <t>Stat Fcst Moving Average</t>
        </is>
      </c>
    </row>
    <row r="2553">
      <c r="A2553" s="1" t="n">
        <v>4064941130741</v>
      </c>
      <c r="B2553" t="inlineStr">
        <is>
          <t>KJ MU POUT LINPEN 1G PRECIS 355 24IV</t>
        </is>
      </c>
      <c r="C2553" t="inlineStr">
        <is>
          <t>P_US_ULTA</t>
        </is>
      </c>
      <c r="D2553" t="inlineStr">
        <is>
          <t>Stat Fcst Naive Random Walk</t>
        </is>
      </c>
    </row>
    <row r="2554">
      <c r="A2554" s="1" t="n">
        <v>4064941130741</v>
      </c>
      <c r="B2554" t="inlineStr">
        <is>
          <t>KJ MU POUT LINPEN 1G PRECIS 355 24IV</t>
        </is>
      </c>
      <c r="C2554" t="inlineStr">
        <is>
          <t>P_US_ULTA</t>
        </is>
      </c>
      <c r="D2554" t="inlineStr">
        <is>
          <t>Stat Fcst Prophet</t>
        </is>
      </c>
    </row>
    <row r="2555">
      <c r="A2555" s="1" t="n">
        <v>4064941130741</v>
      </c>
      <c r="B2555" t="inlineStr">
        <is>
          <t>KJ MU POUT LINPEN 1G PRECIS 355 24IV</t>
        </is>
      </c>
      <c r="C2555" t="inlineStr">
        <is>
          <t>P_US_ULTA</t>
        </is>
      </c>
      <c r="D2555" t="inlineStr">
        <is>
          <t>Stat Fcst sARIMA</t>
        </is>
      </c>
    </row>
    <row r="2556">
      <c r="A2556" s="1" t="n">
        <v>4064941130741</v>
      </c>
      <c r="B2556" t="inlineStr">
        <is>
          <t>KJ MU POUT LINPEN 1G PRECIS 355 24IV</t>
        </is>
      </c>
      <c r="C2556" t="inlineStr">
        <is>
          <t>P_US_ULTA</t>
        </is>
      </c>
      <c r="D2556" t="inlineStr">
        <is>
          <t>Stat Fcst Seasonal Naive YoY</t>
        </is>
      </c>
    </row>
    <row r="2557">
      <c r="A2557" s="1" t="n">
        <v>4064941130741</v>
      </c>
      <c r="B2557" t="inlineStr">
        <is>
          <t>KJ MU POUT LINPEN 1G PRECIS 355 24IV</t>
        </is>
      </c>
      <c r="C2557" t="inlineStr">
        <is>
          <t>P_US_ULTA</t>
        </is>
      </c>
      <c r="D2557" t="inlineStr">
        <is>
          <t>Stat Fcst SES</t>
        </is>
      </c>
    </row>
    <row r="2558">
      <c r="A2558" s="1" t="n">
        <v>4064941130741</v>
      </c>
      <c r="B2558" t="inlineStr">
        <is>
          <t>KJ MU POUT LINPEN 1G PRECIS 355 24IV</t>
        </is>
      </c>
      <c r="C2558" t="inlineStr">
        <is>
          <t>P_US_ULTA</t>
        </is>
      </c>
      <c r="D2558" t="inlineStr">
        <is>
          <t>Stat Fcst STLF</t>
        </is>
      </c>
      <c r="E2558" t="n">
        <v>3274.33723741629</v>
      </c>
      <c r="F2558" t="n">
        <v>1736.02852022444</v>
      </c>
      <c r="G2558" t="n">
        <v>7539.57005083239</v>
      </c>
      <c r="H2558" t="n">
        <v>4250.42532750944</v>
      </c>
      <c r="I2558" t="n">
        <v>4740.65568885996</v>
      </c>
      <c r="J2558" t="n">
        <v>5034.10015896474</v>
      </c>
      <c r="K2558" t="n">
        <v>3229.68520945816</v>
      </c>
      <c r="L2558" t="n">
        <v>3206.10497397978</v>
      </c>
      <c r="M2558" t="n">
        <v>6474.53119370611</v>
      </c>
      <c r="N2558" t="n">
        <v>2548.20466341446</v>
      </c>
      <c r="O2558" t="n">
        <v>3563.75093637748</v>
      </c>
      <c r="P2558" t="n">
        <v>5977.09631639286</v>
      </c>
    </row>
    <row r="2559">
      <c r="A2559" s="1" t="n">
        <v>4064941130741</v>
      </c>
      <c r="B2559" t="inlineStr">
        <is>
          <t>KJ MU POUT LINPEN 1G PRECIS 355 24IV</t>
        </is>
      </c>
      <c r="C2559" t="inlineStr">
        <is>
          <t>P_US_ULTA</t>
        </is>
      </c>
      <c r="D2559" t="inlineStr">
        <is>
          <t>Stat Fcst TBATS</t>
        </is>
      </c>
    </row>
    <row r="2560">
      <c r="A2560" s="1" t="n">
        <v>4064941130741</v>
      </c>
      <c r="B2560" t="inlineStr">
        <is>
          <t>KJ MU POUT LINPEN 1G PRECIS 355 24IV</t>
        </is>
      </c>
      <c r="C2560" t="inlineStr">
        <is>
          <t>P_US_ULTA</t>
        </is>
      </c>
      <c r="D2560" t="inlineStr">
        <is>
          <t>Stat Fcst TES</t>
        </is>
      </c>
    </row>
    <row r="2561">
      <c r="A2561" s="1" t="n">
        <v>4064941130741</v>
      </c>
      <c r="B2561" t="inlineStr">
        <is>
          <t>KJ MU POUT LINPEN 1G PRECIS 355 24IV</t>
        </is>
      </c>
      <c r="C2561" t="inlineStr">
        <is>
          <t>P_US_ULTA</t>
        </is>
      </c>
      <c r="D2561" t="inlineStr">
        <is>
          <t>Stat Fcst Theta</t>
        </is>
      </c>
    </row>
    <row r="2562">
      <c r="A2562" s="1" t="n">
        <v>4064941130741</v>
      </c>
      <c r="B2562" t="inlineStr">
        <is>
          <t>KJ MU POUT LINPEN 1G PRECIS 355 24IV</t>
        </is>
      </c>
      <c r="C2562" t="inlineStr">
        <is>
          <t>P_US_ULTA</t>
        </is>
      </c>
      <c r="D2562" t="inlineStr">
        <is>
          <t>System ML Fcst L1</t>
        </is>
      </c>
    </row>
    <row r="2563">
      <c r="A2563" s="1" t="n">
        <v>4064941130741</v>
      </c>
      <c r="B2563" t="inlineStr">
        <is>
          <t>KJ MU POUT LINPEN 1G PRECIS 355 24IV</t>
        </is>
      </c>
      <c r="C2563" t="inlineStr">
        <is>
          <t>P_US_ULTA</t>
        </is>
      </c>
      <c r="D2563" t="inlineStr">
        <is>
          <t>Stat Fcst Simple Snaive</t>
        </is>
      </c>
    </row>
    <row r="2564">
      <c r="A2564" s="1" t="n">
        <v>4064941130741</v>
      </c>
      <c r="B2564" t="inlineStr">
        <is>
          <t>KJ MU POUT LINPEN 1G PRECIS 355 24IV</t>
        </is>
      </c>
      <c r="C2564" t="inlineStr">
        <is>
          <t>P_US_ULTA</t>
        </is>
      </c>
      <c r="D2564" t="inlineStr">
        <is>
          <t>Stat Fcst Simple AOA</t>
        </is>
      </c>
    </row>
    <row r="2565">
      <c r="A2565" s="1" t="n">
        <v>4064941130741</v>
      </c>
      <c r="B2565" t="inlineStr">
        <is>
          <t>KJ MU POUT LINPEN 1G PRECIS 355 24IV</t>
        </is>
      </c>
      <c r="C2565" t="inlineStr">
        <is>
          <t>P_US_ULTA</t>
        </is>
      </c>
      <c r="D2565" t="inlineStr">
        <is>
          <t>Stat Fcst Weighted Snaive</t>
        </is>
      </c>
    </row>
    <row r="2566">
      <c r="A2566" s="1" t="n">
        <v>4064941130741</v>
      </c>
      <c r="B2566" t="inlineStr">
        <is>
          <t>KJ MU POUT LINPEN 1G PRECIS 355 24IV</t>
        </is>
      </c>
      <c r="C2566" t="inlineStr">
        <is>
          <t>P_US_ULTA</t>
        </is>
      </c>
      <c r="D2566" t="inlineStr">
        <is>
          <t>Stat Fcst Weighted AOA</t>
        </is>
      </c>
      <c r="E2566" t="n">
        <v>3683.99989020824</v>
      </c>
      <c r="F2566" t="n">
        <v>2128.99993655085</v>
      </c>
      <c r="G2566" t="n">
        <v>4580.50003412738</v>
      </c>
      <c r="H2566" t="n">
        <v>2161.99993556737</v>
      </c>
      <c r="I2566" t="n">
        <v>1607.5000119768</v>
      </c>
      <c r="J2566" t="n">
        <v>2546.99984271327</v>
      </c>
      <c r="K2566" t="n">
        <v>3112.66649252176</v>
      </c>
      <c r="L2566" t="n">
        <v>3432.66666666666</v>
      </c>
      <c r="M2566" t="n">
        <v>3022.56599064967</v>
      </c>
      <c r="N2566" t="n">
        <v>2606.33337217072</v>
      </c>
      <c r="O2566" t="n">
        <v>3272.66656913359</v>
      </c>
      <c r="P2566" t="n">
        <v>3308.66669131815</v>
      </c>
    </row>
    <row r="2567">
      <c r="A2567" s="1" t="n">
        <v>4064941130741</v>
      </c>
      <c r="B2567" t="inlineStr">
        <is>
          <t>KJ MU POUT LINPEN 1G PRECIS 355 24IV</t>
        </is>
      </c>
      <c r="C2567" t="inlineStr">
        <is>
          <t>P_US_ULTA</t>
        </is>
      </c>
      <c r="D2567" t="inlineStr">
        <is>
          <t>Stat Fcst Growth Snaive</t>
        </is>
      </c>
    </row>
    <row r="2568">
      <c r="A2568" s="1" t="n">
        <v>4064941130741</v>
      </c>
      <c r="B2568" t="inlineStr">
        <is>
          <t>KJ MU POUT LINPEN 1G PRECIS 355 24IV</t>
        </is>
      </c>
      <c r="C2568" t="inlineStr">
        <is>
          <t>P_US_ULTA</t>
        </is>
      </c>
      <c r="D2568" t="inlineStr">
        <is>
          <t>Stat Fcst Growth AOA</t>
        </is>
      </c>
    </row>
    <row r="2569">
      <c r="A2569" s="1" t="n">
        <v>4064941130741</v>
      </c>
      <c r="B2569" t="inlineStr">
        <is>
          <t>KJ MU POUT LINPEN 1G PRECIS 355 24IV</t>
        </is>
      </c>
      <c r="C2569" t="inlineStr">
        <is>
          <t>P_US_ULTA</t>
        </is>
      </c>
      <c r="D2569" t="inlineStr">
        <is>
          <t>System Stat Fcst Bestfit</t>
        </is>
      </c>
      <c r="H2569" t="n">
        <v>2998.91202000045</v>
      </c>
      <c r="I2569" t="n">
        <v>2995.09963169023</v>
      </c>
      <c r="J2569" t="n">
        <v>2991.4772057689</v>
      </c>
      <c r="K2569" t="n">
        <v>2988.0362879027</v>
      </c>
      <c r="L2569" t="n">
        <v>2984.767578125</v>
      </c>
      <c r="M2569" t="n">
        <v>2981.66177637392</v>
      </c>
      <c r="N2569" t="n">
        <v>2978.71195844876</v>
      </c>
      <c r="O2569" t="n">
        <v>2975.90909099849</v>
      </c>
      <c r="P2569" t="n">
        <v>2973.24660418366</v>
      </c>
    </row>
    <row r="2570">
      <c r="A2570" s="1" t="n">
        <v>4064941133551</v>
      </c>
      <c r="B2570" t="inlineStr">
        <is>
          <t>KJ MU SPP GLZ LG 3 ML 006LOVER GIRL IV</t>
        </is>
      </c>
      <c r="C2570" t="inlineStr">
        <is>
          <t>P_US_ALL_OTHERS</t>
        </is>
      </c>
      <c r="D2570" t="inlineStr">
        <is>
          <t>Stat Fcst L1</t>
        </is>
      </c>
      <c r="E2570" t="n">
        <v>113.999996602535</v>
      </c>
      <c r="F2570" t="n">
        <v>160.999995201826</v>
      </c>
      <c r="G2570" t="n">
        <v>172</v>
      </c>
      <c r="H2570" t="n">
        <v>195</v>
      </c>
      <c r="I2570" t="n">
        <v>86</v>
      </c>
      <c r="J2570" t="n">
        <v>324</v>
      </c>
      <c r="K2570" t="n">
        <v>164</v>
      </c>
      <c r="L2570" t="n">
        <v>240</v>
      </c>
      <c r="M2570" t="n">
        <v>168</v>
      </c>
      <c r="N2570" t="n">
        <v>163</v>
      </c>
      <c r="O2570" t="n">
        <v>146</v>
      </c>
      <c r="P2570" t="n">
        <v>95</v>
      </c>
    </row>
    <row r="2571">
      <c r="A2571" s="1" t="n">
        <v>4064941133551</v>
      </c>
      <c r="B2571" t="inlineStr">
        <is>
          <t>KJ MU SPP GLZ LG 3 ML 006LOVER GIRL IV</t>
        </is>
      </c>
      <c r="C2571" t="inlineStr">
        <is>
          <t>P_US_ALL_OTHERS</t>
        </is>
      </c>
      <c r="D2571" t="inlineStr">
        <is>
          <t>Stat Fcst AR-NNET</t>
        </is>
      </c>
    </row>
    <row r="2572">
      <c r="A2572" s="1" t="n">
        <v>4064941133551</v>
      </c>
      <c r="B2572" t="inlineStr">
        <is>
          <t>KJ MU SPP GLZ LG 3 ML 006LOVER GIRL IV</t>
        </is>
      </c>
      <c r="C2572" t="inlineStr">
        <is>
          <t>P_US_ALL_OTHERS</t>
        </is>
      </c>
      <c r="D2572" t="inlineStr">
        <is>
          <t>Stat Fcst Auto ARIMA</t>
        </is>
      </c>
    </row>
    <row r="2573">
      <c r="A2573" s="1" t="n">
        <v>4064941133551</v>
      </c>
      <c r="B2573" t="inlineStr">
        <is>
          <t>KJ MU SPP GLZ LG 3 ML 006LOVER GIRL IV</t>
        </is>
      </c>
      <c r="C2573" t="inlineStr">
        <is>
          <t>P_US_ALL_OTHERS</t>
        </is>
      </c>
      <c r="D2573" t="inlineStr">
        <is>
          <t>Stat Fcst Croston</t>
        </is>
      </c>
    </row>
    <row r="2574">
      <c r="A2574" s="1" t="n">
        <v>4064941133551</v>
      </c>
      <c r="B2574" t="inlineStr">
        <is>
          <t>KJ MU SPP GLZ LG 3 ML 006LOVER GIRL IV</t>
        </is>
      </c>
      <c r="C2574" t="inlineStr">
        <is>
          <t>P_US_ALL_OTHERS</t>
        </is>
      </c>
      <c r="D2574" t="inlineStr">
        <is>
          <t>Stat Fcst DES</t>
        </is>
      </c>
    </row>
    <row r="2575">
      <c r="A2575" s="1" t="n">
        <v>4064941133551</v>
      </c>
      <c r="B2575" t="inlineStr">
        <is>
          <t>KJ MU SPP GLZ LG 3 ML 006LOVER GIRL IV</t>
        </is>
      </c>
      <c r="C2575" t="inlineStr">
        <is>
          <t>P_US_ALL_OTHERS</t>
        </is>
      </c>
      <c r="D2575" t="inlineStr">
        <is>
          <t>Stat Fcst ETS</t>
        </is>
      </c>
    </row>
    <row r="2576">
      <c r="A2576" s="1" t="n">
        <v>4064941133551</v>
      </c>
      <c r="B2576" t="inlineStr">
        <is>
          <t>KJ MU SPP GLZ LG 3 ML 006LOVER GIRL IV</t>
        </is>
      </c>
      <c r="C2576" t="inlineStr">
        <is>
          <t>P_US_ALL_OTHERS</t>
        </is>
      </c>
      <c r="D2576" t="inlineStr">
        <is>
          <t>Stat Fcst Moving Average</t>
        </is>
      </c>
    </row>
    <row r="2577">
      <c r="A2577" s="1" t="n">
        <v>4064941133551</v>
      </c>
      <c r="B2577" t="inlineStr">
        <is>
          <t>KJ MU SPP GLZ LG 3 ML 006LOVER GIRL IV</t>
        </is>
      </c>
      <c r="C2577" t="inlineStr">
        <is>
          <t>P_US_ALL_OTHERS</t>
        </is>
      </c>
      <c r="D2577" t="inlineStr">
        <is>
          <t>Stat Fcst Naive Random Walk</t>
        </is>
      </c>
    </row>
    <row r="2578">
      <c r="A2578" s="1" t="n">
        <v>4064941133551</v>
      </c>
      <c r="B2578" t="inlineStr">
        <is>
          <t>KJ MU SPP GLZ LG 3 ML 006LOVER GIRL IV</t>
        </is>
      </c>
      <c r="C2578" t="inlineStr">
        <is>
          <t>P_US_ALL_OTHERS</t>
        </is>
      </c>
      <c r="D2578" t="inlineStr">
        <is>
          <t>Stat Fcst Prophet</t>
        </is>
      </c>
    </row>
    <row r="2579">
      <c r="A2579" s="1" t="n">
        <v>4064941133551</v>
      </c>
      <c r="B2579" t="inlineStr">
        <is>
          <t>KJ MU SPP GLZ LG 3 ML 006LOVER GIRL IV</t>
        </is>
      </c>
      <c r="C2579" t="inlineStr">
        <is>
          <t>P_US_ALL_OTHERS</t>
        </is>
      </c>
      <c r="D2579" t="inlineStr">
        <is>
          <t>Stat Fcst sARIMA</t>
        </is>
      </c>
    </row>
    <row r="2580">
      <c r="A2580" s="1" t="n">
        <v>4064941133551</v>
      </c>
      <c r="B2580" t="inlineStr">
        <is>
          <t>KJ MU SPP GLZ LG 3 ML 006LOVER GIRL IV</t>
        </is>
      </c>
      <c r="C2580" t="inlineStr">
        <is>
          <t>P_US_ALL_OTHERS</t>
        </is>
      </c>
      <c r="D2580" t="inlineStr">
        <is>
          <t>Stat Fcst Seasonal Naive YoY</t>
        </is>
      </c>
    </row>
    <row r="2581">
      <c r="A2581" s="1" t="n">
        <v>4064941133551</v>
      </c>
      <c r="B2581" t="inlineStr">
        <is>
          <t>KJ MU SPP GLZ LG 3 ML 006LOVER GIRL IV</t>
        </is>
      </c>
      <c r="C2581" t="inlineStr">
        <is>
          <t>P_US_ALL_OTHERS</t>
        </is>
      </c>
      <c r="D2581" t="inlineStr">
        <is>
          <t>Stat Fcst SES</t>
        </is>
      </c>
    </row>
    <row r="2582">
      <c r="A2582" s="1" t="n">
        <v>4064941133551</v>
      </c>
      <c r="B2582" t="inlineStr">
        <is>
          <t>KJ MU SPP GLZ LG 3 ML 006LOVER GIRL IV</t>
        </is>
      </c>
      <c r="C2582" t="inlineStr">
        <is>
          <t>P_US_ALL_OTHERS</t>
        </is>
      </c>
      <c r="D2582" t="inlineStr">
        <is>
          <t>Stat Fcst STLF</t>
        </is>
      </c>
      <c r="E2582" t="n">
        <v>99.4884375771546</v>
      </c>
      <c r="F2582" t="n">
        <v>134.292993359713</v>
      </c>
      <c r="G2582" t="n">
        <v>440.866860073569</v>
      </c>
      <c r="H2582" t="n">
        <v>60.6900523485521</v>
      </c>
      <c r="I2582" t="n">
        <v>45.3165743261753</v>
      </c>
      <c r="J2582" t="n">
        <v>55.5670463440417</v>
      </c>
      <c r="K2582" t="n">
        <v>94.7387329275946</v>
      </c>
      <c r="L2582" t="n">
        <v>224.613121724021</v>
      </c>
      <c r="M2582" t="n">
        <v>99.4182006109279</v>
      </c>
      <c r="N2582" t="n">
        <v>110.090828283711</v>
      </c>
      <c r="O2582" t="n">
        <v>85.40899445842641</v>
      </c>
      <c r="P2582" t="n">
        <v>29.8927646169652</v>
      </c>
    </row>
    <row r="2583">
      <c r="A2583" s="1" t="n">
        <v>4064941133551</v>
      </c>
      <c r="B2583" t="inlineStr">
        <is>
          <t>KJ MU SPP GLZ LG 3 ML 006LOVER GIRL IV</t>
        </is>
      </c>
      <c r="C2583" t="inlineStr">
        <is>
          <t>P_US_ALL_OTHERS</t>
        </is>
      </c>
      <c r="D2583" t="inlineStr">
        <is>
          <t>Stat Fcst TBATS</t>
        </is>
      </c>
    </row>
    <row r="2584">
      <c r="A2584" s="1" t="n">
        <v>4064941133551</v>
      </c>
      <c r="B2584" t="inlineStr">
        <is>
          <t>KJ MU SPP GLZ LG 3 ML 006LOVER GIRL IV</t>
        </is>
      </c>
      <c r="C2584" t="inlineStr">
        <is>
          <t>P_US_ALL_OTHERS</t>
        </is>
      </c>
      <c r="D2584" t="inlineStr">
        <is>
          <t>Stat Fcst TES</t>
        </is>
      </c>
      <c r="E2584" t="n">
        <v>132.206534517265</v>
      </c>
      <c r="F2584" t="n">
        <v>130.070704223638</v>
      </c>
      <c r="G2584" t="n">
        <v>198.835207478878</v>
      </c>
      <c r="H2584" t="n">
        <v>195.722252748378</v>
      </c>
      <c r="I2584" t="n">
        <v>87.5514887941424</v>
      </c>
      <c r="J2584" t="n">
        <v>324.74614462057</v>
      </c>
      <c r="K2584" t="n">
        <v>162.960671325493</v>
      </c>
      <c r="L2584" t="n">
        <v>240.822247381321</v>
      </c>
      <c r="M2584" t="n">
        <v>170.127366707763</v>
      </c>
      <c r="N2584" t="n">
        <v>163.383625812512</v>
      </c>
      <c r="O2584" t="n">
        <v>144.751259041168</v>
      </c>
      <c r="P2584" t="n">
        <v>96.0014248293178</v>
      </c>
    </row>
    <row r="2585">
      <c r="A2585" s="1" t="n">
        <v>4064941133551</v>
      </c>
      <c r="B2585" t="inlineStr">
        <is>
          <t>KJ MU SPP GLZ LG 3 ML 006LOVER GIRL IV</t>
        </is>
      </c>
      <c r="C2585" t="inlineStr">
        <is>
          <t>P_US_ALL_OTHERS</t>
        </is>
      </c>
      <c r="D2585" t="inlineStr">
        <is>
          <t>Stat Fcst Theta</t>
        </is>
      </c>
    </row>
    <row r="2586">
      <c r="A2586" s="1" t="n">
        <v>4064941133551</v>
      </c>
      <c r="B2586" t="inlineStr">
        <is>
          <t>KJ MU SPP GLZ LG 3 ML 006LOVER GIRL IV</t>
        </is>
      </c>
      <c r="C2586" t="inlineStr">
        <is>
          <t>P_US_ALL_OTHERS</t>
        </is>
      </c>
      <c r="D2586" t="inlineStr">
        <is>
          <t>System ML Fcst L1</t>
        </is>
      </c>
    </row>
    <row r="2587">
      <c r="A2587" s="1" t="n">
        <v>4064941133551</v>
      </c>
      <c r="B2587" t="inlineStr">
        <is>
          <t>KJ MU SPP GLZ LG 3 ML 006LOVER GIRL IV</t>
        </is>
      </c>
      <c r="C2587" t="inlineStr">
        <is>
          <t>P_US_ALL_OTHERS</t>
        </is>
      </c>
      <c r="D2587" t="inlineStr">
        <is>
          <t>Stat Fcst Simple Snaive</t>
        </is>
      </c>
      <c r="E2587" t="n">
        <v>147.999984145164</v>
      </c>
      <c r="F2587" t="n">
        <v>160.499995216727</v>
      </c>
      <c r="G2587" t="n">
        <v>249.000001855194</v>
      </c>
      <c r="H2587" t="n">
        <v>228.999993175268</v>
      </c>
      <c r="I2587" t="n">
        <v>120.000000894069</v>
      </c>
      <c r="J2587" t="n">
        <v>343.969254733047</v>
      </c>
      <c r="K2587" t="n">
        <v>181.499990776181</v>
      </c>
      <c r="L2587" t="n">
        <v>258</v>
      </c>
      <c r="M2587" t="n">
        <v>180.999994605779</v>
      </c>
      <c r="N2587" t="n">
        <v>171.000002548098</v>
      </c>
      <c r="O2587" t="n">
        <v>149.499995544552</v>
      </c>
      <c r="P2587" t="n">
        <v>279.646181282745</v>
      </c>
    </row>
    <row r="2588">
      <c r="A2588" s="1" t="n">
        <v>4064941133551</v>
      </c>
      <c r="B2588" t="inlineStr">
        <is>
          <t>KJ MU SPP GLZ LG 3 ML 006LOVER GIRL IV</t>
        </is>
      </c>
      <c r="C2588" t="inlineStr">
        <is>
          <t>P_US_ALL_OTHERS</t>
        </is>
      </c>
      <c r="D2588" t="inlineStr">
        <is>
          <t>Stat Fcst Simple AOA</t>
        </is>
      </c>
    </row>
    <row r="2589">
      <c r="A2589" s="1" t="n">
        <v>4064941133551</v>
      </c>
      <c r="B2589" t="inlineStr">
        <is>
          <t>KJ MU SPP GLZ LG 3 ML 006LOVER GIRL IV</t>
        </is>
      </c>
      <c r="C2589" t="inlineStr">
        <is>
          <t>P_US_ALL_OTHERS</t>
        </is>
      </c>
      <c r="D2589" t="inlineStr">
        <is>
          <t>Stat Fcst Weighted Snaive</t>
        </is>
      </c>
    </row>
    <row r="2590">
      <c r="A2590" s="1" t="n">
        <v>4064941133551</v>
      </c>
      <c r="B2590" t="inlineStr">
        <is>
          <t>KJ MU SPP GLZ LG 3 ML 006LOVER GIRL IV</t>
        </is>
      </c>
      <c r="C2590" t="inlineStr">
        <is>
          <t>P_US_ALL_OTHERS</t>
        </is>
      </c>
      <c r="D2590" t="inlineStr">
        <is>
          <t>Stat Fcst Weighted AOA</t>
        </is>
      </c>
    </row>
    <row r="2591">
      <c r="A2591" s="1" t="n">
        <v>4064941133551</v>
      </c>
      <c r="B2591" t="inlineStr">
        <is>
          <t>KJ MU SPP GLZ LG 3 ML 006LOVER GIRL IV</t>
        </is>
      </c>
      <c r="C2591" t="inlineStr">
        <is>
          <t>P_US_ALL_OTHERS</t>
        </is>
      </c>
      <c r="D2591" t="inlineStr">
        <is>
          <t>Stat Fcst Growth Snaive</t>
        </is>
      </c>
    </row>
    <row r="2592">
      <c r="A2592" s="1" t="n">
        <v>4064941133551</v>
      </c>
      <c r="B2592" t="inlineStr">
        <is>
          <t>KJ MU SPP GLZ LG 3 ML 006LOVER GIRL IV</t>
        </is>
      </c>
      <c r="C2592" t="inlineStr">
        <is>
          <t>P_US_ALL_OTHERS</t>
        </is>
      </c>
      <c r="D2592" t="inlineStr">
        <is>
          <t>Stat Fcst Growth AOA</t>
        </is>
      </c>
    </row>
    <row r="2593">
      <c r="A2593" s="1" t="n">
        <v>4064941133551</v>
      </c>
      <c r="B2593" t="inlineStr">
        <is>
          <t>KJ MU SPP GLZ LG 3 ML 006LOVER GIRL IV</t>
        </is>
      </c>
      <c r="C2593" t="inlineStr">
        <is>
          <t>P_US_ALL_OTHERS</t>
        </is>
      </c>
      <c r="D2593" t="inlineStr">
        <is>
          <t>System Stat Fcst Bestfit</t>
        </is>
      </c>
      <c r="H2593" t="n">
        <v>195.722253688506</v>
      </c>
      <c r="I2593" t="n">
        <v>87.5514914360008</v>
      </c>
      <c r="J2593" t="n">
        <v>324.746145106966</v>
      </c>
      <c r="K2593" t="n">
        <v>162.96065798519</v>
      </c>
      <c r="L2593" t="n">
        <v>240.82225036621</v>
      </c>
      <c r="M2593" t="n">
        <v>170.127360042114</v>
      </c>
      <c r="N2593" t="n">
        <v>163.383623650426</v>
      </c>
      <c r="O2593" t="n">
        <v>144.751246906779</v>
      </c>
      <c r="P2593" t="n">
        <v>96.00141978264909</v>
      </c>
    </row>
    <row r="2594">
      <c r="A2594" s="1" t="n">
        <v>4064941133551</v>
      </c>
      <c r="B2594" t="inlineStr">
        <is>
          <t>KJ MU SPP GLZ LG 3 ML 006LOVER GIRL IV</t>
        </is>
      </c>
      <c r="C2594" t="inlineStr">
        <is>
          <t>P_US_ULTA</t>
        </is>
      </c>
      <c r="D2594" t="inlineStr">
        <is>
          <t>Stat Fcst L1</t>
        </is>
      </c>
      <c r="E2594" t="n">
        <v>479.999985694885</v>
      </c>
      <c r="F2594" t="n">
        <v>5471.99983692169</v>
      </c>
      <c r="G2594" t="n">
        <v>137</v>
      </c>
      <c r="H2594" t="n">
        <v>1435</v>
      </c>
      <c r="I2594" t="n">
        <v>1440</v>
      </c>
      <c r="J2594" t="n">
        <v>1439</v>
      </c>
      <c r="K2594" t="n">
        <v>1439</v>
      </c>
      <c r="L2594" t="n">
        <v>1440</v>
      </c>
      <c r="M2594" t="n">
        <v>1439</v>
      </c>
      <c r="N2594" t="n">
        <v>1440</v>
      </c>
      <c r="O2594" t="n">
        <v>1439</v>
      </c>
      <c r="P2594" t="n">
        <v>1440</v>
      </c>
    </row>
    <row r="2595">
      <c r="A2595" s="1" t="n">
        <v>4064941133551</v>
      </c>
      <c r="B2595" t="inlineStr">
        <is>
          <t>KJ MU SPP GLZ LG 3 ML 006LOVER GIRL IV</t>
        </is>
      </c>
      <c r="C2595" t="inlineStr">
        <is>
          <t>P_US_ULTA</t>
        </is>
      </c>
      <c r="D2595" t="inlineStr">
        <is>
          <t>Stat Fcst AR-NNET</t>
        </is>
      </c>
    </row>
    <row r="2596">
      <c r="A2596" s="1" t="n">
        <v>4064941133551</v>
      </c>
      <c r="B2596" t="inlineStr">
        <is>
          <t>KJ MU SPP GLZ LG 3 ML 006LOVER GIRL IV</t>
        </is>
      </c>
      <c r="C2596" t="inlineStr">
        <is>
          <t>P_US_ULTA</t>
        </is>
      </c>
      <c r="D2596" t="inlineStr">
        <is>
          <t>Stat Fcst Auto ARIMA</t>
        </is>
      </c>
    </row>
    <row r="2597">
      <c r="A2597" s="1" t="n">
        <v>4064941133551</v>
      </c>
      <c r="B2597" t="inlineStr">
        <is>
          <t>KJ MU SPP GLZ LG 3 ML 006LOVER GIRL IV</t>
        </is>
      </c>
      <c r="C2597" t="inlineStr">
        <is>
          <t>P_US_ULTA</t>
        </is>
      </c>
      <c r="D2597" t="inlineStr">
        <is>
          <t>Stat Fcst Croston</t>
        </is>
      </c>
    </row>
    <row r="2598">
      <c r="A2598" s="1" t="n">
        <v>4064941133551</v>
      </c>
      <c r="B2598" t="inlineStr">
        <is>
          <t>KJ MU SPP GLZ LG 3 ML 006LOVER GIRL IV</t>
        </is>
      </c>
      <c r="C2598" t="inlineStr">
        <is>
          <t>P_US_ULTA</t>
        </is>
      </c>
      <c r="D2598" t="inlineStr">
        <is>
          <t>Stat Fcst DES</t>
        </is>
      </c>
      <c r="E2598" t="n">
        <v>0</v>
      </c>
      <c r="F2598" t="n">
        <v>0</v>
      </c>
      <c r="G2598" t="n">
        <v>1435.20327750471</v>
      </c>
      <c r="H2598" t="n">
        <v>1436.70178906265</v>
      </c>
      <c r="I2598" t="n">
        <v>1437.90069464738</v>
      </c>
      <c r="J2598" t="n">
        <v>1438.8597226964</v>
      </c>
      <c r="K2598" t="n">
        <v>1439.6269879884</v>
      </c>
      <c r="L2598" t="n">
        <v>1440.24084314452</v>
      </c>
      <c r="M2598" t="n">
        <v>1440.73185000888</v>
      </c>
      <c r="N2598" t="n">
        <v>1441.12475426168</v>
      </c>
      <c r="O2598" t="n">
        <v>1441.43896170198</v>
      </c>
      <c r="P2598" t="n">
        <v>1441.69043290002</v>
      </c>
    </row>
    <row r="2599">
      <c r="A2599" s="1" t="n">
        <v>4064941133551</v>
      </c>
      <c r="B2599" t="inlineStr">
        <is>
          <t>KJ MU SPP GLZ LG 3 ML 006LOVER GIRL IV</t>
        </is>
      </c>
      <c r="C2599" t="inlineStr">
        <is>
          <t>P_US_ULTA</t>
        </is>
      </c>
      <c r="D2599" t="inlineStr">
        <is>
          <t>Stat Fcst ETS</t>
        </is>
      </c>
    </row>
    <row r="2600">
      <c r="A2600" s="1" t="n">
        <v>4064941133551</v>
      </c>
      <c r="B2600" t="inlineStr">
        <is>
          <t>KJ MU SPP GLZ LG 3 ML 006LOVER GIRL IV</t>
        </is>
      </c>
      <c r="C2600" t="inlineStr">
        <is>
          <t>P_US_ULTA</t>
        </is>
      </c>
      <c r="D2600" t="inlineStr">
        <is>
          <t>Stat Fcst Moving Average</t>
        </is>
      </c>
    </row>
    <row r="2601">
      <c r="A2601" s="1" t="n">
        <v>4064941133551</v>
      </c>
      <c r="B2601" t="inlineStr">
        <is>
          <t>KJ MU SPP GLZ LG 3 ML 006LOVER GIRL IV</t>
        </is>
      </c>
      <c r="C2601" t="inlineStr">
        <is>
          <t>P_US_ULTA</t>
        </is>
      </c>
      <c r="D2601" t="inlineStr">
        <is>
          <t>Stat Fcst Naive Random Walk</t>
        </is>
      </c>
    </row>
    <row r="2602">
      <c r="A2602" s="1" t="n">
        <v>4064941133551</v>
      </c>
      <c r="B2602" t="inlineStr">
        <is>
          <t>KJ MU SPP GLZ LG 3 ML 006LOVER GIRL IV</t>
        </is>
      </c>
      <c r="C2602" t="inlineStr">
        <is>
          <t>P_US_ULTA</t>
        </is>
      </c>
      <c r="D2602" t="inlineStr">
        <is>
          <t>Stat Fcst Prophet</t>
        </is>
      </c>
    </row>
    <row r="2603">
      <c r="A2603" s="1" t="n">
        <v>4064941133551</v>
      </c>
      <c r="B2603" t="inlineStr">
        <is>
          <t>KJ MU SPP GLZ LG 3 ML 006LOVER GIRL IV</t>
        </is>
      </c>
      <c r="C2603" t="inlineStr">
        <is>
          <t>P_US_ULTA</t>
        </is>
      </c>
      <c r="D2603" t="inlineStr">
        <is>
          <t>Stat Fcst sARIMA</t>
        </is>
      </c>
    </row>
    <row r="2604">
      <c r="A2604" s="1" t="n">
        <v>4064941133551</v>
      </c>
      <c r="B2604" t="inlineStr">
        <is>
          <t>KJ MU SPP GLZ LG 3 ML 006LOVER GIRL IV</t>
        </is>
      </c>
      <c r="C2604" t="inlineStr">
        <is>
          <t>P_US_ULTA</t>
        </is>
      </c>
      <c r="D2604" t="inlineStr">
        <is>
          <t>Stat Fcst Seasonal Naive YoY</t>
        </is>
      </c>
    </row>
    <row r="2605">
      <c r="A2605" s="1" t="n">
        <v>4064941133551</v>
      </c>
      <c r="B2605" t="inlineStr">
        <is>
          <t>KJ MU SPP GLZ LG 3 ML 006LOVER GIRL IV</t>
        </is>
      </c>
      <c r="C2605" t="inlineStr">
        <is>
          <t>P_US_ULTA</t>
        </is>
      </c>
      <c r="D2605" t="inlineStr">
        <is>
          <t>Stat Fcst SES</t>
        </is>
      </c>
    </row>
    <row r="2606">
      <c r="A2606" s="1" t="n">
        <v>4064941133551</v>
      </c>
      <c r="B2606" t="inlineStr">
        <is>
          <t>KJ MU SPP GLZ LG 3 ML 006LOVER GIRL IV</t>
        </is>
      </c>
      <c r="C2606" t="inlineStr">
        <is>
          <t>P_US_ULTA</t>
        </is>
      </c>
      <c r="D2606" t="inlineStr">
        <is>
          <t>Stat Fcst STLF</t>
        </is>
      </c>
      <c r="E2606" t="n">
        <v>79.098295927686</v>
      </c>
      <c r="F2606" t="n">
        <v>0</v>
      </c>
      <c r="G2606" t="n">
        <v>1492.14697612903</v>
      </c>
      <c r="H2606" t="n">
        <v>2608.90156678686</v>
      </c>
      <c r="I2606" t="n">
        <v>1225.65805536121</v>
      </c>
      <c r="J2606" t="n">
        <v>1176.15186936881</v>
      </c>
      <c r="K2606" t="n">
        <v>1411.25650550985</v>
      </c>
      <c r="L2606" t="n">
        <v>967.359411836886</v>
      </c>
      <c r="M2606" t="n">
        <v>1096.49958108316</v>
      </c>
      <c r="N2606" t="n">
        <v>931.509992430248</v>
      </c>
      <c r="O2606" t="n">
        <v>1690.67319181729</v>
      </c>
      <c r="P2606" t="n">
        <v>598.9785093918661</v>
      </c>
    </row>
    <row r="2607">
      <c r="A2607" s="1" t="n">
        <v>4064941133551</v>
      </c>
      <c r="B2607" t="inlineStr">
        <is>
          <t>KJ MU SPP GLZ LG 3 ML 006LOVER GIRL IV</t>
        </is>
      </c>
      <c r="C2607" t="inlineStr">
        <is>
          <t>P_US_ULTA</t>
        </is>
      </c>
      <c r="D2607" t="inlineStr">
        <is>
          <t>Stat Fcst TBATS</t>
        </is>
      </c>
    </row>
    <row r="2608">
      <c r="A2608" s="1" t="n">
        <v>4064941133551</v>
      </c>
      <c r="B2608" t="inlineStr">
        <is>
          <t>KJ MU SPP GLZ LG 3 ML 006LOVER GIRL IV</t>
        </is>
      </c>
      <c r="C2608" t="inlineStr">
        <is>
          <t>P_US_ULTA</t>
        </is>
      </c>
      <c r="D2608" t="inlineStr">
        <is>
          <t>Stat Fcst TES</t>
        </is>
      </c>
    </row>
    <row r="2609">
      <c r="A2609" s="1" t="n">
        <v>4064941133551</v>
      </c>
      <c r="B2609" t="inlineStr">
        <is>
          <t>KJ MU SPP GLZ LG 3 ML 006LOVER GIRL IV</t>
        </is>
      </c>
      <c r="C2609" t="inlineStr">
        <is>
          <t>P_US_ULTA</t>
        </is>
      </c>
      <c r="D2609" t="inlineStr">
        <is>
          <t>Stat Fcst Theta</t>
        </is>
      </c>
    </row>
    <row r="2610">
      <c r="A2610" s="1" t="n">
        <v>4064941133551</v>
      </c>
      <c r="B2610" t="inlineStr">
        <is>
          <t>KJ MU SPP GLZ LG 3 ML 006LOVER GIRL IV</t>
        </is>
      </c>
      <c r="C2610" t="inlineStr">
        <is>
          <t>P_US_ULTA</t>
        </is>
      </c>
      <c r="D2610" t="inlineStr">
        <is>
          <t>System ML Fcst L1</t>
        </is>
      </c>
    </row>
    <row r="2611">
      <c r="A2611" s="1" t="n">
        <v>4064941133551</v>
      </c>
      <c r="B2611" t="inlineStr">
        <is>
          <t>KJ MU SPP GLZ LG 3 ML 006LOVER GIRL IV</t>
        </is>
      </c>
      <c r="C2611" t="inlineStr">
        <is>
          <t>P_US_ULTA</t>
        </is>
      </c>
      <c r="D2611" t="inlineStr">
        <is>
          <t>Stat Fcst Simple Snaive</t>
        </is>
      </c>
    </row>
    <row r="2612">
      <c r="A2612" s="1" t="n">
        <v>4064941133551</v>
      </c>
      <c r="B2612" t="inlineStr">
        <is>
          <t>KJ MU SPP GLZ LG 3 ML 006LOVER GIRL IV</t>
        </is>
      </c>
      <c r="C2612" t="inlineStr">
        <is>
          <t>P_US_ULTA</t>
        </is>
      </c>
      <c r="D2612" t="inlineStr">
        <is>
          <t>Stat Fcst Simple AOA</t>
        </is>
      </c>
    </row>
    <row r="2613">
      <c r="A2613" s="1" t="n">
        <v>4064941133551</v>
      </c>
      <c r="B2613" t="inlineStr">
        <is>
          <t>KJ MU SPP GLZ LG 3 ML 006LOVER GIRL IV</t>
        </is>
      </c>
      <c r="C2613" t="inlineStr">
        <is>
          <t>P_US_ULTA</t>
        </is>
      </c>
      <c r="D2613" t="inlineStr">
        <is>
          <t>Stat Fcst Weighted Snaive</t>
        </is>
      </c>
    </row>
    <row r="2614">
      <c r="A2614" s="1" t="n">
        <v>4064941133551</v>
      </c>
      <c r="B2614" t="inlineStr">
        <is>
          <t>KJ MU SPP GLZ LG 3 ML 006LOVER GIRL IV</t>
        </is>
      </c>
      <c r="C2614" t="inlineStr">
        <is>
          <t>P_US_ULTA</t>
        </is>
      </c>
      <c r="D2614" t="inlineStr">
        <is>
          <t>Stat Fcst Weighted AOA</t>
        </is>
      </c>
      <c r="E2614" t="n">
        <v>575.999982833862</v>
      </c>
      <c r="F2614" t="n">
        <v>1103.99996709823</v>
      </c>
      <c r="G2614" t="n">
        <v>816.000006079673</v>
      </c>
      <c r="H2614" t="n">
        <v>2639.99979925156</v>
      </c>
      <c r="I2614" t="n">
        <v>2208.00001645088</v>
      </c>
      <c r="J2614" t="n">
        <v>335.999989986419</v>
      </c>
      <c r="K2614" t="n">
        <v>431.999987125396</v>
      </c>
      <c r="L2614" t="n">
        <v>2688</v>
      </c>
      <c r="M2614" t="n">
        <v>2639.99990606308</v>
      </c>
      <c r="N2614" t="n">
        <v>240.000003576278</v>
      </c>
      <c r="O2614" t="n">
        <v>703.999958674113</v>
      </c>
      <c r="P2614" t="n">
        <v>2258.04607802167</v>
      </c>
    </row>
    <row r="2615">
      <c r="A2615" s="1" t="n">
        <v>4064941133551</v>
      </c>
      <c r="B2615" t="inlineStr">
        <is>
          <t>KJ MU SPP GLZ LG 3 ML 006LOVER GIRL IV</t>
        </is>
      </c>
      <c r="C2615" t="inlineStr">
        <is>
          <t>P_US_ULTA</t>
        </is>
      </c>
      <c r="D2615" t="inlineStr">
        <is>
          <t>Stat Fcst Growth Snaive</t>
        </is>
      </c>
    </row>
    <row r="2616">
      <c r="A2616" s="1" t="n">
        <v>4064941133551</v>
      </c>
      <c r="B2616" t="inlineStr">
        <is>
          <t>KJ MU SPP GLZ LG 3 ML 006LOVER GIRL IV</t>
        </is>
      </c>
      <c r="C2616" t="inlineStr">
        <is>
          <t>P_US_ULTA</t>
        </is>
      </c>
      <c r="D2616" t="inlineStr">
        <is>
          <t>Stat Fcst Growth AOA</t>
        </is>
      </c>
    </row>
    <row r="2617">
      <c r="A2617" s="1" t="n">
        <v>4064941133551</v>
      </c>
      <c r="B2617" t="inlineStr">
        <is>
          <t>KJ MU SPP GLZ LG 3 ML 006LOVER GIRL IV</t>
        </is>
      </c>
      <c r="C2617" t="inlineStr">
        <is>
          <t>P_US_ULTA</t>
        </is>
      </c>
      <c r="D2617" t="inlineStr">
        <is>
          <t>System Stat Fcst Bestfit</t>
        </is>
      </c>
      <c r="H2617" t="n">
        <v>1436.70173940951</v>
      </c>
      <c r="I2617" t="n">
        <v>1437.90076754913</v>
      </c>
      <c r="J2617" t="n">
        <v>1438.85969832957</v>
      </c>
      <c r="K2617" t="n">
        <v>1439.62691022077</v>
      </c>
      <c r="L2617" t="n">
        <v>1440.24084472656</v>
      </c>
      <c r="M2617" t="n">
        <v>1440.73176858628</v>
      </c>
      <c r="N2617" t="n">
        <v>1441.1247773338</v>
      </c>
      <c r="O2617" t="n">
        <v>1441.43892188552</v>
      </c>
      <c r="P2617" t="n">
        <v>1441.69044042893</v>
      </c>
    </row>
    <row r="2618">
      <c r="A2618" s="1" t="n">
        <v>4064941147084</v>
      </c>
      <c r="B2618" t="inlineStr">
        <is>
          <t>KJ MU HYB BLSH PWDBLU2.5G 356SMRSB 25IV</t>
        </is>
      </c>
      <c r="C2618" t="inlineStr">
        <is>
          <t>P_US_ALL_OTHERS</t>
        </is>
      </c>
      <c r="D2618" t="inlineStr">
        <is>
          <t>Stat Fcst L1</t>
        </is>
      </c>
      <c r="E2618" t="n">
        <v>165.999995052814</v>
      </c>
      <c r="F2618" t="n">
        <v>105.999996840953</v>
      </c>
      <c r="G2618" t="n">
        <v>111</v>
      </c>
      <c r="H2618" t="n">
        <v>124</v>
      </c>
      <c r="I2618" t="n">
        <v>112</v>
      </c>
      <c r="J2618" t="n">
        <v>115</v>
      </c>
      <c r="K2618" t="n">
        <v>115</v>
      </c>
      <c r="L2618" t="n">
        <v>112</v>
      </c>
      <c r="M2618" t="n">
        <v>115</v>
      </c>
      <c r="N2618" t="n">
        <v>115</v>
      </c>
      <c r="O2618" t="n">
        <v>115</v>
      </c>
      <c r="P2618" t="n">
        <v>115</v>
      </c>
    </row>
    <row r="2619">
      <c r="A2619" s="1" t="n">
        <v>4064941147084</v>
      </c>
      <c r="B2619" t="inlineStr">
        <is>
          <t>KJ MU HYB BLSH PWDBLU2.5G 356SMRSB 25IV</t>
        </is>
      </c>
      <c r="C2619" t="inlineStr">
        <is>
          <t>P_US_ALL_OTHERS</t>
        </is>
      </c>
      <c r="D2619" t="inlineStr">
        <is>
          <t>Stat Fcst AR-NNET</t>
        </is>
      </c>
    </row>
    <row r="2620">
      <c r="A2620" s="1" t="n">
        <v>4064941147084</v>
      </c>
      <c r="B2620" t="inlineStr">
        <is>
          <t>KJ MU HYB BLSH PWDBLU2.5G 356SMRSB 25IV</t>
        </is>
      </c>
      <c r="C2620" t="inlineStr">
        <is>
          <t>P_US_ALL_OTHERS</t>
        </is>
      </c>
      <c r="D2620" t="inlineStr">
        <is>
          <t>Stat Fcst Auto ARIMA</t>
        </is>
      </c>
    </row>
    <row r="2621">
      <c r="A2621" s="1" t="n">
        <v>4064941147084</v>
      </c>
      <c r="B2621" t="inlineStr">
        <is>
          <t>KJ MU HYB BLSH PWDBLU2.5G 356SMRSB 25IV</t>
        </is>
      </c>
      <c r="C2621" t="inlineStr">
        <is>
          <t>P_US_ALL_OTHERS</t>
        </is>
      </c>
      <c r="D2621" t="inlineStr">
        <is>
          <t>Stat Fcst Croston</t>
        </is>
      </c>
    </row>
    <row r="2622">
      <c r="A2622" s="1" t="n">
        <v>4064941147084</v>
      </c>
      <c r="B2622" t="inlineStr">
        <is>
          <t>KJ MU HYB BLSH PWDBLU2.5G 356SMRSB 25IV</t>
        </is>
      </c>
      <c r="C2622" t="inlineStr">
        <is>
          <t>P_US_ALL_OTHERS</t>
        </is>
      </c>
      <c r="D2622" t="inlineStr">
        <is>
          <t>Stat Fcst DES</t>
        </is>
      </c>
      <c r="E2622" t="n">
        <v>139.340612609759</v>
      </c>
      <c r="F2622" t="n">
        <v>132.887650946779</v>
      </c>
      <c r="G2622" t="n">
        <v>126.972369217039</v>
      </c>
      <c r="H2622" t="n">
        <v>124.014734700861</v>
      </c>
      <c r="I2622" t="n">
        <v>122.535924372636</v>
      </c>
      <c r="J2622" t="n">
        <v>121.796512361295</v>
      </c>
      <c r="K2622" t="n">
        <v>121.426808638034</v>
      </c>
      <c r="L2622" t="n">
        <v>121.241960389696</v>
      </c>
      <c r="M2622" t="n">
        <v>121.149530845588</v>
      </c>
      <c r="N2622" t="n">
        <v>121.103323293921</v>
      </c>
      <c r="O2622" t="n">
        <v>121.080211397477</v>
      </c>
      <c r="P2622" t="n">
        <v>121.068662666284</v>
      </c>
    </row>
    <row r="2623">
      <c r="A2623" s="1" t="n">
        <v>4064941147084</v>
      </c>
      <c r="B2623" t="inlineStr">
        <is>
          <t>KJ MU HYB BLSH PWDBLU2.5G 356SMRSB 25IV</t>
        </is>
      </c>
      <c r="C2623" t="inlineStr">
        <is>
          <t>P_US_ALL_OTHERS</t>
        </is>
      </c>
      <c r="D2623" t="inlineStr">
        <is>
          <t>Stat Fcst ETS</t>
        </is>
      </c>
    </row>
    <row r="2624">
      <c r="A2624" s="1" t="n">
        <v>4064941147084</v>
      </c>
      <c r="B2624" t="inlineStr">
        <is>
          <t>KJ MU HYB BLSH PWDBLU2.5G 356SMRSB 25IV</t>
        </is>
      </c>
      <c r="C2624" t="inlineStr">
        <is>
          <t>P_US_ALL_OTHERS</t>
        </is>
      </c>
      <c r="D2624" t="inlineStr">
        <is>
          <t>Stat Fcst Moving Average</t>
        </is>
      </c>
      <c r="E2624" t="n">
        <v>70.9999978840351</v>
      </c>
      <c r="F2624" t="n">
        <v>123.999996304512</v>
      </c>
      <c r="G2624" t="n">
        <v>103.330000769868</v>
      </c>
      <c r="H2624" t="n">
        <v>125.109996271431</v>
      </c>
      <c r="I2624" t="n">
        <v>111.48000083059</v>
      </c>
      <c r="J2624" t="n">
        <v>113.309996623098</v>
      </c>
      <c r="K2624" t="n">
        <v>116.629996524155</v>
      </c>
      <c r="L2624" t="n">
        <v>113.81</v>
      </c>
      <c r="M2624" t="n">
        <v>114.579996585249</v>
      </c>
      <c r="N2624" t="n">
        <v>115.010001713782</v>
      </c>
      <c r="O2624" t="n">
        <v>114.469996588528</v>
      </c>
      <c r="P2624" t="n">
        <v>114.690000854507</v>
      </c>
    </row>
    <row r="2625">
      <c r="A2625" s="1" t="n">
        <v>4064941147084</v>
      </c>
      <c r="B2625" t="inlineStr">
        <is>
          <t>KJ MU HYB BLSH PWDBLU2.5G 356SMRSB 25IV</t>
        </is>
      </c>
      <c r="C2625" t="inlineStr">
        <is>
          <t>P_US_ALL_OTHERS</t>
        </is>
      </c>
      <c r="D2625" t="inlineStr">
        <is>
          <t>Stat Fcst Naive Random Walk</t>
        </is>
      </c>
    </row>
    <row r="2626">
      <c r="A2626" s="1" t="n">
        <v>4064941147084</v>
      </c>
      <c r="B2626" t="inlineStr">
        <is>
          <t>KJ MU HYB BLSH PWDBLU2.5G 356SMRSB 25IV</t>
        </is>
      </c>
      <c r="C2626" t="inlineStr">
        <is>
          <t>P_US_ALL_OTHERS</t>
        </is>
      </c>
      <c r="D2626" t="inlineStr">
        <is>
          <t>Stat Fcst Prophet</t>
        </is>
      </c>
    </row>
    <row r="2627">
      <c r="A2627" s="1" t="n">
        <v>4064941147084</v>
      </c>
      <c r="B2627" t="inlineStr">
        <is>
          <t>KJ MU HYB BLSH PWDBLU2.5G 356SMRSB 25IV</t>
        </is>
      </c>
      <c r="C2627" t="inlineStr">
        <is>
          <t>P_US_ALL_OTHERS</t>
        </is>
      </c>
      <c r="D2627" t="inlineStr">
        <is>
          <t>Stat Fcst sARIMA</t>
        </is>
      </c>
    </row>
    <row r="2628">
      <c r="A2628" s="1" t="n">
        <v>4064941147084</v>
      </c>
      <c r="B2628" t="inlineStr">
        <is>
          <t>KJ MU HYB BLSH PWDBLU2.5G 356SMRSB 25IV</t>
        </is>
      </c>
      <c r="C2628" t="inlineStr">
        <is>
          <t>P_US_ALL_OTHERS</t>
        </is>
      </c>
      <c r="D2628" t="inlineStr">
        <is>
          <t>Stat Fcst Seasonal Naive YoY</t>
        </is>
      </c>
    </row>
    <row r="2629">
      <c r="A2629" s="1" t="n">
        <v>4064941147084</v>
      </c>
      <c r="B2629" t="inlineStr">
        <is>
          <t>KJ MU HYB BLSH PWDBLU2.5G 356SMRSB 25IV</t>
        </is>
      </c>
      <c r="C2629" t="inlineStr">
        <is>
          <t>P_US_ALL_OTHERS</t>
        </is>
      </c>
      <c r="D2629" t="inlineStr">
        <is>
          <t>Stat Fcst SES</t>
        </is>
      </c>
      <c r="E2629" t="n">
        <v>167.956477798186</v>
      </c>
      <c r="F2629" t="n">
        <v>167.956475841703</v>
      </c>
      <c r="G2629" t="n">
        <v>167.956420142089</v>
      </c>
      <c r="H2629" t="n">
        <v>167.956413885224</v>
      </c>
      <c r="I2629" t="n">
        <v>167.956420142089</v>
      </c>
      <c r="J2629" t="n">
        <v>167.956413885224</v>
      </c>
      <c r="K2629" t="n">
        <v>167.956413885224</v>
      </c>
      <c r="L2629" t="n">
        <v>167.956418890716</v>
      </c>
      <c r="M2629" t="n">
        <v>167.956413885224</v>
      </c>
      <c r="N2629" t="n">
        <v>167.956421393461</v>
      </c>
      <c r="O2629" t="n">
        <v>167.956413885224</v>
      </c>
      <c r="P2629" t="n">
        <v>167.956420142089</v>
      </c>
    </row>
    <row r="2630">
      <c r="A2630" s="1" t="n">
        <v>4064941147084</v>
      </c>
      <c r="B2630" t="inlineStr">
        <is>
          <t>KJ MU HYB BLSH PWDBLU2.5G 356SMRSB 25IV</t>
        </is>
      </c>
      <c r="C2630" t="inlineStr">
        <is>
          <t>P_US_ALL_OTHERS</t>
        </is>
      </c>
      <c r="D2630" t="inlineStr">
        <is>
          <t>Stat Fcst STLF</t>
        </is>
      </c>
    </row>
    <row r="2631">
      <c r="A2631" s="1" t="n">
        <v>4064941147084</v>
      </c>
      <c r="B2631" t="inlineStr">
        <is>
          <t>KJ MU HYB BLSH PWDBLU2.5G 356SMRSB 25IV</t>
        </is>
      </c>
      <c r="C2631" t="inlineStr">
        <is>
          <t>P_US_ALL_OTHERS</t>
        </is>
      </c>
      <c r="D2631" t="inlineStr">
        <is>
          <t>Stat Fcst TBATS</t>
        </is>
      </c>
    </row>
    <row r="2632">
      <c r="A2632" s="1" t="n">
        <v>4064941147084</v>
      </c>
      <c r="B2632" t="inlineStr">
        <is>
          <t>KJ MU HYB BLSH PWDBLU2.5G 356SMRSB 25IV</t>
        </is>
      </c>
      <c r="C2632" t="inlineStr">
        <is>
          <t>P_US_ALL_OTHERS</t>
        </is>
      </c>
      <c r="D2632" t="inlineStr">
        <is>
          <t>Stat Fcst TES</t>
        </is>
      </c>
    </row>
    <row r="2633">
      <c r="A2633" s="1" t="n">
        <v>4064941147084</v>
      </c>
      <c r="B2633" t="inlineStr">
        <is>
          <t>KJ MU HYB BLSH PWDBLU2.5G 356SMRSB 25IV</t>
        </is>
      </c>
      <c r="C2633" t="inlineStr">
        <is>
          <t>P_US_ALL_OTHERS</t>
        </is>
      </c>
      <c r="D2633" t="inlineStr">
        <is>
          <t>Stat Fcst Theta</t>
        </is>
      </c>
    </row>
    <row r="2634">
      <c r="A2634" s="1" t="n">
        <v>4064941147084</v>
      </c>
      <c r="B2634" t="inlineStr">
        <is>
          <t>KJ MU HYB BLSH PWDBLU2.5G 356SMRSB 25IV</t>
        </is>
      </c>
      <c r="C2634" t="inlineStr">
        <is>
          <t>P_US_ALL_OTHERS</t>
        </is>
      </c>
      <c r="D2634" t="inlineStr">
        <is>
          <t>System ML Fcst L1</t>
        </is>
      </c>
    </row>
    <row r="2635">
      <c r="A2635" s="1" t="n">
        <v>4064941147084</v>
      </c>
      <c r="B2635" t="inlineStr">
        <is>
          <t>KJ MU HYB BLSH PWDBLU2.5G 356SMRSB 25IV</t>
        </is>
      </c>
      <c r="C2635" t="inlineStr">
        <is>
          <t>P_US_ALL_OTHERS</t>
        </is>
      </c>
      <c r="D2635" t="inlineStr">
        <is>
          <t>Stat Fcst Simple Snaive</t>
        </is>
      </c>
    </row>
    <row r="2636">
      <c r="A2636" s="1" t="n">
        <v>4064941147084</v>
      </c>
      <c r="B2636" t="inlineStr">
        <is>
          <t>KJ MU HYB BLSH PWDBLU2.5G 356SMRSB 25IV</t>
        </is>
      </c>
      <c r="C2636" t="inlineStr">
        <is>
          <t>P_US_ALL_OTHERS</t>
        </is>
      </c>
      <c r="D2636" t="inlineStr">
        <is>
          <t>Stat Fcst Simple AOA</t>
        </is>
      </c>
    </row>
    <row r="2637">
      <c r="A2637" s="1" t="n">
        <v>4064941147084</v>
      </c>
      <c r="B2637" t="inlineStr">
        <is>
          <t>KJ MU HYB BLSH PWDBLU2.5G 356SMRSB 25IV</t>
        </is>
      </c>
      <c r="C2637" t="inlineStr">
        <is>
          <t>P_US_ALL_OTHERS</t>
        </is>
      </c>
      <c r="D2637" t="inlineStr">
        <is>
          <t>Stat Fcst Weighted Snaive</t>
        </is>
      </c>
    </row>
    <row r="2638">
      <c r="A2638" s="1" t="n">
        <v>4064941147084</v>
      </c>
      <c r="B2638" t="inlineStr">
        <is>
          <t>KJ MU HYB BLSH PWDBLU2.5G 356SMRSB 25IV</t>
        </is>
      </c>
      <c r="C2638" t="inlineStr">
        <is>
          <t>P_US_ALL_OTHERS</t>
        </is>
      </c>
      <c r="D2638" t="inlineStr">
        <is>
          <t>Stat Fcst Weighted AOA</t>
        </is>
      </c>
    </row>
    <row r="2639">
      <c r="A2639" s="1" t="n">
        <v>4064941147084</v>
      </c>
      <c r="B2639" t="inlineStr">
        <is>
          <t>KJ MU HYB BLSH PWDBLU2.5G 356SMRSB 25IV</t>
        </is>
      </c>
      <c r="C2639" t="inlineStr">
        <is>
          <t>P_US_ALL_OTHERS</t>
        </is>
      </c>
      <c r="D2639" t="inlineStr">
        <is>
          <t>Stat Fcst Growth Snaive</t>
        </is>
      </c>
    </row>
    <row r="2640">
      <c r="A2640" s="1" t="n">
        <v>4064941147084</v>
      </c>
      <c r="B2640" t="inlineStr">
        <is>
          <t>KJ MU HYB BLSH PWDBLU2.5G 356SMRSB 25IV</t>
        </is>
      </c>
      <c r="C2640" t="inlineStr">
        <is>
          <t>P_US_ALL_OTHERS</t>
        </is>
      </c>
      <c r="D2640" t="inlineStr">
        <is>
          <t>Stat Fcst Growth AOA</t>
        </is>
      </c>
    </row>
    <row r="2641">
      <c r="A2641" s="1" t="n">
        <v>4064941147084</v>
      </c>
      <c r="B2641" t="inlineStr">
        <is>
          <t>KJ MU HYB BLSH PWDBLU2.5G 356SMRSB 25IV</t>
        </is>
      </c>
      <c r="C2641" t="inlineStr">
        <is>
          <t>P_US_ALL_OTHERS</t>
        </is>
      </c>
      <c r="D2641" t="inlineStr">
        <is>
          <t>System Stat Fcst Bestfit</t>
        </is>
      </c>
      <c r="H2641" t="n">
        <v>125.109996881782</v>
      </c>
      <c r="I2641" t="n">
        <v>111.480004187524</v>
      </c>
      <c r="J2641" t="n">
        <v>113.309994181692</v>
      </c>
      <c r="K2641" t="n">
        <v>116.629993777573</v>
      </c>
      <c r="L2641" t="n">
        <v>113.809997558593</v>
      </c>
      <c r="M2641" t="n">
        <v>114.57999078691</v>
      </c>
      <c r="N2641" t="n">
        <v>115.010003850013</v>
      </c>
      <c r="O2641" t="n">
        <v>114.469997809231</v>
      </c>
      <c r="P2641" t="n">
        <v>114.690003295913</v>
      </c>
    </row>
    <row r="2642">
      <c r="A2642" s="1" t="n">
        <v>4064941147084</v>
      </c>
      <c r="B2642" t="inlineStr">
        <is>
          <t>KJ MU HYB BLSH PWDBLU2.5G 356SMRSB 25IV</t>
        </is>
      </c>
      <c r="C2642" t="inlineStr">
        <is>
          <t>P_US_ULTA</t>
        </is>
      </c>
      <c r="D2642" t="inlineStr">
        <is>
          <t>Stat Fcst L1</t>
        </is>
      </c>
      <c r="E2642" t="n">
        <v>647.999980688095</v>
      </c>
      <c r="F2642" t="n">
        <v>5111.99984765052</v>
      </c>
      <c r="G2642" t="n">
        <v>480</v>
      </c>
      <c r="H2642" t="n">
        <v>2591</v>
      </c>
      <c r="I2642" t="n">
        <v>3240</v>
      </c>
      <c r="J2642" t="n">
        <v>2617</v>
      </c>
      <c r="K2642" t="n">
        <v>2817</v>
      </c>
      <c r="L2642" t="n">
        <v>2892</v>
      </c>
      <c r="M2642" t="n">
        <v>2772</v>
      </c>
      <c r="N2642" t="n">
        <v>2828</v>
      </c>
      <c r="O2642" t="n">
        <v>2830</v>
      </c>
      <c r="P2642" t="n">
        <v>2811</v>
      </c>
    </row>
    <row r="2643">
      <c r="A2643" s="1" t="n">
        <v>4064941147084</v>
      </c>
      <c r="B2643" t="inlineStr">
        <is>
          <t>KJ MU HYB BLSH PWDBLU2.5G 356SMRSB 25IV</t>
        </is>
      </c>
      <c r="C2643" t="inlineStr">
        <is>
          <t>P_US_ULTA</t>
        </is>
      </c>
      <c r="D2643" t="inlineStr">
        <is>
          <t>Stat Fcst AR-NNET</t>
        </is>
      </c>
    </row>
    <row r="2644">
      <c r="A2644" s="1" t="n">
        <v>4064941147084</v>
      </c>
      <c r="B2644" t="inlineStr">
        <is>
          <t>KJ MU HYB BLSH PWDBLU2.5G 356SMRSB 25IV</t>
        </is>
      </c>
      <c r="C2644" t="inlineStr">
        <is>
          <t>P_US_ULTA</t>
        </is>
      </c>
      <c r="D2644" t="inlineStr">
        <is>
          <t>Stat Fcst Auto ARIMA</t>
        </is>
      </c>
    </row>
    <row r="2645">
      <c r="A2645" s="1" t="n">
        <v>4064941147084</v>
      </c>
      <c r="B2645" t="inlineStr">
        <is>
          <t>KJ MU HYB BLSH PWDBLU2.5G 356SMRSB 25IV</t>
        </is>
      </c>
      <c r="C2645" t="inlineStr">
        <is>
          <t>P_US_ULTA</t>
        </is>
      </c>
      <c r="D2645" t="inlineStr">
        <is>
          <t>Stat Fcst Croston</t>
        </is>
      </c>
    </row>
    <row r="2646">
      <c r="A2646" s="1" t="n">
        <v>4064941147084</v>
      </c>
      <c r="B2646" t="inlineStr">
        <is>
          <t>KJ MU HYB BLSH PWDBLU2.5G 356SMRSB 25IV</t>
        </is>
      </c>
      <c r="C2646" t="inlineStr">
        <is>
          <t>P_US_ULTA</t>
        </is>
      </c>
      <c r="D2646" t="inlineStr">
        <is>
          <t>Stat Fcst DES</t>
        </is>
      </c>
      <c r="E2646" t="n">
        <v>1397.21139308962</v>
      </c>
      <c r="F2646" t="n">
        <v>1397.2076035671</v>
      </c>
      <c r="G2646" t="n">
        <v>1397.21170764936</v>
      </c>
      <c r="H2646" t="n">
        <v>1397.21182421933</v>
      </c>
      <c r="I2646" t="n">
        <v>1397.21196057962</v>
      </c>
      <c r="J2646" t="n">
        <v>1397.21195068445</v>
      </c>
      <c r="K2646" t="n">
        <v>1397.21197176197</v>
      </c>
      <c r="L2646" t="n">
        <v>1397.2120239409</v>
      </c>
      <c r="M2646" t="n">
        <v>1397.21198757011</v>
      </c>
      <c r="N2646" t="n">
        <v>1397.21205266505</v>
      </c>
      <c r="O2646" t="n">
        <v>1397.21199152215</v>
      </c>
      <c r="P2646" t="n">
        <v>1397.21204423103</v>
      </c>
    </row>
    <row r="2647">
      <c r="A2647" s="1" t="n">
        <v>4064941147084</v>
      </c>
      <c r="B2647" t="inlineStr">
        <is>
          <t>KJ MU HYB BLSH PWDBLU2.5G 356SMRSB 25IV</t>
        </is>
      </c>
      <c r="C2647" t="inlineStr">
        <is>
          <t>P_US_ULTA</t>
        </is>
      </c>
      <c r="D2647" t="inlineStr">
        <is>
          <t>Stat Fcst ETS</t>
        </is>
      </c>
    </row>
    <row r="2648">
      <c r="A2648" s="1" t="n">
        <v>4064941147084</v>
      </c>
      <c r="B2648" t="inlineStr">
        <is>
          <t>KJ MU HYB BLSH PWDBLU2.5G 356SMRSB 25IV</t>
        </is>
      </c>
      <c r="C2648" t="inlineStr">
        <is>
          <t>P_US_ULTA</t>
        </is>
      </c>
      <c r="D2648" t="inlineStr">
        <is>
          <t>Stat Fcst Moving Average</t>
        </is>
      </c>
      <c r="E2648" t="n">
        <v>901.3333064715069</v>
      </c>
      <c r="F2648" t="n">
        <v>503.999984979629</v>
      </c>
      <c r="G2648" t="n">
        <v>2016.00001502037</v>
      </c>
      <c r="H2648" t="n">
        <v>2591.99992275238</v>
      </c>
      <c r="I2648" t="n">
        <v>3240.00002413988</v>
      </c>
      <c r="J2648" t="n">
        <v>2615.99992203712</v>
      </c>
      <c r="K2648" t="n">
        <v>2815.99991607666</v>
      </c>
      <c r="L2648" t="n">
        <v>2890.67</v>
      </c>
      <c r="M2648" t="n">
        <v>2774.2199173218</v>
      </c>
      <c r="N2648" t="n">
        <v>2826.96004212498</v>
      </c>
      <c r="O2648" t="n">
        <v>2830.61991564095</v>
      </c>
      <c r="P2648" t="n">
        <v>2810.6000209406</v>
      </c>
    </row>
    <row r="2649">
      <c r="A2649" s="1" t="n">
        <v>4064941147084</v>
      </c>
      <c r="B2649" t="inlineStr">
        <is>
          <t>KJ MU HYB BLSH PWDBLU2.5G 356SMRSB 25IV</t>
        </is>
      </c>
      <c r="C2649" t="inlineStr">
        <is>
          <t>P_US_ULTA</t>
        </is>
      </c>
      <c r="D2649" t="inlineStr">
        <is>
          <t>Stat Fcst Naive Random Walk</t>
        </is>
      </c>
    </row>
    <row r="2650">
      <c r="A2650" s="1" t="n">
        <v>4064941147084</v>
      </c>
      <c r="B2650" t="inlineStr">
        <is>
          <t>KJ MU HYB BLSH PWDBLU2.5G 356SMRSB 25IV</t>
        </is>
      </c>
      <c r="C2650" t="inlineStr">
        <is>
          <t>P_US_ULTA</t>
        </is>
      </c>
      <c r="D2650" t="inlineStr">
        <is>
          <t>Stat Fcst Prophet</t>
        </is>
      </c>
    </row>
    <row r="2651">
      <c r="A2651" s="1" t="n">
        <v>4064941147084</v>
      </c>
      <c r="B2651" t="inlineStr">
        <is>
          <t>KJ MU HYB BLSH PWDBLU2.5G 356SMRSB 25IV</t>
        </is>
      </c>
      <c r="C2651" t="inlineStr">
        <is>
          <t>P_US_ULTA</t>
        </is>
      </c>
      <c r="D2651" t="inlineStr">
        <is>
          <t>Stat Fcst sARIMA</t>
        </is>
      </c>
    </row>
    <row r="2652">
      <c r="A2652" s="1" t="n">
        <v>4064941147084</v>
      </c>
      <c r="B2652" t="inlineStr">
        <is>
          <t>KJ MU HYB BLSH PWDBLU2.5G 356SMRSB 25IV</t>
        </is>
      </c>
      <c r="C2652" t="inlineStr">
        <is>
          <t>P_US_ULTA</t>
        </is>
      </c>
      <c r="D2652" t="inlineStr">
        <is>
          <t>Stat Fcst Seasonal Naive YoY</t>
        </is>
      </c>
    </row>
    <row r="2653">
      <c r="A2653" s="1" t="n">
        <v>4064941147084</v>
      </c>
      <c r="B2653" t="inlineStr">
        <is>
          <t>KJ MU HYB BLSH PWDBLU2.5G 356SMRSB 25IV</t>
        </is>
      </c>
      <c r="C2653" t="inlineStr">
        <is>
          <t>P_US_ULTA</t>
        </is>
      </c>
      <c r="D2653" t="inlineStr">
        <is>
          <t>Stat Fcst SES</t>
        </is>
      </c>
      <c r="E2653" t="n">
        <v>1397.72124310043</v>
      </c>
      <c r="F2653" t="n">
        <v>1397.72049337917</v>
      </c>
      <c r="G2653" t="n">
        <v>1397.72425972732</v>
      </c>
      <c r="H2653" t="n">
        <v>1397.72420765803</v>
      </c>
      <c r="I2653" t="n">
        <v>1397.72425972732</v>
      </c>
      <c r="J2653" t="n">
        <v>1397.72420765803</v>
      </c>
      <c r="K2653" t="n">
        <v>1397.72420765803</v>
      </c>
      <c r="L2653" t="n">
        <v>1397.72424931346</v>
      </c>
      <c r="M2653" t="n">
        <v>1397.72420765803</v>
      </c>
      <c r="N2653" t="n">
        <v>1397.72427014118</v>
      </c>
      <c r="O2653" t="n">
        <v>1397.72420765803</v>
      </c>
      <c r="P2653" t="n">
        <v>1397.72425972732</v>
      </c>
    </row>
    <row r="2654">
      <c r="A2654" s="1" t="n">
        <v>4064941147084</v>
      </c>
      <c r="B2654" t="inlineStr">
        <is>
          <t>KJ MU HYB BLSH PWDBLU2.5G 356SMRSB 25IV</t>
        </is>
      </c>
      <c r="C2654" t="inlineStr">
        <is>
          <t>P_US_ULTA</t>
        </is>
      </c>
      <c r="D2654" t="inlineStr">
        <is>
          <t>Stat Fcst STLF</t>
        </is>
      </c>
    </row>
    <row r="2655">
      <c r="A2655" s="1" t="n">
        <v>4064941147084</v>
      </c>
      <c r="B2655" t="inlineStr">
        <is>
          <t>KJ MU HYB BLSH PWDBLU2.5G 356SMRSB 25IV</t>
        </is>
      </c>
      <c r="C2655" t="inlineStr">
        <is>
          <t>P_US_ULTA</t>
        </is>
      </c>
      <c r="D2655" t="inlineStr">
        <is>
          <t>Stat Fcst TBATS</t>
        </is>
      </c>
    </row>
    <row r="2656">
      <c r="A2656" s="1" t="n">
        <v>4064941147084</v>
      </c>
      <c r="B2656" t="inlineStr">
        <is>
          <t>KJ MU HYB BLSH PWDBLU2.5G 356SMRSB 25IV</t>
        </is>
      </c>
      <c r="C2656" t="inlineStr">
        <is>
          <t>P_US_ULTA</t>
        </is>
      </c>
      <c r="D2656" t="inlineStr">
        <is>
          <t>Stat Fcst TES</t>
        </is>
      </c>
    </row>
    <row r="2657">
      <c r="A2657" s="1" t="n">
        <v>4064941147084</v>
      </c>
      <c r="B2657" t="inlineStr">
        <is>
          <t>KJ MU HYB BLSH PWDBLU2.5G 356SMRSB 25IV</t>
        </is>
      </c>
      <c r="C2657" t="inlineStr">
        <is>
          <t>P_US_ULTA</t>
        </is>
      </c>
      <c r="D2657" t="inlineStr">
        <is>
          <t>Stat Fcst Theta</t>
        </is>
      </c>
    </row>
    <row r="2658">
      <c r="A2658" s="1" t="n">
        <v>4064941147084</v>
      </c>
      <c r="B2658" t="inlineStr">
        <is>
          <t>KJ MU HYB BLSH PWDBLU2.5G 356SMRSB 25IV</t>
        </is>
      </c>
      <c r="C2658" t="inlineStr">
        <is>
          <t>P_US_ULTA</t>
        </is>
      </c>
      <c r="D2658" t="inlineStr">
        <is>
          <t>System ML Fcst L1</t>
        </is>
      </c>
    </row>
    <row r="2659">
      <c r="A2659" s="1" t="n">
        <v>4064941147084</v>
      </c>
      <c r="B2659" t="inlineStr">
        <is>
          <t>KJ MU HYB BLSH PWDBLU2.5G 356SMRSB 25IV</t>
        </is>
      </c>
      <c r="C2659" t="inlineStr">
        <is>
          <t>P_US_ULTA</t>
        </is>
      </c>
      <c r="D2659" t="inlineStr">
        <is>
          <t>Stat Fcst Simple Snaive</t>
        </is>
      </c>
    </row>
    <row r="2660">
      <c r="A2660" s="1" t="n">
        <v>4064941147084</v>
      </c>
      <c r="B2660" t="inlineStr">
        <is>
          <t>KJ MU HYB BLSH PWDBLU2.5G 356SMRSB 25IV</t>
        </is>
      </c>
      <c r="C2660" t="inlineStr">
        <is>
          <t>P_US_ULTA</t>
        </is>
      </c>
      <c r="D2660" t="inlineStr">
        <is>
          <t>Stat Fcst Simple AOA</t>
        </is>
      </c>
    </row>
    <row r="2661">
      <c r="A2661" s="1" t="n">
        <v>4064941147084</v>
      </c>
      <c r="B2661" t="inlineStr">
        <is>
          <t>KJ MU HYB BLSH PWDBLU2.5G 356SMRSB 25IV</t>
        </is>
      </c>
      <c r="C2661" t="inlineStr">
        <is>
          <t>P_US_ULTA</t>
        </is>
      </c>
      <c r="D2661" t="inlineStr">
        <is>
          <t>Stat Fcst Weighted Snaive</t>
        </is>
      </c>
    </row>
    <row r="2662">
      <c r="A2662" s="1" t="n">
        <v>4064941147084</v>
      </c>
      <c r="B2662" t="inlineStr">
        <is>
          <t>KJ MU HYB BLSH PWDBLU2.5G 356SMRSB 25IV</t>
        </is>
      </c>
      <c r="C2662" t="inlineStr">
        <is>
          <t>P_US_ULTA</t>
        </is>
      </c>
      <c r="D2662" t="inlineStr">
        <is>
          <t>Stat Fcst Weighted AOA</t>
        </is>
      </c>
    </row>
    <row r="2663">
      <c r="A2663" s="1" t="n">
        <v>4064941147084</v>
      </c>
      <c r="B2663" t="inlineStr">
        <is>
          <t>KJ MU HYB BLSH PWDBLU2.5G 356SMRSB 25IV</t>
        </is>
      </c>
      <c r="C2663" t="inlineStr">
        <is>
          <t>P_US_ULTA</t>
        </is>
      </c>
      <c r="D2663" t="inlineStr">
        <is>
          <t>Stat Fcst Growth Snaive</t>
        </is>
      </c>
    </row>
    <row r="2664">
      <c r="A2664" s="1" t="n">
        <v>4064941147084</v>
      </c>
      <c r="B2664" t="inlineStr">
        <is>
          <t>KJ MU HYB BLSH PWDBLU2.5G 356SMRSB 25IV</t>
        </is>
      </c>
      <c r="C2664" t="inlineStr">
        <is>
          <t>P_US_ULTA</t>
        </is>
      </c>
      <c r="D2664" t="inlineStr">
        <is>
          <t>Stat Fcst Growth AOA</t>
        </is>
      </c>
    </row>
    <row r="2665">
      <c r="A2665" s="1" t="n">
        <v>4064941147084</v>
      </c>
      <c r="B2665" t="inlineStr">
        <is>
          <t>KJ MU HYB BLSH PWDBLU2.5G 356SMRSB 25IV</t>
        </is>
      </c>
      <c r="C2665" t="inlineStr">
        <is>
          <t>P_US_ULTA</t>
        </is>
      </c>
      <c r="D2665" t="inlineStr">
        <is>
          <t>System Stat Fcst Bestfit</t>
        </is>
      </c>
      <c r="H2665" t="n">
        <v>2591.99967861176</v>
      </c>
      <c r="I2665" t="n">
        <v>3240.00002413988</v>
      </c>
      <c r="J2665" t="n">
        <v>2615.99992203712</v>
      </c>
      <c r="K2665" t="n">
        <v>2815.99991607666</v>
      </c>
      <c r="L2665" t="n">
        <v>2890.669921875</v>
      </c>
      <c r="M2665" t="n">
        <v>2774.21988802492</v>
      </c>
      <c r="N2665" t="n">
        <v>2826.96000306248</v>
      </c>
      <c r="O2665" t="n">
        <v>2830.61978868782</v>
      </c>
      <c r="P2665" t="n">
        <v>2810.59987445622</v>
      </c>
    </row>
    <row r="2666">
      <c r="A2666" s="1" t="n">
        <v>4064941147091</v>
      </c>
      <c r="B2666" t="inlineStr">
        <is>
          <t>KJ MU HYB BLSH PWDBLU2.5G 354PNKPL 25IV</t>
        </is>
      </c>
      <c r="C2666" t="inlineStr">
        <is>
          <t>P_US_ALL_OTHERS</t>
        </is>
      </c>
      <c r="D2666" t="inlineStr">
        <is>
          <t>Stat Fcst L1</t>
        </is>
      </c>
      <c r="E2666" t="n">
        <v>48.9999985396862</v>
      </c>
      <c r="F2666" t="n">
        <v>113.999996602535</v>
      </c>
      <c r="G2666" t="n">
        <v>42</v>
      </c>
      <c r="H2666" t="n">
        <v>76</v>
      </c>
      <c r="I2666" t="n">
        <v>86</v>
      </c>
      <c r="J2666" t="n">
        <v>76</v>
      </c>
      <c r="K2666" t="n">
        <v>80</v>
      </c>
      <c r="L2666" t="n">
        <v>80</v>
      </c>
      <c r="M2666" t="n">
        <v>80</v>
      </c>
      <c r="N2666" t="n">
        <v>77</v>
      </c>
      <c r="O2666" t="n">
        <v>80</v>
      </c>
      <c r="P2666" t="n">
        <v>78</v>
      </c>
    </row>
    <row r="2667">
      <c r="A2667" s="1" t="n">
        <v>4064941147091</v>
      </c>
      <c r="B2667" t="inlineStr">
        <is>
          <t>KJ MU HYB BLSH PWDBLU2.5G 354PNKPL 25IV</t>
        </is>
      </c>
      <c r="C2667" t="inlineStr">
        <is>
          <t>P_US_ALL_OTHERS</t>
        </is>
      </c>
      <c r="D2667" t="inlineStr">
        <is>
          <t>Stat Fcst AR-NNET</t>
        </is>
      </c>
    </row>
    <row r="2668">
      <c r="A2668" s="1" t="n">
        <v>4064941147091</v>
      </c>
      <c r="B2668" t="inlineStr">
        <is>
          <t>KJ MU HYB BLSH PWDBLU2.5G 354PNKPL 25IV</t>
        </is>
      </c>
      <c r="C2668" t="inlineStr">
        <is>
          <t>P_US_ALL_OTHERS</t>
        </is>
      </c>
      <c r="D2668" t="inlineStr">
        <is>
          <t>Stat Fcst Auto ARIMA</t>
        </is>
      </c>
    </row>
    <row r="2669">
      <c r="A2669" s="1" t="n">
        <v>4064941147091</v>
      </c>
      <c r="B2669" t="inlineStr">
        <is>
          <t>KJ MU HYB BLSH PWDBLU2.5G 354PNKPL 25IV</t>
        </is>
      </c>
      <c r="C2669" t="inlineStr">
        <is>
          <t>P_US_ALL_OTHERS</t>
        </is>
      </c>
      <c r="D2669" t="inlineStr">
        <is>
          <t>Stat Fcst Croston</t>
        </is>
      </c>
    </row>
    <row r="2670">
      <c r="A2670" s="1" t="n">
        <v>4064941147091</v>
      </c>
      <c r="B2670" t="inlineStr">
        <is>
          <t>KJ MU HYB BLSH PWDBLU2.5G 354PNKPL 25IV</t>
        </is>
      </c>
      <c r="C2670" t="inlineStr">
        <is>
          <t>P_US_ALL_OTHERS</t>
        </is>
      </c>
      <c r="D2670" t="inlineStr">
        <is>
          <t>Stat Fcst DES</t>
        </is>
      </c>
      <c r="E2670" t="n">
        <v>71.3196304952084</v>
      </c>
      <c r="F2670" t="n">
        <v>71.2835609274771</v>
      </c>
      <c r="G2670" t="n">
        <v>71.26560403292009</v>
      </c>
      <c r="H2670" t="n">
        <v>71.2566002451517</v>
      </c>
      <c r="I2670" t="n">
        <v>71.2521023330404</v>
      </c>
      <c r="J2670" t="n">
        <v>71.2498493954633</v>
      </c>
      <c r="K2670" t="n">
        <v>71.24872425384859</v>
      </c>
      <c r="L2670" t="n">
        <v>71.248163806402</v>
      </c>
      <c r="M2670" t="n">
        <v>71.2478803976376</v>
      </c>
      <c r="N2670" t="n">
        <v>71.247742939958</v>
      </c>
      <c r="O2670" t="n">
        <v>71.2476694335848</v>
      </c>
      <c r="P2670" t="n">
        <v>71.2476369270906</v>
      </c>
    </row>
    <row r="2671">
      <c r="A2671" s="1" t="n">
        <v>4064941147091</v>
      </c>
      <c r="B2671" t="inlineStr">
        <is>
          <t>KJ MU HYB BLSH PWDBLU2.5G 354PNKPL 25IV</t>
        </is>
      </c>
      <c r="C2671" t="inlineStr">
        <is>
          <t>P_US_ALL_OTHERS</t>
        </is>
      </c>
      <c r="D2671" t="inlineStr">
        <is>
          <t>Stat Fcst ETS</t>
        </is>
      </c>
    </row>
    <row r="2672">
      <c r="A2672" s="1" t="n">
        <v>4064941147091</v>
      </c>
      <c r="B2672" t="inlineStr">
        <is>
          <t>KJ MU HYB BLSH PWDBLU2.5G 354PNKPL 25IV</t>
        </is>
      </c>
      <c r="C2672" t="inlineStr">
        <is>
          <t>P_US_ALL_OTHERS</t>
        </is>
      </c>
      <c r="D2672" t="inlineStr">
        <is>
          <t>Stat Fcst Moving Average</t>
        </is>
      </c>
      <c r="E2672" t="n">
        <v>45.3333319822947</v>
      </c>
      <c r="F2672" t="n">
        <v>43.3333320418993</v>
      </c>
      <c r="G2672" t="n">
        <v>64.3300004792958</v>
      </c>
      <c r="H2672" t="n">
        <v>75.77999774158</v>
      </c>
      <c r="I2672" t="n">
        <v>84.7000006310641</v>
      </c>
      <c r="J2672" t="n">
        <v>74.9399977666139</v>
      </c>
      <c r="K2672" t="n">
        <v>78.4699976614117</v>
      </c>
      <c r="L2672" t="n">
        <v>79.37</v>
      </c>
      <c r="M2672" t="n">
        <v>77.5899976876378</v>
      </c>
      <c r="N2672" t="n">
        <v>78.4800011694431</v>
      </c>
      <c r="O2672" t="n">
        <v>78.4799976611137</v>
      </c>
      <c r="P2672" t="n">
        <v>78.1800005824864</v>
      </c>
    </row>
    <row r="2673">
      <c r="A2673" s="1" t="n">
        <v>4064941147091</v>
      </c>
      <c r="B2673" t="inlineStr">
        <is>
          <t>KJ MU HYB BLSH PWDBLU2.5G 354PNKPL 25IV</t>
        </is>
      </c>
      <c r="C2673" t="inlineStr">
        <is>
          <t>P_US_ALL_OTHERS</t>
        </is>
      </c>
      <c r="D2673" t="inlineStr">
        <is>
          <t>Stat Fcst Naive Random Walk</t>
        </is>
      </c>
    </row>
    <row r="2674">
      <c r="A2674" s="1" t="n">
        <v>4064941147091</v>
      </c>
      <c r="B2674" t="inlineStr">
        <is>
          <t>KJ MU HYB BLSH PWDBLU2.5G 354PNKPL 25IV</t>
        </is>
      </c>
      <c r="C2674" t="inlineStr">
        <is>
          <t>P_US_ALL_OTHERS</t>
        </is>
      </c>
      <c r="D2674" t="inlineStr">
        <is>
          <t>Stat Fcst Prophet</t>
        </is>
      </c>
    </row>
    <row r="2675">
      <c r="A2675" s="1" t="n">
        <v>4064941147091</v>
      </c>
      <c r="B2675" t="inlineStr">
        <is>
          <t>KJ MU HYB BLSH PWDBLU2.5G 354PNKPL 25IV</t>
        </is>
      </c>
      <c r="C2675" t="inlineStr">
        <is>
          <t>P_US_ALL_OTHERS</t>
        </is>
      </c>
      <c r="D2675" t="inlineStr">
        <is>
          <t>Stat Fcst sARIMA</t>
        </is>
      </c>
    </row>
    <row r="2676">
      <c r="A2676" s="1" t="n">
        <v>4064941147091</v>
      </c>
      <c r="B2676" t="inlineStr">
        <is>
          <t>KJ MU HYB BLSH PWDBLU2.5G 354PNKPL 25IV</t>
        </is>
      </c>
      <c r="C2676" t="inlineStr">
        <is>
          <t>P_US_ALL_OTHERS</t>
        </is>
      </c>
      <c r="D2676" t="inlineStr">
        <is>
          <t>Stat Fcst Seasonal Naive YoY</t>
        </is>
      </c>
    </row>
    <row r="2677">
      <c r="A2677" s="1" t="n">
        <v>4064941147091</v>
      </c>
      <c r="B2677" t="inlineStr">
        <is>
          <t>KJ MU HYB BLSH PWDBLU2.5G 354PNKPL 25IV</t>
        </is>
      </c>
      <c r="C2677" t="inlineStr">
        <is>
          <t>P_US_ALL_OTHERS</t>
        </is>
      </c>
      <c r="D2677" t="inlineStr">
        <is>
          <t>Stat Fcst SES</t>
        </is>
      </c>
      <c r="E2677" t="n">
        <v>66.1942320904384</v>
      </c>
      <c r="F2677" t="n">
        <v>61.0359620252127</v>
      </c>
      <c r="G2677" t="n">
        <v>76.92517297527721</v>
      </c>
      <c r="H2677" t="n">
        <v>76.92517010959121</v>
      </c>
      <c r="I2677" t="n">
        <v>76.92517297527721</v>
      </c>
      <c r="J2677" t="n">
        <v>76.92517010959121</v>
      </c>
      <c r="K2677" t="n">
        <v>76.92517010959121</v>
      </c>
      <c r="L2677" t="n">
        <v>76.92517240214001</v>
      </c>
      <c r="M2677" t="n">
        <v>76.92517010959121</v>
      </c>
      <c r="N2677" t="n">
        <v>76.92517354841441</v>
      </c>
      <c r="O2677" t="n">
        <v>76.92517010959121</v>
      </c>
      <c r="P2677" t="n">
        <v>76.92517297527721</v>
      </c>
    </row>
    <row r="2678">
      <c r="A2678" s="1" t="n">
        <v>4064941147091</v>
      </c>
      <c r="B2678" t="inlineStr">
        <is>
          <t>KJ MU HYB BLSH PWDBLU2.5G 354PNKPL 25IV</t>
        </is>
      </c>
      <c r="C2678" t="inlineStr">
        <is>
          <t>P_US_ALL_OTHERS</t>
        </is>
      </c>
      <c r="D2678" t="inlineStr">
        <is>
          <t>Stat Fcst STLF</t>
        </is>
      </c>
    </row>
    <row r="2679">
      <c r="A2679" s="1" t="n">
        <v>4064941147091</v>
      </c>
      <c r="B2679" t="inlineStr">
        <is>
          <t>KJ MU HYB BLSH PWDBLU2.5G 354PNKPL 25IV</t>
        </is>
      </c>
      <c r="C2679" t="inlineStr">
        <is>
          <t>P_US_ALL_OTHERS</t>
        </is>
      </c>
      <c r="D2679" t="inlineStr">
        <is>
          <t>Stat Fcst TBATS</t>
        </is>
      </c>
    </row>
    <row r="2680">
      <c r="A2680" s="1" t="n">
        <v>4064941147091</v>
      </c>
      <c r="B2680" t="inlineStr">
        <is>
          <t>KJ MU HYB BLSH PWDBLU2.5G 354PNKPL 25IV</t>
        </is>
      </c>
      <c r="C2680" t="inlineStr">
        <is>
          <t>P_US_ALL_OTHERS</t>
        </is>
      </c>
      <c r="D2680" t="inlineStr">
        <is>
          <t>Stat Fcst TES</t>
        </is>
      </c>
    </row>
    <row r="2681">
      <c r="A2681" s="1" t="n">
        <v>4064941147091</v>
      </c>
      <c r="B2681" t="inlineStr">
        <is>
          <t>KJ MU HYB BLSH PWDBLU2.5G 354PNKPL 25IV</t>
        </is>
      </c>
      <c r="C2681" t="inlineStr">
        <is>
          <t>P_US_ALL_OTHERS</t>
        </is>
      </c>
      <c r="D2681" t="inlineStr">
        <is>
          <t>Stat Fcst Theta</t>
        </is>
      </c>
    </row>
    <row r="2682">
      <c r="A2682" s="1" t="n">
        <v>4064941147091</v>
      </c>
      <c r="B2682" t="inlineStr">
        <is>
          <t>KJ MU HYB BLSH PWDBLU2.5G 354PNKPL 25IV</t>
        </is>
      </c>
      <c r="C2682" t="inlineStr">
        <is>
          <t>P_US_ALL_OTHERS</t>
        </is>
      </c>
      <c r="D2682" t="inlineStr">
        <is>
          <t>System ML Fcst L1</t>
        </is>
      </c>
    </row>
    <row r="2683">
      <c r="A2683" s="1" t="n">
        <v>4064941147091</v>
      </c>
      <c r="B2683" t="inlineStr">
        <is>
          <t>KJ MU HYB BLSH PWDBLU2.5G 354PNKPL 25IV</t>
        </is>
      </c>
      <c r="C2683" t="inlineStr">
        <is>
          <t>P_US_ALL_OTHERS</t>
        </is>
      </c>
      <c r="D2683" t="inlineStr">
        <is>
          <t>Stat Fcst Simple Snaive</t>
        </is>
      </c>
    </row>
    <row r="2684">
      <c r="A2684" s="1" t="n">
        <v>4064941147091</v>
      </c>
      <c r="B2684" t="inlineStr">
        <is>
          <t>KJ MU HYB BLSH PWDBLU2.5G 354PNKPL 25IV</t>
        </is>
      </c>
      <c r="C2684" t="inlineStr">
        <is>
          <t>P_US_ALL_OTHERS</t>
        </is>
      </c>
      <c r="D2684" t="inlineStr">
        <is>
          <t>Stat Fcst Simple AOA</t>
        </is>
      </c>
    </row>
    <row r="2685">
      <c r="A2685" s="1" t="n">
        <v>4064941147091</v>
      </c>
      <c r="B2685" t="inlineStr">
        <is>
          <t>KJ MU HYB BLSH PWDBLU2.5G 354PNKPL 25IV</t>
        </is>
      </c>
      <c r="C2685" t="inlineStr">
        <is>
          <t>P_US_ALL_OTHERS</t>
        </is>
      </c>
      <c r="D2685" t="inlineStr">
        <is>
          <t>Stat Fcst Weighted Snaive</t>
        </is>
      </c>
    </row>
    <row r="2686">
      <c r="A2686" s="1" t="n">
        <v>4064941147091</v>
      </c>
      <c r="B2686" t="inlineStr">
        <is>
          <t>KJ MU HYB BLSH PWDBLU2.5G 354PNKPL 25IV</t>
        </is>
      </c>
      <c r="C2686" t="inlineStr">
        <is>
          <t>P_US_ALL_OTHERS</t>
        </is>
      </c>
      <c r="D2686" t="inlineStr">
        <is>
          <t>Stat Fcst Weighted AOA</t>
        </is>
      </c>
    </row>
    <row r="2687">
      <c r="A2687" s="1" t="n">
        <v>4064941147091</v>
      </c>
      <c r="B2687" t="inlineStr">
        <is>
          <t>KJ MU HYB BLSH PWDBLU2.5G 354PNKPL 25IV</t>
        </is>
      </c>
      <c r="C2687" t="inlineStr">
        <is>
          <t>P_US_ALL_OTHERS</t>
        </is>
      </c>
      <c r="D2687" t="inlineStr">
        <is>
          <t>Stat Fcst Growth Snaive</t>
        </is>
      </c>
    </row>
    <row r="2688">
      <c r="A2688" s="1" t="n">
        <v>4064941147091</v>
      </c>
      <c r="B2688" t="inlineStr">
        <is>
          <t>KJ MU HYB BLSH PWDBLU2.5G 354PNKPL 25IV</t>
        </is>
      </c>
      <c r="C2688" t="inlineStr">
        <is>
          <t>P_US_ALL_OTHERS</t>
        </is>
      </c>
      <c r="D2688" t="inlineStr">
        <is>
          <t>Stat Fcst Growth AOA</t>
        </is>
      </c>
    </row>
    <row r="2689">
      <c r="A2689" s="1" t="n">
        <v>4064941147091</v>
      </c>
      <c r="B2689" t="inlineStr">
        <is>
          <t>KJ MU HYB BLSH PWDBLU2.5G 354PNKPL 25IV</t>
        </is>
      </c>
      <c r="C2689" t="inlineStr">
        <is>
          <t>P_US_ALL_OTHERS</t>
        </is>
      </c>
      <c r="D2689" t="inlineStr">
        <is>
          <t>System Stat Fcst Bestfit</t>
        </is>
      </c>
      <c r="H2689" t="n">
        <v>75.77999652087691</v>
      </c>
      <c r="I2689" t="n">
        <v>84.7000052087009</v>
      </c>
      <c r="J2689" t="n">
        <v>74.93999257862581</v>
      </c>
      <c r="K2689" t="n">
        <v>78.46999888211479</v>
      </c>
      <c r="L2689" t="n">
        <v>79.370002746582</v>
      </c>
      <c r="M2689" t="n">
        <v>77.5900016549228</v>
      </c>
      <c r="N2689" t="n">
        <v>78.4800045263767</v>
      </c>
      <c r="O2689" t="n">
        <v>78.4800010180472</v>
      </c>
      <c r="P2689" t="n">
        <v>78.1800008876621</v>
      </c>
    </row>
    <row r="2690">
      <c r="A2690" s="1" t="n">
        <v>4064941147091</v>
      </c>
      <c r="B2690" t="inlineStr">
        <is>
          <t>KJ MU HYB BLSH PWDBLU2.5G 354PNKPL 25IV</t>
        </is>
      </c>
      <c r="C2690" t="inlineStr">
        <is>
          <t>P_US_ULTA</t>
        </is>
      </c>
      <c r="D2690" t="inlineStr">
        <is>
          <t>Stat Fcst L1</t>
        </is>
      </c>
      <c r="E2690" t="n">
        <v>1223.99996352195</v>
      </c>
      <c r="F2690" t="n">
        <v>3592.69349644501</v>
      </c>
      <c r="G2690" t="n">
        <v>1093</v>
      </c>
      <c r="H2690" t="n">
        <v>1294</v>
      </c>
      <c r="I2690" t="n">
        <v>1294</v>
      </c>
      <c r="J2690" t="n">
        <v>1294</v>
      </c>
      <c r="K2690" t="n">
        <v>1293</v>
      </c>
      <c r="L2690" t="n">
        <v>1296</v>
      </c>
      <c r="M2690" t="n">
        <v>1293</v>
      </c>
      <c r="N2690" t="n">
        <v>1295</v>
      </c>
      <c r="O2690" t="n">
        <v>1294</v>
      </c>
      <c r="P2690" t="n">
        <v>1295</v>
      </c>
    </row>
    <row r="2691">
      <c r="A2691" s="1" t="n">
        <v>4064941147091</v>
      </c>
      <c r="B2691" t="inlineStr">
        <is>
          <t>KJ MU HYB BLSH PWDBLU2.5G 354PNKPL 25IV</t>
        </is>
      </c>
      <c r="C2691" t="inlineStr">
        <is>
          <t>P_US_ULTA</t>
        </is>
      </c>
      <c r="D2691" t="inlineStr">
        <is>
          <t>Stat Fcst AR-NNET</t>
        </is>
      </c>
    </row>
    <row r="2692">
      <c r="A2692" s="1" t="n">
        <v>4064941147091</v>
      </c>
      <c r="B2692" t="inlineStr">
        <is>
          <t>KJ MU HYB BLSH PWDBLU2.5G 354PNKPL 25IV</t>
        </is>
      </c>
      <c r="C2692" t="inlineStr">
        <is>
          <t>P_US_ULTA</t>
        </is>
      </c>
      <c r="D2692" t="inlineStr">
        <is>
          <t>Stat Fcst Auto ARIMA</t>
        </is>
      </c>
    </row>
    <row r="2693">
      <c r="A2693" s="1" t="n">
        <v>4064941147091</v>
      </c>
      <c r="B2693" t="inlineStr">
        <is>
          <t>KJ MU HYB BLSH PWDBLU2.5G 354PNKPL 25IV</t>
        </is>
      </c>
      <c r="C2693" t="inlineStr">
        <is>
          <t>P_US_ULTA</t>
        </is>
      </c>
      <c r="D2693" t="inlineStr">
        <is>
          <t>Stat Fcst Croston</t>
        </is>
      </c>
    </row>
    <row r="2694">
      <c r="A2694" s="1" t="n">
        <v>4064941147091</v>
      </c>
      <c r="B2694" t="inlineStr">
        <is>
          <t>KJ MU HYB BLSH PWDBLU2.5G 354PNKPL 25IV</t>
        </is>
      </c>
      <c r="C2694" t="inlineStr">
        <is>
          <t>P_US_ULTA</t>
        </is>
      </c>
      <c r="D2694" t="inlineStr">
        <is>
          <t>Stat Fcst DES</t>
        </is>
      </c>
      <c r="E2694" t="n">
        <v>1295.104562118</v>
      </c>
      <c r="F2694" t="n">
        <v>1295.10447278771</v>
      </c>
      <c r="G2694" t="n">
        <v>1295.10727449561</v>
      </c>
      <c r="H2694" t="n">
        <v>1295.10731742363</v>
      </c>
      <c r="I2694" t="n">
        <v>1295.10738390504</v>
      </c>
      <c r="J2694" t="n">
        <v>1295.10733930551</v>
      </c>
      <c r="K2694" t="n">
        <v>1295.10734003491</v>
      </c>
      <c r="L2694" t="n">
        <v>1295.107378778</v>
      </c>
      <c r="M2694" t="n">
        <v>1295.10734020997</v>
      </c>
      <c r="N2694" t="n">
        <v>1295.10739811161</v>
      </c>
      <c r="O2694" t="n">
        <v>1295.10734021697</v>
      </c>
      <c r="P2694" t="n">
        <v>1295.10738846371</v>
      </c>
    </row>
    <row r="2695">
      <c r="A2695" s="1" t="n">
        <v>4064941147091</v>
      </c>
      <c r="B2695" t="inlineStr">
        <is>
          <t>KJ MU HYB BLSH PWDBLU2.5G 354PNKPL 25IV</t>
        </is>
      </c>
      <c r="C2695" t="inlineStr">
        <is>
          <t>P_US_ULTA</t>
        </is>
      </c>
      <c r="D2695" t="inlineStr">
        <is>
          <t>Stat Fcst ETS</t>
        </is>
      </c>
    </row>
    <row r="2696">
      <c r="A2696" s="1" t="n">
        <v>4064941147091</v>
      </c>
      <c r="B2696" t="inlineStr">
        <is>
          <t>KJ MU HYB BLSH PWDBLU2.5G 354PNKPL 25IV</t>
        </is>
      </c>
      <c r="C2696" t="inlineStr">
        <is>
          <t>P_US_ULTA</t>
        </is>
      </c>
      <c r="D2696" t="inlineStr">
        <is>
          <t>Stat Fcst Moving Average</t>
        </is>
      </c>
      <c r="E2696" t="n">
        <v>1367.99991854031</v>
      </c>
      <c r="F2696" t="n">
        <v>1391.99991782506</v>
      </c>
      <c r="G2696" t="n">
        <v>1965.56001464456</v>
      </c>
      <c r="H2696" t="n">
        <v>2260.74993262439</v>
      </c>
      <c r="I2696" t="n">
        <v>2606.33001941867</v>
      </c>
      <c r="J2696" t="n">
        <v>2277.54993212372</v>
      </c>
      <c r="K2696" t="n">
        <v>2381.53992902457</v>
      </c>
      <c r="L2696" t="n">
        <v>2421.81</v>
      </c>
      <c r="M2696" t="n">
        <v>2360.29992965757</v>
      </c>
      <c r="N2696" t="n">
        <v>2387.88003558218</v>
      </c>
      <c r="O2696" t="n">
        <v>2389.99992877244</v>
      </c>
      <c r="P2696" t="n">
        <v>2379.39001772783</v>
      </c>
    </row>
    <row r="2697">
      <c r="A2697" s="1" t="n">
        <v>4064941147091</v>
      </c>
      <c r="B2697" t="inlineStr">
        <is>
          <t>KJ MU HYB BLSH PWDBLU2.5G 354PNKPL 25IV</t>
        </is>
      </c>
      <c r="C2697" t="inlineStr">
        <is>
          <t>P_US_ULTA</t>
        </is>
      </c>
      <c r="D2697" t="inlineStr">
        <is>
          <t>Stat Fcst Naive Random Walk</t>
        </is>
      </c>
    </row>
    <row r="2698">
      <c r="A2698" s="1" t="n">
        <v>4064941147091</v>
      </c>
      <c r="B2698" t="inlineStr">
        <is>
          <t>KJ MU HYB BLSH PWDBLU2.5G 354PNKPL 25IV</t>
        </is>
      </c>
      <c r="C2698" t="inlineStr">
        <is>
          <t>P_US_ULTA</t>
        </is>
      </c>
      <c r="D2698" t="inlineStr">
        <is>
          <t>Stat Fcst Prophet</t>
        </is>
      </c>
    </row>
    <row r="2699">
      <c r="A2699" s="1" t="n">
        <v>4064941147091</v>
      </c>
      <c r="B2699" t="inlineStr">
        <is>
          <t>KJ MU HYB BLSH PWDBLU2.5G 354PNKPL 25IV</t>
        </is>
      </c>
      <c r="C2699" t="inlineStr">
        <is>
          <t>P_US_ULTA</t>
        </is>
      </c>
      <c r="D2699" t="inlineStr">
        <is>
          <t>Stat Fcst sARIMA</t>
        </is>
      </c>
    </row>
    <row r="2700">
      <c r="A2700" s="1" t="n">
        <v>4064941147091</v>
      </c>
      <c r="B2700" t="inlineStr">
        <is>
          <t>KJ MU HYB BLSH PWDBLU2.5G 354PNKPL 25IV</t>
        </is>
      </c>
      <c r="C2700" t="inlineStr">
        <is>
          <t>P_US_ULTA</t>
        </is>
      </c>
      <c r="D2700" t="inlineStr">
        <is>
          <t>Stat Fcst Seasonal Naive YoY</t>
        </is>
      </c>
    </row>
    <row r="2701">
      <c r="A2701" s="1" t="n">
        <v>4064941147091</v>
      </c>
      <c r="B2701" t="inlineStr">
        <is>
          <t>KJ MU HYB BLSH PWDBLU2.5G 354PNKPL 25IV</t>
        </is>
      </c>
      <c r="C2701" t="inlineStr">
        <is>
          <t>P_US_ULTA</t>
        </is>
      </c>
      <c r="D2701" t="inlineStr">
        <is>
          <t>Stat Fcst SES</t>
        </is>
      </c>
      <c r="E2701" t="n">
        <v>1295.26700563617</v>
      </c>
      <c r="F2701" t="n">
        <v>1295.26693436913</v>
      </c>
      <c r="G2701" t="n">
        <v>1295.26928004799</v>
      </c>
      <c r="H2701" t="n">
        <v>1295.26923179544</v>
      </c>
      <c r="I2701" t="n">
        <v>1295.26928004799</v>
      </c>
      <c r="J2701" t="n">
        <v>1295.26923179544</v>
      </c>
      <c r="K2701" t="n">
        <v>1295.26923179544</v>
      </c>
      <c r="L2701" t="n">
        <v>1295.26927039748</v>
      </c>
      <c r="M2701" t="n">
        <v>1295.26923179544</v>
      </c>
      <c r="N2701" t="n">
        <v>1295.26928969849</v>
      </c>
      <c r="O2701" t="n">
        <v>1295.26923179544</v>
      </c>
      <c r="P2701" t="n">
        <v>1295.26928004799</v>
      </c>
    </row>
    <row r="2702">
      <c r="A2702" s="1" t="n">
        <v>4064941147091</v>
      </c>
      <c r="B2702" t="inlineStr">
        <is>
          <t>KJ MU HYB BLSH PWDBLU2.5G 354PNKPL 25IV</t>
        </is>
      </c>
      <c r="C2702" t="inlineStr">
        <is>
          <t>P_US_ULTA</t>
        </is>
      </c>
      <c r="D2702" t="inlineStr">
        <is>
          <t>Stat Fcst STLF</t>
        </is>
      </c>
    </row>
    <row r="2703">
      <c r="A2703" s="1" t="n">
        <v>4064941147091</v>
      </c>
      <c r="B2703" t="inlineStr">
        <is>
          <t>KJ MU HYB BLSH PWDBLU2.5G 354PNKPL 25IV</t>
        </is>
      </c>
      <c r="C2703" t="inlineStr">
        <is>
          <t>P_US_ULTA</t>
        </is>
      </c>
      <c r="D2703" t="inlineStr">
        <is>
          <t>Stat Fcst TBATS</t>
        </is>
      </c>
    </row>
    <row r="2704">
      <c r="A2704" s="1" t="n">
        <v>4064941147091</v>
      </c>
      <c r="B2704" t="inlineStr">
        <is>
          <t>KJ MU HYB BLSH PWDBLU2.5G 354PNKPL 25IV</t>
        </is>
      </c>
      <c r="C2704" t="inlineStr">
        <is>
          <t>P_US_ULTA</t>
        </is>
      </c>
      <c r="D2704" t="inlineStr">
        <is>
          <t>Stat Fcst TES</t>
        </is>
      </c>
    </row>
    <row r="2705">
      <c r="A2705" s="1" t="n">
        <v>4064941147091</v>
      </c>
      <c r="B2705" t="inlineStr">
        <is>
          <t>KJ MU HYB BLSH PWDBLU2.5G 354PNKPL 25IV</t>
        </is>
      </c>
      <c r="C2705" t="inlineStr">
        <is>
          <t>P_US_ULTA</t>
        </is>
      </c>
      <c r="D2705" t="inlineStr">
        <is>
          <t>Stat Fcst Theta</t>
        </is>
      </c>
    </row>
    <row r="2706">
      <c r="A2706" s="1" t="n">
        <v>4064941147091</v>
      </c>
      <c r="B2706" t="inlineStr">
        <is>
          <t>KJ MU HYB BLSH PWDBLU2.5G 354PNKPL 25IV</t>
        </is>
      </c>
      <c r="C2706" t="inlineStr">
        <is>
          <t>P_US_ULTA</t>
        </is>
      </c>
      <c r="D2706" t="inlineStr">
        <is>
          <t>System ML Fcst L1</t>
        </is>
      </c>
    </row>
    <row r="2707">
      <c r="A2707" s="1" t="n">
        <v>4064941147091</v>
      </c>
      <c r="B2707" t="inlineStr">
        <is>
          <t>KJ MU HYB BLSH PWDBLU2.5G 354PNKPL 25IV</t>
        </is>
      </c>
      <c r="C2707" t="inlineStr">
        <is>
          <t>P_US_ULTA</t>
        </is>
      </c>
      <c r="D2707" t="inlineStr">
        <is>
          <t>Stat Fcst Simple Snaive</t>
        </is>
      </c>
    </row>
    <row r="2708">
      <c r="A2708" s="1" t="n">
        <v>4064941147091</v>
      </c>
      <c r="B2708" t="inlineStr">
        <is>
          <t>KJ MU HYB BLSH PWDBLU2.5G 354PNKPL 25IV</t>
        </is>
      </c>
      <c r="C2708" t="inlineStr">
        <is>
          <t>P_US_ULTA</t>
        </is>
      </c>
      <c r="D2708" t="inlineStr">
        <is>
          <t>Stat Fcst Simple AOA</t>
        </is>
      </c>
    </row>
    <row r="2709">
      <c r="A2709" s="1" t="n">
        <v>4064941147091</v>
      </c>
      <c r="B2709" t="inlineStr">
        <is>
          <t>KJ MU HYB BLSH PWDBLU2.5G 354PNKPL 25IV</t>
        </is>
      </c>
      <c r="C2709" t="inlineStr">
        <is>
          <t>P_US_ULTA</t>
        </is>
      </c>
      <c r="D2709" t="inlineStr">
        <is>
          <t>Stat Fcst Weighted Snaive</t>
        </is>
      </c>
    </row>
    <row r="2710">
      <c r="A2710" s="1" t="n">
        <v>4064941147091</v>
      </c>
      <c r="B2710" t="inlineStr">
        <is>
          <t>KJ MU HYB BLSH PWDBLU2.5G 354PNKPL 25IV</t>
        </is>
      </c>
      <c r="C2710" t="inlineStr">
        <is>
          <t>P_US_ULTA</t>
        </is>
      </c>
      <c r="D2710" t="inlineStr">
        <is>
          <t>Stat Fcst Weighted AOA</t>
        </is>
      </c>
    </row>
    <row r="2711">
      <c r="A2711" s="1" t="n">
        <v>4064941147091</v>
      </c>
      <c r="B2711" t="inlineStr">
        <is>
          <t>KJ MU HYB BLSH PWDBLU2.5G 354PNKPL 25IV</t>
        </is>
      </c>
      <c r="C2711" t="inlineStr">
        <is>
          <t>P_US_ULTA</t>
        </is>
      </c>
      <c r="D2711" t="inlineStr">
        <is>
          <t>Stat Fcst Growth Snaive</t>
        </is>
      </c>
    </row>
    <row r="2712">
      <c r="A2712" s="1" t="n">
        <v>4064941147091</v>
      </c>
      <c r="B2712" t="inlineStr">
        <is>
          <t>KJ MU HYB BLSH PWDBLU2.5G 354PNKPL 25IV</t>
        </is>
      </c>
      <c r="C2712" t="inlineStr">
        <is>
          <t>P_US_ULTA</t>
        </is>
      </c>
      <c r="D2712" t="inlineStr">
        <is>
          <t>Stat Fcst Growth AOA</t>
        </is>
      </c>
    </row>
    <row r="2713">
      <c r="A2713" s="1" t="n">
        <v>4064941147091</v>
      </c>
      <c r="B2713" t="inlineStr">
        <is>
          <t>KJ MU HYB BLSH PWDBLU2.5G 354PNKPL 25IV</t>
        </is>
      </c>
      <c r="C2713" t="inlineStr">
        <is>
          <t>P_US_ULTA</t>
        </is>
      </c>
      <c r="D2713" t="inlineStr">
        <is>
          <t>System Stat Fcst Bestfit</t>
        </is>
      </c>
      <c r="H2713" t="n">
        <v>1295.26924850734</v>
      </c>
      <c r="I2713" t="n">
        <v>1295.26929675988</v>
      </c>
      <c r="J2713" t="n">
        <v>1295.26924850734</v>
      </c>
      <c r="K2713" t="n">
        <v>1295.26924850734</v>
      </c>
      <c r="L2713" t="n">
        <v>1295.26928710937</v>
      </c>
      <c r="M2713" t="n">
        <v>1295.26924850734</v>
      </c>
      <c r="N2713" t="n">
        <v>1295.26930641039</v>
      </c>
      <c r="O2713" t="n">
        <v>1295.26924850734</v>
      </c>
      <c r="P2713" t="n">
        <v>1295.26929675988</v>
      </c>
    </row>
    <row r="2714">
      <c r="A2714" s="1" t="n">
        <v>4064941147107</v>
      </c>
      <c r="B2714" t="inlineStr">
        <is>
          <t>KJ MU HYB BLSH PWDBLU2.5G 355PETAL 25IV</t>
        </is>
      </c>
      <c r="C2714" t="inlineStr">
        <is>
          <t>P_US_ALL_OTHERS</t>
        </is>
      </c>
      <c r="D2714" t="inlineStr">
        <is>
          <t>Stat Fcst L1</t>
        </is>
      </c>
      <c r="E2714" t="n">
        <v>186.999994426965</v>
      </c>
      <c r="F2714" t="n">
        <v>156.999995321035</v>
      </c>
      <c r="G2714" t="n">
        <v>125</v>
      </c>
      <c r="H2714" t="n">
        <v>159</v>
      </c>
      <c r="I2714" t="n">
        <v>150</v>
      </c>
      <c r="J2714" t="n">
        <v>146</v>
      </c>
      <c r="K2714" t="n">
        <v>151</v>
      </c>
      <c r="L2714" t="n">
        <v>148</v>
      </c>
      <c r="M2714" t="n">
        <v>150</v>
      </c>
      <c r="N2714" t="n">
        <v>150</v>
      </c>
      <c r="O2714" t="n">
        <v>151</v>
      </c>
      <c r="P2714" t="n">
        <v>150</v>
      </c>
    </row>
    <row r="2715">
      <c r="A2715" s="1" t="n">
        <v>4064941147107</v>
      </c>
      <c r="B2715" t="inlineStr">
        <is>
          <t>KJ MU HYB BLSH PWDBLU2.5G 355PETAL 25IV</t>
        </is>
      </c>
      <c r="C2715" t="inlineStr">
        <is>
          <t>P_US_ALL_OTHERS</t>
        </is>
      </c>
      <c r="D2715" t="inlineStr">
        <is>
          <t>Stat Fcst AR-NNET</t>
        </is>
      </c>
    </row>
    <row r="2716">
      <c r="A2716" s="1" t="n">
        <v>4064941147107</v>
      </c>
      <c r="B2716" t="inlineStr">
        <is>
          <t>KJ MU HYB BLSH PWDBLU2.5G 355PETAL 25IV</t>
        </is>
      </c>
      <c r="C2716" t="inlineStr">
        <is>
          <t>P_US_ALL_OTHERS</t>
        </is>
      </c>
      <c r="D2716" t="inlineStr">
        <is>
          <t>Stat Fcst Auto ARIMA</t>
        </is>
      </c>
    </row>
    <row r="2717">
      <c r="A2717" s="1" t="n">
        <v>4064941147107</v>
      </c>
      <c r="B2717" t="inlineStr">
        <is>
          <t>KJ MU HYB BLSH PWDBLU2.5G 355PETAL 25IV</t>
        </is>
      </c>
      <c r="C2717" t="inlineStr">
        <is>
          <t>P_US_ALL_OTHERS</t>
        </is>
      </c>
      <c r="D2717" t="inlineStr">
        <is>
          <t>Stat Fcst Croston</t>
        </is>
      </c>
    </row>
    <row r="2718">
      <c r="A2718" s="1" t="n">
        <v>4064941147107</v>
      </c>
      <c r="B2718" t="inlineStr">
        <is>
          <t>KJ MU HYB BLSH PWDBLU2.5G 355PETAL 25IV</t>
        </is>
      </c>
      <c r="C2718" t="inlineStr">
        <is>
          <t>P_US_ALL_OTHERS</t>
        </is>
      </c>
      <c r="D2718" t="inlineStr">
        <is>
          <t>Stat Fcst DES</t>
        </is>
      </c>
      <c r="E2718" t="n">
        <v>183.94158105474</v>
      </c>
      <c r="F2718" t="n">
        <v>174.209681741904</v>
      </c>
      <c r="G2718" t="n">
        <v>167.62274942156</v>
      </c>
      <c r="H2718" t="n">
        <v>164.329282499588</v>
      </c>
      <c r="I2718" t="n">
        <v>162.682558221217</v>
      </c>
      <c r="J2718" t="n">
        <v>161.859186991435</v>
      </c>
      <c r="K2718" t="n">
        <v>161.447504406743</v>
      </c>
      <c r="L2718" t="n">
        <v>161.241667919773</v>
      </c>
      <c r="M2718" t="n">
        <v>161.138742468224</v>
      </c>
      <c r="N2718" t="n">
        <v>161.0872893463</v>
      </c>
      <c r="O2718" t="n">
        <v>161.061551983594</v>
      </c>
      <c r="P2718" t="n">
        <v>161.048692902353</v>
      </c>
    </row>
    <row r="2719">
      <c r="A2719" s="1" t="n">
        <v>4064941147107</v>
      </c>
      <c r="B2719" t="inlineStr">
        <is>
          <t>KJ MU HYB BLSH PWDBLU2.5G 355PETAL 25IV</t>
        </is>
      </c>
      <c r="C2719" t="inlineStr">
        <is>
          <t>P_US_ALL_OTHERS</t>
        </is>
      </c>
      <c r="D2719" t="inlineStr">
        <is>
          <t>Stat Fcst ETS</t>
        </is>
      </c>
    </row>
    <row r="2720">
      <c r="A2720" s="1" t="n">
        <v>4064941147107</v>
      </c>
      <c r="B2720" t="inlineStr">
        <is>
          <t>KJ MU HYB BLSH PWDBLU2.5G 355PETAL 25IV</t>
        </is>
      </c>
      <c r="C2720" t="inlineStr">
        <is>
          <t>P_US_ALL_OTHERS</t>
        </is>
      </c>
      <c r="D2720" t="inlineStr">
        <is>
          <t>Stat Fcst Moving Average</t>
        </is>
      </c>
      <c r="E2720" t="n">
        <v>150.66666217645</v>
      </c>
      <c r="F2720" t="n">
        <v>139.666657418012</v>
      </c>
      <c r="G2720" t="n">
        <v>132.000000983476</v>
      </c>
      <c r="H2720" t="n">
        <v>158.669995271265</v>
      </c>
      <c r="I2720" t="n">
        <v>149.220001111775</v>
      </c>
      <c r="J2720" t="n">
        <v>146.629995630085</v>
      </c>
      <c r="K2720" t="n">
        <v>151.50999548465</v>
      </c>
      <c r="L2720" t="n">
        <v>149.12</v>
      </c>
      <c r="M2720" t="n">
        <v>149.089995556771</v>
      </c>
      <c r="N2720" t="n">
        <v>149.910002233833</v>
      </c>
      <c r="O2720" t="n">
        <v>149.369995548427</v>
      </c>
      <c r="P2720" t="n">
        <v>149.460001113563</v>
      </c>
    </row>
    <row r="2721">
      <c r="A2721" s="1" t="n">
        <v>4064941147107</v>
      </c>
      <c r="B2721" t="inlineStr">
        <is>
          <t>KJ MU HYB BLSH PWDBLU2.5G 355PETAL 25IV</t>
        </is>
      </c>
      <c r="C2721" t="inlineStr">
        <is>
          <t>P_US_ALL_OTHERS</t>
        </is>
      </c>
      <c r="D2721" t="inlineStr">
        <is>
          <t>Stat Fcst Naive Random Walk</t>
        </is>
      </c>
    </row>
    <row r="2722">
      <c r="A2722" s="1" t="n">
        <v>4064941147107</v>
      </c>
      <c r="B2722" t="inlineStr">
        <is>
          <t>KJ MU HYB BLSH PWDBLU2.5G 355PETAL 25IV</t>
        </is>
      </c>
      <c r="C2722" t="inlineStr">
        <is>
          <t>P_US_ALL_OTHERS</t>
        </is>
      </c>
      <c r="D2722" t="inlineStr">
        <is>
          <t>Stat Fcst Prophet</t>
        </is>
      </c>
    </row>
    <row r="2723">
      <c r="A2723" s="1" t="n">
        <v>4064941147107</v>
      </c>
      <c r="B2723" t="inlineStr">
        <is>
          <t>KJ MU HYB BLSH PWDBLU2.5G 355PETAL 25IV</t>
        </is>
      </c>
      <c r="C2723" t="inlineStr">
        <is>
          <t>P_US_ALL_OTHERS</t>
        </is>
      </c>
      <c r="D2723" t="inlineStr">
        <is>
          <t>Stat Fcst sARIMA</t>
        </is>
      </c>
    </row>
    <row r="2724">
      <c r="A2724" s="1" t="n">
        <v>4064941147107</v>
      </c>
      <c r="B2724" t="inlineStr">
        <is>
          <t>KJ MU HYB BLSH PWDBLU2.5G 355PETAL 25IV</t>
        </is>
      </c>
      <c r="C2724" t="inlineStr">
        <is>
          <t>P_US_ALL_OTHERS</t>
        </is>
      </c>
      <c r="D2724" t="inlineStr">
        <is>
          <t>Stat Fcst Seasonal Naive YoY</t>
        </is>
      </c>
    </row>
    <row r="2725">
      <c r="A2725" s="1" t="n">
        <v>4064941147107</v>
      </c>
      <c r="B2725" t="inlineStr">
        <is>
          <t>KJ MU HYB BLSH PWDBLU2.5G 355PETAL 25IV</t>
        </is>
      </c>
      <c r="C2725" t="inlineStr">
        <is>
          <t>P_US_ALL_OTHERS</t>
        </is>
      </c>
      <c r="D2725" t="inlineStr">
        <is>
          <t>Stat Fcst SES</t>
        </is>
      </c>
      <c r="E2725" t="n">
        <v>209.231804951655</v>
      </c>
      <c r="F2725" t="n">
        <v>209.231782719829</v>
      </c>
      <c r="G2725" t="n">
        <v>209.231738282516</v>
      </c>
      <c r="H2725" t="n">
        <v>209.231730488027</v>
      </c>
      <c r="I2725" t="n">
        <v>209.231738282516</v>
      </c>
      <c r="J2725" t="n">
        <v>209.231730488027</v>
      </c>
      <c r="K2725" t="n">
        <v>209.231730488027</v>
      </c>
      <c r="L2725" t="n">
        <v>209.231736723618</v>
      </c>
      <c r="M2725" t="n">
        <v>209.231730488027</v>
      </c>
      <c r="N2725" t="n">
        <v>209.231739841414</v>
      </c>
      <c r="O2725" t="n">
        <v>209.231730488027</v>
      </c>
      <c r="P2725" t="n">
        <v>209.231738282516</v>
      </c>
    </row>
    <row r="2726">
      <c r="A2726" s="1" t="n">
        <v>4064941147107</v>
      </c>
      <c r="B2726" t="inlineStr">
        <is>
          <t>KJ MU HYB BLSH PWDBLU2.5G 355PETAL 25IV</t>
        </is>
      </c>
      <c r="C2726" t="inlineStr">
        <is>
          <t>P_US_ALL_OTHERS</t>
        </is>
      </c>
      <c r="D2726" t="inlineStr">
        <is>
          <t>Stat Fcst STLF</t>
        </is>
      </c>
    </row>
    <row r="2727">
      <c r="A2727" s="1" t="n">
        <v>4064941147107</v>
      </c>
      <c r="B2727" t="inlineStr">
        <is>
          <t>KJ MU HYB BLSH PWDBLU2.5G 355PETAL 25IV</t>
        </is>
      </c>
      <c r="C2727" t="inlineStr">
        <is>
          <t>P_US_ALL_OTHERS</t>
        </is>
      </c>
      <c r="D2727" t="inlineStr">
        <is>
          <t>Stat Fcst TBATS</t>
        </is>
      </c>
    </row>
    <row r="2728">
      <c r="A2728" s="1" t="n">
        <v>4064941147107</v>
      </c>
      <c r="B2728" t="inlineStr">
        <is>
          <t>KJ MU HYB BLSH PWDBLU2.5G 355PETAL 25IV</t>
        </is>
      </c>
      <c r="C2728" t="inlineStr">
        <is>
          <t>P_US_ALL_OTHERS</t>
        </is>
      </c>
      <c r="D2728" t="inlineStr">
        <is>
          <t>Stat Fcst TES</t>
        </is>
      </c>
    </row>
    <row r="2729">
      <c r="A2729" s="1" t="n">
        <v>4064941147107</v>
      </c>
      <c r="B2729" t="inlineStr">
        <is>
          <t>KJ MU HYB BLSH PWDBLU2.5G 355PETAL 25IV</t>
        </is>
      </c>
      <c r="C2729" t="inlineStr">
        <is>
          <t>P_US_ALL_OTHERS</t>
        </is>
      </c>
      <c r="D2729" t="inlineStr">
        <is>
          <t>Stat Fcst Theta</t>
        </is>
      </c>
    </row>
    <row r="2730">
      <c r="A2730" s="1" t="n">
        <v>4064941147107</v>
      </c>
      <c r="B2730" t="inlineStr">
        <is>
          <t>KJ MU HYB BLSH PWDBLU2.5G 355PETAL 25IV</t>
        </is>
      </c>
      <c r="C2730" t="inlineStr">
        <is>
          <t>P_US_ALL_OTHERS</t>
        </is>
      </c>
      <c r="D2730" t="inlineStr">
        <is>
          <t>System ML Fcst L1</t>
        </is>
      </c>
    </row>
    <row r="2731">
      <c r="A2731" s="1" t="n">
        <v>4064941147107</v>
      </c>
      <c r="B2731" t="inlineStr">
        <is>
          <t>KJ MU HYB BLSH PWDBLU2.5G 355PETAL 25IV</t>
        </is>
      </c>
      <c r="C2731" t="inlineStr">
        <is>
          <t>P_US_ALL_OTHERS</t>
        </is>
      </c>
      <c r="D2731" t="inlineStr">
        <is>
          <t>Stat Fcst Simple Snaive</t>
        </is>
      </c>
    </row>
    <row r="2732">
      <c r="A2732" s="1" t="n">
        <v>4064941147107</v>
      </c>
      <c r="B2732" t="inlineStr">
        <is>
          <t>KJ MU HYB BLSH PWDBLU2.5G 355PETAL 25IV</t>
        </is>
      </c>
      <c r="C2732" t="inlineStr">
        <is>
          <t>P_US_ALL_OTHERS</t>
        </is>
      </c>
      <c r="D2732" t="inlineStr">
        <is>
          <t>Stat Fcst Simple AOA</t>
        </is>
      </c>
    </row>
    <row r="2733">
      <c r="A2733" s="1" t="n">
        <v>4064941147107</v>
      </c>
      <c r="B2733" t="inlineStr">
        <is>
          <t>KJ MU HYB BLSH PWDBLU2.5G 355PETAL 25IV</t>
        </is>
      </c>
      <c r="C2733" t="inlineStr">
        <is>
          <t>P_US_ALL_OTHERS</t>
        </is>
      </c>
      <c r="D2733" t="inlineStr">
        <is>
          <t>Stat Fcst Weighted Snaive</t>
        </is>
      </c>
    </row>
    <row r="2734">
      <c r="A2734" s="1" t="n">
        <v>4064941147107</v>
      </c>
      <c r="B2734" t="inlineStr">
        <is>
          <t>KJ MU HYB BLSH PWDBLU2.5G 355PETAL 25IV</t>
        </is>
      </c>
      <c r="C2734" t="inlineStr">
        <is>
          <t>P_US_ALL_OTHERS</t>
        </is>
      </c>
      <c r="D2734" t="inlineStr">
        <is>
          <t>Stat Fcst Weighted AOA</t>
        </is>
      </c>
    </row>
    <row r="2735">
      <c r="A2735" s="1" t="n">
        <v>4064941147107</v>
      </c>
      <c r="B2735" t="inlineStr">
        <is>
          <t>KJ MU HYB BLSH PWDBLU2.5G 355PETAL 25IV</t>
        </is>
      </c>
      <c r="C2735" t="inlineStr">
        <is>
          <t>P_US_ALL_OTHERS</t>
        </is>
      </c>
      <c r="D2735" t="inlineStr">
        <is>
          <t>Stat Fcst Growth Snaive</t>
        </is>
      </c>
    </row>
    <row r="2736">
      <c r="A2736" s="1" t="n">
        <v>4064941147107</v>
      </c>
      <c r="B2736" t="inlineStr">
        <is>
          <t>KJ MU HYB BLSH PWDBLU2.5G 355PETAL 25IV</t>
        </is>
      </c>
      <c r="C2736" t="inlineStr">
        <is>
          <t>P_US_ALL_OTHERS</t>
        </is>
      </c>
      <c r="D2736" t="inlineStr">
        <is>
          <t>Stat Fcst Growth AOA</t>
        </is>
      </c>
    </row>
    <row r="2737">
      <c r="A2737" s="1" t="n">
        <v>4064941147107</v>
      </c>
      <c r="B2737" t="inlineStr">
        <is>
          <t>KJ MU HYB BLSH PWDBLU2.5G 355PETAL 25IV</t>
        </is>
      </c>
      <c r="C2737" t="inlineStr">
        <is>
          <t>P_US_ALL_OTHERS</t>
        </is>
      </c>
      <c r="D2737" t="inlineStr">
        <is>
          <t>System Stat Fcst Bestfit</t>
        </is>
      </c>
      <c r="H2737" t="n">
        <v>158.66999344021</v>
      </c>
      <c r="I2737" t="n">
        <v>149.220002332478</v>
      </c>
      <c r="J2737" t="n">
        <v>146.630000512897</v>
      </c>
      <c r="K2737" t="n">
        <v>151.509989991486</v>
      </c>
      <c r="L2737" t="n">
        <v>149.119995117187</v>
      </c>
      <c r="M2737" t="n">
        <v>149.089991894662</v>
      </c>
      <c r="N2737" t="n">
        <v>149.910005895942</v>
      </c>
      <c r="O2737" t="n">
        <v>149.369990665614</v>
      </c>
      <c r="P2737" t="n">
        <v>149.460007827431</v>
      </c>
    </row>
    <row r="2738">
      <c r="A2738" s="1" t="n">
        <v>4064941147107</v>
      </c>
      <c r="B2738" t="inlineStr">
        <is>
          <t>KJ MU HYB BLSH PWDBLU2.5G 355PETAL 25IV</t>
        </is>
      </c>
      <c r="C2738" t="inlineStr">
        <is>
          <t>P_US_ULTA</t>
        </is>
      </c>
      <c r="D2738" t="inlineStr">
        <is>
          <t>Stat Fcst L1</t>
        </is>
      </c>
      <c r="E2738" t="n">
        <v>1439.99995708465</v>
      </c>
      <c r="F2738" t="n">
        <v>5331.15169658804</v>
      </c>
      <c r="G2738" t="n">
        <v>1359</v>
      </c>
      <c r="H2738" t="n">
        <v>1674</v>
      </c>
      <c r="I2738" t="n">
        <v>1676</v>
      </c>
      <c r="J2738" t="n">
        <v>1674</v>
      </c>
      <c r="K2738" t="n">
        <v>1674</v>
      </c>
      <c r="L2738" t="n">
        <v>1676</v>
      </c>
      <c r="M2738" t="n">
        <v>1674</v>
      </c>
      <c r="N2738" t="n">
        <v>1675</v>
      </c>
      <c r="O2738" t="n">
        <v>1674</v>
      </c>
      <c r="P2738" t="n">
        <v>1676</v>
      </c>
    </row>
    <row r="2739">
      <c r="A2739" s="1" t="n">
        <v>4064941147107</v>
      </c>
      <c r="B2739" t="inlineStr">
        <is>
          <t>KJ MU HYB BLSH PWDBLU2.5G 355PETAL 25IV</t>
        </is>
      </c>
      <c r="C2739" t="inlineStr">
        <is>
          <t>P_US_ULTA</t>
        </is>
      </c>
      <c r="D2739" t="inlineStr">
        <is>
          <t>Stat Fcst AR-NNET</t>
        </is>
      </c>
    </row>
    <row r="2740">
      <c r="A2740" s="1" t="n">
        <v>4064941147107</v>
      </c>
      <c r="B2740" t="inlineStr">
        <is>
          <t>KJ MU HYB BLSH PWDBLU2.5G 355PETAL 25IV</t>
        </is>
      </c>
      <c r="C2740" t="inlineStr">
        <is>
          <t>P_US_ULTA</t>
        </is>
      </c>
      <c r="D2740" t="inlineStr">
        <is>
          <t>Stat Fcst Auto ARIMA</t>
        </is>
      </c>
    </row>
    <row r="2741">
      <c r="A2741" s="1" t="n">
        <v>4064941147107</v>
      </c>
      <c r="B2741" t="inlineStr">
        <is>
          <t>KJ MU HYB BLSH PWDBLU2.5G 355PETAL 25IV</t>
        </is>
      </c>
      <c r="C2741" t="inlineStr">
        <is>
          <t>P_US_ULTA</t>
        </is>
      </c>
      <c r="D2741" t="inlineStr">
        <is>
          <t>Stat Fcst Croston</t>
        </is>
      </c>
    </row>
    <row r="2742">
      <c r="A2742" s="1" t="n">
        <v>4064941147107</v>
      </c>
      <c r="B2742" t="inlineStr">
        <is>
          <t>KJ MU HYB BLSH PWDBLU2.5G 355PETAL 25IV</t>
        </is>
      </c>
      <c r="C2742" t="inlineStr">
        <is>
          <t>P_US_ULTA</t>
        </is>
      </c>
      <c r="D2742" t="inlineStr">
        <is>
          <t>Stat Fcst DES</t>
        </is>
      </c>
      <c r="E2742" t="n">
        <v>1676.2002130105</v>
      </c>
      <c r="F2742" t="n">
        <v>1676.19784697058</v>
      </c>
      <c r="G2742" t="n">
        <v>1676.20232692492</v>
      </c>
      <c r="H2742" t="n">
        <v>1676.20264576007</v>
      </c>
      <c r="I2742" t="n">
        <v>1676.20289884276</v>
      </c>
      <c r="J2742" t="n">
        <v>1676.20293171898</v>
      </c>
      <c r="K2742" t="n">
        <v>1676.2029793788</v>
      </c>
      <c r="L2742" t="n">
        <v>1676.20305316345</v>
      </c>
      <c r="M2742" t="n">
        <v>1676.20301512366</v>
      </c>
      <c r="N2742" t="n">
        <v>1676.20309601325</v>
      </c>
      <c r="O2742" t="n">
        <v>1676.20302405988</v>
      </c>
      <c r="P2742" t="n">
        <v>1676.20308799268</v>
      </c>
    </row>
    <row r="2743">
      <c r="A2743" s="1" t="n">
        <v>4064941147107</v>
      </c>
      <c r="B2743" t="inlineStr">
        <is>
          <t>KJ MU HYB BLSH PWDBLU2.5G 355PETAL 25IV</t>
        </is>
      </c>
      <c r="C2743" t="inlineStr">
        <is>
          <t>P_US_ULTA</t>
        </is>
      </c>
      <c r="D2743" t="inlineStr">
        <is>
          <t>Stat Fcst ETS</t>
        </is>
      </c>
    </row>
    <row r="2744">
      <c r="A2744" s="1" t="n">
        <v>4064941147107</v>
      </c>
      <c r="B2744" t="inlineStr">
        <is>
          <t>KJ MU HYB BLSH PWDBLU2.5G 355PETAL 25IV</t>
        </is>
      </c>
      <c r="C2744" t="inlineStr">
        <is>
          <t>P_US_ULTA</t>
        </is>
      </c>
      <c r="D2744" t="inlineStr">
        <is>
          <t>Stat Fcst Moving Average</t>
        </is>
      </c>
      <c r="E2744" t="n">
        <v>1607.99995207786</v>
      </c>
      <c r="F2744" t="n">
        <v>1583.99995279312</v>
      </c>
      <c r="G2744" t="n">
        <v>2761.05002057142</v>
      </c>
      <c r="H2744" t="n">
        <v>3177.3999053061</v>
      </c>
      <c r="I2744" t="n">
        <v>3756.53002798832</v>
      </c>
      <c r="J2744" t="n">
        <v>3231.65990368902</v>
      </c>
      <c r="K2744" t="n">
        <v>3388.52989901393</v>
      </c>
      <c r="L2744" t="n">
        <v>3458.91</v>
      </c>
      <c r="M2744" t="n">
        <v>3359.69989987313</v>
      </c>
      <c r="N2744" t="n">
        <v>3402.38005069941</v>
      </c>
      <c r="O2744" t="n">
        <v>3406.99989846348</v>
      </c>
      <c r="P2744" t="n">
        <v>3389.69002525515</v>
      </c>
    </row>
    <row r="2745">
      <c r="A2745" s="1" t="n">
        <v>4064941147107</v>
      </c>
      <c r="B2745" t="inlineStr">
        <is>
          <t>KJ MU HYB BLSH PWDBLU2.5G 355PETAL 25IV</t>
        </is>
      </c>
      <c r="C2745" t="inlineStr">
        <is>
          <t>P_US_ULTA</t>
        </is>
      </c>
      <c r="D2745" t="inlineStr">
        <is>
          <t>Stat Fcst Naive Random Walk</t>
        </is>
      </c>
    </row>
    <row r="2746">
      <c r="A2746" s="1" t="n">
        <v>4064941147107</v>
      </c>
      <c r="B2746" t="inlineStr">
        <is>
          <t>KJ MU HYB BLSH PWDBLU2.5G 355PETAL 25IV</t>
        </is>
      </c>
      <c r="C2746" t="inlineStr">
        <is>
          <t>P_US_ULTA</t>
        </is>
      </c>
      <c r="D2746" t="inlineStr">
        <is>
          <t>Stat Fcst Prophet</t>
        </is>
      </c>
    </row>
    <row r="2747">
      <c r="A2747" s="1" t="n">
        <v>4064941147107</v>
      </c>
      <c r="B2747" t="inlineStr">
        <is>
          <t>KJ MU HYB BLSH PWDBLU2.5G 355PETAL 25IV</t>
        </is>
      </c>
      <c r="C2747" t="inlineStr">
        <is>
          <t>P_US_ULTA</t>
        </is>
      </c>
      <c r="D2747" t="inlineStr">
        <is>
          <t>Stat Fcst sARIMA</t>
        </is>
      </c>
    </row>
    <row r="2748">
      <c r="A2748" s="1" t="n">
        <v>4064941147107</v>
      </c>
      <c r="B2748" t="inlineStr">
        <is>
          <t>KJ MU HYB BLSH PWDBLU2.5G 355PETAL 25IV</t>
        </is>
      </c>
      <c r="C2748" t="inlineStr">
        <is>
          <t>P_US_ULTA</t>
        </is>
      </c>
      <c r="D2748" t="inlineStr">
        <is>
          <t>Stat Fcst Seasonal Naive YoY</t>
        </is>
      </c>
    </row>
    <row r="2749">
      <c r="A2749" s="1" t="n">
        <v>4064941147107</v>
      </c>
      <c r="B2749" t="inlineStr">
        <is>
          <t>KJ MU HYB BLSH PWDBLU2.5G 355PETAL 25IV</t>
        </is>
      </c>
      <c r="C2749" t="inlineStr">
        <is>
          <t>P_US_ULTA</t>
        </is>
      </c>
      <c r="D2749" t="inlineStr">
        <is>
          <t>Stat Fcst SES</t>
        </is>
      </c>
      <c r="E2749" t="n">
        <v>1680.2816016062</v>
      </c>
      <c r="F2749" t="n">
        <v>1680.28136132455</v>
      </c>
      <c r="G2749" t="n">
        <v>1680.28507479039</v>
      </c>
      <c r="H2749" t="n">
        <v>1680.28501219489</v>
      </c>
      <c r="I2749" t="n">
        <v>1680.28507479039</v>
      </c>
      <c r="J2749" t="n">
        <v>1680.28501219489</v>
      </c>
      <c r="K2749" t="n">
        <v>1680.28501219489</v>
      </c>
      <c r="L2749" t="n">
        <v>1680.28506227129</v>
      </c>
      <c r="M2749" t="n">
        <v>1680.28501219489</v>
      </c>
      <c r="N2749" t="n">
        <v>1680.28508730948</v>
      </c>
      <c r="O2749" t="n">
        <v>1680.28501219489</v>
      </c>
      <c r="P2749" t="n">
        <v>1680.28507479039</v>
      </c>
    </row>
    <row r="2750">
      <c r="A2750" s="1" t="n">
        <v>4064941147107</v>
      </c>
      <c r="B2750" t="inlineStr">
        <is>
          <t>KJ MU HYB BLSH PWDBLU2.5G 355PETAL 25IV</t>
        </is>
      </c>
      <c r="C2750" t="inlineStr">
        <is>
          <t>P_US_ULTA</t>
        </is>
      </c>
      <c r="D2750" t="inlineStr">
        <is>
          <t>Stat Fcst STLF</t>
        </is>
      </c>
    </row>
    <row r="2751">
      <c r="A2751" s="1" t="n">
        <v>4064941147107</v>
      </c>
      <c r="B2751" t="inlineStr">
        <is>
          <t>KJ MU HYB BLSH PWDBLU2.5G 355PETAL 25IV</t>
        </is>
      </c>
      <c r="C2751" t="inlineStr">
        <is>
          <t>P_US_ULTA</t>
        </is>
      </c>
      <c r="D2751" t="inlineStr">
        <is>
          <t>Stat Fcst TBATS</t>
        </is>
      </c>
    </row>
    <row r="2752">
      <c r="A2752" s="1" t="n">
        <v>4064941147107</v>
      </c>
      <c r="B2752" t="inlineStr">
        <is>
          <t>KJ MU HYB BLSH PWDBLU2.5G 355PETAL 25IV</t>
        </is>
      </c>
      <c r="C2752" t="inlineStr">
        <is>
          <t>P_US_ULTA</t>
        </is>
      </c>
      <c r="D2752" t="inlineStr">
        <is>
          <t>Stat Fcst TES</t>
        </is>
      </c>
    </row>
    <row r="2753">
      <c r="A2753" s="1" t="n">
        <v>4064941147107</v>
      </c>
      <c r="B2753" t="inlineStr">
        <is>
          <t>KJ MU HYB BLSH PWDBLU2.5G 355PETAL 25IV</t>
        </is>
      </c>
      <c r="C2753" t="inlineStr">
        <is>
          <t>P_US_ULTA</t>
        </is>
      </c>
      <c r="D2753" t="inlineStr">
        <is>
          <t>Stat Fcst Theta</t>
        </is>
      </c>
    </row>
    <row r="2754">
      <c r="A2754" s="1" t="n">
        <v>4064941147107</v>
      </c>
      <c r="B2754" t="inlineStr">
        <is>
          <t>KJ MU HYB BLSH PWDBLU2.5G 355PETAL 25IV</t>
        </is>
      </c>
      <c r="C2754" t="inlineStr">
        <is>
          <t>P_US_ULTA</t>
        </is>
      </c>
      <c r="D2754" t="inlineStr">
        <is>
          <t>System ML Fcst L1</t>
        </is>
      </c>
    </row>
    <row r="2755">
      <c r="A2755" s="1" t="n">
        <v>4064941147107</v>
      </c>
      <c r="B2755" t="inlineStr">
        <is>
          <t>KJ MU HYB BLSH PWDBLU2.5G 355PETAL 25IV</t>
        </is>
      </c>
      <c r="C2755" t="inlineStr">
        <is>
          <t>P_US_ULTA</t>
        </is>
      </c>
      <c r="D2755" t="inlineStr">
        <is>
          <t>Stat Fcst Simple Snaive</t>
        </is>
      </c>
    </row>
    <row r="2756">
      <c r="A2756" s="1" t="n">
        <v>4064941147107</v>
      </c>
      <c r="B2756" t="inlineStr">
        <is>
          <t>KJ MU HYB BLSH PWDBLU2.5G 355PETAL 25IV</t>
        </is>
      </c>
      <c r="C2756" t="inlineStr">
        <is>
          <t>P_US_ULTA</t>
        </is>
      </c>
      <c r="D2756" t="inlineStr">
        <is>
          <t>Stat Fcst Simple AOA</t>
        </is>
      </c>
    </row>
    <row r="2757">
      <c r="A2757" s="1" t="n">
        <v>4064941147107</v>
      </c>
      <c r="B2757" t="inlineStr">
        <is>
          <t>KJ MU HYB BLSH PWDBLU2.5G 355PETAL 25IV</t>
        </is>
      </c>
      <c r="C2757" t="inlineStr">
        <is>
          <t>P_US_ULTA</t>
        </is>
      </c>
      <c r="D2757" t="inlineStr">
        <is>
          <t>Stat Fcst Weighted Snaive</t>
        </is>
      </c>
    </row>
    <row r="2758">
      <c r="A2758" s="1" t="n">
        <v>4064941147107</v>
      </c>
      <c r="B2758" t="inlineStr">
        <is>
          <t>KJ MU HYB BLSH PWDBLU2.5G 355PETAL 25IV</t>
        </is>
      </c>
      <c r="C2758" t="inlineStr">
        <is>
          <t>P_US_ULTA</t>
        </is>
      </c>
      <c r="D2758" t="inlineStr">
        <is>
          <t>Stat Fcst Weighted AOA</t>
        </is>
      </c>
    </row>
    <row r="2759">
      <c r="A2759" s="1" t="n">
        <v>4064941147107</v>
      </c>
      <c r="B2759" t="inlineStr">
        <is>
          <t>KJ MU HYB BLSH PWDBLU2.5G 355PETAL 25IV</t>
        </is>
      </c>
      <c r="C2759" t="inlineStr">
        <is>
          <t>P_US_ULTA</t>
        </is>
      </c>
      <c r="D2759" t="inlineStr">
        <is>
          <t>Stat Fcst Growth Snaive</t>
        </is>
      </c>
    </row>
    <row r="2760">
      <c r="A2760" s="1" t="n">
        <v>4064941147107</v>
      </c>
      <c r="B2760" t="inlineStr">
        <is>
          <t>KJ MU HYB BLSH PWDBLU2.5G 355PETAL 25IV</t>
        </is>
      </c>
      <c r="C2760" t="inlineStr">
        <is>
          <t>P_US_ULTA</t>
        </is>
      </c>
      <c r="D2760" t="inlineStr">
        <is>
          <t>Stat Fcst Growth AOA</t>
        </is>
      </c>
    </row>
    <row r="2761">
      <c r="A2761" s="1" t="n">
        <v>4064941147107</v>
      </c>
      <c r="B2761" t="inlineStr">
        <is>
          <t>KJ MU HYB BLSH PWDBLU2.5G 355PETAL 25IV</t>
        </is>
      </c>
      <c r="C2761" t="inlineStr">
        <is>
          <t>P_US_ULTA</t>
        </is>
      </c>
      <c r="D2761" t="inlineStr">
        <is>
          <t>System Stat Fcst Bestfit</t>
        </is>
      </c>
      <c r="H2761" t="n">
        <v>1676.20258676401</v>
      </c>
      <c r="I2761" t="n">
        <v>1676.20289334805</v>
      </c>
      <c r="J2761" t="n">
        <v>1676.20283090463</v>
      </c>
      <c r="K2761" t="n">
        <v>1676.20283090463</v>
      </c>
      <c r="L2761" t="n">
        <v>1676.20300292968</v>
      </c>
      <c r="M2761" t="n">
        <v>1676.20307504525</v>
      </c>
      <c r="N2761" t="n">
        <v>1676.20314997737</v>
      </c>
      <c r="O2761" t="n">
        <v>1676.20295297494</v>
      </c>
      <c r="P2761" t="n">
        <v>1676.20313748868</v>
      </c>
    </row>
    <row r="2762">
      <c r="A2762" s="1" t="n">
        <v>4064941147114</v>
      </c>
      <c r="B2762" t="inlineStr">
        <is>
          <t>KJ MU HYB BLSH PWDBLU2.5G 353WTRKS 25IV</t>
        </is>
      </c>
      <c r="C2762" t="inlineStr">
        <is>
          <t>P_US_ALL_OTHERS</t>
        </is>
      </c>
      <c r="D2762" t="inlineStr">
        <is>
          <t>Stat Fcst L1</t>
        </is>
      </c>
      <c r="E2762" t="n">
        <v>510.999984771013</v>
      </c>
      <c r="F2762" t="n">
        <v>332.999990075826</v>
      </c>
      <c r="G2762" t="n">
        <v>287</v>
      </c>
      <c r="H2762" t="n">
        <v>377</v>
      </c>
      <c r="I2762" t="n">
        <v>330</v>
      </c>
      <c r="J2762" t="n">
        <v>332</v>
      </c>
      <c r="K2762" t="n">
        <v>345</v>
      </c>
      <c r="L2762" t="n">
        <v>336</v>
      </c>
      <c r="M2762" t="n">
        <v>337</v>
      </c>
      <c r="N2762" t="n">
        <v>339</v>
      </c>
      <c r="O2762" t="n">
        <v>337</v>
      </c>
      <c r="P2762" t="n">
        <v>339</v>
      </c>
    </row>
    <row r="2763">
      <c r="A2763" s="1" t="n">
        <v>4064941147114</v>
      </c>
      <c r="B2763" t="inlineStr">
        <is>
          <t>KJ MU HYB BLSH PWDBLU2.5G 353WTRKS 25IV</t>
        </is>
      </c>
      <c r="C2763" t="inlineStr">
        <is>
          <t>P_US_ALL_OTHERS</t>
        </is>
      </c>
      <c r="D2763" t="inlineStr">
        <is>
          <t>Stat Fcst AR-NNET</t>
        </is>
      </c>
    </row>
    <row r="2764">
      <c r="A2764" s="1" t="n">
        <v>4064941147114</v>
      </c>
      <c r="B2764" t="inlineStr">
        <is>
          <t>KJ MU HYB BLSH PWDBLU2.5G 353WTRKS 25IV</t>
        </is>
      </c>
      <c r="C2764" t="inlineStr">
        <is>
          <t>P_US_ALL_OTHERS</t>
        </is>
      </c>
      <c r="D2764" t="inlineStr">
        <is>
          <t>Stat Fcst Auto ARIMA</t>
        </is>
      </c>
    </row>
    <row r="2765">
      <c r="A2765" s="1" t="n">
        <v>4064941147114</v>
      </c>
      <c r="B2765" t="inlineStr">
        <is>
          <t>KJ MU HYB BLSH PWDBLU2.5G 353WTRKS 25IV</t>
        </is>
      </c>
      <c r="C2765" t="inlineStr">
        <is>
          <t>P_US_ALL_OTHERS</t>
        </is>
      </c>
      <c r="D2765" t="inlineStr">
        <is>
          <t>Stat Fcst Croston</t>
        </is>
      </c>
    </row>
    <row r="2766">
      <c r="A2766" s="1" t="n">
        <v>4064941147114</v>
      </c>
      <c r="B2766" t="inlineStr">
        <is>
          <t>KJ MU HYB BLSH PWDBLU2.5G 353WTRKS 25IV</t>
        </is>
      </c>
      <c r="C2766" t="inlineStr">
        <is>
          <t>P_US_ALL_OTHERS</t>
        </is>
      </c>
      <c r="D2766" t="inlineStr">
        <is>
          <t>Stat Fcst DES</t>
        </is>
      </c>
      <c r="E2766" t="n">
        <v>336.315988292225</v>
      </c>
      <c r="F2766" t="n">
        <v>337.668874786188</v>
      </c>
      <c r="G2766" t="n">
        <v>338.049632495249</v>
      </c>
      <c r="H2766" t="n">
        <v>338.239994794242</v>
      </c>
      <c r="I2766" t="n">
        <v>338.335194844372</v>
      </c>
      <c r="J2766" t="n">
        <v>338.382775963484</v>
      </c>
      <c r="K2766" t="n">
        <v>338.406572825025</v>
      </c>
      <c r="L2766" t="n">
        <v>338.418481341452</v>
      </c>
      <c r="M2766" t="n">
        <v>338.42442047118</v>
      </c>
      <c r="N2766" t="n">
        <v>338.427410207756</v>
      </c>
      <c r="O2766" t="n">
        <v>338.428882382719</v>
      </c>
      <c r="P2766" t="n">
        <v>338.429638642128</v>
      </c>
    </row>
    <row r="2767">
      <c r="A2767" s="1" t="n">
        <v>4064941147114</v>
      </c>
      <c r="B2767" t="inlineStr">
        <is>
          <t>KJ MU HYB BLSH PWDBLU2.5G 353WTRKS 25IV</t>
        </is>
      </c>
      <c r="C2767" t="inlineStr">
        <is>
          <t>P_US_ALL_OTHERS</t>
        </is>
      </c>
      <c r="D2767" t="inlineStr">
        <is>
          <t>Stat Fcst ETS</t>
        </is>
      </c>
    </row>
    <row r="2768">
      <c r="A2768" s="1" t="n">
        <v>4064941147114</v>
      </c>
      <c r="B2768" t="inlineStr">
        <is>
          <t>KJ MU HYB BLSH PWDBLU2.5G 353WTRKS 25IV</t>
        </is>
      </c>
      <c r="C2768" t="inlineStr">
        <is>
          <t>P_US_ALL_OTHERS</t>
        </is>
      </c>
      <c r="D2768" t="inlineStr">
        <is>
          <t>Stat Fcst Moving Average</t>
        </is>
      </c>
      <c r="E2768" t="n">
        <v>278.333325038353</v>
      </c>
      <c r="F2768" t="n">
        <v>341.999979635079</v>
      </c>
      <c r="G2768" t="n">
        <v>284.330002118423</v>
      </c>
      <c r="H2768" t="n">
        <v>376.109988791048</v>
      </c>
      <c r="I2768" t="n">
        <v>331.150002467259</v>
      </c>
      <c r="J2768" t="n">
        <v>330.529990149438</v>
      </c>
      <c r="K2768" t="n">
        <v>345.929989690482</v>
      </c>
      <c r="L2768" t="n">
        <v>335.87</v>
      </c>
      <c r="M2768" t="n">
        <v>337.439989943504</v>
      </c>
      <c r="N2768" t="n">
        <v>339.750005062669</v>
      </c>
      <c r="O2768" t="n">
        <v>337.689989936053</v>
      </c>
      <c r="P2768" t="n">
        <v>338.290002520456</v>
      </c>
    </row>
    <row r="2769">
      <c r="A2769" s="1" t="n">
        <v>4064941147114</v>
      </c>
      <c r="B2769" t="inlineStr">
        <is>
          <t>KJ MU HYB BLSH PWDBLU2.5G 353WTRKS 25IV</t>
        </is>
      </c>
      <c r="C2769" t="inlineStr">
        <is>
          <t>P_US_ALL_OTHERS</t>
        </is>
      </c>
      <c r="D2769" t="inlineStr">
        <is>
          <t>Stat Fcst Naive Random Walk</t>
        </is>
      </c>
    </row>
    <row r="2770">
      <c r="A2770" s="1" t="n">
        <v>4064941147114</v>
      </c>
      <c r="B2770" t="inlineStr">
        <is>
          <t>KJ MU HYB BLSH PWDBLU2.5G 353WTRKS 25IV</t>
        </is>
      </c>
      <c r="C2770" t="inlineStr">
        <is>
          <t>P_US_ALL_OTHERS</t>
        </is>
      </c>
      <c r="D2770" t="inlineStr">
        <is>
          <t>Stat Fcst Prophet</t>
        </is>
      </c>
    </row>
    <row r="2771">
      <c r="A2771" s="1" t="n">
        <v>4064941147114</v>
      </c>
      <c r="B2771" t="inlineStr">
        <is>
          <t>KJ MU HYB BLSH PWDBLU2.5G 353WTRKS 25IV</t>
        </is>
      </c>
      <c r="C2771" t="inlineStr">
        <is>
          <t>P_US_ALL_OTHERS</t>
        </is>
      </c>
      <c r="D2771" t="inlineStr">
        <is>
          <t>Stat Fcst sARIMA</t>
        </is>
      </c>
    </row>
    <row r="2772">
      <c r="A2772" s="1" t="n">
        <v>4064941147114</v>
      </c>
      <c r="B2772" t="inlineStr">
        <is>
          <t>KJ MU HYB BLSH PWDBLU2.5G 353WTRKS 25IV</t>
        </is>
      </c>
      <c r="C2772" t="inlineStr">
        <is>
          <t>P_US_ALL_OTHERS</t>
        </is>
      </c>
      <c r="D2772" t="inlineStr">
        <is>
          <t>Stat Fcst Seasonal Naive YoY</t>
        </is>
      </c>
    </row>
    <row r="2773">
      <c r="A2773" s="1" t="n">
        <v>4064941147114</v>
      </c>
      <c r="B2773" t="inlineStr">
        <is>
          <t>KJ MU HYB BLSH PWDBLU2.5G 353WTRKS 25IV</t>
        </is>
      </c>
      <c r="C2773" t="inlineStr">
        <is>
          <t>P_US_ALL_OTHERS</t>
        </is>
      </c>
      <c r="D2773" t="inlineStr">
        <is>
          <t>Stat Fcst SES</t>
        </is>
      </c>
      <c r="E2773" t="n">
        <v>340.252877449003</v>
      </c>
      <c r="F2773" t="n">
        <v>340.25304819608</v>
      </c>
      <c r="G2773" t="n">
        <v>340.253053618405</v>
      </c>
      <c r="H2773" t="n">
        <v>340.253040942991</v>
      </c>
      <c r="I2773" t="n">
        <v>340.253053618405</v>
      </c>
      <c r="J2773" t="n">
        <v>340.253040942991</v>
      </c>
      <c r="K2773" t="n">
        <v>340.253040942991</v>
      </c>
      <c r="L2773" t="n">
        <v>340.253051083322</v>
      </c>
      <c r="M2773" t="n">
        <v>340.253040942991</v>
      </c>
      <c r="N2773" t="n">
        <v>340.253056153488</v>
      </c>
      <c r="O2773" t="n">
        <v>340.253040942991</v>
      </c>
      <c r="P2773" t="n">
        <v>340.253053618405</v>
      </c>
    </row>
    <row r="2774">
      <c r="A2774" s="1" t="n">
        <v>4064941147114</v>
      </c>
      <c r="B2774" t="inlineStr">
        <is>
          <t>KJ MU HYB BLSH PWDBLU2.5G 353WTRKS 25IV</t>
        </is>
      </c>
      <c r="C2774" t="inlineStr">
        <is>
          <t>P_US_ALL_OTHERS</t>
        </is>
      </c>
      <c r="D2774" t="inlineStr">
        <is>
          <t>Stat Fcst STLF</t>
        </is>
      </c>
    </row>
    <row r="2775">
      <c r="A2775" s="1" t="n">
        <v>4064941147114</v>
      </c>
      <c r="B2775" t="inlineStr">
        <is>
          <t>KJ MU HYB BLSH PWDBLU2.5G 353WTRKS 25IV</t>
        </is>
      </c>
      <c r="C2775" t="inlineStr">
        <is>
          <t>P_US_ALL_OTHERS</t>
        </is>
      </c>
      <c r="D2775" t="inlineStr">
        <is>
          <t>Stat Fcst TBATS</t>
        </is>
      </c>
    </row>
    <row r="2776">
      <c r="A2776" s="1" t="n">
        <v>4064941147114</v>
      </c>
      <c r="B2776" t="inlineStr">
        <is>
          <t>KJ MU HYB BLSH PWDBLU2.5G 353WTRKS 25IV</t>
        </is>
      </c>
      <c r="C2776" t="inlineStr">
        <is>
          <t>P_US_ALL_OTHERS</t>
        </is>
      </c>
      <c r="D2776" t="inlineStr">
        <is>
          <t>Stat Fcst TES</t>
        </is>
      </c>
    </row>
    <row r="2777">
      <c r="A2777" s="1" t="n">
        <v>4064941147114</v>
      </c>
      <c r="B2777" t="inlineStr">
        <is>
          <t>KJ MU HYB BLSH PWDBLU2.5G 353WTRKS 25IV</t>
        </is>
      </c>
      <c r="C2777" t="inlineStr">
        <is>
          <t>P_US_ALL_OTHERS</t>
        </is>
      </c>
      <c r="D2777" t="inlineStr">
        <is>
          <t>Stat Fcst Theta</t>
        </is>
      </c>
    </row>
    <row r="2778">
      <c r="A2778" s="1" t="n">
        <v>4064941147114</v>
      </c>
      <c r="B2778" t="inlineStr">
        <is>
          <t>KJ MU HYB BLSH PWDBLU2.5G 353WTRKS 25IV</t>
        </is>
      </c>
      <c r="C2778" t="inlineStr">
        <is>
          <t>P_US_ALL_OTHERS</t>
        </is>
      </c>
      <c r="D2778" t="inlineStr">
        <is>
          <t>System ML Fcst L1</t>
        </is>
      </c>
    </row>
    <row r="2779">
      <c r="A2779" s="1" t="n">
        <v>4064941147114</v>
      </c>
      <c r="B2779" t="inlineStr">
        <is>
          <t>KJ MU HYB BLSH PWDBLU2.5G 353WTRKS 25IV</t>
        </is>
      </c>
      <c r="C2779" t="inlineStr">
        <is>
          <t>P_US_ALL_OTHERS</t>
        </is>
      </c>
      <c r="D2779" t="inlineStr">
        <is>
          <t>Stat Fcst Simple Snaive</t>
        </is>
      </c>
    </row>
    <row r="2780">
      <c r="A2780" s="1" t="n">
        <v>4064941147114</v>
      </c>
      <c r="B2780" t="inlineStr">
        <is>
          <t>KJ MU HYB BLSH PWDBLU2.5G 353WTRKS 25IV</t>
        </is>
      </c>
      <c r="C2780" t="inlineStr">
        <is>
          <t>P_US_ALL_OTHERS</t>
        </is>
      </c>
      <c r="D2780" t="inlineStr">
        <is>
          <t>Stat Fcst Simple AOA</t>
        </is>
      </c>
    </row>
    <row r="2781">
      <c r="A2781" s="1" t="n">
        <v>4064941147114</v>
      </c>
      <c r="B2781" t="inlineStr">
        <is>
          <t>KJ MU HYB BLSH PWDBLU2.5G 353WTRKS 25IV</t>
        </is>
      </c>
      <c r="C2781" t="inlineStr">
        <is>
          <t>P_US_ALL_OTHERS</t>
        </is>
      </c>
      <c r="D2781" t="inlineStr">
        <is>
          <t>Stat Fcst Weighted Snaive</t>
        </is>
      </c>
    </row>
    <row r="2782">
      <c r="A2782" s="1" t="n">
        <v>4064941147114</v>
      </c>
      <c r="B2782" t="inlineStr">
        <is>
          <t>KJ MU HYB BLSH PWDBLU2.5G 353WTRKS 25IV</t>
        </is>
      </c>
      <c r="C2782" t="inlineStr">
        <is>
          <t>P_US_ALL_OTHERS</t>
        </is>
      </c>
      <c r="D2782" t="inlineStr">
        <is>
          <t>Stat Fcst Weighted AOA</t>
        </is>
      </c>
    </row>
    <row r="2783">
      <c r="A2783" s="1" t="n">
        <v>4064941147114</v>
      </c>
      <c r="B2783" t="inlineStr">
        <is>
          <t>KJ MU HYB BLSH PWDBLU2.5G 353WTRKS 25IV</t>
        </is>
      </c>
      <c r="C2783" t="inlineStr">
        <is>
          <t>P_US_ALL_OTHERS</t>
        </is>
      </c>
      <c r="D2783" t="inlineStr">
        <is>
          <t>Stat Fcst Growth Snaive</t>
        </is>
      </c>
    </row>
    <row r="2784">
      <c r="A2784" s="1" t="n">
        <v>4064941147114</v>
      </c>
      <c r="B2784" t="inlineStr">
        <is>
          <t>KJ MU HYB BLSH PWDBLU2.5G 353WTRKS 25IV</t>
        </is>
      </c>
      <c r="C2784" t="inlineStr">
        <is>
          <t>P_US_ALL_OTHERS</t>
        </is>
      </c>
      <c r="D2784" t="inlineStr">
        <is>
          <t>Stat Fcst Growth AOA</t>
        </is>
      </c>
    </row>
    <row r="2785">
      <c r="A2785" s="1" t="n">
        <v>4064941147114</v>
      </c>
      <c r="B2785" t="inlineStr">
        <is>
          <t>KJ MU HYB BLSH PWDBLU2.5G 353WTRKS 25IV</t>
        </is>
      </c>
      <c r="C2785" t="inlineStr">
        <is>
          <t>P_US_ALL_OTHERS</t>
        </is>
      </c>
      <c r="D2785" t="inlineStr">
        <is>
          <t>System Stat Fcst Bestfit</t>
        </is>
      </c>
      <c r="H2785" t="n">
        <v>376.109974142611</v>
      </c>
      <c r="I2785" t="n">
        <v>331.149996363744</v>
      </c>
      <c r="J2785" t="n">
        <v>330.529958411158</v>
      </c>
      <c r="K2785" t="n">
        <v>345.929982366264</v>
      </c>
      <c r="L2785" t="n">
        <v>335.869995117187</v>
      </c>
      <c r="M2785" t="n">
        <v>337.43999238491</v>
      </c>
      <c r="N2785" t="n">
        <v>339.750005062669</v>
      </c>
      <c r="O2785" t="n">
        <v>337.689992377459</v>
      </c>
      <c r="P2785" t="n">
        <v>338.290011065378</v>
      </c>
    </row>
    <row r="2786">
      <c r="A2786" s="1" t="n">
        <v>4064941147114</v>
      </c>
      <c r="B2786" t="inlineStr">
        <is>
          <t>KJ MU HYB BLSH PWDBLU2.5G 353WTRKS 25IV</t>
        </is>
      </c>
      <c r="C2786" t="inlineStr">
        <is>
          <t>P_US_ULTA</t>
        </is>
      </c>
      <c r="D2786" t="inlineStr">
        <is>
          <t>Stat Fcst L1</t>
        </is>
      </c>
      <c r="E2786" t="n">
        <v>6407.99980902671</v>
      </c>
      <c r="F2786" t="n">
        <v>10647.0289795688</v>
      </c>
      <c r="G2786" t="n">
        <v>3934</v>
      </c>
      <c r="H2786" t="n">
        <v>5371</v>
      </c>
      <c r="I2786" t="n">
        <v>5532</v>
      </c>
      <c r="J2786" t="n">
        <v>5611</v>
      </c>
      <c r="K2786" t="n">
        <v>5655</v>
      </c>
      <c r="L2786" t="n">
        <v>5672</v>
      </c>
      <c r="M2786" t="n">
        <v>5682</v>
      </c>
      <c r="N2786" t="n">
        <v>5688</v>
      </c>
      <c r="O2786" t="n">
        <v>5691</v>
      </c>
      <c r="P2786" t="n">
        <v>5692</v>
      </c>
    </row>
    <row r="2787">
      <c r="A2787" s="1" t="n">
        <v>4064941147114</v>
      </c>
      <c r="B2787" t="inlineStr">
        <is>
          <t>KJ MU HYB BLSH PWDBLU2.5G 353WTRKS 25IV</t>
        </is>
      </c>
      <c r="C2787" t="inlineStr">
        <is>
          <t>P_US_ULTA</t>
        </is>
      </c>
      <c r="D2787" t="inlineStr">
        <is>
          <t>Stat Fcst AR-NNET</t>
        </is>
      </c>
    </row>
    <row r="2788">
      <c r="A2788" s="1" t="n">
        <v>4064941147114</v>
      </c>
      <c r="B2788" t="inlineStr">
        <is>
          <t>KJ MU HYB BLSH PWDBLU2.5G 353WTRKS 25IV</t>
        </is>
      </c>
      <c r="C2788" t="inlineStr">
        <is>
          <t>P_US_ULTA</t>
        </is>
      </c>
      <c r="D2788" t="inlineStr">
        <is>
          <t>Stat Fcst Auto ARIMA</t>
        </is>
      </c>
    </row>
    <row r="2789">
      <c r="A2789" s="1" t="n">
        <v>4064941147114</v>
      </c>
      <c r="B2789" t="inlineStr">
        <is>
          <t>KJ MU HYB BLSH PWDBLU2.5G 353WTRKS 25IV</t>
        </is>
      </c>
      <c r="C2789" t="inlineStr">
        <is>
          <t>P_US_ULTA</t>
        </is>
      </c>
      <c r="D2789" t="inlineStr">
        <is>
          <t>Stat Fcst Croston</t>
        </is>
      </c>
    </row>
    <row r="2790">
      <c r="A2790" s="1" t="n">
        <v>4064941147114</v>
      </c>
      <c r="B2790" t="inlineStr">
        <is>
          <t>KJ MU HYB BLSH PWDBLU2.5G 353WTRKS 25IV</t>
        </is>
      </c>
      <c r="C2790" t="inlineStr">
        <is>
          <t>P_US_ULTA</t>
        </is>
      </c>
      <c r="D2790" t="inlineStr">
        <is>
          <t>Stat Fcst DES</t>
        </is>
      </c>
      <c r="E2790" t="n">
        <v>4216.77759789686</v>
      </c>
      <c r="F2790" t="n">
        <v>4279.96878845909</v>
      </c>
      <c r="G2790" t="n">
        <v>5046.2456738651</v>
      </c>
      <c r="H2790" t="n">
        <v>5370.21472818831</v>
      </c>
      <c r="I2790" t="n">
        <v>5532.19955543406</v>
      </c>
      <c r="J2790" t="n">
        <v>5613.1916599212</v>
      </c>
      <c r="K2790" t="n">
        <v>5653.68781521001</v>
      </c>
      <c r="L2790" t="n">
        <v>5673.93606195089</v>
      </c>
      <c r="M2790" t="n">
        <v>5684.05993167662</v>
      </c>
      <c r="N2790" t="n">
        <v>5689.1222054113</v>
      </c>
      <c r="O2790" t="n">
        <v>5691.65296079327</v>
      </c>
      <c r="P2790" t="n">
        <v>5692.91867772379</v>
      </c>
    </row>
    <row r="2791">
      <c r="A2791" s="1" t="n">
        <v>4064941147114</v>
      </c>
      <c r="B2791" t="inlineStr">
        <is>
          <t>KJ MU HYB BLSH PWDBLU2.5G 353WTRKS 25IV</t>
        </is>
      </c>
      <c r="C2791" t="inlineStr">
        <is>
          <t>P_US_ULTA</t>
        </is>
      </c>
      <c r="D2791" t="inlineStr">
        <is>
          <t>Stat Fcst ETS</t>
        </is>
      </c>
    </row>
    <row r="2792">
      <c r="A2792" s="1" t="n">
        <v>4064941147114</v>
      </c>
      <c r="B2792" t="inlineStr">
        <is>
          <t>KJ MU HYB BLSH PWDBLU2.5G 353WTRKS 25IV</t>
        </is>
      </c>
      <c r="C2792" t="inlineStr">
        <is>
          <t>P_US_ULTA</t>
        </is>
      </c>
      <c r="D2792" t="inlineStr">
        <is>
          <t>Stat Fcst Moving Average</t>
        </is>
      </c>
      <c r="E2792" t="n">
        <v>1926.99994257092</v>
      </c>
      <c r="F2792" t="n">
        <v>3726.99972616633</v>
      </c>
      <c r="G2792" t="n">
        <v>5913.34004405781</v>
      </c>
      <c r="H2792" t="n">
        <v>7656.11977182984</v>
      </c>
      <c r="I2792" t="n">
        <v>8072.16006014227</v>
      </c>
      <c r="J2792" t="n">
        <v>7213.86978500992</v>
      </c>
      <c r="K2792" t="n">
        <v>7647.37977209031</v>
      </c>
      <c r="L2792" t="n">
        <v>7644.47</v>
      </c>
      <c r="M2792" t="n">
        <v>7501.90977642565</v>
      </c>
      <c r="N2792" t="n">
        <v>7597.92011321783</v>
      </c>
      <c r="O2792" t="n">
        <v>7581.42977405577</v>
      </c>
      <c r="P2792" t="n">
        <v>7560.42005632951</v>
      </c>
    </row>
    <row r="2793">
      <c r="A2793" s="1" t="n">
        <v>4064941147114</v>
      </c>
      <c r="B2793" t="inlineStr">
        <is>
          <t>KJ MU HYB BLSH PWDBLU2.5G 353WTRKS 25IV</t>
        </is>
      </c>
      <c r="C2793" t="inlineStr">
        <is>
          <t>P_US_ULTA</t>
        </is>
      </c>
      <c r="D2793" t="inlineStr">
        <is>
          <t>Stat Fcst Naive Random Walk</t>
        </is>
      </c>
    </row>
    <row r="2794">
      <c r="A2794" s="1" t="n">
        <v>4064941147114</v>
      </c>
      <c r="B2794" t="inlineStr">
        <is>
          <t>KJ MU HYB BLSH PWDBLU2.5G 353WTRKS 25IV</t>
        </is>
      </c>
      <c r="C2794" t="inlineStr">
        <is>
          <t>P_US_ULTA</t>
        </is>
      </c>
      <c r="D2794" t="inlineStr">
        <is>
          <t>Stat Fcst Prophet</t>
        </is>
      </c>
    </row>
    <row r="2795">
      <c r="A2795" s="1" t="n">
        <v>4064941147114</v>
      </c>
      <c r="B2795" t="inlineStr">
        <is>
          <t>KJ MU HYB BLSH PWDBLU2.5G 353WTRKS 25IV</t>
        </is>
      </c>
      <c r="C2795" t="inlineStr">
        <is>
          <t>P_US_ULTA</t>
        </is>
      </c>
      <c r="D2795" t="inlineStr">
        <is>
          <t>Stat Fcst sARIMA</t>
        </is>
      </c>
    </row>
    <row r="2796">
      <c r="A2796" s="1" t="n">
        <v>4064941147114</v>
      </c>
      <c r="B2796" t="inlineStr">
        <is>
          <t>KJ MU HYB BLSH PWDBLU2.5G 353WTRKS 25IV</t>
        </is>
      </c>
      <c r="C2796" t="inlineStr">
        <is>
          <t>P_US_ULTA</t>
        </is>
      </c>
      <c r="D2796" t="inlineStr">
        <is>
          <t>Stat Fcst Seasonal Naive YoY</t>
        </is>
      </c>
    </row>
    <row r="2797">
      <c r="A2797" s="1" t="n">
        <v>4064941147114</v>
      </c>
      <c r="B2797" t="inlineStr">
        <is>
          <t>KJ MU HYB BLSH PWDBLU2.5G 353WTRKS 25IV</t>
        </is>
      </c>
      <c r="C2797" t="inlineStr">
        <is>
          <t>P_US_ULTA</t>
        </is>
      </c>
      <c r="D2797" t="inlineStr">
        <is>
          <t>Stat Fcst SES</t>
        </is>
      </c>
      <c r="E2797" t="n">
        <v>3527.77749678183</v>
      </c>
      <c r="F2797" t="n">
        <v>4169.43997777872</v>
      </c>
      <c r="G2797" t="n">
        <v>5612.53223225971</v>
      </c>
      <c r="H2797" t="n">
        <v>5612.5320231766</v>
      </c>
      <c r="I2797" t="n">
        <v>5612.53223225971</v>
      </c>
      <c r="J2797" t="n">
        <v>5612.5320231766</v>
      </c>
      <c r="K2797" t="n">
        <v>5612.5320231766</v>
      </c>
      <c r="L2797" t="n">
        <v>5612.53219044309</v>
      </c>
      <c r="M2797" t="n">
        <v>5612.5320231766</v>
      </c>
      <c r="N2797" t="n">
        <v>5612.53227407634</v>
      </c>
      <c r="O2797" t="n">
        <v>5612.5320231766</v>
      </c>
      <c r="P2797" t="n">
        <v>5612.53223225971</v>
      </c>
    </row>
    <row r="2798">
      <c r="A2798" s="1" t="n">
        <v>4064941147114</v>
      </c>
      <c r="B2798" t="inlineStr">
        <is>
          <t>KJ MU HYB BLSH PWDBLU2.5G 353WTRKS 25IV</t>
        </is>
      </c>
      <c r="C2798" t="inlineStr">
        <is>
          <t>P_US_ULTA</t>
        </is>
      </c>
      <c r="D2798" t="inlineStr">
        <is>
          <t>Stat Fcst STLF</t>
        </is>
      </c>
    </row>
    <row r="2799">
      <c r="A2799" s="1" t="n">
        <v>4064941147114</v>
      </c>
      <c r="B2799" t="inlineStr">
        <is>
          <t>KJ MU HYB BLSH PWDBLU2.5G 353WTRKS 25IV</t>
        </is>
      </c>
      <c r="C2799" t="inlineStr">
        <is>
          <t>P_US_ULTA</t>
        </is>
      </c>
      <c r="D2799" t="inlineStr">
        <is>
          <t>Stat Fcst TBATS</t>
        </is>
      </c>
    </row>
    <row r="2800">
      <c r="A2800" s="1" t="n">
        <v>4064941147114</v>
      </c>
      <c r="B2800" t="inlineStr">
        <is>
          <t>KJ MU HYB BLSH PWDBLU2.5G 353WTRKS 25IV</t>
        </is>
      </c>
      <c r="C2800" t="inlineStr">
        <is>
          <t>P_US_ULTA</t>
        </is>
      </c>
      <c r="D2800" t="inlineStr">
        <is>
          <t>Stat Fcst TES</t>
        </is>
      </c>
    </row>
    <row r="2801">
      <c r="A2801" s="1" t="n">
        <v>4064941147114</v>
      </c>
      <c r="B2801" t="inlineStr">
        <is>
          <t>KJ MU HYB BLSH PWDBLU2.5G 353WTRKS 25IV</t>
        </is>
      </c>
      <c r="C2801" t="inlineStr">
        <is>
          <t>P_US_ULTA</t>
        </is>
      </c>
      <c r="D2801" t="inlineStr">
        <is>
          <t>Stat Fcst Theta</t>
        </is>
      </c>
    </row>
    <row r="2802">
      <c r="A2802" s="1" t="n">
        <v>4064941147114</v>
      </c>
      <c r="B2802" t="inlineStr">
        <is>
          <t>KJ MU HYB BLSH PWDBLU2.5G 353WTRKS 25IV</t>
        </is>
      </c>
      <c r="C2802" t="inlineStr">
        <is>
          <t>P_US_ULTA</t>
        </is>
      </c>
      <c r="D2802" t="inlineStr">
        <is>
          <t>System ML Fcst L1</t>
        </is>
      </c>
    </row>
    <row r="2803">
      <c r="A2803" s="1" t="n">
        <v>4064941147114</v>
      </c>
      <c r="B2803" t="inlineStr">
        <is>
          <t>KJ MU HYB BLSH PWDBLU2.5G 353WTRKS 25IV</t>
        </is>
      </c>
      <c r="C2803" t="inlineStr">
        <is>
          <t>P_US_ULTA</t>
        </is>
      </c>
      <c r="D2803" t="inlineStr">
        <is>
          <t>Stat Fcst Simple Snaive</t>
        </is>
      </c>
    </row>
    <row r="2804">
      <c r="A2804" s="1" t="n">
        <v>4064941147114</v>
      </c>
      <c r="B2804" t="inlineStr">
        <is>
          <t>KJ MU HYB BLSH PWDBLU2.5G 353WTRKS 25IV</t>
        </is>
      </c>
      <c r="C2804" t="inlineStr">
        <is>
          <t>P_US_ULTA</t>
        </is>
      </c>
      <c r="D2804" t="inlineStr">
        <is>
          <t>Stat Fcst Simple AOA</t>
        </is>
      </c>
    </row>
    <row r="2805">
      <c r="A2805" s="1" t="n">
        <v>4064941147114</v>
      </c>
      <c r="B2805" t="inlineStr">
        <is>
          <t>KJ MU HYB BLSH PWDBLU2.5G 353WTRKS 25IV</t>
        </is>
      </c>
      <c r="C2805" t="inlineStr">
        <is>
          <t>P_US_ULTA</t>
        </is>
      </c>
      <c r="D2805" t="inlineStr">
        <is>
          <t>Stat Fcst Weighted Snaive</t>
        </is>
      </c>
    </row>
    <row r="2806">
      <c r="A2806" s="1" t="n">
        <v>4064941147114</v>
      </c>
      <c r="B2806" t="inlineStr">
        <is>
          <t>KJ MU HYB BLSH PWDBLU2.5G 353WTRKS 25IV</t>
        </is>
      </c>
      <c r="C2806" t="inlineStr">
        <is>
          <t>P_US_ULTA</t>
        </is>
      </c>
      <c r="D2806" t="inlineStr">
        <is>
          <t>Stat Fcst Weighted AOA</t>
        </is>
      </c>
    </row>
    <row r="2807">
      <c r="A2807" s="1" t="n">
        <v>4064941147114</v>
      </c>
      <c r="B2807" t="inlineStr">
        <is>
          <t>KJ MU HYB BLSH PWDBLU2.5G 353WTRKS 25IV</t>
        </is>
      </c>
      <c r="C2807" t="inlineStr">
        <is>
          <t>P_US_ULTA</t>
        </is>
      </c>
      <c r="D2807" t="inlineStr">
        <is>
          <t>Stat Fcst Growth Snaive</t>
        </is>
      </c>
    </row>
    <row r="2808">
      <c r="A2808" s="1" t="n">
        <v>4064941147114</v>
      </c>
      <c r="B2808" t="inlineStr">
        <is>
          <t>KJ MU HYB BLSH PWDBLU2.5G 353WTRKS 25IV</t>
        </is>
      </c>
      <c r="C2808" t="inlineStr">
        <is>
          <t>P_US_ULTA</t>
        </is>
      </c>
      <c r="D2808" t="inlineStr">
        <is>
          <t>Stat Fcst Growth AOA</t>
        </is>
      </c>
    </row>
    <row r="2809">
      <c r="A2809" s="1" t="n">
        <v>4064941147114</v>
      </c>
      <c r="B2809" t="inlineStr">
        <is>
          <t>KJ MU HYB BLSH PWDBLU2.5G 353WTRKS 25IV</t>
        </is>
      </c>
      <c r="C2809" t="inlineStr">
        <is>
          <t>P_US_ULTA</t>
        </is>
      </c>
      <c r="D2809" t="inlineStr">
        <is>
          <t>System Stat Fcst Bestfit</t>
        </is>
      </c>
      <c r="H2809" t="n">
        <v>5370.21468370512</v>
      </c>
      <c r="I2809" t="n">
        <v>5532.19974824935</v>
      </c>
      <c r="J2809" t="n">
        <v>5613.19123896386</v>
      </c>
      <c r="K2809" t="n">
        <v>5653.68733150698</v>
      </c>
      <c r="L2809" t="n">
        <v>5673.93603515625</v>
      </c>
      <c r="M2809" t="n">
        <v>5684.05988919556</v>
      </c>
      <c r="N2809" t="n">
        <v>5689.12215508702</v>
      </c>
      <c r="O2809" t="n">
        <v>5691.65266240677</v>
      </c>
      <c r="P2809" t="n">
        <v>5692.91849944679</v>
      </c>
    </row>
    <row r="2810">
      <c r="A2810" s="1" t="n">
        <v>4064941147121</v>
      </c>
      <c r="B2810" t="inlineStr">
        <is>
          <t>KJ MU HYB BLSH PWDBLU2.5G 116SLWJM 25IV</t>
        </is>
      </c>
      <c r="C2810" t="inlineStr">
        <is>
          <t>P_US_ALL_OTHERS</t>
        </is>
      </c>
      <c r="D2810" t="inlineStr">
        <is>
          <t>Stat Fcst L1</t>
        </is>
      </c>
      <c r="E2810" t="n">
        <v>9.999999701976771</v>
      </c>
      <c r="F2810" t="n">
        <v>28.9999991357326</v>
      </c>
      <c r="G2810" t="n">
        <v>9</v>
      </c>
      <c r="H2810" t="n">
        <v>18</v>
      </c>
      <c r="I2810" t="n">
        <v>22</v>
      </c>
      <c r="J2810" t="n">
        <v>18</v>
      </c>
      <c r="K2810" t="n">
        <v>18</v>
      </c>
      <c r="L2810" t="n">
        <v>20</v>
      </c>
      <c r="M2810" t="n">
        <v>18</v>
      </c>
      <c r="N2810" t="n">
        <v>21</v>
      </c>
      <c r="O2810" t="n">
        <v>18</v>
      </c>
      <c r="P2810" t="n">
        <v>21</v>
      </c>
    </row>
    <row r="2811">
      <c r="A2811" s="1" t="n">
        <v>4064941147121</v>
      </c>
      <c r="B2811" t="inlineStr">
        <is>
          <t>KJ MU HYB BLSH PWDBLU2.5G 116SLWJM 25IV</t>
        </is>
      </c>
      <c r="C2811" t="inlineStr">
        <is>
          <t>P_US_ALL_OTHERS</t>
        </is>
      </c>
      <c r="D2811" t="inlineStr">
        <is>
          <t>Stat Fcst AR-NNET</t>
        </is>
      </c>
    </row>
    <row r="2812">
      <c r="A2812" s="1" t="n">
        <v>4064941147121</v>
      </c>
      <c r="B2812" t="inlineStr">
        <is>
          <t>KJ MU HYB BLSH PWDBLU2.5G 116SLWJM 25IV</t>
        </is>
      </c>
      <c r="C2812" t="inlineStr">
        <is>
          <t>P_US_ALL_OTHERS</t>
        </is>
      </c>
      <c r="D2812" t="inlineStr">
        <is>
          <t>Stat Fcst Auto ARIMA</t>
        </is>
      </c>
    </row>
    <row r="2813">
      <c r="A2813" s="1" t="n">
        <v>4064941147121</v>
      </c>
      <c r="B2813" t="inlineStr">
        <is>
          <t>KJ MU HYB BLSH PWDBLU2.5G 116SLWJM 25IV</t>
        </is>
      </c>
      <c r="C2813" t="inlineStr">
        <is>
          <t>P_US_ALL_OTHERS</t>
        </is>
      </c>
      <c r="D2813" t="inlineStr">
        <is>
          <t>Stat Fcst Croston</t>
        </is>
      </c>
    </row>
    <row r="2814">
      <c r="A2814" s="1" t="n">
        <v>4064941147121</v>
      </c>
      <c r="B2814" t="inlineStr">
        <is>
          <t>KJ MU HYB BLSH PWDBLU2.5G 116SLWJM 25IV</t>
        </is>
      </c>
      <c r="C2814" t="inlineStr">
        <is>
          <t>P_US_ALL_OTHERS</t>
        </is>
      </c>
      <c r="D2814" t="inlineStr">
        <is>
          <t>Stat Fcst DES</t>
        </is>
      </c>
      <c r="E2814" t="n">
        <v>29.169724552465</v>
      </c>
      <c r="F2814" t="n">
        <v>29.1696890103744</v>
      </c>
      <c r="G2814" t="n">
        <v>29.1696856676343</v>
      </c>
      <c r="H2814" t="n">
        <v>29.1696834840721</v>
      </c>
      <c r="I2814" t="n">
        <v>29.1696842882657</v>
      </c>
      <c r="J2814" t="n">
        <v>29.1696831288742</v>
      </c>
      <c r="K2814" t="n">
        <v>29.1696831101441</v>
      </c>
      <c r="L2814" t="n">
        <v>29.1696839746452</v>
      </c>
      <c r="M2814" t="n">
        <v>29.1696831040789</v>
      </c>
      <c r="N2814" t="n">
        <v>29.1696844077456</v>
      </c>
      <c r="O2814" t="n">
        <v>29.1696831036767</v>
      </c>
      <c r="P2814" t="n">
        <v>29.1696841903109</v>
      </c>
    </row>
    <row r="2815">
      <c r="A2815" s="1" t="n">
        <v>4064941147121</v>
      </c>
      <c r="B2815" t="inlineStr">
        <is>
          <t>KJ MU HYB BLSH PWDBLU2.5G 116SLWJM 25IV</t>
        </is>
      </c>
      <c r="C2815" t="inlineStr">
        <is>
          <t>P_US_ALL_OTHERS</t>
        </is>
      </c>
      <c r="D2815" t="inlineStr">
        <is>
          <t>Stat Fcst ETS</t>
        </is>
      </c>
    </row>
    <row r="2816">
      <c r="A2816" s="1" t="n">
        <v>4064941147121</v>
      </c>
      <c r="B2816" t="inlineStr">
        <is>
          <t>KJ MU HYB BLSH PWDBLU2.5G 116SLWJM 25IV</t>
        </is>
      </c>
      <c r="C2816" t="inlineStr">
        <is>
          <t>P_US_ALL_OTHERS</t>
        </is>
      </c>
      <c r="D2816" t="inlineStr">
        <is>
          <t>Stat Fcst Moving Average</t>
        </is>
      </c>
      <c r="E2816" t="n">
        <v>13.6666659414768</v>
      </c>
      <c r="F2816" t="n">
        <v>10.6666660308838</v>
      </c>
      <c r="G2816" t="n">
        <v>16.0000001192092</v>
      </c>
      <c r="H2816" t="n">
        <v>18.3299994537234</v>
      </c>
      <c r="I2816" t="n">
        <v>21.1100001572817</v>
      </c>
      <c r="J2816" t="n">
        <v>18.479999449253</v>
      </c>
      <c r="K2816" t="n">
        <v>19.3099994245171</v>
      </c>
      <c r="L2816" t="n">
        <v>19.63</v>
      </c>
      <c r="M2816" t="n">
        <v>19.1399994295835</v>
      </c>
      <c r="N2816" t="n">
        <v>19.3600002884864</v>
      </c>
      <c r="O2816" t="n">
        <v>19.3799994224309</v>
      </c>
      <c r="P2816" t="n">
        <v>19.2900001437217</v>
      </c>
    </row>
    <row r="2817">
      <c r="A2817" s="1" t="n">
        <v>4064941147121</v>
      </c>
      <c r="B2817" t="inlineStr">
        <is>
          <t>KJ MU HYB BLSH PWDBLU2.5G 116SLWJM 25IV</t>
        </is>
      </c>
      <c r="C2817" t="inlineStr">
        <is>
          <t>P_US_ALL_OTHERS</t>
        </is>
      </c>
      <c r="D2817" t="inlineStr">
        <is>
          <t>Stat Fcst Naive Random Walk</t>
        </is>
      </c>
    </row>
    <row r="2818">
      <c r="A2818" s="1" t="n">
        <v>4064941147121</v>
      </c>
      <c r="B2818" t="inlineStr">
        <is>
          <t>KJ MU HYB BLSH PWDBLU2.5G 116SLWJM 25IV</t>
        </is>
      </c>
      <c r="C2818" t="inlineStr">
        <is>
          <t>P_US_ALL_OTHERS</t>
        </is>
      </c>
      <c r="D2818" t="inlineStr">
        <is>
          <t>Stat Fcst Prophet</t>
        </is>
      </c>
    </row>
    <row r="2819">
      <c r="A2819" s="1" t="n">
        <v>4064941147121</v>
      </c>
      <c r="B2819" t="inlineStr">
        <is>
          <t>KJ MU HYB BLSH PWDBLU2.5G 116SLWJM 25IV</t>
        </is>
      </c>
      <c r="C2819" t="inlineStr">
        <is>
          <t>P_US_ALL_OTHERS</t>
        </is>
      </c>
      <c r="D2819" t="inlineStr">
        <is>
          <t>Stat Fcst sARIMA</t>
        </is>
      </c>
    </row>
    <row r="2820">
      <c r="A2820" s="1" t="n">
        <v>4064941147121</v>
      </c>
      <c r="B2820" t="inlineStr">
        <is>
          <t>KJ MU HYB BLSH PWDBLU2.5G 116SLWJM 25IV</t>
        </is>
      </c>
      <c r="C2820" t="inlineStr">
        <is>
          <t>P_US_ALL_OTHERS</t>
        </is>
      </c>
      <c r="D2820" t="inlineStr">
        <is>
          <t>Stat Fcst Seasonal Naive YoY</t>
        </is>
      </c>
    </row>
    <row r="2821">
      <c r="A2821" s="1" t="n">
        <v>4064941147121</v>
      </c>
      <c r="B2821" t="inlineStr">
        <is>
          <t>KJ MU HYB BLSH PWDBLU2.5G 116SLWJM 25IV</t>
        </is>
      </c>
      <c r="C2821" t="inlineStr">
        <is>
          <t>P_US_ALL_OTHERS</t>
        </is>
      </c>
      <c r="D2821" t="inlineStr">
        <is>
          <t>Stat Fcst SES</t>
        </is>
      </c>
      <c r="E2821" t="n">
        <v>20.1496838453775</v>
      </c>
      <c r="F2821" t="n">
        <v>17.1047786023573</v>
      </c>
      <c r="G2821" t="n">
        <v>20.673345532512</v>
      </c>
      <c r="H2821" t="n">
        <v>20.6733447623699</v>
      </c>
      <c r="I2821" t="n">
        <v>20.673345532512</v>
      </c>
      <c r="J2821" t="n">
        <v>20.6733447623699</v>
      </c>
      <c r="K2821" t="n">
        <v>20.6733447623699</v>
      </c>
      <c r="L2821" t="n">
        <v>20.6733453784836</v>
      </c>
      <c r="M2821" t="n">
        <v>20.6733447623699</v>
      </c>
      <c r="N2821" t="n">
        <v>20.6733456865404</v>
      </c>
      <c r="O2821" t="n">
        <v>20.6733447623699</v>
      </c>
      <c r="P2821" t="n">
        <v>20.673345532512</v>
      </c>
    </row>
    <row r="2822">
      <c r="A2822" s="1" t="n">
        <v>4064941147121</v>
      </c>
      <c r="B2822" t="inlineStr">
        <is>
          <t>KJ MU HYB BLSH PWDBLU2.5G 116SLWJM 25IV</t>
        </is>
      </c>
      <c r="C2822" t="inlineStr">
        <is>
          <t>P_US_ALL_OTHERS</t>
        </is>
      </c>
      <c r="D2822" t="inlineStr">
        <is>
          <t>Stat Fcst STLF</t>
        </is>
      </c>
    </row>
    <row r="2823">
      <c r="A2823" s="1" t="n">
        <v>4064941147121</v>
      </c>
      <c r="B2823" t="inlineStr">
        <is>
          <t>KJ MU HYB BLSH PWDBLU2.5G 116SLWJM 25IV</t>
        </is>
      </c>
      <c r="C2823" t="inlineStr">
        <is>
          <t>P_US_ALL_OTHERS</t>
        </is>
      </c>
      <c r="D2823" t="inlineStr">
        <is>
          <t>Stat Fcst TBATS</t>
        </is>
      </c>
    </row>
    <row r="2824">
      <c r="A2824" s="1" t="n">
        <v>4064941147121</v>
      </c>
      <c r="B2824" t="inlineStr">
        <is>
          <t>KJ MU HYB BLSH PWDBLU2.5G 116SLWJM 25IV</t>
        </is>
      </c>
      <c r="C2824" t="inlineStr">
        <is>
          <t>P_US_ALL_OTHERS</t>
        </is>
      </c>
      <c r="D2824" t="inlineStr">
        <is>
          <t>Stat Fcst TES</t>
        </is>
      </c>
    </row>
    <row r="2825">
      <c r="A2825" s="1" t="n">
        <v>4064941147121</v>
      </c>
      <c r="B2825" t="inlineStr">
        <is>
          <t>KJ MU HYB BLSH PWDBLU2.5G 116SLWJM 25IV</t>
        </is>
      </c>
      <c r="C2825" t="inlineStr">
        <is>
          <t>P_US_ALL_OTHERS</t>
        </is>
      </c>
      <c r="D2825" t="inlineStr">
        <is>
          <t>Stat Fcst Theta</t>
        </is>
      </c>
    </row>
    <row r="2826">
      <c r="A2826" s="1" t="n">
        <v>4064941147121</v>
      </c>
      <c r="B2826" t="inlineStr">
        <is>
          <t>KJ MU HYB BLSH PWDBLU2.5G 116SLWJM 25IV</t>
        </is>
      </c>
      <c r="C2826" t="inlineStr">
        <is>
          <t>P_US_ALL_OTHERS</t>
        </is>
      </c>
      <c r="D2826" t="inlineStr">
        <is>
          <t>System ML Fcst L1</t>
        </is>
      </c>
    </row>
    <row r="2827">
      <c r="A2827" s="1" t="n">
        <v>4064941147121</v>
      </c>
      <c r="B2827" t="inlineStr">
        <is>
          <t>KJ MU HYB BLSH PWDBLU2.5G 116SLWJM 25IV</t>
        </is>
      </c>
      <c r="C2827" t="inlineStr">
        <is>
          <t>P_US_ALL_OTHERS</t>
        </is>
      </c>
      <c r="D2827" t="inlineStr">
        <is>
          <t>Stat Fcst Simple Snaive</t>
        </is>
      </c>
    </row>
    <row r="2828">
      <c r="A2828" s="1" t="n">
        <v>4064941147121</v>
      </c>
      <c r="B2828" t="inlineStr">
        <is>
          <t>KJ MU HYB BLSH PWDBLU2.5G 116SLWJM 25IV</t>
        </is>
      </c>
      <c r="C2828" t="inlineStr">
        <is>
          <t>P_US_ALL_OTHERS</t>
        </is>
      </c>
      <c r="D2828" t="inlineStr">
        <is>
          <t>Stat Fcst Simple AOA</t>
        </is>
      </c>
    </row>
    <row r="2829">
      <c r="A2829" s="1" t="n">
        <v>4064941147121</v>
      </c>
      <c r="B2829" t="inlineStr">
        <is>
          <t>KJ MU HYB BLSH PWDBLU2.5G 116SLWJM 25IV</t>
        </is>
      </c>
      <c r="C2829" t="inlineStr">
        <is>
          <t>P_US_ALL_OTHERS</t>
        </is>
      </c>
      <c r="D2829" t="inlineStr">
        <is>
          <t>Stat Fcst Weighted Snaive</t>
        </is>
      </c>
    </row>
    <row r="2830">
      <c r="A2830" s="1" t="n">
        <v>4064941147121</v>
      </c>
      <c r="B2830" t="inlineStr">
        <is>
          <t>KJ MU HYB BLSH PWDBLU2.5G 116SLWJM 25IV</t>
        </is>
      </c>
      <c r="C2830" t="inlineStr">
        <is>
          <t>P_US_ALL_OTHERS</t>
        </is>
      </c>
      <c r="D2830" t="inlineStr">
        <is>
          <t>Stat Fcst Weighted AOA</t>
        </is>
      </c>
    </row>
    <row r="2831">
      <c r="A2831" s="1" t="n">
        <v>4064941147121</v>
      </c>
      <c r="B2831" t="inlineStr">
        <is>
          <t>KJ MU HYB BLSH PWDBLU2.5G 116SLWJM 25IV</t>
        </is>
      </c>
      <c r="C2831" t="inlineStr">
        <is>
          <t>P_US_ALL_OTHERS</t>
        </is>
      </c>
      <c r="D2831" t="inlineStr">
        <is>
          <t>Stat Fcst Growth Snaive</t>
        </is>
      </c>
    </row>
    <row r="2832">
      <c r="A2832" s="1" t="n">
        <v>4064941147121</v>
      </c>
      <c r="B2832" t="inlineStr">
        <is>
          <t>KJ MU HYB BLSH PWDBLU2.5G 116SLWJM 25IV</t>
        </is>
      </c>
      <c r="C2832" t="inlineStr">
        <is>
          <t>P_US_ALL_OTHERS</t>
        </is>
      </c>
      <c r="D2832" t="inlineStr">
        <is>
          <t>Stat Fcst Growth AOA</t>
        </is>
      </c>
    </row>
    <row r="2833">
      <c r="A2833" s="1" t="n">
        <v>4064941147121</v>
      </c>
      <c r="B2833" t="inlineStr">
        <is>
          <t>KJ MU HYB BLSH PWDBLU2.5G 116SLWJM 25IV</t>
        </is>
      </c>
      <c r="C2833" t="inlineStr">
        <is>
          <t>P_US_ALL_OTHERS</t>
        </is>
      </c>
      <c r="D2833" t="inlineStr">
        <is>
          <t>System Stat Fcst Bestfit</t>
        </is>
      </c>
      <c r="H2833" t="n">
        <v>18.3299993774294</v>
      </c>
      <c r="I2833" t="n">
        <v>21.1100007676333</v>
      </c>
      <c r="J2833" t="n">
        <v>18.4799989914894</v>
      </c>
      <c r="K2833" t="n">
        <v>19.3099988904595</v>
      </c>
      <c r="L2833" t="n">
        <v>19.6299991607666</v>
      </c>
      <c r="M2833" t="n">
        <v>19.139998819232</v>
      </c>
      <c r="N2833" t="n">
        <v>19.360000898838</v>
      </c>
      <c r="O2833" t="n">
        <v>19.3799985831976</v>
      </c>
      <c r="P2833" t="n">
        <v>19.2899991519004</v>
      </c>
    </row>
    <row r="2834">
      <c r="A2834" s="1" t="n">
        <v>4064941147121</v>
      </c>
      <c r="B2834" t="inlineStr">
        <is>
          <t>KJ MU HYB BLSH PWDBLU2.5G 116SLWJM 25IV</t>
        </is>
      </c>
      <c r="C2834" t="inlineStr">
        <is>
          <t>P_US_ULTA</t>
        </is>
      </c>
      <c r="D2834" t="inlineStr">
        <is>
          <t>Stat Fcst L1</t>
        </is>
      </c>
      <c r="E2834" t="n">
        <v>287.999991416931</v>
      </c>
      <c r="F2834" t="n">
        <v>1536.90318012237</v>
      </c>
      <c r="G2834" t="n">
        <v>150</v>
      </c>
      <c r="H2834" t="n">
        <v>832</v>
      </c>
      <c r="I2834" t="n">
        <v>1012</v>
      </c>
      <c r="J2834" t="n">
        <v>823</v>
      </c>
      <c r="K2834" t="n">
        <v>890</v>
      </c>
      <c r="L2834" t="n">
        <v>908</v>
      </c>
      <c r="M2834" t="n">
        <v>873</v>
      </c>
      <c r="N2834" t="n">
        <v>891</v>
      </c>
      <c r="O2834" t="n">
        <v>890</v>
      </c>
      <c r="P2834" t="n">
        <v>887</v>
      </c>
    </row>
    <row r="2835">
      <c r="A2835" s="1" t="n">
        <v>4064941147121</v>
      </c>
      <c r="B2835" t="inlineStr">
        <is>
          <t>KJ MU HYB BLSH PWDBLU2.5G 116SLWJM 25IV</t>
        </is>
      </c>
      <c r="C2835" t="inlineStr">
        <is>
          <t>P_US_ULTA</t>
        </is>
      </c>
      <c r="D2835" t="inlineStr">
        <is>
          <t>Stat Fcst AR-NNET</t>
        </is>
      </c>
    </row>
    <row r="2836">
      <c r="A2836" s="1" t="n">
        <v>4064941147121</v>
      </c>
      <c r="B2836" t="inlineStr">
        <is>
          <t>KJ MU HYB BLSH PWDBLU2.5G 116SLWJM 25IV</t>
        </is>
      </c>
      <c r="C2836" t="inlineStr">
        <is>
          <t>P_US_ULTA</t>
        </is>
      </c>
      <c r="D2836" t="inlineStr">
        <is>
          <t>Stat Fcst Auto ARIMA</t>
        </is>
      </c>
    </row>
    <row r="2837">
      <c r="A2837" s="1" t="n">
        <v>4064941147121</v>
      </c>
      <c r="B2837" t="inlineStr">
        <is>
          <t>KJ MU HYB BLSH PWDBLU2.5G 116SLWJM 25IV</t>
        </is>
      </c>
      <c r="C2837" t="inlineStr">
        <is>
          <t>P_US_ULTA</t>
        </is>
      </c>
      <c r="D2837" t="inlineStr">
        <is>
          <t>Stat Fcst Croston</t>
        </is>
      </c>
    </row>
    <row r="2838">
      <c r="A2838" s="1" t="n">
        <v>4064941147121</v>
      </c>
      <c r="B2838" t="inlineStr">
        <is>
          <t>KJ MU HYB BLSH PWDBLU2.5G 116SLWJM 25IV</t>
        </is>
      </c>
      <c r="C2838" t="inlineStr">
        <is>
          <t>P_US_ULTA</t>
        </is>
      </c>
      <c r="D2838" t="inlineStr">
        <is>
          <t>Stat Fcst DES</t>
        </is>
      </c>
    </row>
    <row r="2839">
      <c r="A2839" s="1" t="n">
        <v>4064941147121</v>
      </c>
      <c r="B2839" t="inlineStr">
        <is>
          <t>KJ MU HYB BLSH PWDBLU2.5G 116SLWJM 25IV</t>
        </is>
      </c>
      <c r="C2839" t="inlineStr">
        <is>
          <t>P_US_ULTA</t>
        </is>
      </c>
      <c r="D2839" t="inlineStr">
        <is>
          <t>Stat Fcst ETS</t>
        </is>
      </c>
    </row>
    <row r="2840">
      <c r="A2840" s="1" t="n">
        <v>4064941147121</v>
      </c>
      <c r="B2840" t="inlineStr">
        <is>
          <t>KJ MU HYB BLSH PWDBLU2.5G 116SLWJM 25IV</t>
        </is>
      </c>
      <c r="C2840" t="inlineStr">
        <is>
          <t>P_US_ULTA</t>
        </is>
      </c>
      <c r="D2840" t="inlineStr">
        <is>
          <t>Stat Fcst Moving Average</t>
        </is>
      </c>
      <c r="E2840" t="n">
        <v>71.9999978542327</v>
      </c>
      <c r="F2840" t="n">
        <v>167.999994993209</v>
      </c>
      <c r="G2840" t="n">
        <v>624.000004649162</v>
      </c>
      <c r="H2840" t="n">
        <v>831.999975204467</v>
      </c>
      <c r="I2840" t="n">
        <v>1013.33000754989</v>
      </c>
      <c r="J2840" t="n">
        <v>823.10997546941</v>
      </c>
      <c r="K2840" t="n">
        <v>889.47997349143</v>
      </c>
      <c r="L2840" t="n">
        <v>908.64</v>
      </c>
      <c r="M2840" t="n">
        <v>873.739973960518</v>
      </c>
      <c r="N2840" t="n">
        <v>890.620013271272</v>
      </c>
      <c r="O2840" t="n">
        <v>890.99997344613</v>
      </c>
      <c r="P2840" t="n">
        <v>885.120006594657</v>
      </c>
    </row>
    <row r="2841">
      <c r="A2841" s="1" t="n">
        <v>4064941147121</v>
      </c>
      <c r="B2841" t="inlineStr">
        <is>
          <t>KJ MU HYB BLSH PWDBLU2.5G 116SLWJM 25IV</t>
        </is>
      </c>
      <c r="C2841" t="inlineStr">
        <is>
          <t>P_US_ULTA</t>
        </is>
      </c>
      <c r="D2841" t="inlineStr">
        <is>
          <t>Stat Fcst Naive Random Walk</t>
        </is>
      </c>
    </row>
    <row r="2842">
      <c r="A2842" s="1" t="n">
        <v>4064941147121</v>
      </c>
      <c r="B2842" t="inlineStr">
        <is>
          <t>KJ MU HYB BLSH PWDBLU2.5G 116SLWJM 25IV</t>
        </is>
      </c>
      <c r="C2842" t="inlineStr">
        <is>
          <t>P_US_ULTA</t>
        </is>
      </c>
      <c r="D2842" t="inlineStr">
        <is>
          <t>Stat Fcst Prophet</t>
        </is>
      </c>
    </row>
    <row r="2843">
      <c r="A2843" s="1" t="n">
        <v>4064941147121</v>
      </c>
      <c r="B2843" t="inlineStr">
        <is>
          <t>KJ MU HYB BLSH PWDBLU2.5G 116SLWJM 25IV</t>
        </is>
      </c>
      <c r="C2843" t="inlineStr">
        <is>
          <t>P_US_ULTA</t>
        </is>
      </c>
      <c r="D2843" t="inlineStr">
        <is>
          <t>Stat Fcst sARIMA</t>
        </is>
      </c>
    </row>
    <row r="2844">
      <c r="A2844" s="1" t="n">
        <v>4064941147121</v>
      </c>
      <c r="B2844" t="inlineStr">
        <is>
          <t>KJ MU HYB BLSH PWDBLU2.5G 116SLWJM 25IV</t>
        </is>
      </c>
      <c r="C2844" t="inlineStr">
        <is>
          <t>P_US_ULTA</t>
        </is>
      </c>
      <c r="D2844" t="inlineStr">
        <is>
          <t>Stat Fcst Seasonal Naive YoY</t>
        </is>
      </c>
    </row>
    <row r="2845">
      <c r="A2845" s="1" t="n">
        <v>4064941147121</v>
      </c>
      <c r="B2845" t="inlineStr">
        <is>
          <t>KJ MU HYB BLSH PWDBLU2.5G 116SLWJM 25IV</t>
        </is>
      </c>
      <c r="C2845" t="inlineStr">
        <is>
          <t>P_US_ULTA</t>
        </is>
      </c>
      <c r="D2845" t="inlineStr">
        <is>
          <t>Stat Fcst SES</t>
        </is>
      </c>
      <c r="E2845" t="n">
        <v>347.30233782392</v>
      </c>
      <c r="F2845" t="n">
        <v>347.302278521574</v>
      </c>
      <c r="G2845" t="n">
        <v>347.303528157191</v>
      </c>
      <c r="H2845" t="n">
        <v>347.303515219126</v>
      </c>
      <c r="I2845" t="n">
        <v>347.303528157191</v>
      </c>
      <c r="J2845" t="n">
        <v>347.303515219126</v>
      </c>
      <c r="K2845" t="n">
        <v>347.303515219126</v>
      </c>
      <c r="L2845" t="n">
        <v>347.303525569578</v>
      </c>
      <c r="M2845" t="n">
        <v>347.303515219126</v>
      </c>
      <c r="N2845" t="n">
        <v>347.303530744803</v>
      </c>
      <c r="O2845" t="n">
        <v>347.303515219126</v>
      </c>
      <c r="P2845" t="n">
        <v>347.303528157191</v>
      </c>
    </row>
    <row r="2846">
      <c r="A2846" s="1" t="n">
        <v>4064941147121</v>
      </c>
      <c r="B2846" t="inlineStr">
        <is>
          <t>KJ MU HYB BLSH PWDBLU2.5G 116SLWJM 25IV</t>
        </is>
      </c>
      <c r="C2846" t="inlineStr">
        <is>
          <t>P_US_ULTA</t>
        </is>
      </c>
      <c r="D2846" t="inlineStr">
        <is>
          <t>Stat Fcst STLF</t>
        </is>
      </c>
    </row>
    <row r="2847">
      <c r="A2847" s="1" t="n">
        <v>4064941147121</v>
      </c>
      <c r="B2847" t="inlineStr">
        <is>
          <t>KJ MU HYB BLSH PWDBLU2.5G 116SLWJM 25IV</t>
        </is>
      </c>
      <c r="C2847" t="inlineStr">
        <is>
          <t>P_US_ULTA</t>
        </is>
      </c>
      <c r="D2847" t="inlineStr">
        <is>
          <t>Stat Fcst TBATS</t>
        </is>
      </c>
    </row>
    <row r="2848">
      <c r="A2848" s="1" t="n">
        <v>4064941147121</v>
      </c>
      <c r="B2848" t="inlineStr">
        <is>
          <t>KJ MU HYB BLSH PWDBLU2.5G 116SLWJM 25IV</t>
        </is>
      </c>
      <c r="C2848" t="inlineStr">
        <is>
          <t>P_US_ULTA</t>
        </is>
      </c>
      <c r="D2848" t="inlineStr">
        <is>
          <t>Stat Fcst TES</t>
        </is>
      </c>
    </row>
    <row r="2849">
      <c r="A2849" s="1" t="n">
        <v>4064941147121</v>
      </c>
      <c r="B2849" t="inlineStr">
        <is>
          <t>KJ MU HYB BLSH PWDBLU2.5G 116SLWJM 25IV</t>
        </is>
      </c>
      <c r="C2849" t="inlineStr">
        <is>
          <t>P_US_ULTA</t>
        </is>
      </c>
      <c r="D2849" t="inlineStr">
        <is>
          <t>Stat Fcst Theta</t>
        </is>
      </c>
    </row>
    <row r="2850">
      <c r="A2850" s="1" t="n">
        <v>4064941147121</v>
      </c>
      <c r="B2850" t="inlineStr">
        <is>
          <t>KJ MU HYB BLSH PWDBLU2.5G 116SLWJM 25IV</t>
        </is>
      </c>
      <c r="C2850" t="inlineStr">
        <is>
          <t>P_US_ULTA</t>
        </is>
      </c>
      <c r="D2850" t="inlineStr">
        <is>
          <t>System ML Fcst L1</t>
        </is>
      </c>
    </row>
    <row r="2851">
      <c r="A2851" s="1" t="n">
        <v>4064941147121</v>
      </c>
      <c r="B2851" t="inlineStr">
        <is>
          <t>KJ MU HYB BLSH PWDBLU2.5G 116SLWJM 25IV</t>
        </is>
      </c>
      <c r="C2851" t="inlineStr">
        <is>
          <t>P_US_ULTA</t>
        </is>
      </c>
      <c r="D2851" t="inlineStr">
        <is>
          <t>Stat Fcst Simple Snaive</t>
        </is>
      </c>
    </row>
    <row r="2852">
      <c r="A2852" s="1" t="n">
        <v>4064941147121</v>
      </c>
      <c r="B2852" t="inlineStr">
        <is>
          <t>KJ MU HYB BLSH PWDBLU2.5G 116SLWJM 25IV</t>
        </is>
      </c>
      <c r="C2852" t="inlineStr">
        <is>
          <t>P_US_ULTA</t>
        </is>
      </c>
      <c r="D2852" t="inlineStr">
        <is>
          <t>Stat Fcst Simple AOA</t>
        </is>
      </c>
    </row>
    <row r="2853">
      <c r="A2853" s="1" t="n">
        <v>4064941147121</v>
      </c>
      <c r="B2853" t="inlineStr">
        <is>
          <t>KJ MU HYB BLSH PWDBLU2.5G 116SLWJM 25IV</t>
        </is>
      </c>
      <c r="C2853" t="inlineStr">
        <is>
          <t>P_US_ULTA</t>
        </is>
      </c>
      <c r="D2853" t="inlineStr">
        <is>
          <t>Stat Fcst Weighted Snaive</t>
        </is>
      </c>
    </row>
    <row r="2854">
      <c r="A2854" s="1" t="n">
        <v>4064941147121</v>
      </c>
      <c r="B2854" t="inlineStr">
        <is>
          <t>KJ MU HYB BLSH PWDBLU2.5G 116SLWJM 25IV</t>
        </is>
      </c>
      <c r="C2854" t="inlineStr">
        <is>
          <t>P_US_ULTA</t>
        </is>
      </c>
      <c r="D2854" t="inlineStr">
        <is>
          <t>Stat Fcst Weighted AOA</t>
        </is>
      </c>
    </row>
    <row r="2855">
      <c r="A2855" s="1" t="n">
        <v>4064941147121</v>
      </c>
      <c r="B2855" t="inlineStr">
        <is>
          <t>KJ MU HYB BLSH PWDBLU2.5G 116SLWJM 25IV</t>
        </is>
      </c>
      <c r="C2855" t="inlineStr">
        <is>
          <t>P_US_ULTA</t>
        </is>
      </c>
      <c r="D2855" t="inlineStr">
        <is>
          <t>Stat Fcst Growth Snaive</t>
        </is>
      </c>
    </row>
    <row r="2856">
      <c r="A2856" s="1" t="n">
        <v>4064941147121</v>
      </c>
      <c r="B2856" t="inlineStr">
        <is>
          <t>KJ MU HYB BLSH PWDBLU2.5G 116SLWJM 25IV</t>
        </is>
      </c>
      <c r="C2856" t="inlineStr">
        <is>
          <t>P_US_ULTA</t>
        </is>
      </c>
      <c r="D2856" t="inlineStr">
        <is>
          <t>Stat Fcst Growth AOA</t>
        </is>
      </c>
    </row>
    <row r="2857">
      <c r="A2857" s="1" t="n">
        <v>4064941147121</v>
      </c>
      <c r="B2857" t="inlineStr">
        <is>
          <t>KJ MU HYB BLSH PWDBLU2.5G 116SLWJM 25IV</t>
        </is>
      </c>
      <c r="C2857" t="inlineStr">
        <is>
          <t>P_US_ULTA</t>
        </is>
      </c>
      <c r="D2857" t="inlineStr">
        <is>
          <t>System Stat Fcst Bestfit</t>
        </is>
      </c>
      <c r="H2857" t="n">
        <v>831.999914169313</v>
      </c>
      <c r="I2857" t="n">
        <v>1013.33002463974</v>
      </c>
      <c r="J2857" t="n">
        <v>823.109960820973</v>
      </c>
      <c r="K2857" t="n">
        <v>889.47995396018</v>
      </c>
      <c r="L2857" t="n">
        <v>908.640014648437</v>
      </c>
      <c r="M2857" t="n">
        <v>873.739964194894</v>
      </c>
      <c r="N2857" t="n">
        <v>890.620008388459</v>
      </c>
      <c r="O2857" t="n">
        <v>890.99997344613</v>
      </c>
      <c r="P2857" t="n">
        <v>885.120001711845</v>
      </c>
    </row>
    <row r="2858">
      <c r="A2858" s="1" t="n">
        <v>4064941147145</v>
      </c>
      <c r="B2858" t="inlineStr">
        <is>
          <t>KJ MU HYB BLSH PWDBLU2.5G 216SIENA 25IV</t>
        </is>
      </c>
      <c r="C2858" t="inlineStr">
        <is>
          <t>P_US_ALL_OTHERS</t>
        </is>
      </c>
      <c r="D2858" t="inlineStr">
        <is>
          <t>Stat Fcst L1</t>
        </is>
      </c>
      <c r="E2858" t="n">
        <v>80.9999975860118</v>
      </c>
      <c r="F2858" t="n">
        <v>126.999996215105</v>
      </c>
      <c r="G2858" t="n">
        <v>64</v>
      </c>
      <c r="H2858" t="n">
        <v>98</v>
      </c>
      <c r="I2858" t="n">
        <v>102</v>
      </c>
      <c r="J2858" t="n">
        <v>93</v>
      </c>
      <c r="K2858" t="n">
        <v>98</v>
      </c>
      <c r="L2858" t="n">
        <v>100</v>
      </c>
      <c r="M2858" t="n">
        <v>97</v>
      </c>
      <c r="N2858" t="n">
        <v>98</v>
      </c>
      <c r="O2858" t="n">
        <v>97</v>
      </c>
      <c r="P2858" t="n">
        <v>99</v>
      </c>
    </row>
    <row r="2859">
      <c r="A2859" s="1" t="n">
        <v>4064941147145</v>
      </c>
      <c r="B2859" t="inlineStr">
        <is>
          <t>KJ MU HYB BLSH PWDBLU2.5G 216SIENA 25IV</t>
        </is>
      </c>
      <c r="C2859" t="inlineStr">
        <is>
          <t>P_US_ALL_OTHERS</t>
        </is>
      </c>
      <c r="D2859" t="inlineStr">
        <is>
          <t>Stat Fcst AR-NNET</t>
        </is>
      </c>
    </row>
    <row r="2860">
      <c r="A2860" s="1" t="n">
        <v>4064941147145</v>
      </c>
      <c r="B2860" t="inlineStr">
        <is>
          <t>KJ MU HYB BLSH PWDBLU2.5G 216SIENA 25IV</t>
        </is>
      </c>
      <c r="C2860" t="inlineStr">
        <is>
          <t>P_US_ALL_OTHERS</t>
        </is>
      </c>
      <c r="D2860" t="inlineStr">
        <is>
          <t>Stat Fcst Auto ARIMA</t>
        </is>
      </c>
    </row>
    <row r="2861">
      <c r="A2861" s="1" t="n">
        <v>4064941147145</v>
      </c>
      <c r="B2861" t="inlineStr">
        <is>
          <t>KJ MU HYB BLSH PWDBLU2.5G 216SIENA 25IV</t>
        </is>
      </c>
      <c r="C2861" t="inlineStr">
        <is>
          <t>P_US_ALL_OTHERS</t>
        </is>
      </c>
      <c r="D2861" t="inlineStr">
        <is>
          <t>Stat Fcst Croston</t>
        </is>
      </c>
    </row>
    <row r="2862">
      <c r="A2862" s="1" t="n">
        <v>4064941147145</v>
      </c>
      <c r="B2862" t="inlineStr">
        <is>
          <t>KJ MU HYB BLSH PWDBLU2.5G 216SIENA 25IV</t>
        </is>
      </c>
      <c r="C2862" t="inlineStr">
        <is>
          <t>P_US_ALL_OTHERS</t>
        </is>
      </c>
      <c r="D2862" t="inlineStr">
        <is>
          <t>Stat Fcst DES</t>
        </is>
      </c>
      <c r="E2862" t="n">
        <v>116.062161534206</v>
      </c>
      <c r="F2862" t="n">
        <v>116.051733797025</v>
      </c>
      <c r="G2862" t="n">
        <v>116.04655820497</v>
      </c>
      <c r="H2862" t="n">
        <v>116.043958450209</v>
      </c>
      <c r="I2862" t="n">
        <v>116.04266505729</v>
      </c>
      <c r="J2862" t="n">
        <v>116.042011876441</v>
      </c>
      <c r="K2862" t="n">
        <v>116.04168744748</v>
      </c>
      <c r="L2862" t="n">
        <v>116.041528691306</v>
      </c>
      <c r="M2862" t="n">
        <v>116.041444125759</v>
      </c>
      <c r="N2862" t="n">
        <v>116.041408759594</v>
      </c>
      <c r="O2862" t="n">
        <v>116.041383295329</v>
      </c>
      <c r="P2862" t="n">
        <v>116.041377479802</v>
      </c>
    </row>
    <row r="2863">
      <c r="A2863" s="1" t="n">
        <v>4064941147145</v>
      </c>
      <c r="B2863" t="inlineStr">
        <is>
          <t>KJ MU HYB BLSH PWDBLU2.5G 216SIENA 25IV</t>
        </is>
      </c>
      <c r="C2863" t="inlineStr">
        <is>
          <t>P_US_ALL_OTHERS</t>
        </is>
      </c>
      <c r="D2863" t="inlineStr">
        <is>
          <t>Stat Fcst ETS</t>
        </is>
      </c>
    </row>
    <row r="2864">
      <c r="A2864" s="1" t="n">
        <v>4064941147145</v>
      </c>
      <c r="B2864" t="inlineStr">
        <is>
          <t>KJ MU HYB BLSH PWDBLU2.5G 216SIENA 25IV</t>
        </is>
      </c>
      <c r="C2864" t="inlineStr">
        <is>
          <t>P_US_ALL_OTHERS</t>
        </is>
      </c>
      <c r="D2864" t="inlineStr">
        <is>
          <t>Stat Fcst Moving Average</t>
        </is>
      </c>
      <c r="E2864" t="n">
        <v>70.00000045696881</v>
      </c>
      <c r="F2864" t="n">
        <v>65.66666470964751</v>
      </c>
      <c r="G2864" t="n">
        <v>84.0000006258487</v>
      </c>
      <c r="H2864" t="n">
        <v>97.32999709933991</v>
      </c>
      <c r="I2864" t="n">
        <v>102.78000076577</v>
      </c>
      <c r="J2864" t="n">
        <v>94.69999717771999</v>
      </c>
      <c r="K2864" t="n">
        <v>98.2699970713257</v>
      </c>
      <c r="L2864" t="n">
        <v>98.58</v>
      </c>
      <c r="M2864" t="n">
        <v>97.17999710381029</v>
      </c>
      <c r="N2864" t="n">
        <v>98.0100014604628</v>
      </c>
      <c r="O2864" t="n">
        <v>97.91999708175661</v>
      </c>
      <c r="P2864" t="n">
        <v>97.7000007279217</v>
      </c>
    </row>
    <row r="2865">
      <c r="A2865" s="1" t="n">
        <v>4064941147145</v>
      </c>
      <c r="B2865" t="inlineStr">
        <is>
          <t>KJ MU HYB BLSH PWDBLU2.5G 216SIENA 25IV</t>
        </is>
      </c>
      <c r="C2865" t="inlineStr">
        <is>
          <t>P_US_ALL_OTHERS</t>
        </is>
      </c>
      <c r="D2865" t="inlineStr">
        <is>
          <t>Stat Fcst Naive Random Walk</t>
        </is>
      </c>
    </row>
    <row r="2866">
      <c r="A2866" s="1" t="n">
        <v>4064941147145</v>
      </c>
      <c r="B2866" t="inlineStr">
        <is>
          <t>KJ MU HYB BLSH PWDBLU2.5G 216SIENA 25IV</t>
        </is>
      </c>
      <c r="C2866" t="inlineStr">
        <is>
          <t>P_US_ALL_OTHERS</t>
        </is>
      </c>
      <c r="D2866" t="inlineStr">
        <is>
          <t>Stat Fcst Prophet</t>
        </is>
      </c>
    </row>
    <row r="2867">
      <c r="A2867" s="1" t="n">
        <v>4064941147145</v>
      </c>
      <c r="B2867" t="inlineStr">
        <is>
          <t>KJ MU HYB BLSH PWDBLU2.5G 216SIENA 25IV</t>
        </is>
      </c>
      <c r="C2867" t="inlineStr">
        <is>
          <t>P_US_ALL_OTHERS</t>
        </is>
      </c>
      <c r="D2867" t="inlineStr">
        <is>
          <t>Stat Fcst sARIMA</t>
        </is>
      </c>
    </row>
    <row r="2868">
      <c r="A2868" s="1" t="n">
        <v>4064941147145</v>
      </c>
      <c r="B2868" t="inlineStr">
        <is>
          <t>KJ MU HYB BLSH PWDBLU2.5G 216SIENA 25IV</t>
        </is>
      </c>
      <c r="C2868" t="inlineStr">
        <is>
          <t>P_US_ALL_OTHERS</t>
        </is>
      </c>
      <c r="D2868" t="inlineStr">
        <is>
          <t>Stat Fcst Seasonal Naive YoY</t>
        </is>
      </c>
    </row>
    <row r="2869">
      <c r="A2869" s="1" t="n">
        <v>4064941147145</v>
      </c>
      <c r="B2869" t="inlineStr">
        <is>
          <t>KJ MU HYB BLSH PWDBLU2.5G 216SIENA 25IV</t>
        </is>
      </c>
      <c r="C2869" t="inlineStr">
        <is>
          <t>P_US_ALL_OTHERS</t>
        </is>
      </c>
      <c r="D2869" t="inlineStr">
        <is>
          <t>Stat Fcst SES</t>
        </is>
      </c>
      <c r="E2869" t="n">
        <v>138.638058866126</v>
      </c>
      <c r="F2869" t="n">
        <v>138.638001228064</v>
      </c>
      <c r="G2869" t="n">
        <v>138.637994754719</v>
      </c>
      <c r="H2869" t="n">
        <v>138.637989590052</v>
      </c>
      <c r="I2869" t="n">
        <v>138.637994754719</v>
      </c>
      <c r="J2869" t="n">
        <v>138.637989590052</v>
      </c>
      <c r="K2869" t="n">
        <v>138.637989590052</v>
      </c>
      <c r="L2869" t="n">
        <v>138.637993721786</v>
      </c>
      <c r="M2869" t="n">
        <v>138.637989590052</v>
      </c>
      <c r="N2869" t="n">
        <v>138.637995787653</v>
      </c>
      <c r="O2869" t="n">
        <v>138.637989590052</v>
      </c>
      <c r="P2869" t="n">
        <v>138.637994754719</v>
      </c>
    </row>
    <row r="2870">
      <c r="A2870" s="1" t="n">
        <v>4064941147145</v>
      </c>
      <c r="B2870" t="inlineStr">
        <is>
          <t>KJ MU HYB BLSH PWDBLU2.5G 216SIENA 25IV</t>
        </is>
      </c>
      <c r="C2870" t="inlineStr">
        <is>
          <t>P_US_ALL_OTHERS</t>
        </is>
      </c>
      <c r="D2870" t="inlineStr">
        <is>
          <t>Stat Fcst STLF</t>
        </is>
      </c>
    </row>
    <row r="2871">
      <c r="A2871" s="1" t="n">
        <v>4064941147145</v>
      </c>
      <c r="B2871" t="inlineStr">
        <is>
          <t>KJ MU HYB BLSH PWDBLU2.5G 216SIENA 25IV</t>
        </is>
      </c>
      <c r="C2871" t="inlineStr">
        <is>
          <t>P_US_ALL_OTHERS</t>
        </is>
      </c>
      <c r="D2871" t="inlineStr">
        <is>
          <t>Stat Fcst TBATS</t>
        </is>
      </c>
    </row>
    <row r="2872">
      <c r="A2872" s="1" t="n">
        <v>4064941147145</v>
      </c>
      <c r="B2872" t="inlineStr">
        <is>
          <t>KJ MU HYB BLSH PWDBLU2.5G 216SIENA 25IV</t>
        </is>
      </c>
      <c r="C2872" t="inlineStr">
        <is>
          <t>P_US_ALL_OTHERS</t>
        </is>
      </c>
      <c r="D2872" t="inlineStr">
        <is>
          <t>Stat Fcst TES</t>
        </is>
      </c>
    </row>
    <row r="2873">
      <c r="A2873" s="1" t="n">
        <v>4064941147145</v>
      </c>
      <c r="B2873" t="inlineStr">
        <is>
          <t>KJ MU HYB BLSH PWDBLU2.5G 216SIENA 25IV</t>
        </is>
      </c>
      <c r="C2873" t="inlineStr">
        <is>
          <t>P_US_ALL_OTHERS</t>
        </is>
      </c>
      <c r="D2873" t="inlineStr">
        <is>
          <t>Stat Fcst Theta</t>
        </is>
      </c>
    </row>
    <row r="2874">
      <c r="A2874" s="1" t="n">
        <v>4064941147145</v>
      </c>
      <c r="B2874" t="inlineStr">
        <is>
          <t>KJ MU HYB BLSH PWDBLU2.5G 216SIENA 25IV</t>
        </is>
      </c>
      <c r="C2874" t="inlineStr">
        <is>
          <t>P_US_ALL_OTHERS</t>
        </is>
      </c>
      <c r="D2874" t="inlineStr">
        <is>
          <t>System ML Fcst L1</t>
        </is>
      </c>
    </row>
    <row r="2875">
      <c r="A2875" s="1" t="n">
        <v>4064941147145</v>
      </c>
      <c r="B2875" t="inlineStr">
        <is>
          <t>KJ MU HYB BLSH PWDBLU2.5G 216SIENA 25IV</t>
        </is>
      </c>
      <c r="C2875" t="inlineStr">
        <is>
          <t>P_US_ALL_OTHERS</t>
        </is>
      </c>
      <c r="D2875" t="inlineStr">
        <is>
          <t>Stat Fcst Simple Snaive</t>
        </is>
      </c>
    </row>
    <row r="2876">
      <c r="A2876" s="1" t="n">
        <v>4064941147145</v>
      </c>
      <c r="B2876" t="inlineStr">
        <is>
          <t>KJ MU HYB BLSH PWDBLU2.5G 216SIENA 25IV</t>
        </is>
      </c>
      <c r="C2876" t="inlineStr">
        <is>
          <t>P_US_ALL_OTHERS</t>
        </is>
      </c>
      <c r="D2876" t="inlineStr">
        <is>
          <t>Stat Fcst Simple AOA</t>
        </is>
      </c>
    </row>
    <row r="2877">
      <c r="A2877" s="1" t="n">
        <v>4064941147145</v>
      </c>
      <c r="B2877" t="inlineStr">
        <is>
          <t>KJ MU HYB BLSH PWDBLU2.5G 216SIENA 25IV</t>
        </is>
      </c>
      <c r="C2877" t="inlineStr">
        <is>
          <t>P_US_ALL_OTHERS</t>
        </is>
      </c>
      <c r="D2877" t="inlineStr">
        <is>
          <t>Stat Fcst Weighted Snaive</t>
        </is>
      </c>
    </row>
    <row r="2878">
      <c r="A2878" s="1" t="n">
        <v>4064941147145</v>
      </c>
      <c r="B2878" t="inlineStr">
        <is>
          <t>KJ MU HYB BLSH PWDBLU2.5G 216SIENA 25IV</t>
        </is>
      </c>
      <c r="C2878" t="inlineStr">
        <is>
          <t>P_US_ALL_OTHERS</t>
        </is>
      </c>
      <c r="D2878" t="inlineStr">
        <is>
          <t>Stat Fcst Weighted AOA</t>
        </is>
      </c>
    </row>
    <row r="2879">
      <c r="A2879" s="1" t="n">
        <v>4064941147145</v>
      </c>
      <c r="B2879" t="inlineStr">
        <is>
          <t>KJ MU HYB BLSH PWDBLU2.5G 216SIENA 25IV</t>
        </is>
      </c>
      <c r="C2879" t="inlineStr">
        <is>
          <t>P_US_ALL_OTHERS</t>
        </is>
      </c>
      <c r="D2879" t="inlineStr">
        <is>
          <t>Stat Fcst Growth Snaive</t>
        </is>
      </c>
    </row>
    <row r="2880">
      <c r="A2880" s="1" t="n">
        <v>4064941147145</v>
      </c>
      <c r="B2880" t="inlineStr">
        <is>
          <t>KJ MU HYB BLSH PWDBLU2.5G 216SIENA 25IV</t>
        </is>
      </c>
      <c r="C2880" t="inlineStr">
        <is>
          <t>P_US_ALL_OTHERS</t>
        </is>
      </c>
      <c r="D2880" t="inlineStr">
        <is>
          <t>Stat Fcst Growth AOA</t>
        </is>
      </c>
    </row>
    <row r="2881">
      <c r="A2881" s="1" t="n">
        <v>4064941147145</v>
      </c>
      <c r="B2881" t="inlineStr">
        <is>
          <t>KJ MU HYB BLSH PWDBLU2.5G 216SIENA 25IV</t>
        </is>
      </c>
      <c r="C2881" t="inlineStr">
        <is>
          <t>P_US_ALL_OTHERS</t>
        </is>
      </c>
      <c r="D2881" t="inlineStr">
        <is>
          <t>System Stat Fcst Bestfit</t>
        </is>
      </c>
      <c r="H2881" t="n">
        <v>97.32999130100021</v>
      </c>
      <c r="I2881" t="n">
        <v>102.779999545067</v>
      </c>
      <c r="J2881" t="n">
        <v>94.69999412596231</v>
      </c>
      <c r="K2881" t="n">
        <v>98.2699860849979</v>
      </c>
      <c r="L2881" t="n">
        <v>98.5800018310546</v>
      </c>
      <c r="M2881" t="n">
        <v>97.179997408986</v>
      </c>
      <c r="N2881" t="n">
        <v>98.01000359669329</v>
      </c>
      <c r="O2881" t="n">
        <v>97.9199952507019</v>
      </c>
      <c r="P2881" t="n">
        <v>97.70000530555841</v>
      </c>
    </row>
    <row r="2882">
      <c r="A2882" s="1" t="n">
        <v>4064941147145</v>
      </c>
      <c r="B2882" t="inlineStr">
        <is>
          <t>KJ MU HYB BLSH PWDBLU2.5G 216SIENA 25IV</t>
        </is>
      </c>
      <c r="C2882" t="inlineStr">
        <is>
          <t>P_US_ULTA</t>
        </is>
      </c>
      <c r="D2882" t="inlineStr">
        <is>
          <t>Stat Fcst L1</t>
        </is>
      </c>
      <c r="E2882" t="n">
        <v>863.999974250793</v>
      </c>
      <c r="F2882" t="n">
        <v>2906.58963144663</v>
      </c>
      <c r="G2882" t="n">
        <v>545</v>
      </c>
      <c r="H2882" t="n">
        <v>1417</v>
      </c>
      <c r="I2882" t="n">
        <v>1482</v>
      </c>
      <c r="J2882" t="n">
        <v>1519</v>
      </c>
      <c r="K2882" t="n">
        <v>1532</v>
      </c>
      <c r="L2882" t="n">
        <v>1544</v>
      </c>
      <c r="M2882" t="n">
        <v>1546</v>
      </c>
      <c r="N2882" t="n">
        <v>1548</v>
      </c>
      <c r="O2882" t="n">
        <v>1550</v>
      </c>
      <c r="P2882" t="n">
        <v>1551</v>
      </c>
    </row>
    <row r="2883">
      <c r="A2883" s="1" t="n">
        <v>4064941147145</v>
      </c>
      <c r="B2883" t="inlineStr">
        <is>
          <t>KJ MU HYB BLSH PWDBLU2.5G 216SIENA 25IV</t>
        </is>
      </c>
      <c r="C2883" t="inlineStr">
        <is>
          <t>P_US_ULTA</t>
        </is>
      </c>
      <c r="D2883" t="inlineStr">
        <is>
          <t>Stat Fcst AR-NNET</t>
        </is>
      </c>
    </row>
    <row r="2884">
      <c r="A2884" s="1" t="n">
        <v>4064941147145</v>
      </c>
      <c r="B2884" t="inlineStr">
        <is>
          <t>KJ MU HYB BLSH PWDBLU2.5G 216SIENA 25IV</t>
        </is>
      </c>
      <c r="C2884" t="inlineStr">
        <is>
          <t>P_US_ULTA</t>
        </is>
      </c>
      <c r="D2884" t="inlineStr">
        <is>
          <t>Stat Fcst Auto ARIMA</t>
        </is>
      </c>
    </row>
    <row r="2885">
      <c r="A2885" s="1" t="n">
        <v>4064941147145</v>
      </c>
      <c r="B2885" t="inlineStr">
        <is>
          <t>KJ MU HYB BLSH PWDBLU2.5G 216SIENA 25IV</t>
        </is>
      </c>
      <c r="C2885" t="inlineStr">
        <is>
          <t>P_US_ULTA</t>
        </is>
      </c>
      <c r="D2885" t="inlineStr">
        <is>
          <t>Stat Fcst Croston</t>
        </is>
      </c>
    </row>
    <row r="2886">
      <c r="A2886" s="1" t="n">
        <v>4064941147145</v>
      </c>
      <c r="B2886" t="inlineStr">
        <is>
          <t>KJ MU HYB BLSH PWDBLU2.5G 216SIENA 25IV</t>
        </is>
      </c>
      <c r="C2886" t="inlineStr">
        <is>
          <t>P_US_ULTA</t>
        </is>
      </c>
      <c r="D2886" t="inlineStr">
        <is>
          <t>Stat Fcst DES</t>
        </is>
      </c>
      <c r="E2886" t="n">
        <v>476.590181905705</v>
      </c>
      <c r="F2886" t="n">
        <v>605.189985015019</v>
      </c>
      <c r="G2886" t="n">
        <v>1280.99378908569</v>
      </c>
      <c r="H2886" t="n">
        <v>1416.02626559299</v>
      </c>
      <c r="I2886" t="n">
        <v>1483.54258297328</v>
      </c>
      <c r="J2886" t="n">
        <v>1517.30065876403</v>
      </c>
      <c r="K2886" t="n">
        <v>1534.17972429253</v>
      </c>
      <c r="L2886" t="n">
        <v>1542.61930303042</v>
      </c>
      <c r="M2886" t="n">
        <v>1546.83902343891</v>
      </c>
      <c r="N2886" t="n">
        <v>1548.94897587339</v>
      </c>
      <c r="O2886" t="n">
        <v>1550.00384822551</v>
      </c>
      <c r="P2886" t="n">
        <v>1550.53137678507</v>
      </c>
    </row>
    <row r="2887">
      <c r="A2887" s="1" t="n">
        <v>4064941147145</v>
      </c>
      <c r="B2887" t="inlineStr">
        <is>
          <t>KJ MU HYB BLSH PWDBLU2.5G 216SIENA 25IV</t>
        </is>
      </c>
      <c r="C2887" t="inlineStr">
        <is>
          <t>P_US_ULTA</t>
        </is>
      </c>
      <c r="D2887" t="inlineStr">
        <is>
          <t>Stat Fcst ETS</t>
        </is>
      </c>
    </row>
    <row r="2888">
      <c r="A2888" s="1" t="n">
        <v>4064941147145</v>
      </c>
      <c r="B2888" t="inlineStr">
        <is>
          <t>KJ MU HYB BLSH PWDBLU2.5G 216SIENA 25IV</t>
        </is>
      </c>
      <c r="C2888" t="inlineStr">
        <is>
          <t>P_US_ULTA</t>
        </is>
      </c>
      <c r="D2888" t="inlineStr">
        <is>
          <t>Stat Fcst Moving Average</t>
        </is>
      </c>
      <c r="E2888" t="n">
        <v>527.999984264373</v>
      </c>
      <c r="F2888" t="n">
        <v>719.999978542327</v>
      </c>
      <c r="G2888" t="n">
        <v>1525.37001136489</v>
      </c>
      <c r="H2888" t="n">
        <v>1793.8299465397</v>
      </c>
      <c r="I2888" t="n">
        <v>2103.7700156743</v>
      </c>
      <c r="J2888" t="n">
        <v>1807.65994612753</v>
      </c>
      <c r="K2888" t="n">
        <v>1901.74994332343</v>
      </c>
      <c r="L2888" t="n">
        <v>1937.73</v>
      </c>
      <c r="M2888" t="n">
        <v>1882.3799439007</v>
      </c>
      <c r="N2888" t="n">
        <v>1907.29002842083</v>
      </c>
      <c r="O2888" t="n">
        <v>1909.12994310349</v>
      </c>
      <c r="P2888" t="n">
        <v>1899.60001415312</v>
      </c>
    </row>
    <row r="2889">
      <c r="A2889" s="1" t="n">
        <v>4064941147145</v>
      </c>
      <c r="B2889" t="inlineStr">
        <is>
          <t>KJ MU HYB BLSH PWDBLU2.5G 216SIENA 25IV</t>
        </is>
      </c>
      <c r="C2889" t="inlineStr">
        <is>
          <t>P_US_ULTA</t>
        </is>
      </c>
      <c r="D2889" t="inlineStr">
        <is>
          <t>Stat Fcst Naive Random Walk</t>
        </is>
      </c>
    </row>
    <row r="2890">
      <c r="A2890" s="1" t="n">
        <v>4064941147145</v>
      </c>
      <c r="B2890" t="inlineStr">
        <is>
          <t>KJ MU HYB BLSH PWDBLU2.5G 216SIENA 25IV</t>
        </is>
      </c>
      <c r="C2890" t="inlineStr">
        <is>
          <t>P_US_ULTA</t>
        </is>
      </c>
      <c r="D2890" t="inlineStr">
        <is>
          <t>Stat Fcst Prophet</t>
        </is>
      </c>
    </row>
    <row r="2891">
      <c r="A2891" s="1" t="n">
        <v>4064941147145</v>
      </c>
      <c r="B2891" t="inlineStr">
        <is>
          <t>KJ MU HYB BLSH PWDBLU2.5G 216SIENA 25IV</t>
        </is>
      </c>
      <c r="C2891" t="inlineStr">
        <is>
          <t>P_US_ULTA</t>
        </is>
      </c>
      <c r="D2891" t="inlineStr">
        <is>
          <t>Stat Fcst sARIMA</t>
        </is>
      </c>
    </row>
    <row r="2892">
      <c r="A2892" s="1" t="n">
        <v>4064941147145</v>
      </c>
      <c r="B2892" t="inlineStr">
        <is>
          <t>KJ MU HYB BLSH PWDBLU2.5G 216SIENA 25IV</t>
        </is>
      </c>
      <c r="C2892" t="inlineStr">
        <is>
          <t>P_US_ULTA</t>
        </is>
      </c>
      <c r="D2892" t="inlineStr">
        <is>
          <t>Stat Fcst Seasonal Naive YoY</t>
        </is>
      </c>
    </row>
    <row r="2893">
      <c r="A2893" s="1" t="n">
        <v>4064941147145</v>
      </c>
      <c r="B2893" t="inlineStr">
        <is>
          <t>KJ MU HYB BLSH PWDBLU2.5G 216SIENA 25IV</t>
        </is>
      </c>
      <c r="C2893" t="inlineStr">
        <is>
          <t>P_US_ULTA</t>
        </is>
      </c>
      <c r="D2893" t="inlineStr">
        <is>
          <t>Stat Fcst SES</t>
        </is>
      </c>
      <c r="E2893" t="n">
        <v>513.409174908639</v>
      </c>
      <c r="F2893" t="n">
        <v>610.946890202728</v>
      </c>
      <c r="G2893" t="n">
        <v>1273.4091022194</v>
      </c>
      <c r="H2893" t="n">
        <v>1273.40905478122</v>
      </c>
      <c r="I2893" t="n">
        <v>1273.4091022194</v>
      </c>
      <c r="J2893" t="n">
        <v>1273.40905478122</v>
      </c>
      <c r="K2893" t="n">
        <v>1273.40905478122</v>
      </c>
      <c r="L2893" t="n">
        <v>1273.40909273177</v>
      </c>
      <c r="M2893" t="n">
        <v>1273.40905478122</v>
      </c>
      <c r="N2893" t="n">
        <v>1273.40911170704</v>
      </c>
      <c r="O2893" t="n">
        <v>1273.40905478122</v>
      </c>
      <c r="P2893" t="n">
        <v>1273.4091022194</v>
      </c>
    </row>
    <row r="2894">
      <c r="A2894" s="1" t="n">
        <v>4064941147145</v>
      </c>
      <c r="B2894" t="inlineStr">
        <is>
          <t>KJ MU HYB BLSH PWDBLU2.5G 216SIENA 25IV</t>
        </is>
      </c>
      <c r="C2894" t="inlineStr">
        <is>
          <t>P_US_ULTA</t>
        </is>
      </c>
      <c r="D2894" t="inlineStr">
        <is>
          <t>Stat Fcst STLF</t>
        </is>
      </c>
    </row>
    <row r="2895">
      <c r="A2895" s="1" t="n">
        <v>4064941147145</v>
      </c>
      <c r="B2895" t="inlineStr">
        <is>
          <t>KJ MU HYB BLSH PWDBLU2.5G 216SIENA 25IV</t>
        </is>
      </c>
      <c r="C2895" t="inlineStr">
        <is>
          <t>P_US_ULTA</t>
        </is>
      </c>
      <c r="D2895" t="inlineStr">
        <is>
          <t>Stat Fcst TBATS</t>
        </is>
      </c>
    </row>
    <row r="2896">
      <c r="A2896" s="1" t="n">
        <v>4064941147145</v>
      </c>
      <c r="B2896" t="inlineStr">
        <is>
          <t>KJ MU HYB BLSH PWDBLU2.5G 216SIENA 25IV</t>
        </is>
      </c>
      <c r="C2896" t="inlineStr">
        <is>
          <t>P_US_ULTA</t>
        </is>
      </c>
      <c r="D2896" t="inlineStr">
        <is>
          <t>Stat Fcst TES</t>
        </is>
      </c>
    </row>
    <row r="2897">
      <c r="A2897" s="1" t="n">
        <v>4064941147145</v>
      </c>
      <c r="B2897" t="inlineStr">
        <is>
          <t>KJ MU HYB BLSH PWDBLU2.5G 216SIENA 25IV</t>
        </is>
      </c>
      <c r="C2897" t="inlineStr">
        <is>
          <t>P_US_ULTA</t>
        </is>
      </c>
      <c r="D2897" t="inlineStr">
        <is>
          <t>Stat Fcst Theta</t>
        </is>
      </c>
    </row>
    <row r="2898">
      <c r="A2898" s="1" t="n">
        <v>4064941147145</v>
      </c>
      <c r="B2898" t="inlineStr">
        <is>
          <t>KJ MU HYB BLSH PWDBLU2.5G 216SIENA 25IV</t>
        </is>
      </c>
      <c r="C2898" t="inlineStr">
        <is>
          <t>P_US_ULTA</t>
        </is>
      </c>
      <c r="D2898" t="inlineStr">
        <is>
          <t>System ML Fcst L1</t>
        </is>
      </c>
    </row>
    <row r="2899">
      <c r="A2899" s="1" t="n">
        <v>4064941147145</v>
      </c>
      <c r="B2899" t="inlineStr">
        <is>
          <t>KJ MU HYB BLSH PWDBLU2.5G 216SIENA 25IV</t>
        </is>
      </c>
      <c r="C2899" t="inlineStr">
        <is>
          <t>P_US_ULTA</t>
        </is>
      </c>
      <c r="D2899" t="inlineStr">
        <is>
          <t>Stat Fcst Simple Snaive</t>
        </is>
      </c>
    </row>
    <row r="2900">
      <c r="A2900" s="1" t="n">
        <v>4064941147145</v>
      </c>
      <c r="B2900" t="inlineStr">
        <is>
          <t>KJ MU HYB BLSH PWDBLU2.5G 216SIENA 25IV</t>
        </is>
      </c>
      <c r="C2900" t="inlineStr">
        <is>
          <t>P_US_ULTA</t>
        </is>
      </c>
      <c r="D2900" t="inlineStr">
        <is>
          <t>Stat Fcst Simple AOA</t>
        </is>
      </c>
    </row>
    <row r="2901">
      <c r="A2901" s="1" t="n">
        <v>4064941147145</v>
      </c>
      <c r="B2901" t="inlineStr">
        <is>
          <t>KJ MU HYB BLSH PWDBLU2.5G 216SIENA 25IV</t>
        </is>
      </c>
      <c r="C2901" t="inlineStr">
        <is>
          <t>P_US_ULTA</t>
        </is>
      </c>
      <c r="D2901" t="inlineStr">
        <is>
          <t>Stat Fcst Weighted Snaive</t>
        </is>
      </c>
    </row>
    <row r="2902">
      <c r="A2902" s="1" t="n">
        <v>4064941147145</v>
      </c>
      <c r="B2902" t="inlineStr">
        <is>
          <t>KJ MU HYB BLSH PWDBLU2.5G 216SIENA 25IV</t>
        </is>
      </c>
      <c r="C2902" t="inlineStr">
        <is>
          <t>P_US_ULTA</t>
        </is>
      </c>
      <c r="D2902" t="inlineStr">
        <is>
          <t>Stat Fcst Weighted AOA</t>
        </is>
      </c>
    </row>
    <row r="2903">
      <c r="A2903" s="1" t="n">
        <v>4064941147145</v>
      </c>
      <c r="B2903" t="inlineStr">
        <is>
          <t>KJ MU HYB BLSH PWDBLU2.5G 216SIENA 25IV</t>
        </is>
      </c>
      <c r="C2903" t="inlineStr">
        <is>
          <t>P_US_ULTA</t>
        </is>
      </c>
      <c r="D2903" t="inlineStr">
        <is>
          <t>Stat Fcst Growth Snaive</t>
        </is>
      </c>
    </row>
    <row r="2904">
      <c r="A2904" s="1" t="n">
        <v>4064941147145</v>
      </c>
      <c r="B2904" t="inlineStr">
        <is>
          <t>KJ MU HYB BLSH PWDBLU2.5G 216SIENA 25IV</t>
        </is>
      </c>
      <c r="C2904" t="inlineStr">
        <is>
          <t>P_US_ULTA</t>
        </is>
      </c>
      <c r="D2904" t="inlineStr">
        <is>
          <t>Stat Fcst Growth AOA</t>
        </is>
      </c>
    </row>
    <row r="2905">
      <c r="A2905" s="1" t="n">
        <v>4064941147145</v>
      </c>
      <c r="B2905" t="inlineStr">
        <is>
          <t>KJ MU HYB BLSH PWDBLU2.5G 216SIENA 25IV</t>
        </is>
      </c>
      <c r="C2905" t="inlineStr">
        <is>
          <t>P_US_ULTA</t>
        </is>
      </c>
      <c r="D2905" t="inlineStr">
        <is>
          <t>System Stat Fcst Bestfit</t>
        </is>
      </c>
      <c r="H2905" t="n">
        <v>1416.02620291631</v>
      </c>
      <c r="I2905" t="n">
        <v>1483.54261359231</v>
      </c>
      <c r="J2905" t="n">
        <v>1517.3006139606</v>
      </c>
      <c r="K2905" t="n">
        <v>1534.17964177788</v>
      </c>
      <c r="L2905" t="n">
        <v>1542.61926269531</v>
      </c>
      <c r="M2905" t="n">
        <v>1546.83894315841</v>
      </c>
      <c r="N2905" t="n">
        <v>1548.94899769051</v>
      </c>
      <c r="O2905" t="n">
        <v>1550.00373798597</v>
      </c>
      <c r="P2905" t="n">
        <v>1550.53138362267</v>
      </c>
    </row>
    <row r="2906">
      <c r="A2906" s="1" t="n">
        <v>4064941156826</v>
      </c>
      <c r="B2906" t="inlineStr">
        <is>
          <t>KJ COSMIC FLNK EDP 30ML IV</t>
        </is>
      </c>
      <c r="C2906" t="inlineStr">
        <is>
          <t>P_US_ALL_OTHERS</t>
        </is>
      </c>
      <c r="D2906" t="inlineStr">
        <is>
          <t>Stat Fcst L1</t>
        </is>
      </c>
      <c r="E2906" t="n">
        <v>0</v>
      </c>
      <c r="F2906" t="n">
        <v>0</v>
      </c>
      <c r="G2906" t="n">
        <v>9</v>
      </c>
      <c r="H2906" t="n">
        <v>5</v>
      </c>
      <c r="I2906" t="n">
        <v>4</v>
      </c>
      <c r="J2906" t="n">
        <v>5</v>
      </c>
      <c r="K2906" t="n">
        <v>5</v>
      </c>
      <c r="L2906" t="n">
        <v>4</v>
      </c>
      <c r="M2906" t="n">
        <v>5</v>
      </c>
      <c r="N2906" t="n">
        <v>5</v>
      </c>
      <c r="O2906" t="n">
        <v>4</v>
      </c>
      <c r="P2906" t="n">
        <v>5</v>
      </c>
    </row>
    <row r="2907">
      <c r="A2907" s="1" t="n">
        <v>4064941156826</v>
      </c>
      <c r="B2907" t="inlineStr">
        <is>
          <t>KJ COSMIC FLNK EDP 30ML IV</t>
        </is>
      </c>
      <c r="C2907" t="inlineStr">
        <is>
          <t>P_US_ALL_OTHERS</t>
        </is>
      </c>
      <c r="D2907" t="inlineStr">
        <is>
          <t>Stat Fcst AR-NNET</t>
        </is>
      </c>
    </row>
    <row r="2908">
      <c r="A2908" s="1" t="n">
        <v>4064941156826</v>
      </c>
      <c r="B2908" t="inlineStr">
        <is>
          <t>KJ COSMIC FLNK EDP 30ML IV</t>
        </is>
      </c>
      <c r="C2908" t="inlineStr">
        <is>
          <t>P_US_ALL_OTHERS</t>
        </is>
      </c>
      <c r="D2908" t="inlineStr">
        <is>
          <t>Stat Fcst Auto ARIMA</t>
        </is>
      </c>
    </row>
    <row r="2909">
      <c r="A2909" s="1" t="n">
        <v>4064941156826</v>
      </c>
      <c r="B2909" t="inlineStr">
        <is>
          <t>KJ COSMIC FLNK EDP 30ML IV</t>
        </is>
      </c>
      <c r="C2909" t="inlineStr">
        <is>
          <t>P_US_ALL_OTHERS</t>
        </is>
      </c>
      <c r="D2909" t="inlineStr">
        <is>
          <t>Stat Fcst Croston</t>
        </is>
      </c>
    </row>
    <row r="2910">
      <c r="A2910" s="1" t="n">
        <v>4064941156826</v>
      </c>
      <c r="B2910" t="inlineStr">
        <is>
          <t>KJ COSMIC FLNK EDP 30ML IV</t>
        </is>
      </c>
      <c r="C2910" t="inlineStr">
        <is>
          <t>P_US_ALL_OTHERS</t>
        </is>
      </c>
      <c r="D2910" t="inlineStr">
        <is>
          <t>Stat Fcst DES</t>
        </is>
      </c>
    </row>
    <row r="2911">
      <c r="A2911" s="1" t="n">
        <v>4064941156826</v>
      </c>
      <c r="B2911" t="inlineStr">
        <is>
          <t>KJ COSMIC FLNK EDP 30ML IV</t>
        </is>
      </c>
      <c r="C2911" t="inlineStr">
        <is>
          <t>P_US_ALL_OTHERS</t>
        </is>
      </c>
      <c r="D2911" t="inlineStr">
        <is>
          <t>Stat Fcst ETS</t>
        </is>
      </c>
    </row>
    <row r="2912">
      <c r="A2912" s="1" t="n">
        <v>4064941156826</v>
      </c>
      <c r="B2912" t="inlineStr">
        <is>
          <t>KJ COSMIC FLNK EDP 30ML IV</t>
        </is>
      </c>
      <c r="C2912" t="inlineStr">
        <is>
          <t>P_US_ALL_OTHERS</t>
        </is>
      </c>
      <c r="D2912" t="inlineStr">
        <is>
          <t>Stat Fcst Moving Average</t>
        </is>
      </c>
      <c r="E2912" t="n">
        <v>19.9999994039535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4064941156826</v>
      </c>
      <c r="B2913" t="inlineStr">
        <is>
          <t>KJ COSMIC FLNK EDP 30ML IV</t>
        </is>
      </c>
      <c r="C2913" t="inlineStr">
        <is>
          <t>P_US_ALL_OTHERS</t>
        </is>
      </c>
      <c r="D2913" t="inlineStr">
        <is>
          <t>Stat Fcst Naive Random Walk</t>
        </is>
      </c>
    </row>
    <row r="2914">
      <c r="A2914" s="1" t="n">
        <v>4064941156826</v>
      </c>
      <c r="B2914" t="inlineStr">
        <is>
          <t>KJ COSMIC FLNK EDP 30ML IV</t>
        </is>
      </c>
      <c r="C2914" t="inlineStr">
        <is>
          <t>P_US_ALL_OTHERS</t>
        </is>
      </c>
      <c r="D2914" t="inlineStr">
        <is>
          <t>Stat Fcst Prophet</t>
        </is>
      </c>
    </row>
    <row r="2915">
      <c r="A2915" s="1" t="n">
        <v>4064941156826</v>
      </c>
      <c r="B2915" t="inlineStr">
        <is>
          <t>KJ COSMIC FLNK EDP 30ML IV</t>
        </is>
      </c>
      <c r="C2915" t="inlineStr">
        <is>
          <t>P_US_ALL_OTHERS</t>
        </is>
      </c>
      <c r="D2915" t="inlineStr">
        <is>
          <t>Stat Fcst sARIMA</t>
        </is>
      </c>
    </row>
    <row r="2916">
      <c r="A2916" s="1" t="n">
        <v>4064941156826</v>
      </c>
      <c r="B2916" t="inlineStr">
        <is>
          <t>KJ COSMIC FLNK EDP 30ML IV</t>
        </is>
      </c>
      <c r="C2916" t="inlineStr">
        <is>
          <t>P_US_ALL_OTHERS</t>
        </is>
      </c>
      <c r="D2916" t="inlineStr">
        <is>
          <t>Stat Fcst Seasonal Naive YoY</t>
        </is>
      </c>
    </row>
    <row r="2917">
      <c r="A2917" s="1" t="n">
        <v>4064941156826</v>
      </c>
      <c r="B2917" t="inlineStr">
        <is>
          <t>KJ COSMIC FLNK EDP 30ML IV</t>
        </is>
      </c>
      <c r="C2917" t="inlineStr">
        <is>
          <t>P_US_ALL_OTHERS</t>
        </is>
      </c>
      <c r="D2917" t="inlineStr">
        <is>
          <t>Stat Fcst SES</t>
        </is>
      </c>
      <c r="E2917" t="n">
        <v>10.8252842834045</v>
      </c>
      <c r="F2917" t="n">
        <v>7.57769899838318</v>
      </c>
      <c r="G2917" t="n">
        <v>5.30438949647213</v>
      </c>
      <c r="H2917" t="n">
        <v>5.30438929886823</v>
      </c>
      <c r="I2917" t="n">
        <v>5.30438949647213</v>
      </c>
      <c r="J2917" t="n">
        <v>5.30438929886823</v>
      </c>
      <c r="K2917" t="n">
        <v>5.30438929886823</v>
      </c>
      <c r="L2917" t="n">
        <v>5.30438945695135</v>
      </c>
      <c r="M2917" t="n">
        <v>5.30438929886823</v>
      </c>
      <c r="N2917" t="n">
        <v>5.30438953599291</v>
      </c>
      <c r="O2917" t="n">
        <v>5.30438929886822</v>
      </c>
      <c r="P2917" t="n">
        <v>5.30438949647213</v>
      </c>
    </row>
    <row r="2918">
      <c r="A2918" s="1" t="n">
        <v>4064941156826</v>
      </c>
      <c r="B2918" t="inlineStr">
        <is>
          <t>KJ COSMIC FLNK EDP 30ML IV</t>
        </is>
      </c>
      <c r="C2918" t="inlineStr">
        <is>
          <t>P_US_ALL_OTHERS</t>
        </is>
      </c>
      <c r="D2918" t="inlineStr">
        <is>
          <t>Stat Fcst STLF</t>
        </is>
      </c>
    </row>
    <row r="2919">
      <c r="A2919" s="1" t="n">
        <v>4064941156826</v>
      </c>
      <c r="B2919" t="inlineStr">
        <is>
          <t>KJ COSMIC FLNK EDP 30ML IV</t>
        </is>
      </c>
      <c r="C2919" t="inlineStr">
        <is>
          <t>P_US_ALL_OTHERS</t>
        </is>
      </c>
      <c r="D2919" t="inlineStr">
        <is>
          <t>Stat Fcst TBATS</t>
        </is>
      </c>
    </row>
    <row r="2920">
      <c r="A2920" s="1" t="n">
        <v>4064941156826</v>
      </c>
      <c r="B2920" t="inlineStr">
        <is>
          <t>KJ COSMIC FLNK EDP 30ML IV</t>
        </is>
      </c>
      <c r="C2920" t="inlineStr">
        <is>
          <t>P_US_ALL_OTHERS</t>
        </is>
      </c>
      <c r="D2920" t="inlineStr">
        <is>
          <t>Stat Fcst TES</t>
        </is>
      </c>
    </row>
    <row r="2921">
      <c r="A2921" s="1" t="n">
        <v>4064941156826</v>
      </c>
      <c r="B2921" t="inlineStr">
        <is>
          <t>KJ COSMIC FLNK EDP 30ML IV</t>
        </is>
      </c>
      <c r="C2921" t="inlineStr">
        <is>
          <t>P_US_ALL_OTHERS</t>
        </is>
      </c>
      <c r="D2921" t="inlineStr">
        <is>
          <t>Stat Fcst Theta</t>
        </is>
      </c>
    </row>
    <row r="2922">
      <c r="A2922" s="1" t="n">
        <v>4064941156826</v>
      </c>
      <c r="B2922" t="inlineStr">
        <is>
          <t>KJ COSMIC FLNK EDP 30ML IV</t>
        </is>
      </c>
      <c r="C2922" t="inlineStr">
        <is>
          <t>P_US_ALL_OTHERS</t>
        </is>
      </c>
      <c r="D2922" t="inlineStr">
        <is>
          <t>System ML Fcst L1</t>
        </is>
      </c>
    </row>
    <row r="2923">
      <c r="A2923" s="1" t="n">
        <v>4064941156826</v>
      </c>
      <c r="B2923" t="inlineStr">
        <is>
          <t>KJ COSMIC FLNK EDP 30ML IV</t>
        </is>
      </c>
      <c r="C2923" t="inlineStr">
        <is>
          <t>P_US_ALL_OTHERS</t>
        </is>
      </c>
      <c r="D2923" t="inlineStr">
        <is>
          <t>Stat Fcst Simple Snaive</t>
        </is>
      </c>
    </row>
    <row r="2924">
      <c r="A2924" s="1" t="n">
        <v>4064941156826</v>
      </c>
      <c r="B2924" t="inlineStr">
        <is>
          <t>KJ COSMIC FLNK EDP 30ML IV</t>
        </is>
      </c>
      <c r="C2924" t="inlineStr">
        <is>
          <t>P_US_ALL_OTHERS</t>
        </is>
      </c>
      <c r="D2924" t="inlineStr">
        <is>
          <t>Stat Fcst Simple AOA</t>
        </is>
      </c>
    </row>
    <row r="2925">
      <c r="A2925" s="1" t="n">
        <v>4064941156826</v>
      </c>
      <c r="B2925" t="inlineStr">
        <is>
          <t>KJ COSMIC FLNK EDP 30ML IV</t>
        </is>
      </c>
      <c r="C2925" t="inlineStr">
        <is>
          <t>P_US_ALL_OTHERS</t>
        </is>
      </c>
      <c r="D2925" t="inlineStr">
        <is>
          <t>Stat Fcst Weighted Snaive</t>
        </is>
      </c>
    </row>
    <row r="2926">
      <c r="A2926" s="1" t="n">
        <v>4064941156826</v>
      </c>
      <c r="B2926" t="inlineStr">
        <is>
          <t>KJ COSMIC FLNK EDP 30ML IV</t>
        </is>
      </c>
      <c r="C2926" t="inlineStr">
        <is>
          <t>P_US_ALL_OTHERS</t>
        </is>
      </c>
      <c r="D2926" t="inlineStr">
        <is>
          <t>Stat Fcst Weighted AOA</t>
        </is>
      </c>
    </row>
    <row r="2927">
      <c r="A2927" s="1" t="n">
        <v>4064941156826</v>
      </c>
      <c r="B2927" t="inlineStr">
        <is>
          <t>KJ COSMIC FLNK EDP 30ML IV</t>
        </is>
      </c>
      <c r="C2927" t="inlineStr">
        <is>
          <t>P_US_ALL_OTHERS</t>
        </is>
      </c>
      <c r="D2927" t="inlineStr">
        <is>
          <t>Stat Fcst Growth Snaive</t>
        </is>
      </c>
    </row>
    <row r="2928">
      <c r="A2928" s="1" t="n">
        <v>4064941156826</v>
      </c>
      <c r="B2928" t="inlineStr">
        <is>
          <t>KJ COSMIC FLNK EDP 30ML IV</t>
        </is>
      </c>
      <c r="C2928" t="inlineStr">
        <is>
          <t>P_US_ALL_OTHERS</t>
        </is>
      </c>
      <c r="D2928" t="inlineStr">
        <is>
          <t>Stat Fcst Growth AOA</t>
        </is>
      </c>
    </row>
    <row r="2929">
      <c r="A2929" s="1" t="n">
        <v>4064941156826</v>
      </c>
      <c r="B2929" t="inlineStr">
        <is>
          <t>KJ COSMIC FLNK EDP 30ML IV</t>
        </is>
      </c>
      <c r="C2929" t="inlineStr">
        <is>
          <t>P_US_ALL_OTHERS</t>
        </is>
      </c>
      <c r="D2929" t="inlineStr">
        <is>
          <t>System Stat Fcst Bestfit</t>
        </is>
      </c>
      <c r="H2929" t="n">
        <v>5.30438931869299</v>
      </c>
      <c r="I2929" t="n">
        <v>5.3043895162969</v>
      </c>
      <c r="J2929" t="n">
        <v>5.30438931869299</v>
      </c>
      <c r="K2929" t="n">
        <v>5.30438931869299</v>
      </c>
      <c r="L2929" t="n">
        <v>5.30438947677612</v>
      </c>
      <c r="M2929" t="n">
        <v>5.30438931869299</v>
      </c>
      <c r="N2929" t="n">
        <v>5.30439003265485</v>
      </c>
      <c r="O2929" t="n">
        <v>5.30438931869299</v>
      </c>
      <c r="P2929" t="n">
        <v>5.3043895162969</v>
      </c>
    </row>
    <row r="2930">
      <c r="A2930" s="1" t="n">
        <v>4064941156826</v>
      </c>
      <c r="B2930" t="inlineStr">
        <is>
          <t>KJ COSMIC FLNK EDP 30ML IV</t>
        </is>
      </c>
      <c r="C2930" t="inlineStr">
        <is>
          <t>P_US_ULTA</t>
        </is>
      </c>
      <c r="D2930" t="inlineStr">
        <is>
          <t>Stat Fcst L1</t>
        </is>
      </c>
      <c r="E2930" t="n">
        <v>659.999980330467</v>
      </c>
      <c r="F2930" t="n">
        <v>273.870960474014</v>
      </c>
      <c r="G2930" t="n">
        <v>544</v>
      </c>
      <c r="H2930" t="n">
        <v>567</v>
      </c>
      <c r="I2930" t="n">
        <v>476</v>
      </c>
      <c r="J2930" t="n">
        <v>482</v>
      </c>
      <c r="K2930" t="n">
        <v>523</v>
      </c>
      <c r="L2930" t="n">
        <v>564</v>
      </c>
      <c r="M2930" t="n">
        <v>611</v>
      </c>
      <c r="N2930" t="n">
        <v>660</v>
      </c>
      <c r="O2930" t="n">
        <v>717</v>
      </c>
      <c r="P2930" t="n">
        <v>536</v>
      </c>
    </row>
    <row r="2931">
      <c r="A2931" s="1" t="n">
        <v>4064941156826</v>
      </c>
      <c r="B2931" t="inlineStr">
        <is>
          <t>KJ COSMIC FLNK EDP 30ML IV</t>
        </is>
      </c>
      <c r="C2931" t="inlineStr">
        <is>
          <t>P_US_ULTA</t>
        </is>
      </c>
      <c r="D2931" t="inlineStr">
        <is>
          <t>Stat Fcst AR-NNET</t>
        </is>
      </c>
    </row>
    <row r="2932">
      <c r="A2932" s="1" t="n">
        <v>4064941156826</v>
      </c>
      <c r="B2932" t="inlineStr">
        <is>
          <t>KJ COSMIC FLNK EDP 30ML IV</t>
        </is>
      </c>
      <c r="C2932" t="inlineStr">
        <is>
          <t>P_US_ULTA</t>
        </is>
      </c>
      <c r="D2932" t="inlineStr">
        <is>
          <t>Stat Fcst Auto ARIMA</t>
        </is>
      </c>
    </row>
    <row r="2933">
      <c r="A2933" s="1" t="n">
        <v>4064941156826</v>
      </c>
      <c r="B2933" t="inlineStr">
        <is>
          <t>KJ COSMIC FLNK EDP 30ML IV</t>
        </is>
      </c>
      <c r="C2933" t="inlineStr">
        <is>
          <t>P_US_ULTA</t>
        </is>
      </c>
      <c r="D2933" t="inlineStr">
        <is>
          <t>Stat Fcst Croston</t>
        </is>
      </c>
    </row>
    <row r="2934">
      <c r="A2934" s="1" t="n">
        <v>4064941156826</v>
      </c>
      <c r="B2934" t="inlineStr">
        <is>
          <t>KJ COSMIC FLNK EDP 30ML IV</t>
        </is>
      </c>
      <c r="C2934" t="inlineStr">
        <is>
          <t>P_US_ULTA</t>
        </is>
      </c>
      <c r="D2934" t="inlineStr">
        <is>
          <t>Stat Fcst DES</t>
        </is>
      </c>
    </row>
    <row r="2935">
      <c r="A2935" s="1" t="n">
        <v>4064941156826</v>
      </c>
      <c r="B2935" t="inlineStr">
        <is>
          <t>KJ COSMIC FLNK EDP 30ML IV</t>
        </is>
      </c>
      <c r="C2935" t="inlineStr">
        <is>
          <t>P_US_ULTA</t>
        </is>
      </c>
      <c r="D2935" t="inlineStr">
        <is>
          <t>Stat Fcst ETS</t>
        </is>
      </c>
    </row>
    <row r="2936">
      <c r="A2936" s="1" t="n">
        <v>4064941156826</v>
      </c>
      <c r="B2936" t="inlineStr">
        <is>
          <t>KJ COSMIC FLNK EDP 30ML IV</t>
        </is>
      </c>
      <c r="C2936" t="inlineStr">
        <is>
          <t>P_US_ULTA</t>
        </is>
      </c>
      <c r="D2936" t="inlineStr">
        <is>
          <t>Stat Fcst Moving Average</t>
        </is>
      </c>
      <c r="E2936" t="n">
        <v>446.499986653526</v>
      </c>
      <c r="F2936" t="n">
        <v>501.499985014398</v>
      </c>
      <c r="G2936" t="n">
        <v>522.500003892928</v>
      </c>
      <c r="H2936" t="n">
        <v>566.039983130693</v>
      </c>
      <c r="I2936" t="n">
        <v>476.960003553628</v>
      </c>
      <c r="J2936" t="n">
        <v>481.709985643923</v>
      </c>
      <c r="K2936" t="n">
        <v>521.849984447658</v>
      </c>
      <c r="L2936" t="n">
        <v>564.84</v>
      </c>
      <c r="M2936" t="n">
        <v>610.909981793463</v>
      </c>
      <c r="N2936" t="n">
        <v>661.820009861886</v>
      </c>
      <c r="O2936" t="n">
        <v>716.969978632629</v>
      </c>
      <c r="P2936" t="n">
        <v>536.470003997013</v>
      </c>
    </row>
    <row r="2937">
      <c r="A2937" s="1" t="n">
        <v>4064941156826</v>
      </c>
      <c r="B2937" t="inlineStr">
        <is>
          <t>KJ COSMIC FLNK EDP 30ML IV</t>
        </is>
      </c>
      <c r="C2937" t="inlineStr">
        <is>
          <t>P_US_ULTA</t>
        </is>
      </c>
      <c r="D2937" t="inlineStr">
        <is>
          <t>Stat Fcst Naive Random Walk</t>
        </is>
      </c>
    </row>
    <row r="2938">
      <c r="A2938" s="1" t="n">
        <v>4064941156826</v>
      </c>
      <c r="B2938" t="inlineStr">
        <is>
          <t>KJ COSMIC FLNK EDP 30ML IV</t>
        </is>
      </c>
      <c r="C2938" t="inlineStr">
        <is>
          <t>P_US_ULTA</t>
        </is>
      </c>
      <c r="D2938" t="inlineStr">
        <is>
          <t>Stat Fcst Prophet</t>
        </is>
      </c>
    </row>
    <row r="2939">
      <c r="A2939" s="1" t="n">
        <v>4064941156826</v>
      </c>
      <c r="B2939" t="inlineStr">
        <is>
          <t>KJ COSMIC FLNK EDP 30ML IV</t>
        </is>
      </c>
      <c r="C2939" t="inlineStr">
        <is>
          <t>P_US_ULTA</t>
        </is>
      </c>
      <c r="D2939" t="inlineStr">
        <is>
          <t>Stat Fcst sARIMA</t>
        </is>
      </c>
    </row>
    <row r="2940">
      <c r="A2940" s="1" t="n">
        <v>4064941156826</v>
      </c>
      <c r="B2940" t="inlineStr">
        <is>
          <t>KJ COSMIC FLNK EDP 30ML IV</t>
        </is>
      </c>
      <c r="C2940" t="inlineStr">
        <is>
          <t>P_US_ULTA</t>
        </is>
      </c>
      <c r="D2940" t="inlineStr">
        <is>
          <t>Stat Fcst Seasonal Naive YoY</t>
        </is>
      </c>
    </row>
    <row r="2941">
      <c r="A2941" s="1" t="n">
        <v>4064941156826</v>
      </c>
      <c r="B2941" t="inlineStr">
        <is>
          <t>KJ COSMIC FLNK EDP 30ML IV</t>
        </is>
      </c>
      <c r="C2941" t="inlineStr">
        <is>
          <t>P_US_ULTA</t>
        </is>
      </c>
      <c r="D2941" t="inlineStr">
        <is>
          <t>Stat Fcst SES</t>
        </is>
      </c>
      <c r="E2941" t="n">
        <v>4050.68204348883</v>
      </c>
      <c r="F2941" t="n">
        <v>3779.42747843616</v>
      </c>
      <c r="G2941" t="n">
        <v>3497.23340984255</v>
      </c>
      <c r="H2941" t="n">
        <v>3497.23327956045</v>
      </c>
      <c r="I2941" t="n">
        <v>3497.23340984255</v>
      </c>
      <c r="J2941" t="n">
        <v>3497.23327956045</v>
      </c>
      <c r="K2941" t="n">
        <v>3497.23327956045</v>
      </c>
      <c r="L2941" t="n">
        <v>3497.23338378613</v>
      </c>
      <c r="M2941" t="n">
        <v>3497.23327956045</v>
      </c>
      <c r="N2941" t="n">
        <v>3497.23343589896</v>
      </c>
      <c r="O2941" t="n">
        <v>3497.23327956045</v>
      </c>
      <c r="P2941" t="n">
        <v>3497.23340984255</v>
      </c>
    </row>
    <row r="2942">
      <c r="A2942" s="1" t="n">
        <v>4064941156826</v>
      </c>
      <c r="B2942" t="inlineStr">
        <is>
          <t>KJ COSMIC FLNK EDP 30ML IV</t>
        </is>
      </c>
      <c r="C2942" t="inlineStr">
        <is>
          <t>P_US_ULTA</t>
        </is>
      </c>
      <c r="D2942" t="inlineStr">
        <is>
          <t>Stat Fcst STLF</t>
        </is>
      </c>
    </row>
    <row r="2943">
      <c r="A2943" s="1" t="n">
        <v>4064941156826</v>
      </c>
      <c r="B2943" t="inlineStr">
        <is>
          <t>KJ COSMIC FLNK EDP 30ML IV</t>
        </is>
      </c>
      <c r="C2943" t="inlineStr">
        <is>
          <t>P_US_ULTA</t>
        </is>
      </c>
      <c r="D2943" t="inlineStr">
        <is>
          <t>Stat Fcst TBATS</t>
        </is>
      </c>
    </row>
    <row r="2944">
      <c r="A2944" s="1" t="n">
        <v>4064941156826</v>
      </c>
      <c r="B2944" t="inlineStr">
        <is>
          <t>KJ COSMIC FLNK EDP 30ML IV</t>
        </is>
      </c>
      <c r="C2944" t="inlineStr">
        <is>
          <t>P_US_ULTA</t>
        </is>
      </c>
      <c r="D2944" t="inlineStr">
        <is>
          <t>Stat Fcst TES</t>
        </is>
      </c>
    </row>
    <row r="2945">
      <c r="A2945" s="1" t="n">
        <v>4064941156826</v>
      </c>
      <c r="B2945" t="inlineStr">
        <is>
          <t>KJ COSMIC FLNK EDP 30ML IV</t>
        </is>
      </c>
      <c r="C2945" t="inlineStr">
        <is>
          <t>P_US_ULTA</t>
        </is>
      </c>
      <c r="D2945" t="inlineStr">
        <is>
          <t>Stat Fcst Theta</t>
        </is>
      </c>
    </row>
    <row r="2946">
      <c r="A2946" s="1" t="n">
        <v>4064941156826</v>
      </c>
      <c r="B2946" t="inlineStr">
        <is>
          <t>KJ COSMIC FLNK EDP 30ML IV</t>
        </is>
      </c>
      <c r="C2946" t="inlineStr">
        <is>
          <t>P_US_ULTA</t>
        </is>
      </c>
      <c r="D2946" t="inlineStr">
        <is>
          <t>System ML Fcst L1</t>
        </is>
      </c>
    </row>
    <row r="2947">
      <c r="A2947" s="1" t="n">
        <v>4064941156826</v>
      </c>
      <c r="B2947" t="inlineStr">
        <is>
          <t>KJ COSMIC FLNK EDP 30ML IV</t>
        </is>
      </c>
      <c r="C2947" t="inlineStr">
        <is>
          <t>P_US_ULTA</t>
        </is>
      </c>
      <c r="D2947" t="inlineStr">
        <is>
          <t>Stat Fcst Simple Snaive</t>
        </is>
      </c>
    </row>
    <row r="2948">
      <c r="A2948" s="1" t="n">
        <v>4064941156826</v>
      </c>
      <c r="B2948" t="inlineStr">
        <is>
          <t>KJ COSMIC FLNK EDP 30ML IV</t>
        </is>
      </c>
      <c r="C2948" t="inlineStr">
        <is>
          <t>P_US_ULTA</t>
        </is>
      </c>
      <c r="D2948" t="inlineStr">
        <is>
          <t>Stat Fcst Simple AOA</t>
        </is>
      </c>
    </row>
    <row r="2949">
      <c r="A2949" s="1" t="n">
        <v>4064941156826</v>
      </c>
      <c r="B2949" t="inlineStr">
        <is>
          <t>KJ COSMIC FLNK EDP 30ML IV</t>
        </is>
      </c>
      <c r="C2949" t="inlineStr">
        <is>
          <t>P_US_ULTA</t>
        </is>
      </c>
      <c r="D2949" t="inlineStr">
        <is>
          <t>Stat Fcst Weighted Snaive</t>
        </is>
      </c>
    </row>
    <row r="2950">
      <c r="A2950" s="1" t="n">
        <v>4064941156826</v>
      </c>
      <c r="B2950" t="inlineStr">
        <is>
          <t>KJ COSMIC FLNK EDP 30ML IV</t>
        </is>
      </c>
      <c r="C2950" t="inlineStr">
        <is>
          <t>P_US_ULTA</t>
        </is>
      </c>
      <c r="D2950" t="inlineStr">
        <is>
          <t>Stat Fcst Weighted AOA</t>
        </is>
      </c>
    </row>
    <row r="2951">
      <c r="A2951" s="1" t="n">
        <v>4064941156826</v>
      </c>
      <c r="B2951" t="inlineStr">
        <is>
          <t>KJ COSMIC FLNK EDP 30ML IV</t>
        </is>
      </c>
      <c r="C2951" t="inlineStr">
        <is>
          <t>P_US_ULTA</t>
        </is>
      </c>
      <c r="D2951" t="inlineStr">
        <is>
          <t>Stat Fcst Growth Snaive</t>
        </is>
      </c>
    </row>
    <row r="2952">
      <c r="A2952" s="1" t="n">
        <v>4064941156826</v>
      </c>
      <c r="B2952" t="inlineStr">
        <is>
          <t>KJ COSMIC FLNK EDP 30ML IV</t>
        </is>
      </c>
      <c r="C2952" t="inlineStr">
        <is>
          <t>P_US_ULTA</t>
        </is>
      </c>
      <c r="D2952" t="inlineStr">
        <is>
          <t>Stat Fcst Growth AOA</t>
        </is>
      </c>
    </row>
    <row r="2953">
      <c r="A2953" s="1" t="n">
        <v>4064941156826</v>
      </c>
      <c r="B2953" t="inlineStr">
        <is>
          <t>KJ COSMIC FLNK EDP 30ML IV</t>
        </is>
      </c>
      <c r="C2953" t="inlineStr">
        <is>
          <t>P_US_ULTA</t>
        </is>
      </c>
      <c r="D2953" t="inlineStr">
        <is>
          <t>System Stat Fcst Bestfit</t>
        </is>
      </c>
      <c r="H2953" t="n">
        <v>566.039961158037</v>
      </c>
      <c r="I2953" t="n">
        <v>476.959995008707</v>
      </c>
      <c r="J2953" t="n">
        <v>481.709977099001</v>
      </c>
      <c r="K2953" t="n">
        <v>521.8499600335959</v>
      </c>
      <c r="L2953" t="n">
        <v>564.840026855468</v>
      </c>
      <c r="M2953" t="n">
        <v>610.9099549379951</v>
      </c>
      <c r="N2953" t="n">
        <v>661.820017186105</v>
      </c>
      <c r="O2953" t="n">
        <v>716.970010370909</v>
      </c>
      <c r="P2953" t="n">
        <v>536.469974700137</v>
      </c>
    </row>
    <row r="2954">
      <c r="A2954" s="1" t="n">
        <v>4064941176343</v>
      </c>
      <c r="B2954" t="inlineStr">
        <is>
          <t>KJ MU SPP LKIT SET 3ML 1.14G TAUPNUGL IV</t>
        </is>
      </c>
      <c r="C2954" t="inlineStr">
        <is>
          <t>P_US_ALL_OTHERS</t>
        </is>
      </c>
      <c r="D2954" t="inlineStr">
        <is>
          <t>Stat Fcst L1</t>
        </is>
      </c>
      <c r="E2954" t="n">
        <v>227.99999320507</v>
      </c>
      <c r="F2954" t="n">
        <v>752.999977558851</v>
      </c>
      <c r="G2954" t="n">
        <v>420</v>
      </c>
      <c r="H2954" t="n">
        <v>443</v>
      </c>
      <c r="I2954" t="n">
        <v>442</v>
      </c>
      <c r="J2954" t="n">
        <v>443</v>
      </c>
      <c r="K2954" t="n">
        <v>443</v>
      </c>
      <c r="L2954" t="n">
        <v>444</v>
      </c>
      <c r="M2954" t="n">
        <v>443</v>
      </c>
      <c r="N2954" t="n">
        <v>442</v>
      </c>
      <c r="O2954" t="n">
        <v>443</v>
      </c>
      <c r="P2954" t="n">
        <v>442</v>
      </c>
    </row>
    <row r="2955">
      <c r="A2955" s="1" t="n">
        <v>4064941176343</v>
      </c>
      <c r="B2955" t="inlineStr">
        <is>
          <t>KJ MU SPP LKIT SET 3ML 1.14G TAUPNUGL IV</t>
        </is>
      </c>
      <c r="C2955" t="inlineStr">
        <is>
          <t>P_US_ALL_OTHERS</t>
        </is>
      </c>
      <c r="D2955" t="inlineStr">
        <is>
          <t>Stat Fcst AR-NNET</t>
        </is>
      </c>
    </row>
    <row r="2956">
      <c r="A2956" s="1" t="n">
        <v>4064941176343</v>
      </c>
      <c r="B2956" t="inlineStr">
        <is>
          <t>KJ MU SPP LKIT SET 3ML 1.14G TAUPNUGL IV</t>
        </is>
      </c>
      <c r="C2956" t="inlineStr">
        <is>
          <t>P_US_ALL_OTHERS</t>
        </is>
      </c>
      <c r="D2956" t="inlineStr">
        <is>
          <t>Stat Fcst Auto ARIMA</t>
        </is>
      </c>
    </row>
    <row r="2957">
      <c r="A2957" s="1" t="n">
        <v>4064941176343</v>
      </c>
      <c r="B2957" t="inlineStr">
        <is>
          <t>KJ MU SPP LKIT SET 3ML 1.14G TAUPNUGL IV</t>
        </is>
      </c>
      <c r="C2957" t="inlineStr">
        <is>
          <t>P_US_ALL_OTHERS</t>
        </is>
      </c>
      <c r="D2957" t="inlineStr">
        <is>
          <t>Stat Fcst Croston</t>
        </is>
      </c>
    </row>
    <row r="2958">
      <c r="A2958" s="1" t="n">
        <v>4064941176343</v>
      </c>
      <c r="B2958" t="inlineStr">
        <is>
          <t>KJ MU SPP LKIT SET 3ML 1.14G TAUPNUGL IV</t>
        </is>
      </c>
      <c r="C2958" t="inlineStr">
        <is>
          <t>P_US_ALL_OTHERS</t>
        </is>
      </c>
      <c r="D2958" t="inlineStr">
        <is>
          <t>Stat Fcst DES</t>
        </is>
      </c>
      <c r="E2958" t="n">
        <v>443.091718376017</v>
      </c>
      <c r="F2958" t="n">
        <v>443.093531334012</v>
      </c>
      <c r="G2958" t="n">
        <v>443.095026725125</v>
      </c>
      <c r="H2958" t="n">
        <v>443.095594707595</v>
      </c>
      <c r="I2958" t="n">
        <v>443.095903458726</v>
      </c>
      <c r="J2958" t="n">
        <v>443.096033074379</v>
      </c>
      <c r="K2958" t="n">
        <v>443.09610613551</v>
      </c>
      <c r="L2958" t="n">
        <v>443.096155871369</v>
      </c>
      <c r="M2958" t="n">
        <v>443.096160931358</v>
      </c>
      <c r="N2958" t="n">
        <v>443.096189871942</v>
      </c>
      <c r="O2958" t="n">
        <v>443.09617463032</v>
      </c>
      <c r="P2958" t="n">
        <v>443.096193420099</v>
      </c>
    </row>
    <row r="2959">
      <c r="A2959" s="1" t="n">
        <v>4064941176343</v>
      </c>
      <c r="B2959" t="inlineStr">
        <is>
          <t>KJ MU SPP LKIT SET 3ML 1.14G TAUPNUGL IV</t>
        </is>
      </c>
      <c r="C2959" t="inlineStr">
        <is>
          <t>P_US_ALL_OTHERS</t>
        </is>
      </c>
      <c r="D2959" t="inlineStr">
        <is>
          <t>Stat Fcst ETS</t>
        </is>
      </c>
    </row>
    <row r="2960">
      <c r="A2960" s="1" t="n">
        <v>4064941176343</v>
      </c>
      <c r="B2960" t="inlineStr">
        <is>
          <t>KJ MU SPP LKIT SET 3ML 1.14G TAUPNUGL IV</t>
        </is>
      </c>
      <c r="C2960" t="inlineStr">
        <is>
          <t>P_US_ALL_OTHERS</t>
        </is>
      </c>
      <c r="D2960" t="inlineStr">
        <is>
          <t>Stat Fcst Moving Average</t>
        </is>
      </c>
      <c r="E2960" t="n">
        <v>557.333316723505</v>
      </c>
      <c r="F2960" t="n">
        <v>400.666649639606</v>
      </c>
      <c r="G2960" t="n">
        <v>387.000002883374</v>
      </c>
      <c r="H2960" t="n">
        <v>455.999986410141</v>
      </c>
      <c r="I2960" t="n">
        <v>532.000003963708</v>
      </c>
      <c r="J2960" t="n">
        <v>458.329986340701</v>
      </c>
      <c r="K2960" t="n">
        <v>482.109985632002</v>
      </c>
      <c r="L2960" t="n">
        <v>490.81</v>
      </c>
      <c r="M2960" t="n">
        <v>477.079985781908</v>
      </c>
      <c r="N2960" t="n">
        <v>483.330007202178</v>
      </c>
      <c r="O2960" t="n">
        <v>483.739985583424</v>
      </c>
      <c r="P2960" t="n">
        <v>481.38000358656</v>
      </c>
    </row>
    <row r="2961">
      <c r="A2961" s="1" t="n">
        <v>4064941176343</v>
      </c>
      <c r="B2961" t="inlineStr">
        <is>
          <t>KJ MU SPP LKIT SET 3ML 1.14G TAUPNUGL IV</t>
        </is>
      </c>
      <c r="C2961" t="inlineStr">
        <is>
          <t>P_US_ALL_OTHERS</t>
        </is>
      </c>
      <c r="D2961" t="inlineStr">
        <is>
          <t>Stat Fcst Naive Random Walk</t>
        </is>
      </c>
    </row>
    <row r="2962">
      <c r="A2962" s="1" t="n">
        <v>4064941176343</v>
      </c>
      <c r="B2962" t="inlineStr">
        <is>
          <t>KJ MU SPP LKIT SET 3ML 1.14G TAUPNUGL IV</t>
        </is>
      </c>
      <c r="C2962" t="inlineStr">
        <is>
          <t>P_US_ALL_OTHERS</t>
        </is>
      </c>
      <c r="D2962" t="inlineStr">
        <is>
          <t>Stat Fcst Prophet</t>
        </is>
      </c>
    </row>
    <row r="2963">
      <c r="A2963" s="1" t="n">
        <v>4064941176343</v>
      </c>
      <c r="B2963" t="inlineStr">
        <is>
          <t>KJ MU SPP LKIT SET 3ML 1.14G TAUPNUGL IV</t>
        </is>
      </c>
      <c r="C2963" t="inlineStr">
        <is>
          <t>P_US_ALL_OTHERS</t>
        </is>
      </c>
      <c r="D2963" t="inlineStr">
        <is>
          <t>Stat Fcst sARIMA</t>
        </is>
      </c>
    </row>
    <row r="2964">
      <c r="A2964" s="1" t="n">
        <v>4064941176343</v>
      </c>
      <c r="B2964" t="inlineStr">
        <is>
          <t>KJ MU SPP LKIT SET 3ML 1.14G TAUPNUGL IV</t>
        </is>
      </c>
      <c r="C2964" t="inlineStr">
        <is>
          <t>P_US_ALL_OTHERS</t>
        </is>
      </c>
      <c r="D2964" t="inlineStr">
        <is>
          <t>Stat Fcst Seasonal Naive YoY</t>
        </is>
      </c>
    </row>
    <row r="2965">
      <c r="A2965" s="1" t="n">
        <v>4064941176343</v>
      </c>
      <c r="B2965" t="inlineStr">
        <is>
          <t>KJ MU SPP LKIT SET 3ML 1.14G TAUPNUGL IV</t>
        </is>
      </c>
      <c r="C2965" t="inlineStr">
        <is>
          <t>P_US_ALL_OTHERS</t>
        </is>
      </c>
      <c r="D2965" t="inlineStr">
        <is>
          <t>Stat Fcst SES</t>
        </is>
      </c>
      <c r="E2965" t="n">
        <v>436.026284082366</v>
      </c>
      <c r="F2965" t="n">
        <v>436.02607605606</v>
      </c>
      <c r="G2965" t="n">
        <v>436.02640927321</v>
      </c>
      <c r="H2965" t="n">
        <v>436.026393029961</v>
      </c>
      <c r="I2965" t="n">
        <v>436.02640927321</v>
      </c>
      <c r="J2965" t="n">
        <v>436.026393029961</v>
      </c>
      <c r="K2965" t="n">
        <v>436.026393029961</v>
      </c>
      <c r="L2965" t="n">
        <v>436.026406024561</v>
      </c>
      <c r="M2965" t="n">
        <v>436.026393029961</v>
      </c>
      <c r="N2965" t="n">
        <v>436.02641252186</v>
      </c>
      <c r="O2965" t="n">
        <v>436.026393029961</v>
      </c>
      <c r="P2965" t="n">
        <v>436.02640927321</v>
      </c>
    </row>
    <row r="2966">
      <c r="A2966" s="1" t="n">
        <v>4064941176343</v>
      </c>
      <c r="B2966" t="inlineStr">
        <is>
          <t>KJ MU SPP LKIT SET 3ML 1.14G TAUPNUGL IV</t>
        </is>
      </c>
      <c r="C2966" t="inlineStr">
        <is>
          <t>P_US_ALL_OTHERS</t>
        </is>
      </c>
      <c r="D2966" t="inlineStr">
        <is>
          <t>Stat Fcst STLF</t>
        </is>
      </c>
    </row>
    <row r="2967">
      <c r="A2967" s="1" t="n">
        <v>4064941176343</v>
      </c>
      <c r="B2967" t="inlineStr">
        <is>
          <t>KJ MU SPP LKIT SET 3ML 1.14G TAUPNUGL IV</t>
        </is>
      </c>
      <c r="C2967" t="inlineStr">
        <is>
          <t>P_US_ALL_OTHERS</t>
        </is>
      </c>
      <c r="D2967" t="inlineStr">
        <is>
          <t>Stat Fcst TBATS</t>
        </is>
      </c>
    </row>
    <row r="2968">
      <c r="A2968" s="1" t="n">
        <v>4064941176343</v>
      </c>
      <c r="B2968" t="inlineStr">
        <is>
          <t>KJ MU SPP LKIT SET 3ML 1.14G TAUPNUGL IV</t>
        </is>
      </c>
      <c r="C2968" t="inlineStr">
        <is>
          <t>P_US_ALL_OTHERS</t>
        </is>
      </c>
      <c r="D2968" t="inlineStr">
        <is>
          <t>Stat Fcst TES</t>
        </is>
      </c>
    </row>
    <row r="2969">
      <c r="A2969" s="1" t="n">
        <v>4064941176343</v>
      </c>
      <c r="B2969" t="inlineStr">
        <is>
          <t>KJ MU SPP LKIT SET 3ML 1.14G TAUPNUGL IV</t>
        </is>
      </c>
      <c r="C2969" t="inlineStr">
        <is>
          <t>P_US_ALL_OTHERS</t>
        </is>
      </c>
      <c r="D2969" t="inlineStr">
        <is>
          <t>Stat Fcst Theta</t>
        </is>
      </c>
    </row>
    <row r="2970">
      <c r="A2970" s="1" t="n">
        <v>4064941176343</v>
      </c>
      <c r="B2970" t="inlineStr">
        <is>
          <t>KJ MU SPP LKIT SET 3ML 1.14G TAUPNUGL IV</t>
        </is>
      </c>
      <c r="C2970" t="inlineStr">
        <is>
          <t>P_US_ALL_OTHERS</t>
        </is>
      </c>
      <c r="D2970" t="inlineStr">
        <is>
          <t>System ML Fcst L1</t>
        </is>
      </c>
    </row>
    <row r="2971">
      <c r="A2971" s="1" t="n">
        <v>4064941176343</v>
      </c>
      <c r="B2971" t="inlineStr">
        <is>
          <t>KJ MU SPP LKIT SET 3ML 1.14G TAUPNUGL IV</t>
        </is>
      </c>
      <c r="C2971" t="inlineStr">
        <is>
          <t>P_US_ALL_OTHERS</t>
        </is>
      </c>
      <c r="D2971" t="inlineStr">
        <is>
          <t>Stat Fcst Simple Snaive</t>
        </is>
      </c>
    </row>
    <row r="2972">
      <c r="A2972" s="1" t="n">
        <v>4064941176343</v>
      </c>
      <c r="B2972" t="inlineStr">
        <is>
          <t>KJ MU SPP LKIT SET 3ML 1.14G TAUPNUGL IV</t>
        </is>
      </c>
      <c r="C2972" t="inlineStr">
        <is>
          <t>P_US_ALL_OTHERS</t>
        </is>
      </c>
      <c r="D2972" t="inlineStr">
        <is>
          <t>Stat Fcst Simple AOA</t>
        </is>
      </c>
    </row>
    <row r="2973">
      <c r="A2973" s="1" t="n">
        <v>4064941176343</v>
      </c>
      <c r="B2973" t="inlineStr">
        <is>
          <t>KJ MU SPP LKIT SET 3ML 1.14G TAUPNUGL IV</t>
        </is>
      </c>
      <c r="C2973" t="inlineStr">
        <is>
          <t>P_US_ALL_OTHERS</t>
        </is>
      </c>
      <c r="D2973" t="inlineStr">
        <is>
          <t>Stat Fcst Weighted Snaive</t>
        </is>
      </c>
    </row>
    <row r="2974">
      <c r="A2974" s="1" t="n">
        <v>4064941176343</v>
      </c>
      <c r="B2974" t="inlineStr">
        <is>
          <t>KJ MU SPP LKIT SET 3ML 1.14G TAUPNUGL IV</t>
        </is>
      </c>
      <c r="C2974" t="inlineStr">
        <is>
          <t>P_US_ALL_OTHERS</t>
        </is>
      </c>
      <c r="D2974" t="inlineStr">
        <is>
          <t>Stat Fcst Weighted AOA</t>
        </is>
      </c>
    </row>
    <row r="2975">
      <c r="A2975" s="1" t="n">
        <v>4064941176343</v>
      </c>
      <c r="B2975" t="inlineStr">
        <is>
          <t>KJ MU SPP LKIT SET 3ML 1.14G TAUPNUGL IV</t>
        </is>
      </c>
      <c r="C2975" t="inlineStr">
        <is>
          <t>P_US_ALL_OTHERS</t>
        </is>
      </c>
      <c r="D2975" t="inlineStr">
        <is>
          <t>Stat Fcst Growth Snaive</t>
        </is>
      </c>
    </row>
    <row r="2976">
      <c r="A2976" s="1" t="n">
        <v>4064941176343</v>
      </c>
      <c r="B2976" t="inlineStr">
        <is>
          <t>KJ MU SPP LKIT SET 3ML 1.14G TAUPNUGL IV</t>
        </is>
      </c>
      <c r="C2976" t="inlineStr">
        <is>
          <t>P_US_ALL_OTHERS</t>
        </is>
      </c>
      <c r="D2976" t="inlineStr">
        <is>
          <t>Stat Fcst Growth AOA</t>
        </is>
      </c>
    </row>
    <row r="2977">
      <c r="A2977" s="1" t="n">
        <v>4064941176343</v>
      </c>
      <c r="B2977" t="inlineStr">
        <is>
          <t>KJ MU SPP LKIT SET 3ML 1.14G TAUPNUGL IV</t>
        </is>
      </c>
      <c r="C2977" t="inlineStr">
        <is>
          <t>P_US_ALL_OTHERS</t>
        </is>
      </c>
      <c r="D2977" t="inlineStr">
        <is>
          <t>System Stat Fcst Bestfit</t>
        </is>
      </c>
      <c r="H2977" t="n">
        <v>443.09556784941</v>
      </c>
      <c r="I2977" t="n">
        <v>443.095920049368</v>
      </c>
      <c r="J2977" t="n">
        <v>443.095995095491</v>
      </c>
      <c r="K2977" t="n">
        <v>443.0961171658</v>
      </c>
      <c r="L2977" t="n">
        <v>443.096160888671</v>
      </c>
      <c r="M2977" t="n">
        <v>443.096147683377</v>
      </c>
      <c r="N2977" t="n">
        <v>443.096198008897</v>
      </c>
      <c r="O2977" t="n">
        <v>443.096178200954</v>
      </c>
      <c r="P2977" t="n">
        <v>443.096194707573</v>
      </c>
    </row>
    <row r="2978">
      <c r="A2978" s="1" t="n">
        <v>4064941176343</v>
      </c>
      <c r="B2978" t="inlineStr">
        <is>
          <t>KJ MU SPP LKIT SET 3ML 1.14G TAUPNUGL IV</t>
        </is>
      </c>
      <c r="C2978" t="inlineStr">
        <is>
          <t>P_US_ULTA</t>
        </is>
      </c>
      <c r="D2978" t="inlineStr">
        <is>
          <t>Stat Fcst L1</t>
        </is>
      </c>
      <c r="E2978" t="n">
        <v>7055.99978971481</v>
      </c>
      <c r="F2978" t="n">
        <v>2207.99993419647</v>
      </c>
      <c r="G2978" t="n">
        <v>4993</v>
      </c>
      <c r="H2978" t="n">
        <v>4487</v>
      </c>
      <c r="I2978" t="n">
        <v>4488</v>
      </c>
      <c r="J2978" t="n">
        <v>4487</v>
      </c>
      <c r="K2978" t="n">
        <v>4486</v>
      </c>
      <c r="L2978" t="n">
        <v>4488</v>
      </c>
      <c r="M2978" t="n">
        <v>4486</v>
      </c>
      <c r="N2978" t="n">
        <v>4487</v>
      </c>
      <c r="O2978" t="n">
        <v>4487</v>
      </c>
      <c r="P2978" t="n">
        <v>4487</v>
      </c>
    </row>
    <row r="2979">
      <c r="A2979" s="1" t="n">
        <v>4064941176343</v>
      </c>
      <c r="B2979" t="inlineStr">
        <is>
          <t>KJ MU SPP LKIT SET 3ML 1.14G TAUPNUGL IV</t>
        </is>
      </c>
      <c r="C2979" t="inlineStr">
        <is>
          <t>P_US_ULTA</t>
        </is>
      </c>
      <c r="D2979" t="inlineStr">
        <is>
          <t>Stat Fcst AR-NNET</t>
        </is>
      </c>
    </row>
    <row r="2980">
      <c r="A2980" s="1" t="n">
        <v>4064941176343</v>
      </c>
      <c r="B2980" t="inlineStr">
        <is>
          <t>KJ MU SPP LKIT SET 3ML 1.14G TAUPNUGL IV</t>
        </is>
      </c>
      <c r="C2980" t="inlineStr">
        <is>
          <t>P_US_ULTA</t>
        </is>
      </c>
      <c r="D2980" t="inlineStr">
        <is>
          <t>Stat Fcst Auto ARIMA</t>
        </is>
      </c>
    </row>
    <row r="2981">
      <c r="A2981" s="1" t="n">
        <v>4064941176343</v>
      </c>
      <c r="B2981" t="inlineStr">
        <is>
          <t>KJ MU SPP LKIT SET 3ML 1.14G TAUPNUGL IV</t>
        </is>
      </c>
      <c r="C2981" t="inlineStr">
        <is>
          <t>P_US_ULTA</t>
        </is>
      </c>
      <c r="D2981" t="inlineStr">
        <is>
          <t>Stat Fcst Croston</t>
        </is>
      </c>
    </row>
    <row r="2982">
      <c r="A2982" s="1" t="n">
        <v>4064941176343</v>
      </c>
      <c r="B2982" t="inlineStr">
        <is>
          <t>KJ MU SPP LKIT SET 3ML 1.14G TAUPNUGL IV</t>
        </is>
      </c>
      <c r="C2982" t="inlineStr">
        <is>
          <t>P_US_ULTA</t>
        </is>
      </c>
      <c r="D2982" t="inlineStr">
        <is>
          <t>Stat Fcst DES</t>
        </is>
      </c>
      <c r="E2982" t="n">
        <v>4398.9322645489</v>
      </c>
      <c r="F2982" t="n">
        <v>4540.55607551114</v>
      </c>
      <c r="G2982" t="n">
        <v>4416.23759759784</v>
      </c>
      <c r="H2982" t="n">
        <v>4416.23859541315</v>
      </c>
      <c r="I2982" t="n">
        <v>4416.23934109737</v>
      </c>
      <c r="J2982" t="n">
        <v>4416.23946716288</v>
      </c>
      <c r="K2982" t="n">
        <v>4416.2396124545</v>
      </c>
      <c r="L2982" t="n">
        <v>4416.23981671452</v>
      </c>
      <c r="M2982" t="n">
        <v>4416.23972142322</v>
      </c>
      <c r="N2982" t="n">
        <v>4416.23993700598</v>
      </c>
      <c r="O2982" t="n">
        <v>4416.2397486654</v>
      </c>
      <c r="P2982" t="n">
        <v>4416.23991772352</v>
      </c>
    </row>
    <row r="2983">
      <c r="A2983" s="1" t="n">
        <v>4064941176343</v>
      </c>
      <c r="B2983" t="inlineStr">
        <is>
          <t>KJ MU SPP LKIT SET 3ML 1.14G TAUPNUGL IV</t>
        </is>
      </c>
      <c r="C2983" t="inlineStr">
        <is>
          <t>P_US_ULTA</t>
        </is>
      </c>
      <c r="D2983" t="inlineStr">
        <is>
          <t>Stat Fcst ETS</t>
        </is>
      </c>
    </row>
    <row r="2984">
      <c r="A2984" s="1" t="n">
        <v>4064941176343</v>
      </c>
      <c r="B2984" t="inlineStr">
        <is>
          <t>KJ MU SPP LKIT SET 3ML 1.14G TAUPNUGL IV</t>
        </is>
      </c>
      <c r="C2984" t="inlineStr">
        <is>
          <t>P_US_ULTA</t>
        </is>
      </c>
      <c r="D2984" t="inlineStr">
        <is>
          <t>Stat Fcst Moving Average</t>
        </is>
      </c>
      <c r="E2984" t="n">
        <v>4600.66652955611</v>
      </c>
      <c r="F2984" t="n">
        <v>4600.66652955611</v>
      </c>
      <c r="G2984" t="n">
        <v>3768.67002807878</v>
      </c>
      <c r="H2984" t="n">
        <v>4344.21987053215</v>
      </c>
      <c r="I2984" t="n">
        <v>3440.30002563223</v>
      </c>
      <c r="J2984" t="n">
        <v>3851.05988522946</v>
      </c>
      <c r="K2984" t="n">
        <v>3878.52988441079</v>
      </c>
      <c r="L2984" t="n">
        <v>3723.3</v>
      </c>
      <c r="M2984" t="n">
        <v>3817.62988622576</v>
      </c>
      <c r="N2984" t="n">
        <v>3806.49005672112</v>
      </c>
      <c r="O2984" t="n">
        <v>3782.4698872736</v>
      </c>
      <c r="P2984" t="n">
        <v>3802.20002832859</v>
      </c>
    </row>
    <row r="2985">
      <c r="A2985" s="1" t="n">
        <v>4064941176343</v>
      </c>
      <c r="B2985" t="inlineStr">
        <is>
          <t>KJ MU SPP LKIT SET 3ML 1.14G TAUPNUGL IV</t>
        </is>
      </c>
      <c r="C2985" t="inlineStr">
        <is>
          <t>P_US_ULTA</t>
        </is>
      </c>
      <c r="D2985" t="inlineStr">
        <is>
          <t>Stat Fcst Naive Random Walk</t>
        </is>
      </c>
    </row>
    <row r="2986">
      <c r="A2986" s="1" t="n">
        <v>4064941176343</v>
      </c>
      <c r="B2986" t="inlineStr">
        <is>
          <t>KJ MU SPP LKIT SET 3ML 1.14G TAUPNUGL IV</t>
        </is>
      </c>
      <c r="C2986" t="inlineStr">
        <is>
          <t>P_US_ULTA</t>
        </is>
      </c>
      <c r="D2986" t="inlineStr">
        <is>
          <t>Stat Fcst Prophet</t>
        </is>
      </c>
    </row>
    <row r="2987">
      <c r="A2987" s="1" t="n">
        <v>4064941176343</v>
      </c>
      <c r="B2987" t="inlineStr">
        <is>
          <t>KJ MU SPP LKIT SET 3ML 1.14G TAUPNUGL IV</t>
        </is>
      </c>
      <c r="C2987" t="inlineStr">
        <is>
          <t>P_US_ULTA</t>
        </is>
      </c>
      <c r="D2987" t="inlineStr">
        <is>
          <t>Stat Fcst sARIMA</t>
        </is>
      </c>
    </row>
    <row r="2988">
      <c r="A2988" s="1" t="n">
        <v>4064941176343</v>
      </c>
      <c r="B2988" t="inlineStr">
        <is>
          <t>KJ MU SPP LKIT SET 3ML 1.14G TAUPNUGL IV</t>
        </is>
      </c>
      <c r="C2988" t="inlineStr">
        <is>
          <t>P_US_ULTA</t>
        </is>
      </c>
      <c r="D2988" t="inlineStr">
        <is>
          <t>Stat Fcst Seasonal Naive YoY</t>
        </is>
      </c>
    </row>
    <row r="2989">
      <c r="A2989" s="1" t="n">
        <v>4064941176343</v>
      </c>
      <c r="B2989" t="inlineStr">
        <is>
          <t>KJ MU SPP LKIT SET 3ML 1.14G TAUPNUGL IV</t>
        </is>
      </c>
      <c r="C2989" t="inlineStr">
        <is>
          <t>P_US_ULTA</t>
        </is>
      </c>
      <c r="D2989" t="inlineStr">
        <is>
          <t>Stat Fcst SES</t>
        </is>
      </c>
      <c r="E2989" t="n">
        <v>4479.88299807564</v>
      </c>
      <c r="F2989" t="n">
        <v>4694.61248472961</v>
      </c>
      <c r="G2989" t="n">
        <v>4487.34369646053</v>
      </c>
      <c r="H2989" t="n">
        <v>4487.34352929396</v>
      </c>
      <c r="I2989" t="n">
        <v>4487.34369646053</v>
      </c>
      <c r="J2989" t="n">
        <v>4487.34352929396</v>
      </c>
      <c r="K2989" t="n">
        <v>4487.34352929396</v>
      </c>
      <c r="L2989" t="n">
        <v>4487.34366302722</v>
      </c>
      <c r="M2989" t="n">
        <v>4487.34352929396</v>
      </c>
      <c r="N2989" t="n">
        <v>4487.34372989385</v>
      </c>
      <c r="O2989" t="n">
        <v>4487.34352929396</v>
      </c>
      <c r="P2989" t="n">
        <v>4487.34369646053</v>
      </c>
    </row>
    <row r="2990">
      <c r="A2990" s="1" t="n">
        <v>4064941176343</v>
      </c>
      <c r="B2990" t="inlineStr">
        <is>
          <t>KJ MU SPP LKIT SET 3ML 1.14G TAUPNUGL IV</t>
        </is>
      </c>
      <c r="C2990" t="inlineStr">
        <is>
          <t>P_US_ULTA</t>
        </is>
      </c>
      <c r="D2990" t="inlineStr">
        <is>
          <t>Stat Fcst STLF</t>
        </is>
      </c>
    </row>
    <row r="2991">
      <c r="A2991" s="1" t="n">
        <v>4064941176343</v>
      </c>
      <c r="B2991" t="inlineStr">
        <is>
          <t>KJ MU SPP LKIT SET 3ML 1.14G TAUPNUGL IV</t>
        </is>
      </c>
      <c r="C2991" t="inlineStr">
        <is>
          <t>P_US_ULTA</t>
        </is>
      </c>
      <c r="D2991" t="inlineStr">
        <is>
          <t>Stat Fcst TBATS</t>
        </is>
      </c>
    </row>
    <row r="2992">
      <c r="A2992" s="1" t="n">
        <v>4064941176343</v>
      </c>
      <c r="B2992" t="inlineStr">
        <is>
          <t>KJ MU SPP LKIT SET 3ML 1.14G TAUPNUGL IV</t>
        </is>
      </c>
      <c r="C2992" t="inlineStr">
        <is>
          <t>P_US_ULTA</t>
        </is>
      </c>
      <c r="D2992" t="inlineStr">
        <is>
          <t>Stat Fcst TES</t>
        </is>
      </c>
    </row>
    <row r="2993">
      <c r="A2993" s="1" t="n">
        <v>4064941176343</v>
      </c>
      <c r="B2993" t="inlineStr">
        <is>
          <t>KJ MU SPP LKIT SET 3ML 1.14G TAUPNUGL IV</t>
        </is>
      </c>
      <c r="C2993" t="inlineStr">
        <is>
          <t>P_US_ULTA</t>
        </is>
      </c>
      <c r="D2993" t="inlineStr">
        <is>
          <t>Stat Fcst Theta</t>
        </is>
      </c>
    </row>
    <row r="2994">
      <c r="A2994" s="1" t="n">
        <v>4064941176343</v>
      </c>
      <c r="B2994" t="inlineStr">
        <is>
          <t>KJ MU SPP LKIT SET 3ML 1.14G TAUPNUGL IV</t>
        </is>
      </c>
      <c r="C2994" t="inlineStr">
        <is>
          <t>P_US_ULTA</t>
        </is>
      </c>
      <c r="D2994" t="inlineStr">
        <is>
          <t>System ML Fcst L1</t>
        </is>
      </c>
    </row>
    <row r="2995">
      <c r="A2995" s="1" t="n">
        <v>4064941176343</v>
      </c>
      <c r="B2995" t="inlineStr">
        <is>
          <t>KJ MU SPP LKIT SET 3ML 1.14G TAUPNUGL IV</t>
        </is>
      </c>
      <c r="C2995" t="inlineStr">
        <is>
          <t>P_US_ULTA</t>
        </is>
      </c>
      <c r="D2995" t="inlineStr">
        <is>
          <t>Stat Fcst Simple Snaive</t>
        </is>
      </c>
    </row>
    <row r="2996">
      <c r="A2996" s="1" t="n">
        <v>4064941176343</v>
      </c>
      <c r="B2996" t="inlineStr">
        <is>
          <t>KJ MU SPP LKIT SET 3ML 1.14G TAUPNUGL IV</t>
        </is>
      </c>
      <c r="C2996" t="inlineStr">
        <is>
          <t>P_US_ULTA</t>
        </is>
      </c>
      <c r="D2996" t="inlineStr">
        <is>
          <t>Stat Fcst Simple AOA</t>
        </is>
      </c>
    </row>
    <row r="2997">
      <c r="A2997" s="1" t="n">
        <v>4064941176343</v>
      </c>
      <c r="B2997" t="inlineStr">
        <is>
          <t>KJ MU SPP LKIT SET 3ML 1.14G TAUPNUGL IV</t>
        </is>
      </c>
      <c r="C2997" t="inlineStr">
        <is>
          <t>P_US_ULTA</t>
        </is>
      </c>
      <c r="D2997" t="inlineStr">
        <is>
          <t>Stat Fcst Weighted Snaive</t>
        </is>
      </c>
    </row>
    <row r="2998">
      <c r="A2998" s="1" t="n">
        <v>4064941176343</v>
      </c>
      <c r="B2998" t="inlineStr">
        <is>
          <t>KJ MU SPP LKIT SET 3ML 1.14G TAUPNUGL IV</t>
        </is>
      </c>
      <c r="C2998" t="inlineStr">
        <is>
          <t>P_US_ULTA</t>
        </is>
      </c>
      <c r="D2998" t="inlineStr">
        <is>
          <t>Stat Fcst Weighted AOA</t>
        </is>
      </c>
    </row>
    <row r="2999">
      <c r="A2999" s="1" t="n">
        <v>4064941176343</v>
      </c>
      <c r="B2999" t="inlineStr">
        <is>
          <t>KJ MU SPP LKIT SET 3ML 1.14G TAUPNUGL IV</t>
        </is>
      </c>
      <c r="C2999" t="inlineStr">
        <is>
          <t>P_US_ULTA</t>
        </is>
      </c>
      <c r="D2999" t="inlineStr">
        <is>
          <t>Stat Fcst Growth Snaive</t>
        </is>
      </c>
    </row>
    <row r="3000">
      <c r="A3000" s="1" t="n">
        <v>4064941176343</v>
      </c>
      <c r="B3000" t="inlineStr">
        <is>
          <t>KJ MU SPP LKIT SET 3ML 1.14G TAUPNUGL IV</t>
        </is>
      </c>
      <c r="C3000" t="inlineStr">
        <is>
          <t>P_US_ULTA</t>
        </is>
      </c>
      <c r="D3000" t="inlineStr">
        <is>
          <t>Stat Fcst Growth AOA</t>
        </is>
      </c>
    </row>
    <row r="3001">
      <c r="A3001" s="1" t="n">
        <v>4064941176343</v>
      </c>
      <c r="B3001" t="inlineStr">
        <is>
          <t>KJ MU SPP LKIT SET 3ML 1.14G TAUPNUGL IV</t>
        </is>
      </c>
      <c r="C3001" t="inlineStr">
        <is>
          <t>P_US_ULTA</t>
        </is>
      </c>
      <c r="D3001" t="inlineStr">
        <is>
          <t>System Stat Fcst Bestfit</t>
        </is>
      </c>
      <c r="H3001" t="n">
        <v>4487.34361626673</v>
      </c>
      <c r="I3001" t="n">
        <v>4487.34378343331</v>
      </c>
      <c r="J3001" t="n">
        <v>4487.34361626673</v>
      </c>
      <c r="K3001" t="n">
        <v>4487.34361626673</v>
      </c>
      <c r="L3001" t="n">
        <v>4487.34375</v>
      </c>
      <c r="M3001" t="n">
        <v>4487.34361626673</v>
      </c>
      <c r="N3001" t="n">
        <v>4487.34381686663</v>
      </c>
      <c r="O3001" t="n">
        <v>4487.34361626673</v>
      </c>
      <c r="P3001" t="n">
        <v>4487.34378343331</v>
      </c>
    </row>
    <row r="3002">
      <c r="A3002" s="1" t="n">
        <v>4064941176350</v>
      </c>
      <c r="B3002" t="inlineStr">
        <is>
          <t>KJ MU SPP LKIT SET 3ML 1.14G KYL2.0GL IV</t>
        </is>
      </c>
      <c r="C3002" t="inlineStr">
        <is>
          <t>P_US_ALL_OTHERS</t>
        </is>
      </c>
      <c r="D3002" t="inlineStr">
        <is>
          <t>Stat Fcst L1</t>
        </is>
      </c>
      <c r="E3002" t="n">
        <v>531.999984145164</v>
      </c>
      <c r="F3002" t="n">
        <v>670.999980002641</v>
      </c>
      <c r="G3002" t="n">
        <v>505</v>
      </c>
      <c r="H3002" t="n">
        <v>514</v>
      </c>
      <c r="I3002" t="n">
        <v>514</v>
      </c>
      <c r="J3002" t="n">
        <v>514</v>
      </c>
      <c r="K3002" t="n">
        <v>514</v>
      </c>
      <c r="L3002" t="n">
        <v>516</v>
      </c>
      <c r="M3002" t="n">
        <v>514</v>
      </c>
      <c r="N3002" t="n">
        <v>515</v>
      </c>
      <c r="O3002" t="n">
        <v>514</v>
      </c>
      <c r="P3002" t="n">
        <v>514</v>
      </c>
    </row>
    <row r="3003">
      <c r="A3003" s="1" t="n">
        <v>4064941176350</v>
      </c>
      <c r="B3003" t="inlineStr">
        <is>
          <t>KJ MU SPP LKIT SET 3ML 1.14G KYL2.0GL IV</t>
        </is>
      </c>
      <c r="C3003" t="inlineStr">
        <is>
          <t>P_US_ALL_OTHERS</t>
        </is>
      </c>
      <c r="D3003" t="inlineStr">
        <is>
          <t>Stat Fcst AR-NNET</t>
        </is>
      </c>
    </row>
    <row r="3004">
      <c r="A3004" s="1" t="n">
        <v>4064941176350</v>
      </c>
      <c r="B3004" t="inlineStr">
        <is>
          <t>KJ MU SPP LKIT SET 3ML 1.14G KYL2.0GL IV</t>
        </is>
      </c>
      <c r="C3004" t="inlineStr">
        <is>
          <t>P_US_ALL_OTHERS</t>
        </is>
      </c>
      <c r="D3004" t="inlineStr">
        <is>
          <t>Stat Fcst Auto ARIMA</t>
        </is>
      </c>
    </row>
    <row r="3005">
      <c r="A3005" s="1" t="n">
        <v>4064941176350</v>
      </c>
      <c r="B3005" t="inlineStr">
        <is>
          <t>KJ MU SPP LKIT SET 3ML 1.14G KYL2.0GL IV</t>
        </is>
      </c>
      <c r="C3005" t="inlineStr">
        <is>
          <t>P_US_ALL_OTHERS</t>
        </is>
      </c>
      <c r="D3005" t="inlineStr">
        <is>
          <t>Stat Fcst Croston</t>
        </is>
      </c>
    </row>
    <row r="3006">
      <c r="A3006" s="1" t="n">
        <v>4064941176350</v>
      </c>
      <c r="B3006" t="inlineStr">
        <is>
          <t>KJ MU SPP LKIT SET 3ML 1.14G KYL2.0GL IV</t>
        </is>
      </c>
      <c r="C3006" t="inlineStr">
        <is>
          <t>P_US_ALL_OTHERS</t>
        </is>
      </c>
      <c r="D3006" t="inlineStr">
        <is>
          <t>Stat Fcst DES</t>
        </is>
      </c>
      <c r="E3006" t="n">
        <v>514.326312671448</v>
      </c>
      <c r="F3006" t="n">
        <v>514.327537154752</v>
      </c>
      <c r="G3006" t="n">
        <v>514.328394728458</v>
      </c>
      <c r="H3006" t="n">
        <v>514.328716438751</v>
      </c>
      <c r="I3006" t="n">
        <v>514.3289060342551</v>
      </c>
      <c r="J3006" t="n">
        <v>514.32897209164</v>
      </c>
      <c r="K3006" t="n">
        <v>514.329014700455</v>
      </c>
      <c r="L3006" t="n">
        <v>514.329051333062</v>
      </c>
      <c r="M3006" t="n">
        <v>514.329046657066</v>
      </c>
      <c r="N3006" t="n">
        <v>514.329074975469</v>
      </c>
      <c r="O3006" t="n">
        <v>514.329054646219</v>
      </c>
      <c r="P3006" t="n">
        <v>514.329075137995</v>
      </c>
    </row>
    <row r="3007">
      <c r="A3007" s="1" t="n">
        <v>4064941176350</v>
      </c>
      <c r="B3007" t="inlineStr">
        <is>
          <t>KJ MU SPP LKIT SET 3ML 1.14G KYL2.0GL IV</t>
        </is>
      </c>
      <c r="C3007" t="inlineStr">
        <is>
          <t>P_US_ALL_OTHERS</t>
        </is>
      </c>
      <c r="D3007" t="inlineStr">
        <is>
          <t>Stat Fcst ETS</t>
        </is>
      </c>
    </row>
    <row r="3008">
      <c r="A3008" s="1" t="n">
        <v>4064941176350</v>
      </c>
      <c r="B3008" t="inlineStr">
        <is>
          <t>KJ MU SPP LKIT SET 3ML 1.14G KYL2.0GL IV</t>
        </is>
      </c>
      <c r="C3008" t="inlineStr">
        <is>
          <t>P_US_ALL_OTHERS</t>
        </is>
      </c>
      <c r="D3008" t="inlineStr">
        <is>
          <t>Stat Fcst Moving Average</t>
        </is>
      </c>
      <c r="E3008" t="n">
        <v>664.33331862092</v>
      </c>
      <c r="F3008" t="n">
        <v>527.333322703838</v>
      </c>
      <c r="G3008" t="n">
        <v>478.670003566369</v>
      </c>
      <c r="H3008" t="n">
        <v>560.55998329401</v>
      </c>
      <c r="I3008" t="n">
        <v>570.080004247427</v>
      </c>
      <c r="J3008" t="n">
        <v>536.439984012842</v>
      </c>
      <c r="K3008" t="n">
        <v>555.689983439147</v>
      </c>
      <c r="L3008" t="n">
        <v>554.0700000000001</v>
      </c>
      <c r="M3008" t="n">
        <v>548.729983646571</v>
      </c>
      <c r="N3008" t="n">
        <v>552.830008237809</v>
      </c>
      <c r="O3008" t="n">
        <v>551.8799835526939</v>
      </c>
      <c r="P3008" t="n">
        <v>551.150004106387</v>
      </c>
    </row>
    <row r="3009">
      <c r="A3009" s="1" t="n">
        <v>4064941176350</v>
      </c>
      <c r="B3009" t="inlineStr">
        <is>
          <t>KJ MU SPP LKIT SET 3ML 1.14G KYL2.0GL IV</t>
        </is>
      </c>
      <c r="C3009" t="inlineStr">
        <is>
          <t>P_US_ALL_OTHERS</t>
        </is>
      </c>
      <c r="D3009" t="inlineStr">
        <is>
          <t>Stat Fcst Naive Random Walk</t>
        </is>
      </c>
    </row>
    <row r="3010">
      <c r="A3010" s="1" t="n">
        <v>4064941176350</v>
      </c>
      <c r="B3010" t="inlineStr">
        <is>
          <t>KJ MU SPP LKIT SET 3ML 1.14G KYL2.0GL IV</t>
        </is>
      </c>
      <c r="C3010" t="inlineStr">
        <is>
          <t>P_US_ALL_OTHERS</t>
        </is>
      </c>
      <c r="D3010" t="inlineStr">
        <is>
          <t>Stat Fcst Prophet</t>
        </is>
      </c>
    </row>
    <row r="3011">
      <c r="A3011" s="1" t="n">
        <v>4064941176350</v>
      </c>
      <c r="B3011" t="inlineStr">
        <is>
          <t>KJ MU SPP LKIT SET 3ML 1.14G KYL2.0GL IV</t>
        </is>
      </c>
      <c r="C3011" t="inlineStr">
        <is>
          <t>P_US_ALL_OTHERS</t>
        </is>
      </c>
      <c r="D3011" t="inlineStr">
        <is>
          <t>Stat Fcst sARIMA</t>
        </is>
      </c>
    </row>
    <row r="3012">
      <c r="A3012" s="1" t="n">
        <v>4064941176350</v>
      </c>
      <c r="B3012" t="inlineStr">
        <is>
          <t>KJ MU SPP LKIT SET 3ML 1.14G KYL2.0GL IV</t>
        </is>
      </c>
      <c r="C3012" t="inlineStr">
        <is>
          <t>P_US_ALL_OTHERS</t>
        </is>
      </c>
      <c r="D3012" t="inlineStr">
        <is>
          <t>Stat Fcst Seasonal Naive YoY</t>
        </is>
      </c>
    </row>
    <row r="3013">
      <c r="A3013" s="1" t="n">
        <v>4064941176350</v>
      </c>
      <c r="B3013" t="inlineStr">
        <is>
          <t>KJ MU SPP LKIT SET 3ML 1.14G KYL2.0GL IV</t>
        </is>
      </c>
      <c r="C3013" t="inlineStr">
        <is>
          <t>P_US_ALL_OTHERS</t>
        </is>
      </c>
      <c r="D3013" t="inlineStr">
        <is>
          <t>Stat Fcst SES</t>
        </is>
      </c>
      <c r="E3013" t="n">
        <v>510.121488540791</v>
      </c>
      <c r="F3013" t="n">
        <v>510.121510419287</v>
      </c>
      <c r="G3013" t="n">
        <v>510.12169030127</v>
      </c>
      <c r="H3013" t="n">
        <v>510.121671297756</v>
      </c>
      <c r="I3013" t="n">
        <v>510.12169030127</v>
      </c>
      <c r="J3013" t="n">
        <v>510.121671297756</v>
      </c>
      <c r="K3013" t="n">
        <v>510.121671297756</v>
      </c>
      <c r="L3013" t="n">
        <v>510.121686500567</v>
      </c>
      <c r="M3013" t="n">
        <v>510.121671297756</v>
      </c>
      <c r="N3013" t="n">
        <v>510.121694101973</v>
      </c>
      <c r="O3013" t="n">
        <v>510.121671297756</v>
      </c>
      <c r="P3013" t="n">
        <v>510.12169030127</v>
      </c>
    </row>
    <row r="3014">
      <c r="A3014" s="1" t="n">
        <v>4064941176350</v>
      </c>
      <c r="B3014" t="inlineStr">
        <is>
          <t>KJ MU SPP LKIT SET 3ML 1.14G KYL2.0GL IV</t>
        </is>
      </c>
      <c r="C3014" t="inlineStr">
        <is>
          <t>P_US_ALL_OTHERS</t>
        </is>
      </c>
      <c r="D3014" t="inlineStr">
        <is>
          <t>Stat Fcst STLF</t>
        </is>
      </c>
    </row>
    <row r="3015">
      <c r="A3015" s="1" t="n">
        <v>4064941176350</v>
      </c>
      <c r="B3015" t="inlineStr">
        <is>
          <t>KJ MU SPP LKIT SET 3ML 1.14G KYL2.0GL IV</t>
        </is>
      </c>
      <c r="C3015" t="inlineStr">
        <is>
          <t>P_US_ALL_OTHERS</t>
        </is>
      </c>
      <c r="D3015" t="inlineStr">
        <is>
          <t>Stat Fcst TBATS</t>
        </is>
      </c>
    </row>
    <row r="3016">
      <c r="A3016" s="1" t="n">
        <v>4064941176350</v>
      </c>
      <c r="B3016" t="inlineStr">
        <is>
          <t>KJ MU SPP LKIT SET 3ML 1.14G KYL2.0GL IV</t>
        </is>
      </c>
      <c r="C3016" t="inlineStr">
        <is>
          <t>P_US_ALL_OTHERS</t>
        </is>
      </c>
      <c r="D3016" t="inlineStr">
        <is>
          <t>Stat Fcst TES</t>
        </is>
      </c>
    </row>
    <row r="3017">
      <c r="A3017" s="1" t="n">
        <v>4064941176350</v>
      </c>
      <c r="B3017" t="inlineStr">
        <is>
          <t>KJ MU SPP LKIT SET 3ML 1.14G KYL2.0GL IV</t>
        </is>
      </c>
      <c r="C3017" t="inlineStr">
        <is>
          <t>P_US_ALL_OTHERS</t>
        </is>
      </c>
      <c r="D3017" t="inlineStr">
        <is>
          <t>Stat Fcst Theta</t>
        </is>
      </c>
    </row>
    <row r="3018">
      <c r="A3018" s="1" t="n">
        <v>4064941176350</v>
      </c>
      <c r="B3018" t="inlineStr">
        <is>
          <t>KJ MU SPP LKIT SET 3ML 1.14G KYL2.0GL IV</t>
        </is>
      </c>
      <c r="C3018" t="inlineStr">
        <is>
          <t>P_US_ALL_OTHERS</t>
        </is>
      </c>
      <c r="D3018" t="inlineStr">
        <is>
          <t>System ML Fcst L1</t>
        </is>
      </c>
    </row>
    <row r="3019">
      <c r="A3019" s="1" t="n">
        <v>4064941176350</v>
      </c>
      <c r="B3019" t="inlineStr">
        <is>
          <t>KJ MU SPP LKIT SET 3ML 1.14G KYL2.0GL IV</t>
        </is>
      </c>
      <c r="C3019" t="inlineStr">
        <is>
          <t>P_US_ALL_OTHERS</t>
        </is>
      </c>
      <c r="D3019" t="inlineStr">
        <is>
          <t>Stat Fcst Simple Snaive</t>
        </is>
      </c>
    </row>
    <row r="3020">
      <c r="A3020" s="1" t="n">
        <v>4064941176350</v>
      </c>
      <c r="B3020" t="inlineStr">
        <is>
          <t>KJ MU SPP LKIT SET 3ML 1.14G KYL2.0GL IV</t>
        </is>
      </c>
      <c r="C3020" t="inlineStr">
        <is>
          <t>P_US_ALL_OTHERS</t>
        </is>
      </c>
      <c r="D3020" t="inlineStr">
        <is>
          <t>Stat Fcst Simple AOA</t>
        </is>
      </c>
    </row>
    <row r="3021">
      <c r="A3021" s="1" t="n">
        <v>4064941176350</v>
      </c>
      <c r="B3021" t="inlineStr">
        <is>
          <t>KJ MU SPP LKIT SET 3ML 1.14G KYL2.0GL IV</t>
        </is>
      </c>
      <c r="C3021" t="inlineStr">
        <is>
          <t>P_US_ALL_OTHERS</t>
        </is>
      </c>
      <c r="D3021" t="inlineStr">
        <is>
          <t>Stat Fcst Weighted Snaive</t>
        </is>
      </c>
    </row>
    <row r="3022">
      <c r="A3022" s="1" t="n">
        <v>4064941176350</v>
      </c>
      <c r="B3022" t="inlineStr">
        <is>
          <t>KJ MU SPP LKIT SET 3ML 1.14G KYL2.0GL IV</t>
        </is>
      </c>
      <c r="C3022" t="inlineStr">
        <is>
          <t>P_US_ALL_OTHERS</t>
        </is>
      </c>
      <c r="D3022" t="inlineStr">
        <is>
          <t>Stat Fcst Weighted AOA</t>
        </is>
      </c>
    </row>
    <row r="3023">
      <c r="A3023" s="1" t="n">
        <v>4064941176350</v>
      </c>
      <c r="B3023" t="inlineStr">
        <is>
          <t>KJ MU SPP LKIT SET 3ML 1.14G KYL2.0GL IV</t>
        </is>
      </c>
      <c r="C3023" t="inlineStr">
        <is>
          <t>P_US_ALL_OTHERS</t>
        </is>
      </c>
      <c r="D3023" t="inlineStr">
        <is>
          <t>Stat Fcst Growth Snaive</t>
        </is>
      </c>
    </row>
    <row r="3024">
      <c r="A3024" s="1" t="n">
        <v>4064941176350</v>
      </c>
      <c r="B3024" t="inlineStr">
        <is>
          <t>KJ MU SPP LKIT SET 3ML 1.14G KYL2.0GL IV</t>
        </is>
      </c>
      <c r="C3024" t="inlineStr">
        <is>
          <t>P_US_ALL_OTHERS</t>
        </is>
      </c>
      <c r="D3024" t="inlineStr">
        <is>
          <t>Stat Fcst Growth AOA</t>
        </is>
      </c>
    </row>
    <row r="3025">
      <c r="A3025" s="1" t="n">
        <v>4064941176350</v>
      </c>
      <c r="B3025" t="inlineStr">
        <is>
          <t>KJ MU SPP LKIT SET 3ML 1.14G KYL2.0GL IV</t>
        </is>
      </c>
      <c r="C3025" t="inlineStr">
        <is>
          <t>P_US_ALL_OTHERS</t>
        </is>
      </c>
      <c r="D3025" t="inlineStr">
        <is>
          <t>System Stat Fcst Bestfit</t>
        </is>
      </c>
      <c r="H3025" t="n">
        <v>514.328720023371</v>
      </c>
      <c r="I3025" t="n">
        <v>514.32892228908</v>
      </c>
      <c r="J3025" t="n">
        <v>514.328964163989</v>
      </c>
      <c r="K3025" t="n">
        <v>514.328964163989</v>
      </c>
      <c r="L3025" t="n">
        <v>514.329040527343</v>
      </c>
      <c r="M3025" t="n">
        <v>514.329025199143</v>
      </c>
      <c r="N3025" t="n">
        <v>514.3291092266001</v>
      </c>
      <c r="O3025" t="n">
        <v>514.329025199143</v>
      </c>
      <c r="P3025" t="n">
        <v>514.32910539455</v>
      </c>
    </row>
    <row r="3026">
      <c r="A3026" s="1" t="n">
        <v>4064941176350</v>
      </c>
      <c r="B3026" t="inlineStr">
        <is>
          <t>KJ MU SPP LKIT SET 3ML 1.14G KYL2.0GL IV</t>
        </is>
      </c>
      <c r="C3026" t="inlineStr">
        <is>
          <t>P_US_ULTA</t>
        </is>
      </c>
      <c r="D3026" t="inlineStr">
        <is>
          <t>Stat Fcst L1</t>
        </is>
      </c>
      <c r="E3026" t="n">
        <v>6591.99980354309</v>
      </c>
      <c r="F3026" t="n">
        <v>4463.99986696243</v>
      </c>
      <c r="G3026" t="n">
        <v>6510</v>
      </c>
      <c r="H3026" t="n">
        <v>5624</v>
      </c>
      <c r="I3026" t="n">
        <v>5302</v>
      </c>
      <c r="J3026" t="n">
        <v>5580</v>
      </c>
      <c r="K3026" t="n">
        <v>5500</v>
      </c>
      <c r="L3026" t="n">
        <v>5460</v>
      </c>
      <c r="M3026" t="n">
        <v>5514</v>
      </c>
      <c r="N3026" t="n">
        <v>5490</v>
      </c>
      <c r="O3026" t="n">
        <v>5487</v>
      </c>
      <c r="P3026" t="n">
        <v>5499</v>
      </c>
    </row>
    <row r="3027">
      <c r="A3027" s="1" t="n">
        <v>4064941176350</v>
      </c>
      <c r="B3027" t="inlineStr">
        <is>
          <t>KJ MU SPP LKIT SET 3ML 1.14G KYL2.0GL IV</t>
        </is>
      </c>
      <c r="C3027" t="inlineStr">
        <is>
          <t>P_US_ULTA</t>
        </is>
      </c>
      <c r="D3027" t="inlineStr">
        <is>
          <t>Stat Fcst AR-NNET</t>
        </is>
      </c>
    </row>
    <row r="3028">
      <c r="A3028" s="1" t="n">
        <v>4064941176350</v>
      </c>
      <c r="B3028" t="inlineStr">
        <is>
          <t>KJ MU SPP LKIT SET 3ML 1.14G KYL2.0GL IV</t>
        </is>
      </c>
      <c r="C3028" t="inlineStr">
        <is>
          <t>P_US_ULTA</t>
        </is>
      </c>
      <c r="D3028" t="inlineStr">
        <is>
          <t>Stat Fcst Auto ARIMA</t>
        </is>
      </c>
    </row>
    <row r="3029">
      <c r="A3029" s="1" t="n">
        <v>4064941176350</v>
      </c>
      <c r="B3029" t="inlineStr">
        <is>
          <t>KJ MU SPP LKIT SET 3ML 1.14G KYL2.0GL IV</t>
        </is>
      </c>
      <c r="C3029" t="inlineStr">
        <is>
          <t>P_US_ULTA</t>
        </is>
      </c>
      <c r="D3029" t="inlineStr">
        <is>
          <t>Stat Fcst Croston</t>
        </is>
      </c>
    </row>
    <row r="3030">
      <c r="A3030" s="1" t="n">
        <v>4064941176350</v>
      </c>
      <c r="B3030" t="inlineStr">
        <is>
          <t>KJ MU SPP LKIT SET 3ML 1.14G KYL2.0GL IV</t>
        </is>
      </c>
      <c r="C3030" t="inlineStr">
        <is>
          <t>P_US_ULTA</t>
        </is>
      </c>
      <c r="D3030" t="inlineStr">
        <is>
          <t>Stat Fcst DES</t>
        </is>
      </c>
      <c r="E3030" t="n">
        <v>6851.52945430032</v>
      </c>
      <c r="F3030" t="n">
        <v>6870.73872903139</v>
      </c>
      <c r="G3030" t="n">
        <v>6695.75138232369</v>
      </c>
      <c r="H3030" t="n">
        <v>6608.25853818501</v>
      </c>
      <c r="I3030" t="n">
        <v>6564.5124853809</v>
      </c>
      <c r="J3030" t="n">
        <v>6542.63909215813</v>
      </c>
      <c r="K3030" t="n">
        <v>6531.70251782031</v>
      </c>
      <c r="L3030" t="n">
        <v>6526.23442514835</v>
      </c>
      <c r="M3030" t="n">
        <v>6523.50008706695</v>
      </c>
      <c r="N3030" t="n">
        <v>6522.1333068368</v>
      </c>
      <c r="O3030" t="n">
        <v>6521.44947937862</v>
      </c>
      <c r="P3030" t="n">
        <v>6521.10795436076</v>
      </c>
    </row>
    <row r="3031">
      <c r="A3031" s="1" t="n">
        <v>4064941176350</v>
      </c>
      <c r="B3031" t="inlineStr">
        <is>
          <t>KJ MU SPP LKIT SET 3ML 1.14G KYL2.0GL IV</t>
        </is>
      </c>
      <c r="C3031" t="inlineStr">
        <is>
          <t>P_US_ULTA</t>
        </is>
      </c>
      <c r="D3031" t="inlineStr">
        <is>
          <t>Stat Fcst ETS</t>
        </is>
      </c>
    </row>
    <row r="3032">
      <c r="A3032" s="1" t="n">
        <v>4064941176350</v>
      </c>
      <c r="B3032" t="inlineStr">
        <is>
          <t>KJ MU SPP LKIT SET 3ML 1.14G KYL2.0GL IV</t>
        </is>
      </c>
      <c r="C3032" t="inlineStr">
        <is>
          <t>P_US_ULTA</t>
        </is>
      </c>
      <c r="D3032" t="inlineStr">
        <is>
          <t>Stat Fcst Moving Average</t>
        </is>
      </c>
      <c r="E3032" t="n">
        <v>7279.99978303909</v>
      </c>
      <c r="F3032" t="n">
        <v>6549.33313814798</v>
      </c>
      <c r="G3032" t="n">
        <v>5813.33004331268</v>
      </c>
      <c r="H3032" t="n">
        <v>5623.10983241826</v>
      </c>
      <c r="I3032" t="n">
        <v>5300.15003948919</v>
      </c>
      <c r="J3032" t="n">
        <v>5578.85983373701</v>
      </c>
      <c r="K3032" t="n">
        <v>5500.70983606606</v>
      </c>
      <c r="L3032" t="n">
        <v>5459.91</v>
      </c>
      <c r="M3032" t="n">
        <v>5513.15983569502</v>
      </c>
      <c r="N3032" t="n">
        <v>5491.26008182615</v>
      </c>
      <c r="O3032" t="n">
        <v>5488.10983644157</v>
      </c>
      <c r="P3032" t="n">
        <v>5497.51004095964</v>
      </c>
    </row>
    <row r="3033">
      <c r="A3033" s="1" t="n">
        <v>4064941176350</v>
      </c>
      <c r="B3033" t="inlineStr">
        <is>
          <t>KJ MU SPP LKIT SET 3ML 1.14G KYL2.0GL IV</t>
        </is>
      </c>
      <c r="C3033" t="inlineStr">
        <is>
          <t>P_US_ULTA</t>
        </is>
      </c>
      <c r="D3033" t="inlineStr">
        <is>
          <t>Stat Fcst Naive Random Walk</t>
        </is>
      </c>
    </row>
    <row r="3034">
      <c r="A3034" s="1" t="n">
        <v>4064941176350</v>
      </c>
      <c r="B3034" t="inlineStr">
        <is>
          <t>KJ MU SPP LKIT SET 3ML 1.14G KYL2.0GL IV</t>
        </is>
      </c>
      <c r="C3034" t="inlineStr">
        <is>
          <t>P_US_ULTA</t>
        </is>
      </c>
      <c r="D3034" t="inlineStr">
        <is>
          <t>Stat Fcst Prophet</t>
        </is>
      </c>
    </row>
    <row r="3035">
      <c r="A3035" s="1" t="n">
        <v>4064941176350</v>
      </c>
      <c r="B3035" t="inlineStr">
        <is>
          <t>KJ MU SPP LKIT SET 3ML 1.14G KYL2.0GL IV</t>
        </is>
      </c>
      <c r="C3035" t="inlineStr">
        <is>
          <t>P_US_ULTA</t>
        </is>
      </c>
      <c r="D3035" t="inlineStr">
        <is>
          <t>Stat Fcst sARIMA</t>
        </is>
      </c>
    </row>
    <row r="3036">
      <c r="A3036" s="1" t="n">
        <v>4064941176350</v>
      </c>
      <c r="B3036" t="inlineStr">
        <is>
          <t>KJ MU SPP LKIT SET 3ML 1.14G KYL2.0GL IV</t>
        </is>
      </c>
      <c r="C3036" t="inlineStr">
        <is>
          <t>P_US_ULTA</t>
        </is>
      </c>
      <c r="D3036" t="inlineStr">
        <is>
          <t>Stat Fcst Seasonal Naive YoY</t>
        </is>
      </c>
    </row>
    <row r="3037">
      <c r="A3037" s="1" t="n">
        <v>4064941176350</v>
      </c>
      <c r="B3037" t="inlineStr">
        <is>
          <t>KJ MU SPP LKIT SET 3ML 1.14G KYL2.0GL IV</t>
        </is>
      </c>
      <c r="C3037" t="inlineStr">
        <is>
          <t>P_US_ULTA</t>
        </is>
      </c>
      <c r="D3037" t="inlineStr">
        <is>
          <t>Stat Fcst SES</t>
        </is>
      </c>
      <c r="E3037" t="n">
        <v>6689.21687001033</v>
      </c>
      <c r="F3037" t="n">
        <v>6674.20253516147</v>
      </c>
      <c r="G3037" t="n">
        <v>6332.85609039716</v>
      </c>
      <c r="H3037" t="n">
        <v>6332.85585447989</v>
      </c>
      <c r="I3037" t="n">
        <v>6332.85609039716</v>
      </c>
      <c r="J3037" t="n">
        <v>6332.85585447989</v>
      </c>
      <c r="K3037" t="n">
        <v>6332.85585447989</v>
      </c>
      <c r="L3037" t="n">
        <v>6332.85604321371</v>
      </c>
      <c r="M3037" t="n">
        <v>6332.85585447989</v>
      </c>
      <c r="N3037" t="n">
        <v>6332.85613758062</v>
      </c>
      <c r="O3037" t="n">
        <v>6332.85585447989</v>
      </c>
      <c r="P3037" t="n">
        <v>6332.85609039716</v>
      </c>
    </row>
    <row r="3038">
      <c r="A3038" s="1" t="n">
        <v>4064941176350</v>
      </c>
      <c r="B3038" t="inlineStr">
        <is>
          <t>KJ MU SPP LKIT SET 3ML 1.14G KYL2.0GL IV</t>
        </is>
      </c>
      <c r="C3038" t="inlineStr">
        <is>
          <t>P_US_ULTA</t>
        </is>
      </c>
      <c r="D3038" t="inlineStr">
        <is>
          <t>Stat Fcst STLF</t>
        </is>
      </c>
    </row>
    <row r="3039">
      <c r="A3039" s="1" t="n">
        <v>4064941176350</v>
      </c>
      <c r="B3039" t="inlineStr">
        <is>
          <t>KJ MU SPP LKIT SET 3ML 1.14G KYL2.0GL IV</t>
        </is>
      </c>
      <c r="C3039" t="inlineStr">
        <is>
          <t>P_US_ULTA</t>
        </is>
      </c>
      <c r="D3039" t="inlineStr">
        <is>
          <t>Stat Fcst TBATS</t>
        </is>
      </c>
    </row>
    <row r="3040">
      <c r="A3040" s="1" t="n">
        <v>4064941176350</v>
      </c>
      <c r="B3040" t="inlineStr">
        <is>
          <t>KJ MU SPP LKIT SET 3ML 1.14G KYL2.0GL IV</t>
        </is>
      </c>
      <c r="C3040" t="inlineStr">
        <is>
          <t>P_US_ULTA</t>
        </is>
      </c>
      <c r="D3040" t="inlineStr">
        <is>
          <t>Stat Fcst TES</t>
        </is>
      </c>
    </row>
    <row r="3041">
      <c r="A3041" s="1" t="n">
        <v>4064941176350</v>
      </c>
      <c r="B3041" t="inlineStr">
        <is>
          <t>KJ MU SPP LKIT SET 3ML 1.14G KYL2.0GL IV</t>
        </is>
      </c>
      <c r="C3041" t="inlineStr">
        <is>
          <t>P_US_ULTA</t>
        </is>
      </c>
      <c r="D3041" t="inlineStr">
        <is>
          <t>Stat Fcst Theta</t>
        </is>
      </c>
    </row>
    <row r="3042">
      <c r="A3042" s="1" t="n">
        <v>4064941176350</v>
      </c>
      <c r="B3042" t="inlineStr">
        <is>
          <t>KJ MU SPP LKIT SET 3ML 1.14G KYL2.0GL IV</t>
        </is>
      </c>
      <c r="C3042" t="inlineStr">
        <is>
          <t>P_US_ULTA</t>
        </is>
      </c>
      <c r="D3042" t="inlineStr">
        <is>
          <t>System ML Fcst L1</t>
        </is>
      </c>
    </row>
    <row r="3043">
      <c r="A3043" s="1" t="n">
        <v>4064941176350</v>
      </c>
      <c r="B3043" t="inlineStr">
        <is>
          <t>KJ MU SPP LKIT SET 3ML 1.14G KYL2.0GL IV</t>
        </is>
      </c>
      <c r="C3043" t="inlineStr">
        <is>
          <t>P_US_ULTA</t>
        </is>
      </c>
      <c r="D3043" t="inlineStr">
        <is>
          <t>Stat Fcst Simple Snaive</t>
        </is>
      </c>
    </row>
    <row r="3044">
      <c r="A3044" s="1" t="n">
        <v>4064941176350</v>
      </c>
      <c r="B3044" t="inlineStr">
        <is>
          <t>KJ MU SPP LKIT SET 3ML 1.14G KYL2.0GL IV</t>
        </is>
      </c>
      <c r="C3044" t="inlineStr">
        <is>
          <t>P_US_ULTA</t>
        </is>
      </c>
      <c r="D3044" t="inlineStr">
        <is>
          <t>Stat Fcst Simple AOA</t>
        </is>
      </c>
    </row>
    <row r="3045">
      <c r="A3045" s="1" t="n">
        <v>4064941176350</v>
      </c>
      <c r="B3045" t="inlineStr">
        <is>
          <t>KJ MU SPP LKIT SET 3ML 1.14G KYL2.0GL IV</t>
        </is>
      </c>
      <c r="C3045" t="inlineStr">
        <is>
          <t>P_US_ULTA</t>
        </is>
      </c>
      <c r="D3045" t="inlineStr">
        <is>
          <t>Stat Fcst Weighted Snaive</t>
        </is>
      </c>
    </row>
    <row r="3046">
      <c r="A3046" s="1" t="n">
        <v>4064941176350</v>
      </c>
      <c r="B3046" t="inlineStr">
        <is>
          <t>KJ MU SPP LKIT SET 3ML 1.14G KYL2.0GL IV</t>
        </is>
      </c>
      <c r="C3046" t="inlineStr">
        <is>
          <t>P_US_ULTA</t>
        </is>
      </c>
      <c r="D3046" t="inlineStr">
        <is>
          <t>Stat Fcst Weighted AOA</t>
        </is>
      </c>
    </row>
    <row r="3047">
      <c r="A3047" s="1" t="n">
        <v>4064941176350</v>
      </c>
      <c r="B3047" t="inlineStr">
        <is>
          <t>KJ MU SPP LKIT SET 3ML 1.14G KYL2.0GL IV</t>
        </is>
      </c>
      <c r="C3047" t="inlineStr">
        <is>
          <t>P_US_ULTA</t>
        </is>
      </c>
      <c r="D3047" t="inlineStr">
        <is>
          <t>Stat Fcst Growth Snaive</t>
        </is>
      </c>
    </row>
    <row r="3048">
      <c r="A3048" s="1" t="n">
        <v>4064941176350</v>
      </c>
      <c r="B3048" t="inlineStr">
        <is>
          <t>KJ MU SPP LKIT SET 3ML 1.14G KYL2.0GL IV</t>
        </is>
      </c>
      <c r="C3048" t="inlineStr">
        <is>
          <t>P_US_ULTA</t>
        </is>
      </c>
      <c r="D3048" t="inlineStr">
        <is>
          <t>Stat Fcst Growth AOA</t>
        </is>
      </c>
    </row>
    <row r="3049">
      <c r="A3049" s="1" t="n">
        <v>4064941176350</v>
      </c>
      <c r="B3049" t="inlineStr">
        <is>
          <t>KJ MU SPP LKIT SET 3ML 1.14G KYL2.0GL IV</t>
        </is>
      </c>
      <c r="C3049" t="inlineStr">
        <is>
          <t>P_US_ULTA</t>
        </is>
      </c>
      <c r="D3049" t="inlineStr">
        <is>
          <t>System Stat Fcst Bestfit</t>
        </is>
      </c>
      <c r="H3049" t="n">
        <v>5623.10969569951</v>
      </c>
      <c r="I3049" t="n">
        <v>5300.14994183294</v>
      </c>
      <c r="J3049" t="n">
        <v>5578.85969701827</v>
      </c>
      <c r="K3049" t="n">
        <v>5500.70979700356</v>
      </c>
      <c r="L3049" t="n">
        <v>5459.91015625</v>
      </c>
      <c r="M3049" t="n">
        <v>5513.15999194502</v>
      </c>
      <c r="N3049" t="n">
        <v>5491.25984745114</v>
      </c>
      <c r="O3049" t="n">
        <v>5488.10969972283</v>
      </c>
      <c r="P3049" t="n">
        <v>5497.51029486589</v>
      </c>
    </row>
    <row r="3050">
      <c r="A3050" s="1" t="n">
        <v>4064941176374</v>
      </c>
      <c r="B3050" t="inlineStr">
        <is>
          <t>KJ MU SPP LKIT SET 3ML 1.14G DOLC KGL IV</t>
        </is>
      </c>
      <c r="C3050" t="inlineStr">
        <is>
          <t>P_US_ALL_OTHERS</t>
        </is>
      </c>
      <c r="D3050" t="inlineStr">
        <is>
          <t>Stat Fcst L1</t>
        </is>
      </c>
      <c r="E3050" t="n">
        <v>178.999994665384</v>
      </c>
      <c r="F3050" t="n">
        <v>330.999990135431</v>
      </c>
      <c r="G3050" t="n">
        <v>356</v>
      </c>
      <c r="H3050" t="n">
        <v>350</v>
      </c>
      <c r="I3050" t="n">
        <v>352</v>
      </c>
      <c r="J3050" t="n">
        <v>350</v>
      </c>
      <c r="K3050" t="n">
        <v>350</v>
      </c>
      <c r="L3050" t="n">
        <v>352</v>
      </c>
      <c r="M3050" t="n">
        <v>350</v>
      </c>
      <c r="N3050" t="n">
        <v>352</v>
      </c>
      <c r="O3050" t="n">
        <v>350</v>
      </c>
      <c r="P3050" t="n">
        <v>351</v>
      </c>
    </row>
    <row r="3051">
      <c r="A3051" s="1" t="n">
        <v>4064941176374</v>
      </c>
      <c r="B3051" t="inlineStr">
        <is>
          <t>KJ MU SPP LKIT SET 3ML 1.14G DOLC KGL IV</t>
        </is>
      </c>
      <c r="C3051" t="inlineStr">
        <is>
          <t>P_US_ALL_OTHERS</t>
        </is>
      </c>
      <c r="D3051" t="inlineStr">
        <is>
          <t>Stat Fcst AR-NNET</t>
        </is>
      </c>
    </row>
    <row r="3052">
      <c r="A3052" s="1" t="n">
        <v>4064941176374</v>
      </c>
      <c r="B3052" t="inlineStr">
        <is>
          <t>KJ MU SPP LKIT SET 3ML 1.14G DOLC KGL IV</t>
        </is>
      </c>
      <c r="C3052" t="inlineStr">
        <is>
          <t>P_US_ALL_OTHERS</t>
        </is>
      </c>
      <c r="D3052" t="inlineStr">
        <is>
          <t>Stat Fcst Auto ARIMA</t>
        </is>
      </c>
    </row>
    <row r="3053">
      <c r="A3053" s="1" t="n">
        <v>4064941176374</v>
      </c>
      <c r="B3053" t="inlineStr">
        <is>
          <t>KJ MU SPP LKIT SET 3ML 1.14G DOLC KGL IV</t>
        </is>
      </c>
      <c r="C3053" t="inlineStr">
        <is>
          <t>P_US_ALL_OTHERS</t>
        </is>
      </c>
      <c r="D3053" t="inlineStr">
        <is>
          <t>Stat Fcst Croston</t>
        </is>
      </c>
    </row>
    <row r="3054">
      <c r="A3054" s="1" t="n">
        <v>4064941176374</v>
      </c>
      <c r="B3054" t="inlineStr">
        <is>
          <t>KJ MU SPP LKIT SET 3ML 1.14G DOLC KGL IV</t>
        </is>
      </c>
      <c r="C3054" t="inlineStr">
        <is>
          <t>P_US_ALL_OTHERS</t>
        </is>
      </c>
      <c r="D3054" t="inlineStr">
        <is>
          <t>Stat Fcst DES</t>
        </is>
      </c>
      <c r="E3054" t="n">
        <v>370.008177398132</v>
      </c>
      <c r="F3054" t="n">
        <v>370.007940557501</v>
      </c>
      <c r="G3054" t="n">
        <v>370.007898365342</v>
      </c>
      <c r="H3054" t="n">
        <v>370.007881187858</v>
      </c>
      <c r="I3054" t="n">
        <v>370.007894293003</v>
      </c>
      <c r="J3054" t="n">
        <v>370.007880373391</v>
      </c>
      <c r="K3054" t="n">
        <v>370.007880346242</v>
      </c>
      <c r="L3054" t="n">
        <v>370.007891367906</v>
      </c>
      <c r="M3054" t="n">
        <v>370.007880339726</v>
      </c>
      <c r="N3054" t="n">
        <v>370.007896880151</v>
      </c>
      <c r="O3054" t="n">
        <v>370.007880339465</v>
      </c>
      <c r="P3054" t="n">
        <v>370.007894123325</v>
      </c>
    </row>
    <row r="3055">
      <c r="A3055" s="1" t="n">
        <v>4064941176374</v>
      </c>
      <c r="B3055" t="inlineStr">
        <is>
          <t>KJ MU SPP LKIT SET 3ML 1.14G DOLC KGL IV</t>
        </is>
      </c>
      <c r="C3055" t="inlineStr">
        <is>
          <t>P_US_ALL_OTHERS</t>
        </is>
      </c>
      <c r="D3055" t="inlineStr">
        <is>
          <t>Stat Fcst ETS</t>
        </is>
      </c>
    </row>
    <row r="3056">
      <c r="A3056" s="1" t="n">
        <v>4064941176374</v>
      </c>
      <c r="B3056" t="inlineStr">
        <is>
          <t>KJ MU SPP LKIT SET 3ML 1.14G DOLC KGL IV</t>
        </is>
      </c>
      <c r="C3056" t="inlineStr">
        <is>
          <t>P_US_ALL_OTHERS</t>
        </is>
      </c>
      <c r="D3056" t="inlineStr">
        <is>
          <t>Stat Fcst Moving Average</t>
        </is>
      </c>
      <c r="E3056" t="n">
        <v>339.666646371285</v>
      </c>
      <c r="F3056" t="n">
        <v>264.666643520196</v>
      </c>
      <c r="G3056" t="n">
        <v>223.000001661479</v>
      </c>
      <c r="H3056" t="n">
        <v>244.329992718398</v>
      </c>
      <c r="I3056" t="n">
        <v>266.110001982674</v>
      </c>
      <c r="J3056" t="n">
        <v>244.479992713928</v>
      </c>
      <c r="K3056" t="n">
        <v>251.639992500543</v>
      </c>
      <c r="L3056" t="n">
        <v>254.08</v>
      </c>
      <c r="M3056" t="n">
        <v>250.069992547333</v>
      </c>
      <c r="N3056" t="n">
        <v>251.930003754049</v>
      </c>
      <c r="O3056" t="n">
        <v>252.02999248892</v>
      </c>
      <c r="P3056" t="n">
        <v>251.340001872628</v>
      </c>
    </row>
    <row r="3057">
      <c r="A3057" s="1" t="n">
        <v>4064941176374</v>
      </c>
      <c r="B3057" t="inlineStr">
        <is>
          <t>KJ MU SPP LKIT SET 3ML 1.14G DOLC KGL IV</t>
        </is>
      </c>
      <c r="C3057" t="inlineStr">
        <is>
          <t>P_US_ALL_OTHERS</t>
        </is>
      </c>
      <c r="D3057" t="inlineStr">
        <is>
          <t>Stat Fcst Naive Random Walk</t>
        </is>
      </c>
    </row>
    <row r="3058">
      <c r="A3058" s="1" t="n">
        <v>4064941176374</v>
      </c>
      <c r="B3058" t="inlineStr">
        <is>
          <t>KJ MU SPP LKIT SET 3ML 1.14G DOLC KGL IV</t>
        </is>
      </c>
      <c r="C3058" t="inlineStr">
        <is>
          <t>P_US_ALL_OTHERS</t>
        </is>
      </c>
      <c r="D3058" t="inlineStr">
        <is>
          <t>Stat Fcst Prophet</t>
        </is>
      </c>
    </row>
    <row r="3059">
      <c r="A3059" s="1" t="n">
        <v>4064941176374</v>
      </c>
      <c r="B3059" t="inlineStr">
        <is>
          <t>KJ MU SPP LKIT SET 3ML 1.14G DOLC KGL IV</t>
        </is>
      </c>
      <c r="C3059" t="inlineStr">
        <is>
          <t>P_US_ALL_OTHERS</t>
        </is>
      </c>
      <c r="D3059" t="inlineStr">
        <is>
          <t>Stat Fcst sARIMA</t>
        </is>
      </c>
    </row>
    <row r="3060">
      <c r="A3060" s="1" t="n">
        <v>4064941176374</v>
      </c>
      <c r="B3060" t="inlineStr">
        <is>
          <t>KJ MU SPP LKIT SET 3ML 1.14G DOLC KGL IV</t>
        </is>
      </c>
      <c r="C3060" t="inlineStr">
        <is>
          <t>P_US_ALL_OTHERS</t>
        </is>
      </c>
      <c r="D3060" t="inlineStr">
        <is>
          <t>Stat Fcst Seasonal Naive YoY</t>
        </is>
      </c>
    </row>
    <row r="3061">
      <c r="A3061" s="1" t="n">
        <v>4064941176374</v>
      </c>
      <c r="B3061" t="inlineStr">
        <is>
          <t>KJ MU SPP LKIT SET 3ML 1.14G DOLC KGL IV</t>
        </is>
      </c>
      <c r="C3061" t="inlineStr">
        <is>
          <t>P_US_ALL_OTHERS</t>
        </is>
      </c>
      <c r="D3061" t="inlineStr">
        <is>
          <t>Stat Fcst SES</t>
        </is>
      </c>
      <c r="E3061" t="n">
        <v>351.853529695973</v>
      </c>
      <c r="F3061" t="n">
        <v>351.853356842422</v>
      </c>
      <c r="G3061" t="n">
        <v>351.853349096614</v>
      </c>
      <c r="H3061" t="n">
        <v>351.853335989056</v>
      </c>
      <c r="I3061" t="n">
        <v>351.853349096614</v>
      </c>
      <c r="J3061" t="n">
        <v>351.853335989056</v>
      </c>
      <c r="K3061" t="n">
        <v>351.853335989056</v>
      </c>
      <c r="L3061" t="n">
        <v>351.853346475103</v>
      </c>
      <c r="M3061" t="n">
        <v>351.853335989056</v>
      </c>
      <c r="N3061" t="n">
        <v>351.853351718126</v>
      </c>
      <c r="O3061" t="n">
        <v>351.853335989056</v>
      </c>
      <c r="P3061" t="n">
        <v>351.853349096614</v>
      </c>
    </row>
    <row r="3062">
      <c r="A3062" s="1" t="n">
        <v>4064941176374</v>
      </c>
      <c r="B3062" t="inlineStr">
        <is>
          <t>KJ MU SPP LKIT SET 3ML 1.14G DOLC KGL IV</t>
        </is>
      </c>
      <c r="C3062" t="inlineStr">
        <is>
          <t>P_US_ALL_OTHERS</t>
        </is>
      </c>
      <c r="D3062" t="inlineStr">
        <is>
          <t>Stat Fcst STLF</t>
        </is>
      </c>
    </row>
    <row r="3063">
      <c r="A3063" s="1" t="n">
        <v>4064941176374</v>
      </c>
      <c r="B3063" t="inlineStr">
        <is>
          <t>KJ MU SPP LKIT SET 3ML 1.14G DOLC KGL IV</t>
        </is>
      </c>
      <c r="C3063" t="inlineStr">
        <is>
          <t>P_US_ALL_OTHERS</t>
        </is>
      </c>
      <c r="D3063" t="inlineStr">
        <is>
          <t>Stat Fcst TBATS</t>
        </is>
      </c>
    </row>
    <row r="3064">
      <c r="A3064" s="1" t="n">
        <v>4064941176374</v>
      </c>
      <c r="B3064" t="inlineStr">
        <is>
          <t>KJ MU SPP LKIT SET 3ML 1.14G DOLC KGL IV</t>
        </is>
      </c>
      <c r="C3064" t="inlineStr">
        <is>
          <t>P_US_ALL_OTHERS</t>
        </is>
      </c>
      <c r="D3064" t="inlineStr">
        <is>
          <t>Stat Fcst TES</t>
        </is>
      </c>
    </row>
    <row r="3065">
      <c r="A3065" s="1" t="n">
        <v>4064941176374</v>
      </c>
      <c r="B3065" t="inlineStr">
        <is>
          <t>KJ MU SPP LKIT SET 3ML 1.14G DOLC KGL IV</t>
        </is>
      </c>
      <c r="C3065" t="inlineStr">
        <is>
          <t>P_US_ALL_OTHERS</t>
        </is>
      </c>
      <c r="D3065" t="inlineStr">
        <is>
          <t>Stat Fcst Theta</t>
        </is>
      </c>
    </row>
    <row r="3066">
      <c r="A3066" s="1" t="n">
        <v>4064941176374</v>
      </c>
      <c r="B3066" t="inlineStr">
        <is>
          <t>KJ MU SPP LKIT SET 3ML 1.14G DOLC KGL IV</t>
        </is>
      </c>
      <c r="C3066" t="inlineStr">
        <is>
          <t>P_US_ALL_OTHERS</t>
        </is>
      </c>
      <c r="D3066" t="inlineStr">
        <is>
          <t>System ML Fcst L1</t>
        </is>
      </c>
    </row>
    <row r="3067">
      <c r="A3067" s="1" t="n">
        <v>4064941176374</v>
      </c>
      <c r="B3067" t="inlineStr">
        <is>
          <t>KJ MU SPP LKIT SET 3ML 1.14G DOLC KGL IV</t>
        </is>
      </c>
      <c r="C3067" t="inlineStr">
        <is>
          <t>P_US_ALL_OTHERS</t>
        </is>
      </c>
      <c r="D3067" t="inlineStr">
        <is>
          <t>Stat Fcst Simple Snaive</t>
        </is>
      </c>
    </row>
    <row r="3068">
      <c r="A3068" s="1" t="n">
        <v>4064941176374</v>
      </c>
      <c r="B3068" t="inlineStr">
        <is>
          <t>KJ MU SPP LKIT SET 3ML 1.14G DOLC KGL IV</t>
        </is>
      </c>
      <c r="C3068" t="inlineStr">
        <is>
          <t>P_US_ALL_OTHERS</t>
        </is>
      </c>
      <c r="D3068" t="inlineStr">
        <is>
          <t>Stat Fcst Simple AOA</t>
        </is>
      </c>
    </row>
    <row r="3069">
      <c r="A3069" s="1" t="n">
        <v>4064941176374</v>
      </c>
      <c r="B3069" t="inlineStr">
        <is>
          <t>KJ MU SPP LKIT SET 3ML 1.14G DOLC KGL IV</t>
        </is>
      </c>
      <c r="C3069" t="inlineStr">
        <is>
          <t>P_US_ALL_OTHERS</t>
        </is>
      </c>
      <c r="D3069" t="inlineStr">
        <is>
          <t>Stat Fcst Weighted Snaive</t>
        </is>
      </c>
    </row>
    <row r="3070">
      <c r="A3070" s="1" t="n">
        <v>4064941176374</v>
      </c>
      <c r="B3070" t="inlineStr">
        <is>
          <t>KJ MU SPP LKIT SET 3ML 1.14G DOLC KGL IV</t>
        </is>
      </c>
      <c r="C3070" t="inlineStr">
        <is>
          <t>P_US_ALL_OTHERS</t>
        </is>
      </c>
      <c r="D3070" t="inlineStr">
        <is>
          <t>Stat Fcst Weighted AOA</t>
        </is>
      </c>
    </row>
    <row r="3071">
      <c r="A3071" s="1" t="n">
        <v>4064941176374</v>
      </c>
      <c r="B3071" t="inlineStr">
        <is>
          <t>KJ MU SPP LKIT SET 3ML 1.14G DOLC KGL IV</t>
        </is>
      </c>
      <c r="C3071" t="inlineStr">
        <is>
          <t>P_US_ALL_OTHERS</t>
        </is>
      </c>
      <c r="D3071" t="inlineStr">
        <is>
          <t>Stat Fcst Growth Snaive</t>
        </is>
      </c>
    </row>
    <row r="3072">
      <c r="A3072" s="1" t="n">
        <v>4064941176374</v>
      </c>
      <c r="B3072" t="inlineStr">
        <is>
          <t>KJ MU SPP LKIT SET 3ML 1.14G DOLC KGL IV</t>
        </is>
      </c>
      <c r="C3072" t="inlineStr">
        <is>
          <t>P_US_ALL_OTHERS</t>
        </is>
      </c>
      <c r="D3072" t="inlineStr">
        <is>
          <t>Stat Fcst Growth AOA</t>
        </is>
      </c>
    </row>
    <row r="3073">
      <c r="A3073" s="1" t="n">
        <v>4064941176374</v>
      </c>
      <c r="B3073" t="inlineStr">
        <is>
          <t>KJ MU SPP LKIT SET 3ML 1.14G DOLC KGL IV</t>
        </is>
      </c>
      <c r="C3073" t="inlineStr">
        <is>
          <t>P_US_ALL_OTHERS</t>
        </is>
      </c>
      <c r="D3073" t="inlineStr">
        <is>
          <t>System Stat Fcst Bestfit</t>
        </is>
      </c>
      <c r="H3073" t="n">
        <v>351.853322033484</v>
      </c>
      <c r="I3073" t="n">
        <v>351.853335141042</v>
      </c>
      <c r="J3073" t="n">
        <v>351.853322033484</v>
      </c>
      <c r="K3073" t="n">
        <v>351.853322033484</v>
      </c>
      <c r="L3073" t="n">
        <v>351.853332519531</v>
      </c>
      <c r="M3073" t="n">
        <v>351.853322033484</v>
      </c>
      <c r="N3073" t="n">
        <v>351.853337762554</v>
      </c>
      <c r="O3073" t="n">
        <v>351.853322033484</v>
      </c>
      <c r="P3073" t="n">
        <v>351.853365658621</v>
      </c>
    </row>
    <row r="3074">
      <c r="A3074" s="1" t="n">
        <v>4064941176374</v>
      </c>
      <c r="B3074" t="inlineStr">
        <is>
          <t>KJ MU SPP LKIT SET 3ML 1.14G DOLC KGL IV</t>
        </is>
      </c>
      <c r="C3074" t="inlineStr">
        <is>
          <t>P_US_ULTA</t>
        </is>
      </c>
      <c r="D3074" t="inlineStr">
        <is>
          <t>Stat Fcst L1</t>
        </is>
      </c>
      <c r="E3074" t="n">
        <v>4655.99986124038</v>
      </c>
      <c r="F3074" t="n">
        <v>2447.99992704391</v>
      </c>
      <c r="G3074" t="n">
        <v>2062</v>
      </c>
      <c r="H3074" t="n">
        <v>2091</v>
      </c>
      <c r="I3074" t="n">
        <v>2092</v>
      </c>
      <c r="J3074" t="n">
        <v>2091</v>
      </c>
      <c r="K3074" t="n">
        <v>2090</v>
      </c>
      <c r="L3074" t="n">
        <v>2092</v>
      </c>
      <c r="M3074" t="n">
        <v>2090</v>
      </c>
      <c r="N3074" t="n">
        <v>2092</v>
      </c>
      <c r="O3074" t="n">
        <v>2090</v>
      </c>
      <c r="P3074" t="n">
        <v>2091</v>
      </c>
    </row>
    <row r="3075">
      <c r="A3075" s="1" t="n">
        <v>4064941176374</v>
      </c>
      <c r="B3075" t="inlineStr">
        <is>
          <t>KJ MU SPP LKIT SET 3ML 1.14G DOLC KGL IV</t>
        </is>
      </c>
      <c r="C3075" t="inlineStr">
        <is>
          <t>P_US_ULTA</t>
        </is>
      </c>
      <c r="D3075" t="inlineStr">
        <is>
          <t>Stat Fcst AR-NNET</t>
        </is>
      </c>
    </row>
    <row r="3076">
      <c r="A3076" s="1" t="n">
        <v>4064941176374</v>
      </c>
      <c r="B3076" t="inlineStr">
        <is>
          <t>KJ MU SPP LKIT SET 3ML 1.14G DOLC KGL IV</t>
        </is>
      </c>
      <c r="C3076" t="inlineStr">
        <is>
          <t>P_US_ULTA</t>
        </is>
      </c>
      <c r="D3076" t="inlineStr">
        <is>
          <t>Stat Fcst Auto ARIMA</t>
        </is>
      </c>
    </row>
    <row r="3077">
      <c r="A3077" s="1" t="n">
        <v>4064941176374</v>
      </c>
      <c r="B3077" t="inlineStr">
        <is>
          <t>KJ MU SPP LKIT SET 3ML 1.14G DOLC KGL IV</t>
        </is>
      </c>
      <c r="C3077" t="inlineStr">
        <is>
          <t>P_US_ULTA</t>
        </is>
      </c>
      <c r="D3077" t="inlineStr">
        <is>
          <t>Stat Fcst Croston</t>
        </is>
      </c>
    </row>
    <row r="3078">
      <c r="A3078" s="1" t="n">
        <v>4064941176374</v>
      </c>
      <c r="B3078" t="inlineStr">
        <is>
          <t>KJ MU SPP LKIT SET 3ML 1.14G DOLC KGL IV</t>
        </is>
      </c>
      <c r="C3078" t="inlineStr">
        <is>
          <t>P_US_ULTA</t>
        </is>
      </c>
      <c r="D3078" t="inlineStr">
        <is>
          <t>Stat Fcst DES</t>
        </is>
      </c>
      <c r="E3078" t="n">
        <v>2091.73654830489</v>
      </c>
      <c r="F3078" t="n">
        <v>2091.68364040765</v>
      </c>
      <c r="G3078" t="n">
        <v>2091.65651672209</v>
      </c>
      <c r="H3078" t="n">
        <v>2091.64265984075</v>
      </c>
      <c r="I3078" t="n">
        <v>2091.63584827972</v>
      </c>
      <c r="J3078" t="n">
        <v>2091.63232561995</v>
      </c>
      <c r="K3078" t="n">
        <v>2091.63060324981</v>
      </c>
      <c r="L3078" t="n">
        <v>2091.62980440017</v>
      </c>
      <c r="M3078" t="n">
        <v>2091.62931147222</v>
      </c>
      <c r="N3078" t="n">
        <v>2091.62918967906</v>
      </c>
      <c r="O3078" t="n">
        <v>2091.62898852781</v>
      </c>
      <c r="P3078" t="n">
        <v>2091.629012623</v>
      </c>
    </row>
    <row r="3079">
      <c r="A3079" s="1" t="n">
        <v>4064941176374</v>
      </c>
      <c r="B3079" t="inlineStr">
        <is>
          <t>KJ MU SPP LKIT SET 3ML 1.14G DOLC KGL IV</t>
        </is>
      </c>
      <c r="C3079" t="inlineStr">
        <is>
          <t>P_US_ULTA</t>
        </is>
      </c>
      <c r="D3079" t="inlineStr">
        <is>
          <t>Stat Fcst ETS</t>
        </is>
      </c>
    </row>
    <row r="3080">
      <c r="A3080" s="1" t="n">
        <v>4064941176374</v>
      </c>
      <c r="B3080" t="inlineStr">
        <is>
          <t>KJ MU SPP LKIT SET 3ML 1.14G DOLC KGL IV</t>
        </is>
      </c>
      <c r="C3080" t="inlineStr">
        <is>
          <t>P_US_ULTA</t>
        </is>
      </c>
      <c r="D3080" t="inlineStr">
        <is>
          <t>Stat Fcst Moving Average</t>
        </is>
      </c>
      <c r="E3080" t="n">
        <v>1343.99991925557</v>
      </c>
      <c r="F3080" t="n">
        <v>2607.99988158544</v>
      </c>
      <c r="G3080" t="n">
        <v>2816.00002098083</v>
      </c>
      <c r="H3080" t="n">
        <v>3306.66990145355</v>
      </c>
      <c r="I3080" t="n">
        <v>2856.89002128548</v>
      </c>
      <c r="J3080" t="n">
        <v>2993.18991079598</v>
      </c>
      <c r="K3080" t="n">
        <v>3052.24990903586</v>
      </c>
      <c r="L3080" t="n">
        <v>2967.44</v>
      </c>
      <c r="M3080" t="n">
        <v>3004.28991046518</v>
      </c>
      <c r="N3080" t="n">
        <v>3007.99004482254</v>
      </c>
      <c r="O3080" t="n">
        <v>2993.23991079449</v>
      </c>
      <c r="P3080" t="n">
        <v>3001.84002236545</v>
      </c>
    </row>
    <row r="3081">
      <c r="A3081" s="1" t="n">
        <v>4064941176374</v>
      </c>
      <c r="B3081" t="inlineStr">
        <is>
          <t>KJ MU SPP LKIT SET 3ML 1.14G DOLC KGL IV</t>
        </is>
      </c>
      <c r="C3081" t="inlineStr">
        <is>
          <t>P_US_ULTA</t>
        </is>
      </c>
      <c r="D3081" t="inlineStr">
        <is>
          <t>Stat Fcst Naive Random Walk</t>
        </is>
      </c>
    </row>
    <row r="3082">
      <c r="A3082" s="1" t="n">
        <v>4064941176374</v>
      </c>
      <c r="B3082" t="inlineStr">
        <is>
          <t>KJ MU SPP LKIT SET 3ML 1.14G DOLC KGL IV</t>
        </is>
      </c>
      <c r="C3082" t="inlineStr">
        <is>
          <t>P_US_ULTA</t>
        </is>
      </c>
      <c r="D3082" t="inlineStr">
        <is>
          <t>Stat Fcst Prophet</t>
        </is>
      </c>
    </row>
    <row r="3083">
      <c r="A3083" s="1" t="n">
        <v>4064941176374</v>
      </c>
      <c r="B3083" t="inlineStr">
        <is>
          <t>KJ MU SPP LKIT SET 3ML 1.14G DOLC KGL IV</t>
        </is>
      </c>
      <c r="C3083" t="inlineStr">
        <is>
          <t>P_US_ULTA</t>
        </is>
      </c>
      <c r="D3083" t="inlineStr">
        <is>
          <t>Stat Fcst sARIMA</t>
        </is>
      </c>
    </row>
    <row r="3084">
      <c r="A3084" s="1" t="n">
        <v>4064941176374</v>
      </c>
      <c r="B3084" t="inlineStr">
        <is>
          <t>KJ MU SPP LKIT SET 3ML 1.14G DOLC KGL IV</t>
        </is>
      </c>
      <c r="C3084" t="inlineStr">
        <is>
          <t>P_US_ULTA</t>
        </is>
      </c>
      <c r="D3084" t="inlineStr">
        <is>
          <t>Stat Fcst Seasonal Naive YoY</t>
        </is>
      </c>
    </row>
    <row r="3085">
      <c r="A3085" s="1" t="n">
        <v>4064941176374</v>
      </c>
      <c r="B3085" t="inlineStr">
        <is>
          <t>KJ MU SPP LKIT SET 3ML 1.14G DOLC KGL IV</t>
        </is>
      </c>
      <c r="C3085" t="inlineStr">
        <is>
          <t>P_US_ULTA</t>
        </is>
      </c>
      <c r="D3085" t="inlineStr">
        <is>
          <t>Stat Fcst SES</t>
        </is>
      </c>
      <c r="E3085" t="n">
        <v>1532.3295243615</v>
      </c>
      <c r="F3085" t="n">
        <v>2469.43062542517</v>
      </c>
      <c r="G3085" t="n">
        <v>2463.00150766475</v>
      </c>
      <c r="H3085" t="n">
        <v>2463.00141591079</v>
      </c>
      <c r="I3085" t="n">
        <v>2463.00150766475</v>
      </c>
      <c r="J3085" t="n">
        <v>2463.00141591079</v>
      </c>
      <c r="K3085" t="n">
        <v>2463.00141591079</v>
      </c>
      <c r="L3085" t="n">
        <v>2463.00148931395</v>
      </c>
      <c r="M3085" t="n">
        <v>2463.00141591079</v>
      </c>
      <c r="N3085" t="n">
        <v>2463.00152601554</v>
      </c>
      <c r="O3085" t="n">
        <v>2463.00141591079</v>
      </c>
      <c r="P3085" t="n">
        <v>2463.00150766475</v>
      </c>
    </row>
    <row r="3086">
      <c r="A3086" s="1" t="n">
        <v>4064941176374</v>
      </c>
      <c r="B3086" t="inlineStr">
        <is>
          <t>KJ MU SPP LKIT SET 3ML 1.14G DOLC KGL IV</t>
        </is>
      </c>
      <c r="C3086" t="inlineStr">
        <is>
          <t>P_US_ULTA</t>
        </is>
      </c>
      <c r="D3086" t="inlineStr">
        <is>
          <t>Stat Fcst STLF</t>
        </is>
      </c>
    </row>
    <row r="3087">
      <c r="A3087" s="1" t="n">
        <v>4064941176374</v>
      </c>
      <c r="B3087" t="inlineStr">
        <is>
          <t>KJ MU SPP LKIT SET 3ML 1.14G DOLC KGL IV</t>
        </is>
      </c>
      <c r="C3087" t="inlineStr">
        <is>
          <t>P_US_ULTA</t>
        </is>
      </c>
      <c r="D3087" t="inlineStr">
        <is>
          <t>Stat Fcst TBATS</t>
        </is>
      </c>
    </row>
    <row r="3088">
      <c r="A3088" s="1" t="n">
        <v>4064941176374</v>
      </c>
      <c r="B3088" t="inlineStr">
        <is>
          <t>KJ MU SPP LKIT SET 3ML 1.14G DOLC KGL IV</t>
        </is>
      </c>
      <c r="C3088" t="inlineStr">
        <is>
          <t>P_US_ULTA</t>
        </is>
      </c>
      <c r="D3088" t="inlineStr">
        <is>
          <t>Stat Fcst TES</t>
        </is>
      </c>
    </row>
    <row r="3089">
      <c r="A3089" s="1" t="n">
        <v>4064941176374</v>
      </c>
      <c r="B3089" t="inlineStr">
        <is>
          <t>KJ MU SPP LKIT SET 3ML 1.14G DOLC KGL IV</t>
        </is>
      </c>
      <c r="C3089" t="inlineStr">
        <is>
          <t>P_US_ULTA</t>
        </is>
      </c>
      <c r="D3089" t="inlineStr">
        <is>
          <t>Stat Fcst Theta</t>
        </is>
      </c>
    </row>
    <row r="3090">
      <c r="A3090" s="1" t="n">
        <v>4064941176374</v>
      </c>
      <c r="B3090" t="inlineStr">
        <is>
          <t>KJ MU SPP LKIT SET 3ML 1.14G DOLC KGL IV</t>
        </is>
      </c>
      <c r="C3090" t="inlineStr">
        <is>
          <t>P_US_ULTA</t>
        </is>
      </c>
      <c r="D3090" t="inlineStr">
        <is>
          <t>System ML Fcst L1</t>
        </is>
      </c>
    </row>
    <row r="3091">
      <c r="A3091" s="1" t="n">
        <v>4064941176374</v>
      </c>
      <c r="B3091" t="inlineStr">
        <is>
          <t>KJ MU SPP LKIT SET 3ML 1.14G DOLC KGL IV</t>
        </is>
      </c>
      <c r="C3091" t="inlineStr">
        <is>
          <t>P_US_ULTA</t>
        </is>
      </c>
      <c r="D3091" t="inlineStr">
        <is>
          <t>Stat Fcst Simple Snaive</t>
        </is>
      </c>
    </row>
    <row r="3092">
      <c r="A3092" s="1" t="n">
        <v>4064941176374</v>
      </c>
      <c r="B3092" t="inlineStr">
        <is>
          <t>KJ MU SPP LKIT SET 3ML 1.14G DOLC KGL IV</t>
        </is>
      </c>
      <c r="C3092" t="inlineStr">
        <is>
          <t>P_US_ULTA</t>
        </is>
      </c>
      <c r="D3092" t="inlineStr">
        <is>
          <t>Stat Fcst Simple AOA</t>
        </is>
      </c>
    </row>
    <row r="3093">
      <c r="A3093" s="1" t="n">
        <v>4064941176374</v>
      </c>
      <c r="B3093" t="inlineStr">
        <is>
          <t>KJ MU SPP LKIT SET 3ML 1.14G DOLC KGL IV</t>
        </is>
      </c>
      <c r="C3093" t="inlineStr">
        <is>
          <t>P_US_ULTA</t>
        </is>
      </c>
      <c r="D3093" t="inlineStr">
        <is>
          <t>Stat Fcst Weighted Snaive</t>
        </is>
      </c>
    </row>
    <row r="3094">
      <c r="A3094" s="1" t="n">
        <v>4064941176374</v>
      </c>
      <c r="B3094" t="inlineStr">
        <is>
          <t>KJ MU SPP LKIT SET 3ML 1.14G DOLC KGL IV</t>
        </is>
      </c>
      <c r="C3094" t="inlineStr">
        <is>
          <t>P_US_ULTA</t>
        </is>
      </c>
      <c r="D3094" t="inlineStr">
        <is>
          <t>Stat Fcst Weighted AOA</t>
        </is>
      </c>
    </row>
    <row r="3095">
      <c r="A3095" s="1" t="n">
        <v>4064941176374</v>
      </c>
      <c r="B3095" t="inlineStr">
        <is>
          <t>KJ MU SPP LKIT SET 3ML 1.14G DOLC KGL IV</t>
        </is>
      </c>
      <c r="C3095" t="inlineStr">
        <is>
          <t>P_US_ULTA</t>
        </is>
      </c>
      <c r="D3095" t="inlineStr">
        <is>
          <t>Stat Fcst Growth Snaive</t>
        </is>
      </c>
    </row>
    <row r="3096">
      <c r="A3096" s="1" t="n">
        <v>4064941176374</v>
      </c>
      <c r="B3096" t="inlineStr">
        <is>
          <t>KJ MU SPP LKIT SET 3ML 1.14G DOLC KGL IV</t>
        </is>
      </c>
      <c r="C3096" t="inlineStr">
        <is>
          <t>P_US_ULTA</t>
        </is>
      </c>
      <c r="D3096" t="inlineStr">
        <is>
          <t>Stat Fcst Growth AOA</t>
        </is>
      </c>
    </row>
    <row r="3097">
      <c r="A3097" s="1" t="n">
        <v>4064941176374</v>
      </c>
      <c r="B3097" t="inlineStr">
        <is>
          <t>KJ MU SPP LKIT SET 3ML 1.14G DOLC KGL IV</t>
        </is>
      </c>
      <c r="C3097" t="inlineStr">
        <is>
          <t>P_US_ULTA</t>
        </is>
      </c>
      <c r="D3097" t="inlineStr">
        <is>
          <t>System Stat Fcst Bestfit</t>
        </is>
      </c>
      <c r="H3097" t="n">
        <v>2091.64251578919</v>
      </c>
      <c r="I3097" t="n">
        <v>2091.63600191202</v>
      </c>
      <c r="J3097" t="n">
        <v>2091.63226188324</v>
      </c>
      <c r="K3097" t="n">
        <v>2091.63055289892</v>
      </c>
      <c r="L3097" t="n">
        <v>2091.6298828125</v>
      </c>
      <c r="M3097" t="n">
        <v>2091.62933219583</v>
      </c>
      <c r="N3097" t="n">
        <v>2091.62918155832</v>
      </c>
      <c r="O3097" t="n">
        <v>2091.6288439146</v>
      </c>
      <c r="P3097" t="n">
        <v>2091.62892183384</v>
      </c>
    </row>
    <row r="3098">
      <c r="A3098" s="1" t="n">
        <v>4064941176381</v>
      </c>
      <c r="B3098" t="inlineStr">
        <is>
          <t>KJ MU SPP LKIT SET 3ML 1.14G COCNT GL IV</t>
        </is>
      </c>
      <c r="C3098" t="inlineStr">
        <is>
          <t>P_US_ALL_OTHERS</t>
        </is>
      </c>
      <c r="D3098" t="inlineStr">
        <is>
          <t>Stat Fcst L1</t>
        </is>
      </c>
      <c r="E3098" t="n">
        <v>284.999991506338</v>
      </c>
      <c r="F3098" t="n">
        <v>384.999988526105</v>
      </c>
      <c r="G3098" t="n">
        <v>368</v>
      </c>
      <c r="H3098" t="n">
        <v>367</v>
      </c>
      <c r="I3098" t="n">
        <v>368</v>
      </c>
      <c r="J3098" t="n">
        <v>367</v>
      </c>
      <c r="K3098" t="n">
        <v>368</v>
      </c>
      <c r="L3098" t="n">
        <v>368</v>
      </c>
      <c r="M3098" t="n">
        <v>368</v>
      </c>
      <c r="N3098" t="n">
        <v>368</v>
      </c>
      <c r="O3098" t="n">
        <v>368</v>
      </c>
      <c r="P3098" t="n">
        <v>368</v>
      </c>
    </row>
    <row r="3099">
      <c r="A3099" s="1" t="n">
        <v>4064941176381</v>
      </c>
      <c r="B3099" t="inlineStr">
        <is>
          <t>KJ MU SPP LKIT SET 3ML 1.14G COCNT GL IV</t>
        </is>
      </c>
      <c r="C3099" t="inlineStr">
        <is>
          <t>P_US_ALL_OTHERS</t>
        </is>
      </c>
      <c r="D3099" t="inlineStr">
        <is>
          <t>Stat Fcst AR-NNET</t>
        </is>
      </c>
    </row>
    <row r="3100">
      <c r="A3100" s="1" t="n">
        <v>4064941176381</v>
      </c>
      <c r="B3100" t="inlineStr">
        <is>
          <t>KJ MU SPP LKIT SET 3ML 1.14G COCNT GL IV</t>
        </is>
      </c>
      <c r="C3100" t="inlineStr">
        <is>
          <t>P_US_ALL_OTHERS</t>
        </is>
      </c>
      <c r="D3100" t="inlineStr">
        <is>
          <t>Stat Fcst Auto ARIMA</t>
        </is>
      </c>
    </row>
    <row r="3101">
      <c r="A3101" s="1" t="n">
        <v>4064941176381</v>
      </c>
      <c r="B3101" t="inlineStr">
        <is>
          <t>KJ MU SPP LKIT SET 3ML 1.14G COCNT GL IV</t>
        </is>
      </c>
      <c r="C3101" t="inlineStr">
        <is>
          <t>P_US_ALL_OTHERS</t>
        </is>
      </c>
      <c r="D3101" t="inlineStr">
        <is>
          <t>Stat Fcst Croston</t>
        </is>
      </c>
    </row>
    <row r="3102">
      <c r="A3102" s="1" t="n">
        <v>4064941176381</v>
      </c>
      <c r="B3102" t="inlineStr">
        <is>
          <t>KJ MU SPP LKIT SET 3ML 1.14G COCNT GL IV</t>
        </is>
      </c>
      <c r="C3102" t="inlineStr">
        <is>
          <t>P_US_ALL_OTHERS</t>
        </is>
      </c>
      <c r="D3102" t="inlineStr">
        <is>
          <t>Stat Fcst DES</t>
        </is>
      </c>
      <c r="E3102" t="n">
        <v>383.964079000005</v>
      </c>
      <c r="F3102" t="n">
        <v>383.963950780472</v>
      </c>
      <c r="G3102" t="n">
        <v>383.963960476364</v>
      </c>
      <c r="H3102" t="n">
        <v>383.963945043814</v>
      </c>
      <c r="I3102" t="n">
        <v>383.963959121831</v>
      </c>
      <c r="J3102" t="n">
        <v>383.963944772908</v>
      </c>
      <c r="K3102" t="n">
        <v>383.963944763878</v>
      </c>
      <c r="L3102" t="n">
        <v>383.963956205089</v>
      </c>
      <c r="M3102" t="n">
        <v>383.96394476171</v>
      </c>
      <c r="N3102" t="n">
        <v>383.963961926164</v>
      </c>
      <c r="O3102" t="n">
        <v>383.963944761624</v>
      </c>
      <c r="P3102" t="n">
        <v>383.963959065393</v>
      </c>
    </row>
    <row r="3103">
      <c r="A3103" s="1" t="n">
        <v>4064941176381</v>
      </c>
      <c r="B3103" t="inlineStr">
        <is>
          <t>KJ MU SPP LKIT SET 3ML 1.14G COCNT GL IV</t>
        </is>
      </c>
      <c r="C3103" t="inlineStr">
        <is>
          <t>P_US_ALL_OTHERS</t>
        </is>
      </c>
      <c r="D3103" t="inlineStr">
        <is>
          <t>Stat Fcst ETS</t>
        </is>
      </c>
    </row>
    <row r="3104">
      <c r="A3104" s="1" t="n">
        <v>4064941176381</v>
      </c>
      <c r="B3104" t="inlineStr">
        <is>
          <t>KJ MU SPP LKIT SET 3ML 1.14G COCNT GL IV</t>
        </is>
      </c>
      <c r="C3104" t="inlineStr">
        <is>
          <t>P_US_ALL_OTHERS</t>
        </is>
      </c>
      <c r="D3104" t="inlineStr">
        <is>
          <t>Stat Fcst Moving Average</t>
        </is>
      </c>
      <c r="E3104" t="n">
        <v>313.666667491197</v>
      </c>
      <c r="F3104" t="n">
        <v>283.333324889342</v>
      </c>
      <c r="G3104" t="n">
        <v>269.000002004206</v>
      </c>
      <c r="H3104" t="n">
        <v>312.999990671873</v>
      </c>
      <c r="I3104" t="n">
        <v>322.330002401545</v>
      </c>
      <c r="J3104" t="n">
        <v>301.439991016387</v>
      </c>
      <c r="K3104" t="n">
        <v>312.259990693926</v>
      </c>
      <c r="L3104" t="n">
        <v>312.01</v>
      </c>
      <c r="M3104" t="n">
        <v>308.569990803897</v>
      </c>
      <c r="N3104" t="n">
        <v>310.950004633516</v>
      </c>
      <c r="O3104" t="n">
        <v>310.50999074608</v>
      </c>
      <c r="P3104" t="n">
        <v>310.010002309754</v>
      </c>
    </row>
    <row r="3105">
      <c r="A3105" s="1" t="n">
        <v>4064941176381</v>
      </c>
      <c r="B3105" t="inlineStr">
        <is>
          <t>KJ MU SPP LKIT SET 3ML 1.14G COCNT GL IV</t>
        </is>
      </c>
      <c r="C3105" t="inlineStr">
        <is>
          <t>P_US_ALL_OTHERS</t>
        </is>
      </c>
      <c r="D3105" t="inlineStr">
        <is>
          <t>Stat Fcst Naive Random Walk</t>
        </is>
      </c>
    </row>
    <row r="3106">
      <c r="A3106" s="1" t="n">
        <v>4064941176381</v>
      </c>
      <c r="B3106" t="inlineStr">
        <is>
          <t>KJ MU SPP LKIT SET 3ML 1.14G COCNT GL IV</t>
        </is>
      </c>
      <c r="C3106" t="inlineStr">
        <is>
          <t>P_US_ALL_OTHERS</t>
        </is>
      </c>
      <c r="D3106" t="inlineStr">
        <is>
          <t>Stat Fcst Prophet</t>
        </is>
      </c>
    </row>
    <row r="3107">
      <c r="A3107" s="1" t="n">
        <v>4064941176381</v>
      </c>
      <c r="B3107" t="inlineStr">
        <is>
          <t>KJ MU SPP LKIT SET 3ML 1.14G COCNT GL IV</t>
        </is>
      </c>
      <c r="C3107" t="inlineStr">
        <is>
          <t>P_US_ALL_OTHERS</t>
        </is>
      </c>
      <c r="D3107" t="inlineStr">
        <is>
          <t>Stat Fcst sARIMA</t>
        </is>
      </c>
    </row>
    <row r="3108">
      <c r="A3108" s="1" t="n">
        <v>4064941176381</v>
      </c>
      <c r="B3108" t="inlineStr">
        <is>
          <t>KJ MU SPP LKIT SET 3ML 1.14G COCNT GL IV</t>
        </is>
      </c>
      <c r="C3108" t="inlineStr">
        <is>
          <t>P_US_ALL_OTHERS</t>
        </is>
      </c>
      <c r="D3108" t="inlineStr">
        <is>
          <t>Stat Fcst Seasonal Naive YoY</t>
        </is>
      </c>
    </row>
    <row r="3109">
      <c r="A3109" s="1" t="n">
        <v>4064941176381</v>
      </c>
      <c r="B3109" t="inlineStr">
        <is>
          <t>KJ MU SPP LKIT SET 3ML 1.14G COCNT GL IV</t>
        </is>
      </c>
      <c r="C3109" t="inlineStr">
        <is>
          <t>P_US_ALL_OTHERS</t>
        </is>
      </c>
      <c r="D3109" t="inlineStr">
        <is>
          <t>Stat Fcst SES</t>
        </is>
      </c>
      <c r="E3109" t="n">
        <v>366.875250951684</v>
      </c>
      <c r="F3109" t="n">
        <v>366.875169076425</v>
      </c>
      <c r="G3109" t="n">
        <v>366.87520086838</v>
      </c>
      <c r="H3109" t="n">
        <v>366.875187201214</v>
      </c>
      <c r="I3109" t="n">
        <v>366.87520086838</v>
      </c>
      <c r="J3109" t="n">
        <v>366.875187201214</v>
      </c>
      <c r="K3109" t="n">
        <v>366.875187201214</v>
      </c>
      <c r="L3109" t="n">
        <v>366.875198134947</v>
      </c>
      <c r="M3109" t="n">
        <v>366.875187201214</v>
      </c>
      <c r="N3109" t="n">
        <v>366.875203601813</v>
      </c>
      <c r="O3109" t="n">
        <v>366.875187201214</v>
      </c>
      <c r="P3109" t="n">
        <v>366.87520086838</v>
      </c>
    </row>
    <row r="3110">
      <c r="A3110" s="1" t="n">
        <v>4064941176381</v>
      </c>
      <c r="B3110" t="inlineStr">
        <is>
          <t>KJ MU SPP LKIT SET 3ML 1.14G COCNT GL IV</t>
        </is>
      </c>
      <c r="C3110" t="inlineStr">
        <is>
          <t>P_US_ALL_OTHERS</t>
        </is>
      </c>
      <c r="D3110" t="inlineStr">
        <is>
          <t>Stat Fcst STLF</t>
        </is>
      </c>
    </row>
    <row r="3111">
      <c r="A3111" s="1" t="n">
        <v>4064941176381</v>
      </c>
      <c r="B3111" t="inlineStr">
        <is>
          <t>KJ MU SPP LKIT SET 3ML 1.14G COCNT GL IV</t>
        </is>
      </c>
      <c r="C3111" t="inlineStr">
        <is>
          <t>P_US_ALL_OTHERS</t>
        </is>
      </c>
      <c r="D3111" t="inlineStr">
        <is>
          <t>Stat Fcst TBATS</t>
        </is>
      </c>
    </row>
    <row r="3112">
      <c r="A3112" s="1" t="n">
        <v>4064941176381</v>
      </c>
      <c r="B3112" t="inlineStr">
        <is>
          <t>KJ MU SPP LKIT SET 3ML 1.14G COCNT GL IV</t>
        </is>
      </c>
      <c r="C3112" t="inlineStr">
        <is>
          <t>P_US_ALL_OTHERS</t>
        </is>
      </c>
      <c r="D3112" t="inlineStr">
        <is>
          <t>Stat Fcst TES</t>
        </is>
      </c>
    </row>
    <row r="3113">
      <c r="A3113" s="1" t="n">
        <v>4064941176381</v>
      </c>
      <c r="B3113" t="inlineStr">
        <is>
          <t>KJ MU SPP LKIT SET 3ML 1.14G COCNT GL IV</t>
        </is>
      </c>
      <c r="C3113" t="inlineStr">
        <is>
          <t>P_US_ALL_OTHERS</t>
        </is>
      </c>
      <c r="D3113" t="inlineStr">
        <is>
          <t>Stat Fcst Theta</t>
        </is>
      </c>
    </row>
    <row r="3114">
      <c r="A3114" s="1" t="n">
        <v>4064941176381</v>
      </c>
      <c r="B3114" t="inlineStr">
        <is>
          <t>KJ MU SPP LKIT SET 3ML 1.14G COCNT GL IV</t>
        </is>
      </c>
      <c r="C3114" t="inlineStr">
        <is>
          <t>P_US_ALL_OTHERS</t>
        </is>
      </c>
      <c r="D3114" t="inlineStr">
        <is>
          <t>System ML Fcst L1</t>
        </is>
      </c>
    </row>
    <row r="3115">
      <c r="A3115" s="1" t="n">
        <v>4064941176381</v>
      </c>
      <c r="B3115" t="inlineStr">
        <is>
          <t>KJ MU SPP LKIT SET 3ML 1.14G COCNT GL IV</t>
        </is>
      </c>
      <c r="C3115" t="inlineStr">
        <is>
          <t>P_US_ALL_OTHERS</t>
        </is>
      </c>
      <c r="D3115" t="inlineStr">
        <is>
          <t>Stat Fcst Simple Snaive</t>
        </is>
      </c>
    </row>
    <row r="3116">
      <c r="A3116" s="1" t="n">
        <v>4064941176381</v>
      </c>
      <c r="B3116" t="inlineStr">
        <is>
          <t>KJ MU SPP LKIT SET 3ML 1.14G COCNT GL IV</t>
        </is>
      </c>
      <c r="C3116" t="inlineStr">
        <is>
          <t>P_US_ALL_OTHERS</t>
        </is>
      </c>
      <c r="D3116" t="inlineStr">
        <is>
          <t>Stat Fcst Simple AOA</t>
        </is>
      </c>
    </row>
    <row r="3117">
      <c r="A3117" s="1" t="n">
        <v>4064941176381</v>
      </c>
      <c r="B3117" t="inlineStr">
        <is>
          <t>KJ MU SPP LKIT SET 3ML 1.14G COCNT GL IV</t>
        </is>
      </c>
      <c r="C3117" t="inlineStr">
        <is>
          <t>P_US_ALL_OTHERS</t>
        </is>
      </c>
      <c r="D3117" t="inlineStr">
        <is>
          <t>Stat Fcst Weighted Snaive</t>
        </is>
      </c>
    </row>
    <row r="3118">
      <c r="A3118" s="1" t="n">
        <v>4064941176381</v>
      </c>
      <c r="B3118" t="inlineStr">
        <is>
          <t>KJ MU SPP LKIT SET 3ML 1.14G COCNT GL IV</t>
        </is>
      </c>
      <c r="C3118" t="inlineStr">
        <is>
          <t>P_US_ALL_OTHERS</t>
        </is>
      </c>
      <c r="D3118" t="inlineStr">
        <is>
          <t>Stat Fcst Weighted AOA</t>
        </is>
      </c>
    </row>
    <row r="3119">
      <c r="A3119" s="1" t="n">
        <v>4064941176381</v>
      </c>
      <c r="B3119" t="inlineStr">
        <is>
          <t>KJ MU SPP LKIT SET 3ML 1.14G COCNT GL IV</t>
        </is>
      </c>
      <c r="C3119" t="inlineStr">
        <is>
          <t>P_US_ALL_OTHERS</t>
        </is>
      </c>
      <c r="D3119" t="inlineStr">
        <is>
          <t>Stat Fcst Growth Snaive</t>
        </is>
      </c>
    </row>
    <row r="3120">
      <c r="A3120" s="1" t="n">
        <v>4064941176381</v>
      </c>
      <c r="B3120" t="inlineStr">
        <is>
          <t>KJ MU SPP LKIT SET 3ML 1.14G COCNT GL IV</t>
        </is>
      </c>
      <c r="C3120" t="inlineStr">
        <is>
          <t>P_US_ALL_OTHERS</t>
        </is>
      </c>
      <c r="D3120" t="inlineStr">
        <is>
          <t>Stat Fcst Growth AOA</t>
        </is>
      </c>
    </row>
    <row r="3121">
      <c r="A3121" s="1" t="n">
        <v>4064941176381</v>
      </c>
      <c r="B3121" t="inlineStr">
        <is>
          <t>KJ MU SPP LKIT SET 3ML 1.14G COCNT GL IV</t>
        </is>
      </c>
      <c r="C3121" t="inlineStr">
        <is>
          <t>P_US_ALL_OTHERS</t>
        </is>
      </c>
      <c r="D3121" t="inlineStr">
        <is>
          <t>System Stat Fcst Bestfit</t>
        </is>
      </c>
      <c r="H3121" t="n">
        <v>366.875172171736</v>
      </c>
      <c r="I3121" t="n">
        <v>366.875185838901</v>
      </c>
      <c r="J3121" t="n">
        <v>366.875172171736</v>
      </c>
      <c r="K3121" t="n">
        <v>366.875172171736</v>
      </c>
      <c r="L3121" t="n">
        <v>366.875183105468</v>
      </c>
      <c r="M3121" t="n">
        <v>366.875172171736</v>
      </c>
      <c r="N3121" t="n">
        <v>366.875188572335</v>
      </c>
      <c r="O3121" t="n">
        <v>366.875172171736</v>
      </c>
      <c r="P3121" t="n">
        <v>366.875185838901</v>
      </c>
    </row>
    <row r="3122">
      <c r="A3122" s="1" t="n">
        <v>4064941176381</v>
      </c>
      <c r="B3122" t="inlineStr">
        <is>
          <t>KJ MU SPP LKIT SET 3ML 1.14G COCNT GL IV</t>
        </is>
      </c>
      <c r="C3122" t="inlineStr">
        <is>
          <t>P_US_ULTA</t>
        </is>
      </c>
      <c r="D3122" t="inlineStr">
        <is>
          <t>Stat Fcst L1</t>
        </is>
      </c>
      <c r="E3122" t="n">
        <v>5279.99984264373</v>
      </c>
      <c r="F3122" t="n">
        <v>3071.99990844726</v>
      </c>
      <c r="G3122" t="n">
        <v>3895</v>
      </c>
      <c r="H3122" t="n">
        <v>3746</v>
      </c>
      <c r="I3122" t="n">
        <v>3742</v>
      </c>
      <c r="J3122" t="n">
        <v>3742</v>
      </c>
      <c r="K3122" t="n">
        <v>3742</v>
      </c>
      <c r="L3122" t="n">
        <v>3740</v>
      </c>
      <c r="M3122" t="n">
        <v>3742</v>
      </c>
      <c r="N3122" t="n">
        <v>3742</v>
      </c>
      <c r="O3122" t="n">
        <v>3742</v>
      </c>
      <c r="P3122" t="n">
        <v>3741</v>
      </c>
    </row>
    <row r="3123">
      <c r="A3123" s="1" t="n">
        <v>4064941176381</v>
      </c>
      <c r="B3123" t="inlineStr">
        <is>
          <t>KJ MU SPP LKIT SET 3ML 1.14G COCNT GL IV</t>
        </is>
      </c>
      <c r="C3123" t="inlineStr">
        <is>
          <t>P_US_ULTA</t>
        </is>
      </c>
      <c r="D3123" t="inlineStr">
        <is>
          <t>Stat Fcst AR-NNET</t>
        </is>
      </c>
    </row>
    <row r="3124">
      <c r="A3124" s="1" t="n">
        <v>4064941176381</v>
      </c>
      <c r="B3124" t="inlineStr">
        <is>
          <t>KJ MU SPP LKIT SET 3ML 1.14G COCNT GL IV</t>
        </is>
      </c>
      <c r="C3124" t="inlineStr">
        <is>
          <t>P_US_ULTA</t>
        </is>
      </c>
      <c r="D3124" t="inlineStr">
        <is>
          <t>Stat Fcst Auto ARIMA</t>
        </is>
      </c>
    </row>
    <row r="3125">
      <c r="A3125" s="1" t="n">
        <v>4064941176381</v>
      </c>
      <c r="B3125" t="inlineStr">
        <is>
          <t>KJ MU SPP LKIT SET 3ML 1.14G COCNT GL IV</t>
        </is>
      </c>
      <c r="C3125" t="inlineStr">
        <is>
          <t>P_US_ULTA</t>
        </is>
      </c>
      <c r="D3125" t="inlineStr">
        <is>
          <t>Stat Fcst Croston</t>
        </is>
      </c>
    </row>
    <row r="3126">
      <c r="A3126" s="1" t="n">
        <v>4064941176381</v>
      </c>
      <c r="B3126" t="inlineStr">
        <is>
          <t>KJ MU SPP LKIT SET 3ML 1.14G COCNT GL IV</t>
        </is>
      </c>
      <c r="C3126" t="inlineStr">
        <is>
          <t>P_US_ULTA</t>
        </is>
      </c>
      <c r="D3126" t="inlineStr">
        <is>
          <t>Stat Fcst DES</t>
        </is>
      </c>
      <c r="E3126" t="n">
        <v>3719.85957390937</v>
      </c>
      <c r="F3126" t="n">
        <v>3757.95269048795</v>
      </c>
      <c r="G3126" t="n">
        <v>3749.67426622114</v>
      </c>
      <c r="H3126" t="n">
        <v>3745.53518753487</v>
      </c>
      <c r="I3126" t="n">
        <v>3743.46585748983</v>
      </c>
      <c r="J3126" t="n">
        <v>3742.43098328486</v>
      </c>
      <c r="K3126" t="n">
        <v>3741.91361590985</v>
      </c>
      <c r="L3126" t="n">
        <v>3741.65504373236</v>
      </c>
      <c r="M3126" t="n">
        <v>3741.5255903786</v>
      </c>
      <c r="N3126" t="n">
        <v>3741.46108671307</v>
      </c>
      <c r="O3126" t="n">
        <v>3741.42858399579</v>
      </c>
      <c r="P3126" t="n">
        <v>3741.4125556438</v>
      </c>
    </row>
    <row r="3127">
      <c r="A3127" s="1" t="n">
        <v>4064941176381</v>
      </c>
      <c r="B3127" t="inlineStr">
        <is>
          <t>KJ MU SPP LKIT SET 3ML 1.14G COCNT GL IV</t>
        </is>
      </c>
      <c r="C3127" t="inlineStr">
        <is>
          <t>P_US_ULTA</t>
        </is>
      </c>
      <c r="D3127" t="inlineStr">
        <is>
          <t>Stat Fcst ETS</t>
        </is>
      </c>
    </row>
    <row r="3128">
      <c r="A3128" s="1" t="n">
        <v>4064941176381</v>
      </c>
      <c r="B3128" t="inlineStr">
        <is>
          <t>KJ MU SPP LKIT SET 3ML 1.14G COCNT GL IV</t>
        </is>
      </c>
      <c r="C3128" t="inlineStr">
        <is>
          <t>P_US_ULTA</t>
        </is>
      </c>
      <c r="D3128" t="inlineStr">
        <is>
          <t>Stat Fcst Moving Average</t>
        </is>
      </c>
      <c r="E3128" t="n">
        <v>3023.99990987777</v>
      </c>
      <c r="F3128" t="n">
        <v>3983.99988126754</v>
      </c>
      <c r="G3128" t="n">
        <v>3776.00002813339</v>
      </c>
      <c r="H3128" t="n">
        <v>4042.66987951904</v>
      </c>
      <c r="I3128" t="n">
        <v>3630.22002704724</v>
      </c>
      <c r="J3128" t="n">
        <v>3816.29988626539</v>
      </c>
      <c r="K3128" t="n">
        <v>3829.72988586515</v>
      </c>
      <c r="L3128" t="n">
        <v>3758.75</v>
      </c>
      <c r="M3128" t="n">
        <v>3801.58988670378</v>
      </c>
      <c r="N3128" t="n">
        <v>3796.69005657509</v>
      </c>
      <c r="O3128" t="n">
        <v>3785.67988717794</v>
      </c>
      <c r="P3128" t="n">
        <v>3794.65002827234</v>
      </c>
    </row>
    <row r="3129">
      <c r="A3129" s="1" t="n">
        <v>4064941176381</v>
      </c>
      <c r="B3129" t="inlineStr">
        <is>
          <t>KJ MU SPP LKIT SET 3ML 1.14G COCNT GL IV</t>
        </is>
      </c>
      <c r="C3129" t="inlineStr">
        <is>
          <t>P_US_ULTA</t>
        </is>
      </c>
      <c r="D3129" t="inlineStr">
        <is>
          <t>Stat Fcst Naive Random Walk</t>
        </is>
      </c>
    </row>
    <row r="3130">
      <c r="A3130" s="1" t="n">
        <v>4064941176381</v>
      </c>
      <c r="B3130" t="inlineStr">
        <is>
          <t>KJ MU SPP LKIT SET 3ML 1.14G COCNT GL IV</t>
        </is>
      </c>
      <c r="C3130" t="inlineStr">
        <is>
          <t>P_US_ULTA</t>
        </is>
      </c>
      <c r="D3130" t="inlineStr">
        <is>
          <t>Stat Fcst Prophet</t>
        </is>
      </c>
    </row>
    <row r="3131">
      <c r="A3131" s="1" t="n">
        <v>4064941176381</v>
      </c>
      <c r="B3131" t="inlineStr">
        <is>
          <t>KJ MU SPP LKIT SET 3ML 1.14G COCNT GL IV</t>
        </is>
      </c>
      <c r="C3131" t="inlineStr">
        <is>
          <t>P_US_ULTA</t>
        </is>
      </c>
      <c r="D3131" t="inlineStr">
        <is>
          <t>Stat Fcst sARIMA</t>
        </is>
      </c>
    </row>
    <row r="3132">
      <c r="A3132" s="1" t="n">
        <v>4064941176381</v>
      </c>
      <c r="B3132" t="inlineStr">
        <is>
          <t>KJ MU SPP LKIT SET 3ML 1.14G COCNT GL IV</t>
        </is>
      </c>
      <c r="C3132" t="inlineStr">
        <is>
          <t>P_US_ULTA</t>
        </is>
      </c>
      <c r="D3132" t="inlineStr">
        <is>
          <t>Stat Fcst Seasonal Naive YoY</t>
        </is>
      </c>
    </row>
    <row r="3133">
      <c r="A3133" s="1" t="n">
        <v>4064941176381</v>
      </c>
      <c r="B3133" t="inlineStr">
        <is>
          <t>KJ MU SPP LKIT SET 3ML 1.14G COCNT GL IV</t>
        </is>
      </c>
      <c r="C3133" t="inlineStr">
        <is>
          <t>P_US_ULTA</t>
        </is>
      </c>
      <c r="D3133" t="inlineStr">
        <is>
          <t>Stat Fcst SES</t>
        </is>
      </c>
      <c r="E3133" t="n">
        <v>3771.94304455087</v>
      </c>
      <c r="F3133" t="n">
        <v>3868.92726997158</v>
      </c>
      <c r="G3133" t="n">
        <v>3817.67642041842</v>
      </c>
      <c r="H3133" t="n">
        <v>3817.67627819889</v>
      </c>
      <c r="I3133" t="n">
        <v>3817.67642041842</v>
      </c>
      <c r="J3133" t="n">
        <v>3817.67627819889</v>
      </c>
      <c r="K3133" t="n">
        <v>3817.67627819889</v>
      </c>
      <c r="L3133" t="n">
        <v>3817.67639197452</v>
      </c>
      <c r="M3133" t="n">
        <v>3817.67627819889</v>
      </c>
      <c r="N3133" t="n">
        <v>3817.67644886233</v>
      </c>
      <c r="O3133" t="n">
        <v>3817.67627819889</v>
      </c>
      <c r="P3133" t="n">
        <v>3817.67642041842</v>
      </c>
    </row>
    <row r="3134">
      <c r="A3134" s="1" t="n">
        <v>4064941176381</v>
      </c>
      <c r="B3134" t="inlineStr">
        <is>
          <t>KJ MU SPP LKIT SET 3ML 1.14G COCNT GL IV</t>
        </is>
      </c>
      <c r="C3134" t="inlineStr">
        <is>
          <t>P_US_ULTA</t>
        </is>
      </c>
      <c r="D3134" t="inlineStr">
        <is>
          <t>Stat Fcst STLF</t>
        </is>
      </c>
    </row>
    <row r="3135">
      <c r="A3135" s="1" t="n">
        <v>4064941176381</v>
      </c>
      <c r="B3135" t="inlineStr">
        <is>
          <t>KJ MU SPP LKIT SET 3ML 1.14G COCNT GL IV</t>
        </is>
      </c>
      <c r="C3135" t="inlineStr">
        <is>
          <t>P_US_ULTA</t>
        </is>
      </c>
      <c r="D3135" t="inlineStr">
        <is>
          <t>Stat Fcst TBATS</t>
        </is>
      </c>
    </row>
    <row r="3136">
      <c r="A3136" s="1" t="n">
        <v>4064941176381</v>
      </c>
      <c r="B3136" t="inlineStr">
        <is>
          <t>KJ MU SPP LKIT SET 3ML 1.14G COCNT GL IV</t>
        </is>
      </c>
      <c r="C3136" t="inlineStr">
        <is>
          <t>P_US_ULTA</t>
        </is>
      </c>
      <c r="D3136" t="inlineStr">
        <is>
          <t>Stat Fcst TES</t>
        </is>
      </c>
    </row>
    <row r="3137">
      <c r="A3137" s="1" t="n">
        <v>4064941176381</v>
      </c>
      <c r="B3137" t="inlineStr">
        <is>
          <t>KJ MU SPP LKIT SET 3ML 1.14G COCNT GL IV</t>
        </is>
      </c>
      <c r="C3137" t="inlineStr">
        <is>
          <t>P_US_ULTA</t>
        </is>
      </c>
      <c r="D3137" t="inlineStr">
        <is>
          <t>Stat Fcst Theta</t>
        </is>
      </c>
    </row>
    <row r="3138">
      <c r="A3138" s="1" t="n">
        <v>4064941176381</v>
      </c>
      <c r="B3138" t="inlineStr">
        <is>
          <t>KJ MU SPP LKIT SET 3ML 1.14G COCNT GL IV</t>
        </is>
      </c>
      <c r="C3138" t="inlineStr">
        <is>
          <t>P_US_ULTA</t>
        </is>
      </c>
      <c r="D3138" t="inlineStr">
        <is>
          <t>System ML Fcst L1</t>
        </is>
      </c>
    </row>
    <row r="3139">
      <c r="A3139" s="1" t="n">
        <v>4064941176381</v>
      </c>
      <c r="B3139" t="inlineStr">
        <is>
          <t>KJ MU SPP LKIT SET 3ML 1.14G COCNT GL IV</t>
        </is>
      </c>
      <c r="C3139" t="inlineStr">
        <is>
          <t>P_US_ULTA</t>
        </is>
      </c>
      <c r="D3139" t="inlineStr">
        <is>
          <t>Stat Fcst Simple Snaive</t>
        </is>
      </c>
    </row>
    <row r="3140">
      <c r="A3140" s="1" t="n">
        <v>4064941176381</v>
      </c>
      <c r="B3140" t="inlineStr">
        <is>
          <t>KJ MU SPP LKIT SET 3ML 1.14G COCNT GL IV</t>
        </is>
      </c>
      <c r="C3140" t="inlineStr">
        <is>
          <t>P_US_ULTA</t>
        </is>
      </c>
      <c r="D3140" t="inlineStr">
        <is>
          <t>Stat Fcst Simple AOA</t>
        </is>
      </c>
    </row>
    <row r="3141">
      <c r="A3141" s="1" t="n">
        <v>4064941176381</v>
      </c>
      <c r="B3141" t="inlineStr">
        <is>
          <t>KJ MU SPP LKIT SET 3ML 1.14G COCNT GL IV</t>
        </is>
      </c>
      <c r="C3141" t="inlineStr">
        <is>
          <t>P_US_ULTA</t>
        </is>
      </c>
      <c r="D3141" t="inlineStr">
        <is>
          <t>Stat Fcst Weighted Snaive</t>
        </is>
      </c>
    </row>
    <row r="3142">
      <c r="A3142" s="1" t="n">
        <v>4064941176381</v>
      </c>
      <c r="B3142" t="inlineStr">
        <is>
          <t>KJ MU SPP LKIT SET 3ML 1.14G COCNT GL IV</t>
        </is>
      </c>
      <c r="C3142" t="inlineStr">
        <is>
          <t>P_US_ULTA</t>
        </is>
      </c>
      <c r="D3142" t="inlineStr">
        <is>
          <t>Stat Fcst Weighted AOA</t>
        </is>
      </c>
    </row>
    <row r="3143">
      <c r="A3143" s="1" t="n">
        <v>4064941176381</v>
      </c>
      <c r="B3143" t="inlineStr">
        <is>
          <t>KJ MU SPP LKIT SET 3ML 1.14G COCNT GL IV</t>
        </is>
      </c>
      <c r="C3143" t="inlineStr">
        <is>
          <t>P_US_ULTA</t>
        </is>
      </c>
      <c r="D3143" t="inlineStr">
        <is>
          <t>Stat Fcst Growth Snaive</t>
        </is>
      </c>
    </row>
    <row r="3144">
      <c r="A3144" s="1" t="n">
        <v>4064941176381</v>
      </c>
      <c r="B3144" t="inlineStr">
        <is>
          <t>KJ MU SPP LKIT SET 3ML 1.14G COCNT GL IV</t>
        </is>
      </c>
      <c r="C3144" t="inlineStr">
        <is>
          <t>P_US_ULTA</t>
        </is>
      </c>
      <c r="D3144" t="inlineStr">
        <is>
          <t>Stat Fcst Growth AOA</t>
        </is>
      </c>
    </row>
    <row r="3145">
      <c r="A3145" s="1" t="n">
        <v>4064941176381</v>
      </c>
      <c r="B3145" t="inlineStr">
        <is>
          <t>KJ MU SPP LKIT SET 3ML 1.14G COCNT GL IV</t>
        </is>
      </c>
      <c r="C3145" t="inlineStr">
        <is>
          <t>P_US_ULTA</t>
        </is>
      </c>
      <c r="D3145" t="inlineStr">
        <is>
          <t>System Stat Fcst Bestfit</t>
        </is>
      </c>
      <c r="H3145" t="n">
        <v>3745.53504462435</v>
      </c>
      <c r="I3145" t="n">
        <v>3743.46584820349</v>
      </c>
      <c r="J3145" t="n">
        <v>3742.43079666999</v>
      </c>
      <c r="K3145" t="n">
        <v>3741.91346270103</v>
      </c>
      <c r="L3145" t="n">
        <v>3741.65502929687</v>
      </c>
      <c r="M3145" t="n">
        <v>3741.52527911885</v>
      </c>
      <c r="N3145" t="n">
        <v>3741.46099325211</v>
      </c>
      <c r="O3145" t="n">
        <v>3741.42835529361</v>
      </c>
      <c r="P3145" t="n">
        <v>3741.41262553194</v>
      </c>
    </row>
    <row r="3146">
      <c r="A3146" s="1" t="n">
        <v>737052339047</v>
      </c>
      <c r="B3146" t="inlineStr">
        <is>
          <t>GUCCI GUILT H EDT NS 90 ML IV</t>
        </is>
      </c>
      <c r="C3146" t="inlineStr">
        <is>
          <t>P_US_ALL_OTHERS</t>
        </is>
      </c>
      <c r="D3146" t="inlineStr">
        <is>
          <t>Stat Fcst L1</t>
        </is>
      </c>
      <c r="E3146" t="n">
        <v>5765.9998281598</v>
      </c>
      <c r="F3146" t="n">
        <v>3483.9998961687</v>
      </c>
      <c r="G3146" t="n">
        <v>5396</v>
      </c>
      <c r="H3146" t="n">
        <v>3880</v>
      </c>
      <c r="I3146" t="n">
        <v>2988</v>
      </c>
      <c r="J3146" t="n">
        <v>3822</v>
      </c>
      <c r="K3146" t="n">
        <v>3126</v>
      </c>
      <c r="L3146" t="n">
        <v>2748</v>
      </c>
      <c r="M3146" t="n">
        <v>3246</v>
      </c>
      <c r="N3146" t="n">
        <v>2619</v>
      </c>
      <c r="O3146" t="n">
        <v>3370</v>
      </c>
      <c r="P3146" t="n">
        <v>2692</v>
      </c>
    </row>
    <row r="3147">
      <c r="A3147" s="1" t="n">
        <v>737052339047</v>
      </c>
      <c r="B3147" t="inlineStr">
        <is>
          <t>GUCCI GUILT H EDT NS 90 ML IV</t>
        </is>
      </c>
      <c r="C3147" t="inlineStr">
        <is>
          <t>P_US_ALL_OTHERS</t>
        </is>
      </c>
      <c r="D3147" t="inlineStr">
        <is>
          <t>Stat Fcst AR-NNET</t>
        </is>
      </c>
    </row>
    <row r="3148">
      <c r="A3148" s="1" t="n">
        <v>737052339047</v>
      </c>
      <c r="B3148" t="inlineStr">
        <is>
          <t>GUCCI GUILT H EDT NS 90 ML IV</t>
        </is>
      </c>
      <c r="C3148" t="inlineStr">
        <is>
          <t>P_US_ALL_OTHERS</t>
        </is>
      </c>
      <c r="D3148" t="inlineStr">
        <is>
          <t>Stat Fcst Auto ARIMA</t>
        </is>
      </c>
    </row>
    <row r="3149">
      <c r="A3149" s="1" t="n">
        <v>737052339047</v>
      </c>
      <c r="B3149" t="inlineStr">
        <is>
          <t>GUCCI GUILT H EDT NS 90 ML IV</t>
        </is>
      </c>
      <c r="C3149" t="inlineStr">
        <is>
          <t>P_US_ALL_OTHERS</t>
        </is>
      </c>
      <c r="D3149" t="inlineStr">
        <is>
          <t>Stat Fcst Croston</t>
        </is>
      </c>
    </row>
    <row r="3150">
      <c r="A3150" s="1" t="n">
        <v>737052339047</v>
      </c>
      <c r="B3150" t="inlineStr">
        <is>
          <t>GUCCI GUILT H EDT NS 90 ML IV</t>
        </is>
      </c>
      <c r="C3150" t="inlineStr">
        <is>
          <t>P_US_ALL_OTHERS</t>
        </is>
      </c>
      <c r="D3150" t="inlineStr">
        <is>
          <t>Stat Fcst DES</t>
        </is>
      </c>
    </row>
    <row r="3151">
      <c r="A3151" s="1" t="n">
        <v>737052339047</v>
      </c>
      <c r="B3151" t="inlineStr">
        <is>
          <t>GUCCI GUILT H EDT NS 90 ML IV</t>
        </is>
      </c>
      <c r="C3151" t="inlineStr">
        <is>
          <t>P_US_ALL_OTHERS</t>
        </is>
      </c>
      <c r="D3151" t="inlineStr">
        <is>
          <t>Stat Fcst ETS</t>
        </is>
      </c>
    </row>
    <row r="3152">
      <c r="A3152" s="1" t="n">
        <v>737052339047</v>
      </c>
      <c r="B3152" t="inlineStr">
        <is>
          <t>GUCCI GUILT H EDT NS 90 ML IV</t>
        </is>
      </c>
      <c r="C3152" t="inlineStr">
        <is>
          <t>P_US_ALL_OTHERS</t>
        </is>
      </c>
      <c r="D3152" t="inlineStr">
        <is>
          <t>Stat Fcst Moving Average</t>
        </is>
      </c>
    </row>
    <row r="3153">
      <c r="A3153" s="1" t="n">
        <v>737052339047</v>
      </c>
      <c r="B3153" t="inlineStr">
        <is>
          <t>GUCCI GUILT H EDT NS 90 ML IV</t>
        </is>
      </c>
      <c r="C3153" t="inlineStr">
        <is>
          <t>P_US_ALL_OTHERS</t>
        </is>
      </c>
      <c r="D3153" t="inlineStr">
        <is>
          <t>Stat Fcst Naive Random Walk</t>
        </is>
      </c>
    </row>
    <row r="3154">
      <c r="A3154" s="1" t="n">
        <v>737052339047</v>
      </c>
      <c r="B3154" t="inlineStr">
        <is>
          <t>GUCCI GUILT H EDT NS 90 ML IV</t>
        </is>
      </c>
      <c r="C3154" t="inlineStr">
        <is>
          <t>P_US_ALL_OTHERS</t>
        </is>
      </c>
      <c r="D3154" t="inlineStr">
        <is>
          <t>Stat Fcst Prophet</t>
        </is>
      </c>
    </row>
    <row r="3155">
      <c r="A3155" s="1" t="n">
        <v>737052339047</v>
      </c>
      <c r="B3155" t="inlineStr">
        <is>
          <t>GUCCI GUILT H EDT NS 90 ML IV</t>
        </is>
      </c>
      <c r="C3155" t="inlineStr">
        <is>
          <t>P_US_ALL_OTHERS</t>
        </is>
      </c>
      <c r="D3155" t="inlineStr">
        <is>
          <t>Stat Fcst sARIMA</t>
        </is>
      </c>
    </row>
    <row r="3156">
      <c r="A3156" s="1" t="n">
        <v>737052339047</v>
      </c>
      <c r="B3156" t="inlineStr">
        <is>
          <t>GUCCI GUILT H EDT NS 90 ML IV</t>
        </is>
      </c>
      <c r="C3156" t="inlineStr">
        <is>
          <t>P_US_ALL_OTHERS</t>
        </is>
      </c>
      <c r="D3156" t="inlineStr">
        <is>
          <t>Stat Fcst Seasonal Naive YoY</t>
        </is>
      </c>
    </row>
    <row r="3157">
      <c r="A3157" s="1" t="n">
        <v>737052339047</v>
      </c>
      <c r="B3157" t="inlineStr">
        <is>
          <t>GUCCI GUILT H EDT NS 90 ML IV</t>
        </is>
      </c>
      <c r="C3157" t="inlineStr">
        <is>
          <t>P_US_ALL_OTHERS</t>
        </is>
      </c>
      <c r="D3157" t="inlineStr">
        <is>
          <t>Stat Fcst SES</t>
        </is>
      </c>
    </row>
    <row r="3158">
      <c r="A3158" s="1" t="n">
        <v>737052339047</v>
      </c>
      <c r="B3158" t="inlineStr">
        <is>
          <t>GUCCI GUILT H EDT NS 90 ML IV</t>
        </is>
      </c>
      <c r="C3158" t="inlineStr">
        <is>
          <t>P_US_ALL_OTHERS</t>
        </is>
      </c>
      <c r="D3158" t="inlineStr">
        <is>
          <t>Stat Fcst STLF</t>
        </is>
      </c>
      <c r="E3158" t="n">
        <v>1959.12740745343</v>
      </c>
      <c r="F3158" t="n">
        <v>4390.83902332723</v>
      </c>
      <c r="G3158" t="n">
        <v>8350.984904147281</v>
      </c>
      <c r="H3158" t="n">
        <v>3167.16203828592</v>
      </c>
      <c r="I3158" t="n">
        <v>4096.06021403635</v>
      </c>
      <c r="J3158" t="n">
        <v>5144.7475512229</v>
      </c>
      <c r="K3158" t="n">
        <v>2458.64778996073</v>
      </c>
      <c r="L3158" t="n">
        <v>2194.83930653764</v>
      </c>
      <c r="M3158" t="n">
        <v>4328.78373208734</v>
      </c>
      <c r="N3158" t="n">
        <v>2994.42293808993</v>
      </c>
      <c r="O3158" t="n">
        <v>1567.31026915195</v>
      </c>
      <c r="P3158" t="n">
        <v>2662.57638531793</v>
      </c>
    </row>
    <row r="3159">
      <c r="A3159" s="1" t="n">
        <v>737052339047</v>
      </c>
      <c r="B3159" t="inlineStr">
        <is>
          <t>GUCCI GUILT H EDT NS 90 ML IV</t>
        </is>
      </c>
      <c r="C3159" t="inlineStr">
        <is>
          <t>P_US_ALL_OTHERS</t>
        </is>
      </c>
      <c r="D3159" t="inlineStr">
        <is>
          <t>Stat Fcst TBATS</t>
        </is>
      </c>
    </row>
    <row r="3160">
      <c r="A3160" s="1" t="n">
        <v>737052339047</v>
      </c>
      <c r="B3160" t="inlineStr">
        <is>
          <t>GUCCI GUILT H EDT NS 90 ML IV</t>
        </is>
      </c>
      <c r="C3160" t="inlineStr">
        <is>
          <t>P_US_ALL_OTHERS</t>
        </is>
      </c>
      <c r="D3160" t="inlineStr">
        <is>
          <t>Stat Fcst TES</t>
        </is>
      </c>
      <c r="E3160" t="n">
        <v>3161.02763603705</v>
      </c>
      <c r="F3160" t="n">
        <v>6382.87321693518</v>
      </c>
      <c r="G3160" t="n">
        <v>6736.90602789664</v>
      </c>
      <c r="H3160" t="n">
        <v>3880.40998046688</v>
      </c>
      <c r="I3160" t="n">
        <v>2986.77351324773</v>
      </c>
      <c r="J3160" t="n">
        <v>3823.83623259875</v>
      </c>
      <c r="K3160" t="n">
        <v>3124.3949076156</v>
      </c>
      <c r="L3160" t="n">
        <v>2746.94118887715</v>
      </c>
      <c r="M3160" t="n">
        <v>3246.67633431896</v>
      </c>
      <c r="N3160" t="n">
        <v>2619.39058091759</v>
      </c>
      <c r="O3160" t="n">
        <v>3369.22236509406</v>
      </c>
      <c r="P3160" t="n">
        <v>2692.60116985037</v>
      </c>
    </row>
    <row r="3161">
      <c r="A3161" s="1" t="n">
        <v>737052339047</v>
      </c>
      <c r="B3161" t="inlineStr">
        <is>
          <t>GUCCI GUILT H EDT NS 90 ML IV</t>
        </is>
      </c>
      <c r="C3161" t="inlineStr">
        <is>
          <t>P_US_ALL_OTHERS</t>
        </is>
      </c>
      <c r="D3161" t="inlineStr">
        <is>
          <t>Stat Fcst Theta</t>
        </is>
      </c>
    </row>
    <row r="3162">
      <c r="A3162" s="1" t="n">
        <v>737052339047</v>
      </c>
      <c r="B3162" t="inlineStr">
        <is>
          <t>GUCCI GUILT H EDT NS 90 ML IV</t>
        </is>
      </c>
      <c r="C3162" t="inlineStr">
        <is>
          <t>P_US_ALL_OTHERS</t>
        </is>
      </c>
      <c r="D3162" t="inlineStr">
        <is>
          <t>System ML Fcst L1</t>
        </is>
      </c>
    </row>
    <row r="3163">
      <c r="A3163" s="1" t="n">
        <v>737052339047</v>
      </c>
      <c r="B3163" t="inlineStr">
        <is>
          <t>GUCCI GUILT H EDT NS 90 ML IV</t>
        </is>
      </c>
      <c r="C3163" t="inlineStr">
        <is>
          <t>P_US_ALL_OTHERS</t>
        </is>
      </c>
      <c r="D3163" t="inlineStr">
        <is>
          <t>Stat Fcst Simple Snaive</t>
        </is>
      </c>
      <c r="E3163" t="n">
        <v>3999.9997587204</v>
      </c>
      <c r="F3163" t="n">
        <v>5393.99983924627</v>
      </c>
      <c r="G3163" t="n">
        <v>8146.27675340282</v>
      </c>
      <c r="H3163" t="n">
        <v>5170.99984589219</v>
      </c>
      <c r="I3163" t="n">
        <v>4151.00003092736</v>
      </c>
      <c r="J3163" t="n">
        <v>3736.33322198192</v>
      </c>
      <c r="K3163" t="n">
        <v>5298.66650875409</v>
      </c>
      <c r="L3163" t="n">
        <v>3577</v>
      </c>
      <c r="M3163" t="n">
        <v>4144.66654314597</v>
      </c>
      <c r="N3163" t="n">
        <v>2313.33336780468</v>
      </c>
      <c r="O3163" t="n">
        <v>4136.33304730058</v>
      </c>
      <c r="P3163" t="n">
        <v>2700.6666867882</v>
      </c>
    </row>
    <row r="3164">
      <c r="A3164" s="1" t="n">
        <v>737052339047</v>
      </c>
      <c r="B3164" t="inlineStr">
        <is>
          <t>GUCCI GUILT H EDT NS 90 ML IV</t>
        </is>
      </c>
      <c r="C3164" t="inlineStr">
        <is>
          <t>P_US_ALL_OTHERS</t>
        </is>
      </c>
      <c r="D3164" t="inlineStr">
        <is>
          <t>Stat Fcst Simple AOA</t>
        </is>
      </c>
    </row>
    <row r="3165">
      <c r="A3165" s="1" t="n">
        <v>737052339047</v>
      </c>
      <c r="B3165" t="inlineStr">
        <is>
          <t>GUCCI GUILT H EDT NS 90 ML IV</t>
        </is>
      </c>
      <c r="C3165" t="inlineStr">
        <is>
          <t>P_US_ALL_OTHERS</t>
        </is>
      </c>
      <c r="D3165" t="inlineStr">
        <is>
          <t>Stat Fcst Weighted Snaive</t>
        </is>
      </c>
    </row>
    <row r="3166">
      <c r="A3166" s="1" t="n">
        <v>737052339047</v>
      </c>
      <c r="B3166" t="inlineStr">
        <is>
          <t>GUCCI GUILT H EDT NS 90 ML IV</t>
        </is>
      </c>
      <c r="C3166" t="inlineStr">
        <is>
          <t>P_US_ALL_OTHERS</t>
        </is>
      </c>
      <c r="D3166" t="inlineStr">
        <is>
          <t>Stat Fcst Weighted AOA</t>
        </is>
      </c>
    </row>
    <row r="3167">
      <c r="A3167" s="1" t="n">
        <v>737052339047</v>
      </c>
      <c r="B3167" t="inlineStr">
        <is>
          <t>GUCCI GUILT H EDT NS 90 ML IV</t>
        </is>
      </c>
      <c r="C3167" t="inlineStr">
        <is>
          <t>P_US_ALL_OTHERS</t>
        </is>
      </c>
      <c r="D3167" t="inlineStr">
        <is>
          <t>Stat Fcst Growth Snaive</t>
        </is>
      </c>
    </row>
    <row r="3168">
      <c r="A3168" s="1" t="n">
        <v>737052339047</v>
      </c>
      <c r="B3168" t="inlineStr">
        <is>
          <t>GUCCI GUILT H EDT NS 90 ML IV</t>
        </is>
      </c>
      <c r="C3168" t="inlineStr">
        <is>
          <t>P_US_ALL_OTHERS</t>
        </is>
      </c>
      <c r="D3168" t="inlineStr">
        <is>
          <t>Stat Fcst Growth AOA</t>
        </is>
      </c>
    </row>
    <row r="3169">
      <c r="A3169" s="1" t="n">
        <v>737052339047</v>
      </c>
      <c r="B3169" t="inlineStr">
        <is>
          <t>GUCCI GUILT H EDT NS 90 ML IV</t>
        </is>
      </c>
      <c r="C3169" t="inlineStr">
        <is>
          <t>P_US_ALL_OTHERS</t>
        </is>
      </c>
      <c r="D3169" t="inlineStr">
        <is>
          <t>System Stat Fcst Bestfit</t>
        </is>
      </c>
      <c r="H3169" t="n">
        <v>3880.41004060476</v>
      </c>
      <c r="I3169" t="n">
        <v>2986.77345975319</v>
      </c>
      <c r="J3169" t="n">
        <v>3823.83606768142</v>
      </c>
      <c r="K3169" t="n">
        <v>3124.39492641702</v>
      </c>
      <c r="L3169" t="n">
        <v>2746.94116210937</v>
      </c>
      <c r="M3169" t="n">
        <v>3246.67641691337</v>
      </c>
      <c r="N3169" t="n">
        <v>2619.39041989133</v>
      </c>
      <c r="O3169" t="n">
        <v>3369.22231169872</v>
      </c>
      <c r="P3169" t="n">
        <v>2692.60133842081</v>
      </c>
    </row>
    <row r="3170">
      <c r="A3170" s="1" t="n">
        <v>737052339047</v>
      </c>
      <c r="B3170" t="inlineStr">
        <is>
          <t>GUCCI GUILT H EDT NS 90 ML IV</t>
        </is>
      </c>
      <c r="C3170" t="inlineStr">
        <is>
          <t>P_US_ULTA</t>
        </is>
      </c>
      <c r="D3170" t="inlineStr">
        <is>
          <t>Stat Fcst L1</t>
        </is>
      </c>
      <c r="E3170" t="n">
        <v>263.999992132186</v>
      </c>
      <c r="F3170" t="n">
        <v>863.999974250793</v>
      </c>
      <c r="G3170" t="n">
        <v>4217</v>
      </c>
      <c r="H3170" t="n">
        <v>806</v>
      </c>
      <c r="I3170" t="n">
        <v>1902</v>
      </c>
      <c r="J3170" t="n">
        <v>2095</v>
      </c>
      <c r="K3170" t="n">
        <v>1151</v>
      </c>
      <c r="L3170" t="n">
        <v>2152</v>
      </c>
      <c r="M3170" t="n">
        <v>1466</v>
      </c>
      <c r="N3170" t="n">
        <v>750</v>
      </c>
      <c r="O3170" t="n">
        <v>3135</v>
      </c>
      <c r="P3170" t="n">
        <v>810</v>
      </c>
    </row>
    <row r="3171">
      <c r="A3171" s="1" t="n">
        <v>737052339047</v>
      </c>
      <c r="B3171" t="inlineStr">
        <is>
          <t>GUCCI GUILT H EDT NS 90 ML IV</t>
        </is>
      </c>
      <c r="C3171" t="inlineStr">
        <is>
          <t>P_US_ULTA</t>
        </is>
      </c>
      <c r="D3171" t="inlineStr">
        <is>
          <t>Stat Fcst AR-NNET</t>
        </is>
      </c>
    </row>
    <row r="3172">
      <c r="A3172" s="1" t="n">
        <v>737052339047</v>
      </c>
      <c r="B3172" t="inlineStr">
        <is>
          <t>GUCCI GUILT H EDT NS 90 ML IV</t>
        </is>
      </c>
      <c r="C3172" t="inlineStr">
        <is>
          <t>P_US_ULTA</t>
        </is>
      </c>
      <c r="D3172" t="inlineStr">
        <is>
          <t>Stat Fcst Auto ARIMA</t>
        </is>
      </c>
    </row>
    <row r="3173">
      <c r="A3173" s="1" t="n">
        <v>737052339047</v>
      </c>
      <c r="B3173" t="inlineStr">
        <is>
          <t>GUCCI GUILT H EDT NS 90 ML IV</t>
        </is>
      </c>
      <c r="C3173" t="inlineStr">
        <is>
          <t>P_US_ULTA</t>
        </is>
      </c>
      <c r="D3173" t="inlineStr">
        <is>
          <t>Stat Fcst Croston</t>
        </is>
      </c>
    </row>
    <row r="3174">
      <c r="A3174" s="1" t="n">
        <v>737052339047</v>
      </c>
      <c r="B3174" t="inlineStr">
        <is>
          <t>GUCCI GUILT H EDT NS 90 ML IV</t>
        </is>
      </c>
      <c r="C3174" t="inlineStr">
        <is>
          <t>P_US_ULTA</t>
        </is>
      </c>
      <c r="D3174" t="inlineStr">
        <is>
          <t>Stat Fcst DES</t>
        </is>
      </c>
    </row>
    <row r="3175">
      <c r="A3175" s="1" t="n">
        <v>737052339047</v>
      </c>
      <c r="B3175" t="inlineStr">
        <is>
          <t>GUCCI GUILT H EDT NS 90 ML IV</t>
        </is>
      </c>
      <c r="C3175" t="inlineStr">
        <is>
          <t>P_US_ULTA</t>
        </is>
      </c>
      <c r="D3175" t="inlineStr">
        <is>
          <t>Stat Fcst ETS</t>
        </is>
      </c>
    </row>
    <row r="3176">
      <c r="A3176" s="1" t="n">
        <v>737052339047</v>
      </c>
      <c r="B3176" t="inlineStr">
        <is>
          <t>GUCCI GUILT H EDT NS 90 ML IV</t>
        </is>
      </c>
      <c r="C3176" t="inlineStr">
        <is>
          <t>P_US_ULTA</t>
        </is>
      </c>
      <c r="D3176" t="inlineStr">
        <is>
          <t>Stat Fcst Moving Average</t>
        </is>
      </c>
    </row>
    <row r="3177">
      <c r="A3177" s="1" t="n">
        <v>737052339047</v>
      </c>
      <c r="B3177" t="inlineStr">
        <is>
          <t>GUCCI GUILT H EDT NS 90 ML IV</t>
        </is>
      </c>
      <c r="C3177" t="inlineStr">
        <is>
          <t>P_US_ULTA</t>
        </is>
      </c>
      <c r="D3177" t="inlineStr">
        <is>
          <t>Stat Fcst Naive Random Walk</t>
        </is>
      </c>
    </row>
    <row r="3178">
      <c r="A3178" s="1" t="n">
        <v>737052339047</v>
      </c>
      <c r="B3178" t="inlineStr">
        <is>
          <t>GUCCI GUILT H EDT NS 90 ML IV</t>
        </is>
      </c>
      <c r="C3178" t="inlineStr">
        <is>
          <t>P_US_ULTA</t>
        </is>
      </c>
      <c r="D3178" t="inlineStr">
        <is>
          <t>Stat Fcst Prophet</t>
        </is>
      </c>
    </row>
    <row r="3179">
      <c r="A3179" s="1" t="n">
        <v>737052339047</v>
      </c>
      <c r="B3179" t="inlineStr">
        <is>
          <t>GUCCI GUILT H EDT NS 90 ML IV</t>
        </is>
      </c>
      <c r="C3179" t="inlineStr">
        <is>
          <t>P_US_ULTA</t>
        </is>
      </c>
      <c r="D3179" t="inlineStr">
        <is>
          <t>Stat Fcst sARIMA</t>
        </is>
      </c>
    </row>
    <row r="3180">
      <c r="A3180" s="1" t="n">
        <v>737052339047</v>
      </c>
      <c r="B3180" t="inlineStr">
        <is>
          <t>GUCCI GUILT H EDT NS 90 ML IV</t>
        </is>
      </c>
      <c r="C3180" t="inlineStr">
        <is>
          <t>P_US_ULTA</t>
        </is>
      </c>
      <c r="D3180" t="inlineStr">
        <is>
          <t>Stat Fcst Seasonal Naive YoY</t>
        </is>
      </c>
    </row>
    <row r="3181">
      <c r="A3181" s="1" t="n">
        <v>737052339047</v>
      </c>
      <c r="B3181" t="inlineStr">
        <is>
          <t>GUCCI GUILT H EDT NS 90 ML IV</t>
        </is>
      </c>
      <c r="C3181" t="inlineStr">
        <is>
          <t>P_US_ULTA</t>
        </is>
      </c>
      <c r="D3181" t="inlineStr">
        <is>
          <t>Stat Fcst SES</t>
        </is>
      </c>
    </row>
    <row r="3182">
      <c r="A3182" s="1" t="n">
        <v>737052339047</v>
      </c>
      <c r="B3182" t="inlineStr">
        <is>
          <t>GUCCI GUILT H EDT NS 90 ML IV</t>
        </is>
      </c>
      <c r="C3182" t="inlineStr">
        <is>
          <t>P_US_ULTA</t>
        </is>
      </c>
      <c r="D3182" t="inlineStr">
        <is>
          <t>Stat Fcst STLF</t>
        </is>
      </c>
      <c r="E3182" t="n">
        <v>471.747375906491</v>
      </c>
      <c r="F3182" t="n">
        <v>2184.47802225299</v>
      </c>
      <c r="G3182" t="n">
        <v>4237.75774730619</v>
      </c>
      <c r="H3182" t="n">
        <v>829.48547982305</v>
      </c>
      <c r="I3182" t="n">
        <v>2367.31218816286</v>
      </c>
      <c r="J3182" t="n">
        <v>1229.04133005774</v>
      </c>
      <c r="K3182" t="n">
        <v>2244.73215198321</v>
      </c>
      <c r="L3182" t="n">
        <v>1000.45833147142</v>
      </c>
      <c r="M3182" t="n">
        <v>892.115281555858</v>
      </c>
      <c r="N3182" t="n">
        <v>1085.22673386962</v>
      </c>
      <c r="O3182" t="n">
        <v>4236.60736770813</v>
      </c>
      <c r="P3182" t="n">
        <v>523.034929743033</v>
      </c>
    </row>
    <row r="3183">
      <c r="A3183" s="1" t="n">
        <v>737052339047</v>
      </c>
      <c r="B3183" t="inlineStr">
        <is>
          <t>GUCCI GUILT H EDT NS 90 ML IV</t>
        </is>
      </c>
      <c r="C3183" t="inlineStr">
        <is>
          <t>P_US_ULTA</t>
        </is>
      </c>
      <c r="D3183" t="inlineStr">
        <is>
          <t>Stat Fcst TBATS</t>
        </is>
      </c>
    </row>
    <row r="3184">
      <c r="A3184" s="1" t="n">
        <v>737052339047</v>
      </c>
      <c r="B3184" t="inlineStr">
        <is>
          <t>GUCCI GUILT H EDT NS 90 ML IV</t>
        </is>
      </c>
      <c r="C3184" t="inlineStr">
        <is>
          <t>P_US_ULTA</t>
        </is>
      </c>
      <c r="D3184" t="inlineStr">
        <is>
          <t>Stat Fcst TES</t>
        </is>
      </c>
      <c r="E3184" t="n">
        <v>1514.45104346178</v>
      </c>
      <c r="F3184" t="n">
        <v>2774.63140340843</v>
      </c>
      <c r="G3184" t="n">
        <v>2584.62790155656</v>
      </c>
      <c r="H3184" t="n">
        <v>393.338157751106</v>
      </c>
      <c r="I3184" t="n">
        <v>1215.96578012497</v>
      </c>
      <c r="J3184" t="n">
        <v>1659.231350541</v>
      </c>
      <c r="K3184" t="n">
        <v>659.638255751151</v>
      </c>
      <c r="L3184" t="n">
        <v>1270.10564192863</v>
      </c>
      <c r="M3184" t="n">
        <v>880.100188096271</v>
      </c>
      <c r="N3184" t="n">
        <v>567.4434747217</v>
      </c>
      <c r="O3184" t="n">
        <v>2222.84521033265</v>
      </c>
      <c r="P3184" t="n">
        <v>838.832808406864</v>
      </c>
    </row>
    <row r="3185">
      <c r="A3185" s="1" t="n">
        <v>737052339047</v>
      </c>
      <c r="B3185" t="inlineStr">
        <is>
          <t>GUCCI GUILT H EDT NS 90 ML IV</t>
        </is>
      </c>
      <c r="C3185" t="inlineStr">
        <is>
          <t>P_US_ULTA</t>
        </is>
      </c>
      <c r="D3185" t="inlineStr">
        <is>
          <t>Stat Fcst Theta</t>
        </is>
      </c>
    </row>
    <row r="3186">
      <c r="A3186" s="1" t="n">
        <v>737052339047</v>
      </c>
      <c r="B3186" t="inlineStr">
        <is>
          <t>GUCCI GUILT H EDT NS 90 ML IV</t>
        </is>
      </c>
      <c r="C3186" t="inlineStr">
        <is>
          <t>P_US_ULTA</t>
        </is>
      </c>
      <c r="D3186" t="inlineStr">
        <is>
          <t>System ML Fcst L1</t>
        </is>
      </c>
    </row>
    <row r="3187">
      <c r="A3187" s="1" t="n">
        <v>737052339047</v>
      </c>
      <c r="B3187" t="inlineStr">
        <is>
          <t>GUCCI GUILT H EDT NS 90 ML IV</t>
        </is>
      </c>
      <c r="C3187" t="inlineStr">
        <is>
          <t>P_US_ULTA</t>
        </is>
      </c>
      <c r="D3187" t="inlineStr">
        <is>
          <t>Stat Fcst Simple Snaive</t>
        </is>
      </c>
      <c r="E3187" t="n">
        <v>1103.99990606308</v>
      </c>
      <c r="F3187" t="n">
        <v>1007.99996995925</v>
      </c>
      <c r="G3187" t="n">
        <v>4215.65335172156</v>
      </c>
      <c r="H3187" t="n">
        <v>807.999973376592</v>
      </c>
      <c r="I3187" t="n">
        <v>1904.0000141859</v>
      </c>
      <c r="J3187" t="n">
        <v>2095.99989684422</v>
      </c>
      <c r="K3187" t="n">
        <v>1151.99988428751</v>
      </c>
      <c r="L3187" t="n">
        <v>2152</v>
      </c>
      <c r="M3187" t="n">
        <v>1463.99983429909</v>
      </c>
      <c r="N3187" t="n">
        <v>748.000011146068</v>
      </c>
      <c r="O3187" t="n">
        <v>3135.65314548254</v>
      </c>
      <c r="P3187" t="n">
        <v>808.000006020069</v>
      </c>
    </row>
    <row r="3188">
      <c r="A3188" s="1" t="n">
        <v>737052339047</v>
      </c>
      <c r="B3188" t="inlineStr">
        <is>
          <t>GUCCI GUILT H EDT NS 90 ML IV</t>
        </is>
      </c>
      <c r="C3188" t="inlineStr">
        <is>
          <t>P_US_ULTA</t>
        </is>
      </c>
      <c r="D3188" t="inlineStr">
        <is>
          <t>Stat Fcst Simple AOA</t>
        </is>
      </c>
    </row>
    <row r="3189">
      <c r="A3189" s="1" t="n">
        <v>737052339047</v>
      </c>
      <c r="B3189" t="inlineStr">
        <is>
          <t>GUCCI GUILT H EDT NS 90 ML IV</t>
        </is>
      </c>
      <c r="C3189" t="inlineStr">
        <is>
          <t>P_US_ULTA</t>
        </is>
      </c>
      <c r="D3189" t="inlineStr">
        <is>
          <t>Stat Fcst Weighted Snaive</t>
        </is>
      </c>
    </row>
    <row r="3190">
      <c r="A3190" s="1" t="n">
        <v>737052339047</v>
      </c>
      <c r="B3190" t="inlineStr">
        <is>
          <t>GUCCI GUILT H EDT NS 90 ML IV</t>
        </is>
      </c>
      <c r="C3190" t="inlineStr">
        <is>
          <t>P_US_ULTA</t>
        </is>
      </c>
      <c r="D3190" t="inlineStr">
        <is>
          <t>Stat Fcst Weighted AOA</t>
        </is>
      </c>
    </row>
    <row r="3191">
      <c r="A3191" s="1" t="n">
        <v>737052339047</v>
      </c>
      <c r="B3191" t="inlineStr">
        <is>
          <t>GUCCI GUILT H EDT NS 90 ML IV</t>
        </is>
      </c>
      <c r="C3191" t="inlineStr">
        <is>
          <t>P_US_ULTA</t>
        </is>
      </c>
      <c r="D3191" t="inlineStr">
        <is>
          <t>Stat Fcst Growth Snaive</t>
        </is>
      </c>
    </row>
    <row r="3192">
      <c r="A3192" s="1" t="n">
        <v>737052339047</v>
      </c>
      <c r="B3192" t="inlineStr">
        <is>
          <t>GUCCI GUILT H EDT NS 90 ML IV</t>
        </is>
      </c>
      <c r="C3192" t="inlineStr">
        <is>
          <t>P_US_ULTA</t>
        </is>
      </c>
      <c r="D3192" t="inlineStr">
        <is>
          <t>Stat Fcst Growth AOA</t>
        </is>
      </c>
    </row>
    <row r="3193">
      <c r="A3193" s="1" t="n">
        <v>737052339047</v>
      </c>
      <c r="B3193" t="inlineStr">
        <is>
          <t>GUCCI GUILT H EDT NS 90 ML IV</t>
        </is>
      </c>
      <c r="C3193" t="inlineStr">
        <is>
          <t>P_US_ULTA</t>
        </is>
      </c>
      <c r="D3193" t="inlineStr">
        <is>
          <t>System Stat Fcst Bestfit</t>
        </is>
      </c>
      <c r="H3193" t="n">
        <v>807.9999759197231</v>
      </c>
      <c r="I3193" t="n">
        <v>1904.0000141859</v>
      </c>
      <c r="J3193" t="n">
        <v>2095.99993753433</v>
      </c>
      <c r="K3193" t="n">
        <v>1151.99984359741</v>
      </c>
      <c r="L3193" t="n">
        <v>2152</v>
      </c>
      <c r="M3193" t="n">
        <v>1463.99971222878</v>
      </c>
      <c r="N3193" t="n">
        <v>748.000011146068</v>
      </c>
      <c r="O3193" t="n">
        <v>3135.65298272213</v>
      </c>
      <c r="P3193" t="n">
        <v>808.000006020069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G12" sqref="G12"/>
    </sheetView>
  </sheetViews>
  <sheetFormatPr baseColWidth="8" defaultRowHeight="14.5"/>
  <cols>
    <col width="16.453125" bestFit="1" customWidth="1" style="1" min="1" max="1"/>
  </cols>
  <sheetData>
    <row r="1">
      <c r="A1" s="1" t="inlineStr">
        <is>
          <t>ST Stat Item</t>
        </is>
      </c>
      <c r="B1" t="inlineStr">
        <is>
          <t>Stat Item Description</t>
        </is>
      </c>
      <c r="C1" t="inlineStr">
        <is>
          <t>ST Stat Account</t>
        </is>
      </c>
      <c r="D1" t="inlineStr">
        <is>
          <t>Final Segment</t>
        </is>
      </c>
      <c r="E1" t="inlineStr">
        <is>
          <t>System Bestfit Algorithm</t>
        </is>
      </c>
      <c r="F1" t="inlineStr">
        <is>
          <t>Planner Bestfit Algorithm</t>
        </is>
      </c>
      <c r="G1" t="inlineStr">
        <is>
          <t>System Assigned Algorithm List</t>
        </is>
      </c>
      <c r="H1" t="inlineStr">
        <is>
          <t>Planner Additions</t>
        </is>
      </c>
      <c r="I1" t="inlineStr">
        <is>
          <t>System FC - Final</t>
        </is>
      </c>
      <c r="J1" t="inlineStr">
        <is>
          <t>ST Bestfit Fcst</t>
        </is>
      </c>
      <c r="K1" t="inlineStr">
        <is>
          <t>System BestFit Final</t>
        </is>
      </c>
    </row>
    <row r="2">
      <c r="A2" s="1" t="n">
        <v>3614229382112</v>
      </c>
      <c r="B2" t="inlineStr">
        <is>
          <t>GG PH P EDP 50 ML IV</t>
        </is>
      </c>
      <c r="C2" t="inlineStr">
        <is>
          <t>P_US_ALL_OTHERS</t>
        </is>
      </c>
      <c r="D2" t="inlineStr">
        <is>
          <t>Horses</t>
        </is>
      </c>
      <c r="E2" t="inlineStr">
        <is>
          <t>Simple Snaive</t>
        </is>
      </c>
      <c r="F2" t="inlineStr">
        <is>
          <t>TES</t>
        </is>
      </c>
      <c r="G2" t="inlineStr">
        <is>
          <t>TES,STLF,Simple Snaive</t>
        </is>
      </c>
      <c r="I2" t="n">
        <v>14169</v>
      </c>
      <c r="J2" t="n">
        <v>14169</v>
      </c>
      <c r="K2" t="inlineStr">
        <is>
          <t>ST</t>
        </is>
      </c>
    </row>
    <row r="3">
      <c r="A3" s="1" t="n">
        <v>3614229382112</v>
      </c>
      <c r="B3" t="inlineStr">
        <is>
          <t>GG PH P EDP 50 ML IV</t>
        </is>
      </c>
      <c r="C3" t="inlineStr">
        <is>
          <t>P_US_ULTA</t>
        </is>
      </c>
      <c r="D3" t="inlineStr">
        <is>
          <t>Horses</t>
        </is>
      </c>
      <c r="E3" t="inlineStr">
        <is>
          <t>STLF</t>
        </is>
      </c>
      <c r="F3" t="inlineStr">
        <is>
          <t>TES</t>
        </is>
      </c>
      <c r="G3" t="inlineStr">
        <is>
          <t>TES,STLF,Simple Snaive</t>
        </is>
      </c>
      <c r="I3" t="n">
        <v>3793</v>
      </c>
      <c r="J3" t="n">
        <v>3793</v>
      </c>
      <c r="K3" t="inlineStr">
        <is>
          <t>ST</t>
        </is>
      </c>
    </row>
    <row r="4">
      <c r="A4" s="1" t="n">
        <v>3614229382129</v>
      </c>
      <c r="B4" t="inlineStr">
        <is>
          <t>GG PH P EDP 90 ML IV</t>
        </is>
      </c>
      <c r="C4" t="inlineStr">
        <is>
          <t>P_US_ALL_OTHERS</t>
        </is>
      </c>
      <c r="D4" t="inlineStr">
        <is>
          <t>Horses</t>
        </is>
      </c>
      <c r="E4" t="inlineStr">
        <is>
          <t>TES</t>
        </is>
      </c>
      <c r="G4" t="inlineStr">
        <is>
          <t>TES,STLF,Simple Snaive</t>
        </is>
      </c>
      <c r="I4" t="n">
        <v>25323</v>
      </c>
      <c r="J4" t="n">
        <v>25323</v>
      </c>
      <c r="K4" t="inlineStr">
        <is>
          <t>ST</t>
        </is>
      </c>
    </row>
    <row r="5">
      <c r="A5" s="1" t="n">
        <v>3614229382129</v>
      </c>
      <c r="B5" t="inlineStr">
        <is>
          <t>GG PH P EDP 90 ML IV</t>
        </is>
      </c>
      <c r="C5" t="inlineStr">
        <is>
          <t>P_US_ULTA</t>
        </is>
      </c>
      <c r="D5" t="inlineStr">
        <is>
          <t>Horses</t>
        </is>
      </c>
      <c r="E5" t="inlineStr">
        <is>
          <t>Simple Snaive</t>
        </is>
      </c>
      <c r="G5" t="inlineStr">
        <is>
          <t>TES,STLF,Simple Snaive</t>
        </is>
      </c>
      <c r="I5" t="n">
        <v>12711</v>
      </c>
      <c r="J5" t="n">
        <v>12711</v>
      </c>
      <c r="K5" t="inlineStr">
        <is>
          <t>LT</t>
        </is>
      </c>
    </row>
    <row r="6">
      <c r="A6" s="1" t="n">
        <v>3616301794639</v>
      </c>
      <c r="B6" t="inlineStr">
        <is>
          <t>GG PF EDP 90 ML INTENSE IV</t>
        </is>
      </c>
      <c r="C6" t="inlineStr">
        <is>
          <t>P_US_ALL_OTHERS</t>
        </is>
      </c>
      <c r="D6" t="inlineStr">
        <is>
          <t>Rabbits</t>
        </is>
      </c>
      <c r="E6" t="inlineStr">
        <is>
          <t>Simple Snaive</t>
        </is>
      </c>
      <c r="G6" t="inlineStr">
        <is>
          <t>TES,STLF,Simple Snaive</t>
        </is>
      </c>
      <c r="I6" t="n">
        <v>1992</v>
      </c>
      <c r="J6" t="n">
        <v>1992</v>
      </c>
      <c r="K6" t="inlineStr">
        <is>
          <t>LT</t>
        </is>
      </c>
    </row>
    <row r="7">
      <c r="A7" s="1" t="n">
        <v>3616301794639</v>
      </c>
      <c r="B7" t="inlineStr">
        <is>
          <t>GG PF EDP 90 ML INTENSE IV</t>
        </is>
      </c>
      <c r="C7" t="inlineStr">
        <is>
          <t>P_US_ULTA</t>
        </is>
      </c>
      <c r="D7" t="inlineStr">
        <is>
          <t>Rabbits</t>
        </is>
      </c>
      <c r="E7" t="inlineStr">
        <is>
          <t>Moving Average</t>
        </is>
      </c>
      <c r="G7" t="inlineStr">
        <is>
          <t>DES,STLF,Weighted AOA,Moving Average</t>
        </is>
      </c>
      <c r="I7" t="n">
        <v>1067</v>
      </c>
      <c r="J7" t="n">
        <v>1067</v>
      </c>
      <c r="K7" t="inlineStr">
        <is>
          <t>LT</t>
        </is>
      </c>
    </row>
    <row r="8">
      <c r="A8" s="1" t="n">
        <v>3616301976141</v>
      </c>
      <c r="B8" t="inlineStr">
        <is>
          <t>GG PF21 EDT NS 90 ML IV</t>
        </is>
      </c>
      <c r="C8" t="inlineStr">
        <is>
          <t>P_US_ALL_OTHERS</t>
        </is>
      </c>
      <c r="D8" t="inlineStr">
        <is>
          <t>Horses</t>
        </is>
      </c>
      <c r="E8" t="inlineStr">
        <is>
          <t>TES</t>
        </is>
      </c>
      <c r="F8" t="inlineStr">
        <is>
          <t>STLF</t>
        </is>
      </c>
      <c r="G8" t="inlineStr">
        <is>
          <t>TES,STLF,Simple Snaive</t>
        </is>
      </c>
      <c r="I8" t="n">
        <v>12496</v>
      </c>
      <c r="J8" t="n">
        <v>12496</v>
      </c>
      <c r="K8" t="inlineStr">
        <is>
          <t>ST</t>
        </is>
      </c>
    </row>
    <row r="9">
      <c r="A9" s="1" t="n">
        <v>3616301976141</v>
      </c>
      <c r="B9" t="inlineStr">
        <is>
          <t>GG PF21 EDT NS 90 ML IV</t>
        </is>
      </c>
      <c r="C9" t="inlineStr">
        <is>
          <t>P_US_ULTA</t>
        </is>
      </c>
      <c r="D9" t="inlineStr">
        <is>
          <t>Horses</t>
        </is>
      </c>
      <c r="E9" t="inlineStr">
        <is>
          <t>Simple Snaive</t>
        </is>
      </c>
      <c r="F9" t="inlineStr">
        <is>
          <t>Simple Snaive</t>
        </is>
      </c>
      <c r="G9" t="inlineStr">
        <is>
          <t>TES,STLF,Simple Snaive</t>
        </is>
      </c>
      <c r="I9" t="n">
        <v>6706</v>
      </c>
      <c r="J9" t="n">
        <v>6706</v>
      </c>
      <c r="K9" t="inlineStr">
        <is>
          <t>ST</t>
        </is>
      </c>
    </row>
    <row r="10">
      <c r="A10" s="1" t="n">
        <v>3616302033683</v>
      </c>
      <c r="B10" t="inlineStr">
        <is>
          <t>GUCCI GUILT H DEOSTK 75 ML VP IV</t>
        </is>
      </c>
      <c r="C10" t="inlineStr">
        <is>
          <t>P_US_ALL_OTHERS</t>
        </is>
      </c>
      <c r="D10" t="inlineStr">
        <is>
          <t>Rabbits</t>
        </is>
      </c>
      <c r="E10" t="inlineStr">
        <is>
          <t>Moving Average</t>
        </is>
      </c>
      <c r="G10" t="inlineStr">
        <is>
          <t>DES,STLF,Weighted AOA,Moving Average</t>
        </is>
      </c>
      <c r="I10" t="n">
        <v>3726</v>
      </c>
      <c r="J10" t="n">
        <v>3726</v>
      </c>
      <c r="K10" t="inlineStr">
        <is>
          <t>LT</t>
        </is>
      </c>
    </row>
    <row r="11">
      <c r="A11" s="1" t="n">
        <v>3616302033683</v>
      </c>
      <c r="B11" t="inlineStr">
        <is>
          <t>GUCCI GUILT H DEOSTK 75 ML VP IV</t>
        </is>
      </c>
      <c r="C11" t="inlineStr">
        <is>
          <t>P_US_ULTA</t>
        </is>
      </c>
      <c r="D11" t="inlineStr">
        <is>
          <t>Rabbits</t>
        </is>
      </c>
      <c r="K11" t="inlineStr">
        <is>
          <t>ST</t>
        </is>
      </c>
    </row>
    <row r="12">
      <c r="A12" s="1" t="n">
        <v>3616302039357</v>
      </c>
      <c r="B12" t="inlineStr">
        <is>
          <t>GUCCI FL GG EDP 10 ML PENSPRAY IV</t>
        </is>
      </c>
      <c r="C12" t="inlineStr">
        <is>
          <t>P_US_ALL_OTHERS</t>
        </is>
      </c>
      <c r="D12" t="inlineStr">
        <is>
          <t>Horses</t>
        </is>
      </c>
      <c r="E12" t="inlineStr">
        <is>
          <t>DES</t>
        </is>
      </c>
      <c r="F12" t="inlineStr">
        <is>
          <t>STLF</t>
        </is>
      </c>
      <c r="G12" t="inlineStr">
        <is>
          <t>DES,STLF,Weighted AOA</t>
        </is>
      </c>
      <c r="H12" t="inlineStr">
        <is>
          <t>Simple Snaive</t>
        </is>
      </c>
      <c r="I12" t="n">
        <v>96378</v>
      </c>
      <c r="J12" t="n">
        <v>96378</v>
      </c>
      <c r="K12" t="inlineStr">
        <is>
          <t>LT</t>
        </is>
      </c>
    </row>
    <row r="13">
      <c r="A13" s="1" t="n">
        <v>3616302039357</v>
      </c>
      <c r="B13" t="inlineStr">
        <is>
          <t>GUCCI FL GG EDP 10 ML PENSPRAY IV</t>
        </is>
      </c>
      <c r="C13" t="inlineStr">
        <is>
          <t>P_US_ULTA</t>
        </is>
      </c>
      <c r="D13" t="inlineStr">
        <is>
          <t>Horses</t>
        </is>
      </c>
      <c r="E13" t="inlineStr">
        <is>
          <t>Weighted Snaive</t>
        </is>
      </c>
      <c r="F13" t="inlineStr">
        <is>
          <t>Weighted Snaive</t>
        </is>
      </c>
      <c r="G13" t="inlineStr">
        <is>
          <t>DES,STLF,Weighted AOA</t>
        </is>
      </c>
      <c r="H13" t="inlineStr">
        <is>
          <t>Weighted Snaive</t>
        </is>
      </c>
      <c r="I13" t="n">
        <v>50576</v>
      </c>
      <c r="J13" t="n">
        <v>50576</v>
      </c>
      <c r="K13" t="inlineStr">
        <is>
          <t>LT</t>
        </is>
      </c>
    </row>
    <row r="14">
      <c r="A14" s="1" t="n">
        <v>3616302039548</v>
      </c>
      <c r="B14" t="inlineStr">
        <is>
          <t>GG PF21 EDT NS 10 ML IV</t>
        </is>
      </c>
      <c r="C14" t="inlineStr">
        <is>
          <t>P_US_ALL_OTHERS</t>
        </is>
      </c>
      <c r="D14" t="inlineStr">
        <is>
          <t>Horses</t>
        </is>
      </c>
      <c r="E14" t="inlineStr">
        <is>
          <t>Weighted Snaive</t>
        </is>
      </c>
      <c r="F14" t="inlineStr">
        <is>
          <t>TES</t>
        </is>
      </c>
      <c r="G14" t="inlineStr">
        <is>
          <t>TES,STLF,Simple Snaive</t>
        </is>
      </c>
      <c r="H14" t="inlineStr">
        <is>
          <t>Weighted Snaive</t>
        </is>
      </c>
      <c r="I14" t="n">
        <v>10442</v>
      </c>
      <c r="J14" t="n">
        <v>10442</v>
      </c>
      <c r="K14" t="inlineStr">
        <is>
          <t>ST</t>
        </is>
      </c>
    </row>
    <row r="15">
      <c r="A15" s="1" t="n">
        <v>3616302039548</v>
      </c>
      <c r="B15" t="inlineStr">
        <is>
          <t>GG PF21 EDT NS 10 ML IV</t>
        </is>
      </c>
      <c r="C15" t="inlineStr">
        <is>
          <t>P_US_ULTA</t>
        </is>
      </c>
      <c r="D15" t="inlineStr">
        <is>
          <t>Horses</t>
        </is>
      </c>
      <c r="E15" t="inlineStr">
        <is>
          <t>Simple Snaive</t>
        </is>
      </c>
      <c r="F15" t="inlineStr">
        <is>
          <t>TES</t>
        </is>
      </c>
      <c r="G15" t="inlineStr">
        <is>
          <t>TES,STLF,Simple Snaive</t>
        </is>
      </c>
      <c r="I15" t="n">
        <v>12118</v>
      </c>
      <c r="J15" t="n">
        <v>12118</v>
      </c>
      <c r="K15" t="inlineStr">
        <is>
          <t>ST</t>
        </is>
      </c>
    </row>
    <row r="16">
      <c r="A16" s="1" t="n">
        <v>3616302514298</v>
      </c>
      <c r="B16" t="inlineStr">
        <is>
          <t>GUCCI BM EDT NS 100 ML RG IV</t>
        </is>
      </c>
      <c r="C16" t="inlineStr">
        <is>
          <t>P_US_ALL_OTHERS</t>
        </is>
      </c>
      <c r="D16" t="inlineStr">
        <is>
          <t>Bulls</t>
        </is>
      </c>
      <c r="E16" t="inlineStr">
        <is>
          <t>Simple Snaive</t>
        </is>
      </c>
      <c r="F16" t="inlineStr">
        <is>
          <t>Simple Snaive</t>
        </is>
      </c>
      <c r="G16" t="inlineStr">
        <is>
          <t>DES,STLF,Weighted AOA,Moving Average</t>
        </is>
      </c>
      <c r="I16" t="n">
        <v>13457</v>
      </c>
      <c r="J16" t="n">
        <v>13457</v>
      </c>
      <c r="K16" t="inlineStr">
        <is>
          <t>ST</t>
        </is>
      </c>
    </row>
    <row r="17">
      <c r="A17" s="1" t="n">
        <v>3616302514298</v>
      </c>
      <c r="B17" t="inlineStr">
        <is>
          <t>GUCCI BM EDT NS 100 ML RG IV</t>
        </is>
      </c>
      <c r="C17" t="inlineStr">
        <is>
          <t>P_US_ULTA</t>
        </is>
      </c>
      <c r="D17" t="inlineStr">
        <is>
          <t>Bulls</t>
        </is>
      </c>
      <c r="E17" t="inlineStr">
        <is>
          <t>TES</t>
        </is>
      </c>
      <c r="F17" t="inlineStr">
        <is>
          <t>STLF</t>
        </is>
      </c>
      <c r="G17" t="inlineStr">
        <is>
          <t>TES,STLF,Simple Snaive</t>
        </is>
      </c>
      <c r="I17" t="n">
        <v>14920</v>
      </c>
      <c r="J17" t="n">
        <v>14920</v>
      </c>
      <c r="K17" t="inlineStr">
        <is>
          <t>LT</t>
        </is>
      </c>
    </row>
    <row r="18">
      <c r="A18" s="1" t="n">
        <v>3616302968534</v>
      </c>
      <c r="B18" t="inlineStr">
        <is>
          <t>GUCCI FL G JSM EDP 50 ML IV</t>
        </is>
      </c>
      <c r="C18" t="inlineStr">
        <is>
          <t>P_US_ALL_OTHERS</t>
        </is>
      </c>
      <c r="D18" t="inlineStr">
        <is>
          <t>Horses</t>
        </is>
      </c>
      <c r="E18" t="inlineStr">
        <is>
          <t>Simple Snaive</t>
        </is>
      </c>
      <c r="F18" t="inlineStr">
        <is>
          <t>TES</t>
        </is>
      </c>
      <c r="G18" t="inlineStr">
        <is>
          <t>TES,STLF,Simple Snaive</t>
        </is>
      </c>
      <c r="I18" t="n">
        <v>5465</v>
      </c>
      <c r="J18" t="n">
        <v>5465</v>
      </c>
      <c r="K18" t="inlineStr">
        <is>
          <t>ST</t>
        </is>
      </c>
    </row>
    <row r="19">
      <c r="A19" s="1" t="n">
        <v>3616302968534</v>
      </c>
      <c r="B19" t="inlineStr">
        <is>
          <t>GUCCI FL G JSM EDP 50 ML IV</t>
        </is>
      </c>
      <c r="C19" t="inlineStr">
        <is>
          <t>P_US_ULTA</t>
        </is>
      </c>
      <c r="D19" t="inlineStr">
        <is>
          <t>Horses</t>
        </is>
      </c>
      <c r="E19" t="inlineStr">
        <is>
          <t>TES</t>
        </is>
      </c>
      <c r="G19" t="inlineStr">
        <is>
          <t>TES,STLF,Simple Snaive</t>
        </is>
      </c>
      <c r="I19" t="n">
        <v>1567</v>
      </c>
      <c r="J19" t="n">
        <v>1567</v>
      </c>
      <c r="K19" t="inlineStr">
        <is>
          <t>ST</t>
        </is>
      </c>
    </row>
    <row r="20">
      <c r="A20" s="1" t="n">
        <v>3616303048198</v>
      </c>
      <c r="B20" t="inlineStr">
        <is>
          <t>GUCCI FL G JSM EDP 10 ML IV</t>
        </is>
      </c>
      <c r="C20" t="inlineStr">
        <is>
          <t>P_US_ALL_OTHERS</t>
        </is>
      </c>
      <c r="D20" t="inlineStr">
        <is>
          <t>Horses</t>
        </is>
      </c>
      <c r="E20" t="inlineStr">
        <is>
          <t>Weighted Snaive</t>
        </is>
      </c>
      <c r="F20" t="inlineStr">
        <is>
          <t>TES</t>
        </is>
      </c>
      <c r="G20" t="inlineStr">
        <is>
          <t>TES,STLF,Simple Snaive</t>
        </is>
      </c>
      <c r="H20" t="inlineStr">
        <is>
          <t>Weighted Snaive</t>
        </is>
      </c>
      <c r="I20" t="n">
        <v>24485</v>
      </c>
      <c r="J20" t="n">
        <v>24485</v>
      </c>
      <c r="K20" t="inlineStr">
        <is>
          <t>ST</t>
        </is>
      </c>
    </row>
    <row r="21">
      <c r="A21" s="1" t="n">
        <v>3616303048198</v>
      </c>
      <c r="B21" t="inlineStr">
        <is>
          <t>GUCCI FL G JSM EDP 10 ML IV</t>
        </is>
      </c>
      <c r="C21" t="inlineStr">
        <is>
          <t>P_US_ULTA</t>
        </is>
      </c>
      <c r="D21" t="inlineStr">
        <is>
          <t>Horses</t>
        </is>
      </c>
      <c r="E21" t="inlineStr">
        <is>
          <t>STLF</t>
        </is>
      </c>
      <c r="F21" t="inlineStr">
        <is>
          <t>DES</t>
        </is>
      </c>
      <c r="G21" t="inlineStr">
        <is>
          <t>DES,STLF,Weighted AOA</t>
        </is>
      </c>
      <c r="H21" t="inlineStr">
        <is>
          <t>Weighted Snaive</t>
        </is>
      </c>
      <c r="I21" t="n">
        <v>3437</v>
      </c>
      <c r="J21" t="n">
        <v>3437</v>
      </c>
      <c r="K21" t="inlineStr">
        <is>
          <t>ST</t>
        </is>
      </c>
    </row>
    <row r="22">
      <c r="A22" s="1" t="n">
        <v>3616303470777</v>
      </c>
      <c r="B22" t="inlineStr">
        <is>
          <t>GUCCI FL G MAG RG EDP 10 ML IV</t>
        </is>
      </c>
      <c r="C22" t="inlineStr">
        <is>
          <t>P_US_ALL_OTHERS</t>
        </is>
      </c>
      <c r="D22" t="inlineStr">
        <is>
          <t>Horses</t>
        </is>
      </c>
      <c r="E22" t="inlineStr">
        <is>
          <t>Weighted Snaive</t>
        </is>
      </c>
      <c r="F22" t="inlineStr">
        <is>
          <t>Weighted Snaive</t>
        </is>
      </c>
      <c r="G22" t="inlineStr">
        <is>
          <t>TES,STLF,Simple Snaive</t>
        </is>
      </c>
      <c r="H22" t="inlineStr">
        <is>
          <t>Weighted Snaive</t>
        </is>
      </c>
      <c r="I22" t="n">
        <v>38193</v>
      </c>
      <c r="J22" t="n">
        <v>38193</v>
      </c>
      <c r="K22" t="inlineStr">
        <is>
          <t>ST</t>
        </is>
      </c>
    </row>
    <row r="23">
      <c r="A23" s="1" t="n">
        <v>3616303470777</v>
      </c>
      <c r="B23" t="inlineStr">
        <is>
          <t>GUCCI FL G MAG RG EDP 10 ML IV</t>
        </is>
      </c>
      <c r="C23" t="inlineStr">
        <is>
          <t>P_US_ULTA</t>
        </is>
      </c>
      <c r="D23" t="inlineStr">
        <is>
          <t>Horses</t>
        </is>
      </c>
      <c r="E23" t="inlineStr">
        <is>
          <t>STLF</t>
        </is>
      </c>
      <c r="F23" t="inlineStr">
        <is>
          <t>Weighted Snaive</t>
        </is>
      </c>
      <c r="G23" t="inlineStr">
        <is>
          <t>DES,STLF,Weighted AOA</t>
        </is>
      </c>
      <c r="H23" t="inlineStr">
        <is>
          <t>Weighted Snaive</t>
        </is>
      </c>
      <c r="I23" t="n">
        <v>13409</v>
      </c>
      <c r="J23" t="n">
        <v>13409</v>
      </c>
      <c r="K23" t="inlineStr">
        <is>
          <t>LT</t>
        </is>
      </c>
    </row>
    <row r="24">
      <c r="A24" s="1" t="n">
        <v>3616303470791</v>
      </c>
      <c r="B24" t="inlineStr">
        <is>
          <t>GUCCI FL G MAG RG EDP 100 ML SCREW IV</t>
        </is>
      </c>
      <c r="C24" t="inlineStr">
        <is>
          <t>P_US_ALL_OTHERS</t>
        </is>
      </c>
      <c r="D24" t="inlineStr">
        <is>
          <t>Bulls</t>
        </is>
      </c>
      <c r="E24" t="inlineStr">
        <is>
          <t>TES</t>
        </is>
      </c>
      <c r="F24" t="inlineStr">
        <is>
          <t>STLF</t>
        </is>
      </c>
      <c r="G24" t="inlineStr">
        <is>
          <t>TES,STLF,Simple Snaive</t>
        </is>
      </c>
      <c r="I24" t="n">
        <v>17701</v>
      </c>
      <c r="J24" t="n">
        <v>17701</v>
      </c>
      <c r="K24" t="inlineStr">
        <is>
          <t>ST</t>
        </is>
      </c>
    </row>
    <row r="25">
      <c r="A25" s="1" t="n">
        <v>3616303470791</v>
      </c>
      <c r="B25" t="inlineStr">
        <is>
          <t>GUCCI FL G MAG RG EDP 100 ML SCREW IV</t>
        </is>
      </c>
      <c r="C25" t="inlineStr">
        <is>
          <t>P_US_ULTA</t>
        </is>
      </c>
      <c r="D25" t="inlineStr">
        <is>
          <t>Bulls</t>
        </is>
      </c>
      <c r="E25" t="inlineStr">
        <is>
          <t>Weighted AOA</t>
        </is>
      </c>
      <c r="F25" t="inlineStr">
        <is>
          <t>STLF</t>
        </is>
      </c>
      <c r="G25" t="inlineStr">
        <is>
          <t>DES,STLF,Weighted AOA</t>
        </is>
      </c>
      <c r="I25" t="n">
        <v>26689</v>
      </c>
      <c r="J25" t="n">
        <v>26689</v>
      </c>
      <c r="K25" t="inlineStr">
        <is>
          <t>ST</t>
        </is>
      </c>
    </row>
    <row r="26">
      <c r="A26" s="1" t="n">
        <v>3616304077005</v>
      </c>
      <c r="B26" t="inlineStr">
        <is>
          <t>GUCCI BM EDP 10ML PENSPRAY RG 24IV</t>
        </is>
      </c>
      <c r="C26" t="inlineStr">
        <is>
          <t>P_US_ALL_OTHERS</t>
        </is>
      </c>
      <c r="D26" t="inlineStr">
        <is>
          <t>Horses</t>
        </is>
      </c>
      <c r="E26" t="inlineStr">
        <is>
          <t>Simple Snaive</t>
        </is>
      </c>
      <c r="F26" t="inlineStr">
        <is>
          <t>STLF</t>
        </is>
      </c>
      <c r="G26" t="inlineStr">
        <is>
          <t>TES,STLF,Simple Snaive</t>
        </is>
      </c>
      <c r="I26" t="n">
        <v>22335</v>
      </c>
      <c r="J26" t="n">
        <v>22335</v>
      </c>
      <c r="K26" t="inlineStr">
        <is>
          <t>ST</t>
        </is>
      </c>
    </row>
    <row r="27">
      <c r="A27" s="1" t="n">
        <v>3616304077005</v>
      </c>
      <c r="B27" t="inlineStr">
        <is>
          <t>GUCCI BM EDP 10ML PENSPRAY RG 24IV</t>
        </is>
      </c>
      <c r="C27" t="inlineStr">
        <is>
          <t>P_US_ULTA</t>
        </is>
      </c>
      <c r="D27" t="inlineStr">
        <is>
          <t>Horses</t>
        </is>
      </c>
      <c r="E27" t="inlineStr">
        <is>
          <t>Simple Snaive</t>
        </is>
      </c>
      <c r="F27" t="inlineStr">
        <is>
          <t>TES</t>
        </is>
      </c>
      <c r="G27" t="inlineStr">
        <is>
          <t>TES,STLF,Simple Snaive</t>
        </is>
      </c>
      <c r="I27" t="n">
        <v>14698</v>
      </c>
      <c r="J27" t="n">
        <v>14698</v>
      </c>
      <c r="K27" t="inlineStr">
        <is>
          <t>ST</t>
        </is>
      </c>
    </row>
    <row r="28">
      <c r="A28" s="1" t="n">
        <v>3616304077029</v>
      </c>
      <c r="B28" t="inlineStr">
        <is>
          <t>GUCCI BM EDT NS 10 ML PENSPRAY RGIV</t>
        </is>
      </c>
      <c r="C28" t="inlineStr">
        <is>
          <t>P_US_ALL_OTHERS</t>
        </is>
      </c>
      <c r="D28" t="inlineStr">
        <is>
          <t>Bulls</t>
        </is>
      </c>
      <c r="E28" t="inlineStr">
        <is>
          <t>Simple Snaive</t>
        </is>
      </c>
      <c r="G28" t="inlineStr">
        <is>
          <t>TES,STLF,Simple Snaive</t>
        </is>
      </c>
      <c r="I28" t="n">
        <v>17582</v>
      </c>
      <c r="J28" t="n">
        <v>17582</v>
      </c>
      <c r="K28" t="inlineStr">
        <is>
          <t>ST</t>
        </is>
      </c>
    </row>
    <row r="29">
      <c r="A29" s="1" t="n">
        <v>3616304077029</v>
      </c>
      <c r="B29" t="inlineStr">
        <is>
          <t>GUCCI BM EDT NS 10 ML PENSPRAY RGIV</t>
        </is>
      </c>
      <c r="C29" t="inlineStr">
        <is>
          <t>P_US_ULTA</t>
        </is>
      </c>
      <c r="D29" t="inlineStr">
        <is>
          <t>Bulls</t>
        </is>
      </c>
      <c r="E29" t="inlineStr">
        <is>
          <t>STLF</t>
        </is>
      </c>
      <c r="G29" t="inlineStr">
        <is>
          <t>TES,STLF,Simple Snaive</t>
        </is>
      </c>
      <c r="I29" t="n">
        <v>308</v>
      </c>
      <c r="J29" t="n">
        <v>308</v>
      </c>
      <c r="K29" t="inlineStr">
        <is>
          <t>LT</t>
        </is>
      </c>
    </row>
    <row r="30">
      <c r="A30" s="1" t="n">
        <v>3616304175893</v>
      </c>
      <c r="B30" t="inlineStr">
        <is>
          <t>GG ELIXIR PH PRFM 60 ML NS IV</t>
        </is>
      </c>
      <c r="C30" t="inlineStr">
        <is>
          <t>P_US_ALL_OTHERS</t>
        </is>
      </c>
      <c r="D30" t="inlineStr">
        <is>
          <t>Horses</t>
        </is>
      </c>
      <c r="E30" t="inlineStr">
        <is>
          <t>TES</t>
        </is>
      </c>
      <c r="G30" t="inlineStr">
        <is>
          <t>TES,STLF,Simple Snaive</t>
        </is>
      </c>
      <c r="I30" t="n">
        <v>28589</v>
      </c>
      <c r="J30" t="n">
        <v>28589</v>
      </c>
      <c r="K30" t="inlineStr">
        <is>
          <t>ST</t>
        </is>
      </c>
    </row>
    <row r="31">
      <c r="A31" s="1" t="n">
        <v>3616304175893</v>
      </c>
      <c r="B31" t="inlineStr">
        <is>
          <t>GG ELIXIR PH PRFM 60 ML NS IV</t>
        </is>
      </c>
      <c r="C31" t="inlineStr">
        <is>
          <t>P_US_ULTA</t>
        </is>
      </c>
      <c r="D31" t="inlineStr">
        <is>
          <t>Horses</t>
        </is>
      </c>
      <c r="E31" t="inlineStr">
        <is>
          <t>STLF</t>
        </is>
      </c>
      <c r="G31" t="inlineStr">
        <is>
          <t>TES,STLF,Simple Snaive</t>
        </is>
      </c>
      <c r="I31" t="n">
        <v>2726</v>
      </c>
      <c r="J31" t="n">
        <v>2726</v>
      </c>
      <c r="K31" t="inlineStr">
        <is>
          <t>ST</t>
        </is>
      </c>
    </row>
    <row r="32">
      <c r="A32" s="1" t="n">
        <v>3616304175916</v>
      </c>
      <c r="B32" t="inlineStr">
        <is>
          <t>GG ELIXIR PF PRFM 60 ML IV</t>
        </is>
      </c>
      <c r="C32" t="inlineStr">
        <is>
          <t>P_US_ALL_OTHERS</t>
        </is>
      </c>
      <c r="D32" t="inlineStr">
        <is>
          <t>Rabbits</t>
        </is>
      </c>
      <c r="E32" t="inlineStr">
        <is>
          <t>STLF</t>
        </is>
      </c>
      <c r="F32" t="inlineStr">
        <is>
          <t>Simple Snaive</t>
        </is>
      </c>
      <c r="G32" t="inlineStr">
        <is>
          <t>TES,STLF,Simple Snaive</t>
        </is>
      </c>
      <c r="I32" t="n">
        <v>4991</v>
      </c>
      <c r="J32" t="n">
        <v>4991</v>
      </c>
      <c r="K32" t="inlineStr">
        <is>
          <t>CML</t>
        </is>
      </c>
    </row>
    <row r="33">
      <c r="A33" s="1" t="n">
        <v>3616304175916</v>
      </c>
      <c r="B33" t="inlineStr">
        <is>
          <t>GG ELIXIR PF PRFM 60 ML IV</t>
        </is>
      </c>
      <c r="C33" t="inlineStr">
        <is>
          <t>P_US_ULTA</t>
        </is>
      </c>
      <c r="D33" t="inlineStr">
        <is>
          <t>Rabbits</t>
        </is>
      </c>
      <c r="E33" t="inlineStr">
        <is>
          <t>STLF</t>
        </is>
      </c>
      <c r="G33" t="inlineStr">
        <is>
          <t>TES,STLF,Simple Snaive</t>
        </is>
      </c>
      <c r="I33" t="n">
        <v>79</v>
      </c>
      <c r="J33" t="n">
        <v>79</v>
      </c>
      <c r="K33" t="inlineStr">
        <is>
          <t>LT</t>
        </is>
      </c>
    </row>
    <row r="34">
      <c r="A34" s="1" t="n">
        <v>3616304249716</v>
      </c>
      <c r="B34" t="inlineStr">
        <is>
          <t>GUCCI BM EDPIN EDP 100 ML IV</t>
        </is>
      </c>
      <c r="C34" t="inlineStr">
        <is>
          <t>P_US_ALL_OTHERS</t>
        </is>
      </c>
      <c r="D34" t="inlineStr">
        <is>
          <t>Horses</t>
        </is>
      </c>
      <c r="E34" t="inlineStr">
        <is>
          <t>TES</t>
        </is>
      </c>
      <c r="G34" t="inlineStr">
        <is>
          <t>TES,STLF,Simple Snaive</t>
        </is>
      </c>
      <c r="I34" t="n">
        <v>11979</v>
      </c>
      <c r="J34" t="n">
        <v>11979</v>
      </c>
      <c r="K34" t="inlineStr">
        <is>
          <t>ST</t>
        </is>
      </c>
    </row>
    <row r="35">
      <c r="A35" s="1" t="n">
        <v>3616304249716</v>
      </c>
      <c r="B35" t="inlineStr">
        <is>
          <t>GUCCI BM EDPIN EDP 100 ML IV</t>
        </is>
      </c>
      <c r="C35" t="inlineStr">
        <is>
          <t>P_US_ULTA</t>
        </is>
      </c>
      <c r="D35" t="inlineStr">
        <is>
          <t>Horses</t>
        </is>
      </c>
      <c r="E35" t="inlineStr">
        <is>
          <t>Simple Snaive</t>
        </is>
      </c>
      <c r="G35" t="inlineStr">
        <is>
          <t>TES,STLF,Simple Snaive</t>
        </is>
      </c>
      <c r="I35" t="n">
        <v>1945</v>
      </c>
      <c r="J35" t="n">
        <v>1945</v>
      </c>
      <c r="K35" t="inlineStr">
        <is>
          <t>CML</t>
        </is>
      </c>
    </row>
    <row r="36">
      <c r="A36" s="1" t="n">
        <v>3616305169259</v>
      </c>
      <c r="B36" t="inlineStr">
        <is>
          <t>GUCCI FL G ORC EDP 30ML IV</t>
        </is>
      </c>
      <c r="C36" t="inlineStr">
        <is>
          <t>P_US_ALL_OTHERS</t>
        </is>
      </c>
      <c r="D36" t="inlineStr">
        <is>
          <t>Horses</t>
        </is>
      </c>
      <c r="E36" t="inlineStr">
        <is>
          <t>Simple Snaive</t>
        </is>
      </c>
      <c r="G36" t="inlineStr">
        <is>
          <t>TES,STLF,Simple Snaive</t>
        </is>
      </c>
      <c r="I36" t="n">
        <v>15351</v>
      </c>
      <c r="J36" t="n">
        <v>15351</v>
      </c>
      <c r="K36" t="inlineStr">
        <is>
          <t>LT</t>
        </is>
      </c>
    </row>
    <row r="37">
      <c r="A37" s="1" t="n">
        <v>3616305169259</v>
      </c>
      <c r="B37" t="inlineStr">
        <is>
          <t>GUCCI FL G ORC EDP 30ML IV</t>
        </is>
      </c>
      <c r="C37" t="inlineStr">
        <is>
          <t>P_US_ULTA</t>
        </is>
      </c>
      <c r="D37" t="inlineStr">
        <is>
          <t>Horses</t>
        </is>
      </c>
      <c r="E37" t="inlineStr">
        <is>
          <t>DES</t>
        </is>
      </c>
      <c r="G37" t="inlineStr">
        <is>
          <t>DES,STLF,Weighted AOA</t>
        </is>
      </c>
      <c r="I37" t="n">
        <v>13852</v>
      </c>
      <c r="J37" t="n">
        <v>13852</v>
      </c>
      <c r="K37" t="inlineStr">
        <is>
          <t>LT</t>
        </is>
      </c>
    </row>
    <row r="38">
      <c r="A38" s="1" t="n">
        <v>3616305169273</v>
      </c>
      <c r="B38" t="inlineStr">
        <is>
          <t>GUCCI FL G ORC EDP 100 ML VP IV</t>
        </is>
      </c>
      <c r="C38" t="inlineStr">
        <is>
          <t>P_US_ALL_OTHERS</t>
        </is>
      </c>
      <c r="D38" t="inlineStr">
        <is>
          <t>Horses</t>
        </is>
      </c>
      <c r="E38" t="inlineStr">
        <is>
          <t>STLF</t>
        </is>
      </c>
      <c r="F38" t="inlineStr">
        <is>
          <t>TES</t>
        </is>
      </c>
      <c r="G38" t="inlineStr">
        <is>
          <t>TES,STLF,Simple Snaive</t>
        </is>
      </c>
      <c r="I38" t="n">
        <v>17462</v>
      </c>
      <c r="J38" t="n">
        <v>17462</v>
      </c>
      <c r="K38" t="inlineStr">
        <is>
          <t>ST</t>
        </is>
      </c>
    </row>
    <row r="39">
      <c r="A39" s="1" t="n">
        <v>3616305169273</v>
      </c>
      <c r="B39" t="inlineStr">
        <is>
          <t>GUCCI FL G ORC EDP 100 ML VP IV</t>
        </is>
      </c>
      <c r="C39" t="inlineStr">
        <is>
          <t>P_US_ULTA</t>
        </is>
      </c>
      <c r="D39" t="inlineStr">
        <is>
          <t>Horses</t>
        </is>
      </c>
      <c r="E39" t="inlineStr">
        <is>
          <t>TES</t>
        </is>
      </c>
      <c r="G39" t="inlineStr">
        <is>
          <t>TES,STLF,Simple Snaive</t>
        </is>
      </c>
      <c r="H39" t="inlineStr">
        <is>
          <t>Weighted Snaive</t>
        </is>
      </c>
      <c r="I39" t="n">
        <v>8421</v>
      </c>
      <c r="J39" t="n">
        <v>8421</v>
      </c>
      <c r="K39" t="inlineStr">
        <is>
          <t>CML</t>
        </is>
      </c>
    </row>
    <row r="40">
      <c r="A40" s="1" t="n">
        <v>3616305169297</v>
      </c>
      <c r="B40" t="inlineStr">
        <is>
          <t>GUCCI FL G ORC EDP 10 ML PENSPRAY VP IV</t>
        </is>
      </c>
      <c r="C40" t="inlineStr">
        <is>
          <t>P_US_ALL_OTHERS</t>
        </is>
      </c>
      <c r="D40" t="inlineStr">
        <is>
          <t>Horses</t>
        </is>
      </c>
      <c r="E40" t="inlineStr">
        <is>
          <t>TES</t>
        </is>
      </c>
      <c r="F40" t="inlineStr">
        <is>
          <t>TES</t>
        </is>
      </c>
      <c r="G40" t="inlineStr">
        <is>
          <t>DES,STLF,Weighted AOA</t>
        </is>
      </c>
      <c r="H40" t="inlineStr">
        <is>
          <t>TES</t>
        </is>
      </c>
      <c r="I40" t="n">
        <v>48607</v>
      </c>
      <c r="J40" t="n">
        <v>48607</v>
      </c>
      <c r="K40" t="inlineStr">
        <is>
          <t>LT</t>
        </is>
      </c>
    </row>
    <row r="41">
      <c r="A41" s="1" t="n">
        <v>3616305169297</v>
      </c>
      <c r="B41" t="inlineStr">
        <is>
          <t>GUCCI FL G ORC EDP 10 ML PENSPRAY VP IV</t>
        </is>
      </c>
      <c r="C41" t="inlineStr">
        <is>
          <t>P_US_ULTA</t>
        </is>
      </c>
      <c r="D41" t="inlineStr">
        <is>
          <t>Horses</t>
        </is>
      </c>
      <c r="E41" t="inlineStr">
        <is>
          <t>TES</t>
        </is>
      </c>
      <c r="G41" t="inlineStr">
        <is>
          <t>TES,STLF,Simple Snaive</t>
        </is>
      </c>
      <c r="H41" t="inlineStr">
        <is>
          <t>TES</t>
        </is>
      </c>
      <c r="I41" t="n">
        <v>26100</v>
      </c>
      <c r="J41" t="n">
        <v>26100</v>
      </c>
      <c r="K41" t="inlineStr">
        <is>
          <t>LT</t>
        </is>
      </c>
    </row>
    <row r="42">
      <c r="A42" s="1" t="n">
        <v>3616305275745</v>
      </c>
      <c r="B42" t="inlineStr">
        <is>
          <t>GUCCI FLG EDPI PRFM 100 ML INTENSE IV</t>
        </is>
      </c>
      <c r="C42" t="inlineStr">
        <is>
          <t>P_US_ALL_OTHERS</t>
        </is>
      </c>
      <c r="D42" t="inlineStr">
        <is>
          <t>Horses</t>
        </is>
      </c>
      <c r="E42" t="inlineStr">
        <is>
          <t>Moving Average</t>
        </is>
      </c>
      <c r="F42" t="inlineStr">
        <is>
          <t>SES</t>
        </is>
      </c>
      <c r="G42" t="inlineStr">
        <is>
          <t>SES,Moving Average,DES</t>
        </is>
      </c>
      <c r="I42" t="n">
        <v>19639</v>
      </c>
      <c r="J42" t="n">
        <v>19639</v>
      </c>
      <c r="K42" t="inlineStr">
        <is>
          <t>ST</t>
        </is>
      </c>
    </row>
    <row r="43">
      <c r="A43" s="1" t="n">
        <v>3616305275745</v>
      </c>
      <c r="B43" t="inlineStr">
        <is>
          <t>GUCCI FLG EDPI PRFM 100 ML INTENSE IV</t>
        </is>
      </c>
      <c r="C43" t="inlineStr">
        <is>
          <t>P_US_ULTA</t>
        </is>
      </c>
      <c r="D43" t="inlineStr">
        <is>
          <t>Horses</t>
        </is>
      </c>
      <c r="E43" t="inlineStr">
        <is>
          <t>Moving Average</t>
        </is>
      </c>
      <c r="F43" t="inlineStr">
        <is>
          <t>SES</t>
        </is>
      </c>
      <c r="G43" t="inlineStr">
        <is>
          <t>SES,Moving Average,DES</t>
        </is>
      </c>
      <c r="I43" t="n">
        <v>9431</v>
      </c>
      <c r="J43" t="n">
        <v>9431</v>
      </c>
      <c r="K43" t="inlineStr">
        <is>
          <t>ST</t>
        </is>
      </c>
    </row>
    <row r="44">
      <c r="A44" s="1" t="n">
        <v>3616305275776</v>
      </c>
      <c r="B44" t="inlineStr">
        <is>
          <t>GUCCI FLG EDPI PRFM 10ML INTEN P/SPRY IV</t>
        </is>
      </c>
      <c r="C44" t="inlineStr">
        <is>
          <t>P_US_ALL_OTHERS</t>
        </is>
      </c>
      <c r="D44" t="inlineStr">
        <is>
          <t>Bulls</t>
        </is>
      </c>
      <c r="E44" t="inlineStr">
        <is>
          <t>Moving Average</t>
        </is>
      </c>
      <c r="G44" t="inlineStr">
        <is>
          <t>SES,Moving Average,DES</t>
        </is>
      </c>
      <c r="I44" t="n">
        <v>21479</v>
      </c>
      <c r="J44" t="n">
        <v>21479</v>
      </c>
      <c r="K44" t="inlineStr">
        <is>
          <t>ST</t>
        </is>
      </c>
    </row>
    <row r="45">
      <c r="A45" s="1" t="n">
        <v>3616305275776</v>
      </c>
      <c r="B45" t="inlineStr">
        <is>
          <t>GUCCI FLG EDPI PRFM 10ML INTEN P/SPRY IV</t>
        </is>
      </c>
      <c r="C45" t="inlineStr">
        <is>
          <t>P_US_ULTA</t>
        </is>
      </c>
      <c r="D45" t="inlineStr">
        <is>
          <t>Bulls</t>
        </is>
      </c>
      <c r="E45" t="inlineStr">
        <is>
          <t>Moving Average</t>
        </is>
      </c>
      <c r="G45" t="inlineStr">
        <is>
          <t>SES,Moving Average</t>
        </is>
      </c>
      <c r="I45" t="n">
        <v>12190</v>
      </c>
      <c r="J45" t="n">
        <v>12190</v>
      </c>
      <c r="K45" t="inlineStr">
        <is>
          <t>ST</t>
        </is>
      </c>
    </row>
    <row r="46">
      <c r="A46" s="1" t="n">
        <v>3616305820846</v>
      </c>
      <c r="B46" t="inlineStr">
        <is>
          <t>GUCCI G BLK H RG EDT 90 ML ESSENCE IV</t>
        </is>
      </c>
      <c r="C46" t="inlineStr">
        <is>
          <t>P_US_ALL_OTHERS</t>
        </is>
      </c>
      <c r="D46" t="inlineStr">
        <is>
          <t>Horses</t>
        </is>
      </c>
      <c r="E46" t="inlineStr">
        <is>
          <t>TES</t>
        </is>
      </c>
      <c r="F46" t="inlineStr">
        <is>
          <t>STLF</t>
        </is>
      </c>
      <c r="G46" t="inlineStr">
        <is>
          <t>TES,STLF,Simple Snaive</t>
        </is>
      </c>
      <c r="I46" t="n">
        <v>29151</v>
      </c>
      <c r="J46" t="n">
        <v>29151</v>
      </c>
      <c r="K46" t="inlineStr">
        <is>
          <t>ST</t>
        </is>
      </c>
    </row>
    <row r="47">
      <c r="A47" s="1" t="n">
        <v>3616305820846</v>
      </c>
      <c r="B47" t="inlineStr">
        <is>
          <t>GUCCI G BLK H RG EDT 90 ML ESSENCE IV</t>
        </is>
      </c>
      <c r="C47" t="inlineStr">
        <is>
          <t>P_US_ULTA</t>
        </is>
      </c>
      <c r="D47" t="inlineStr">
        <is>
          <t>Horses</t>
        </is>
      </c>
      <c r="E47" t="inlineStr">
        <is>
          <t>Simple Snaive</t>
        </is>
      </c>
      <c r="G47" t="inlineStr">
        <is>
          <t>TES,STLF,Simple Snaive</t>
        </is>
      </c>
      <c r="I47" t="n">
        <v>13772</v>
      </c>
      <c r="J47" t="n">
        <v>13772</v>
      </c>
      <c r="K47" t="inlineStr">
        <is>
          <t>CML</t>
        </is>
      </c>
    </row>
    <row r="48">
      <c r="A48" s="1" t="n">
        <v>3616308110289</v>
      </c>
      <c r="B48" t="inlineStr">
        <is>
          <t>GUCCI BM EDP 30ML GAL VP 24IV</t>
        </is>
      </c>
      <c r="C48" t="inlineStr">
        <is>
          <t>P_US_ALL_OTHERS</t>
        </is>
      </c>
      <c r="D48" t="inlineStr">
        <is>
          <t>Rabbits</t>
        </is>
      </c>
      <c r="E48" t="inlineStr">
        <is>
          <t>TES</t>
        </is>
      </c>
      <c r="G48" t="inlineStr">
        <is>
          <t>TES,STLF,Simple Snaive</t>
        </is>
      </c>
      <c r="K48" t="inlineStr">
        <is>
          <t>ST</t>
        </is>
      </c>
    </row>
    <row r="49">
      <c r="A49" s="1" t="n">
        <v>3616308110289</v>
      </c>
      <c r="B49" t="inlineStr">
        <is>
          <t>GUCCI BM EDP 30ML GAL VP 24IV</t>
        </is>
      </c>
      <c r="C49" t="inlineStr">
        <is>
          <t>P_US_ULTA</t>
        </is>
      </c>
      <c r="D49" t="inlineStr">
        <is>
          <t>Rabbits</t>
        </is>
      </c>
      <c r="E49" t="inlineStr">
        <is>
          <t>TES</t>
        </is>
      </c>
      <c r="G49" t="inlineStr">
        <is>
          <t>TES,STLF,Simple Snaive</t>
        </is>
      </c>
      <c r="K49" t="inlineStr">
        <is>
          <t>ST</t>
        </is>
      </c>
    </row>
    <row r="50">
      <c r="A50" s="1" t="n">
        <v>3616308110302</v>
      </c>
      <c r="B50" t="inlineStr">
        <is>
          <t>GUCCI BM EDP 100 ML IV</t>
        </is>
      </c>
      <c r="C50" t="inlineStr">
        <is>
          <t>P_US_ALL_OTHERS</t>
        </is>
      </c>
      <c r="D50" t="inlineStr">
        <is>
          <t>Horses</t>
        </is>
      </c>
      <c r="E50" t="inlineStr">
        <is>
          <t>STLF</t>
        </is>
      </c>
      <c r="G50" t="inlineStr">
        <is>
          <t>TES,STLF,Simple Snaive</t>
        </is>
      </c>
      <c r="K50" t="inlineStr">
        <is>
          <t>CML</t>
        </is>
      </c>
    </row>
    <row r="51">
      <c r="A51" s="1" t="n">
        <v>3616308110302</v>
      </c>
      <c r="B51" t="inlineStr">
        <is>
          <t>GUCCI BM EDP 100 ML IV</t>
        </is>
      </c>
      <c r="C51" t="inlineStr">
        <is>
          <t>P_US_ULTA</t>
        </is>
      </c>
      <c r="D51" t="inlineStr">
        <is>
          <t>Horses</t>
        </is>
      </c>
      <c r="E51" t="inlineStr">
        <is>
          <t>TES</t>
        </is>
      </c>
      <c r="G51" t="inlineStr">
        <is>
          <t>TES,STLF,Simple Snaive</t>
        </is>
      </c>
      <c r="K51" t="inlineStr">
        <is>
          <t>ST</t>
        </is>
      </c>
    </row>
    <row r="52">
      <c r="A52" s="1" t="n">
        <v>4064941006657</v>
      </c>
      <c r="B52" t="inlineStr">
        <is>
          <t>KJ MU M LIQ K SET NEW MDIN808 KYLIE 23IV</t>
        </is>
      </c>
      <c r="C52" t="inlineStr">
        <is>
          <t>P_US_ALL_OTHERS</t>
        </is>
      </c>
      <c r="D52" t="inlineStr">
        <is>
          <t>Horses</t>
        </is>
      </c>
      <c r="E52" t="inlineStr">
        <is>
          <t>Simple Snaive</t>
        </is>
      </c>
      <c r="G52" t="inlineStr">
        <is>
          <t>TES,STLF,Simple Snaive</t>
        </is>
      </c>
      <c r="I52" t="n">
        <v>5040</v>
      </c>
      <c r="J52" t="n">
        <v>5040</v>
      </c>
      <c r="K52" t="inlineStr">
        <is>
          <t>CML</t>
        </is>
      </c>
    </row>
    <row r="53">
      <c r="A53" s="1" t="n">
        <v>4064941006657</v>
      </c>
      <c r="B53" t="inlineStr">
        <is>
          <t>KJ MU M LIQ K SET NEW MDIN808 KYLIE 23IV</t>
        </is>
      </c>
      <c r="C53" t="inlineStr">
        <is>
          <t>P_US_ULTA</t>
        </is>
      </c>
      <c r="D53" t="inlineStr">
        <is>
          <t>Horses</t>
        </is>
      </c>
      <c r="E53" t="inlineStr">
        <is>
          <t>TES</t>
        </is>
      </c>
      <c r="F53" t="inlineStr">
        <is>
          <t>TES</t>
        </is>
      </c>
      <c r="G53" t="inlineStr">
        <is>
          <t>TES,STLF,Simple Snaive</t>
        </is>
      </c>
      <c r="I53" t="n">
        <v>48711</v>
      </c>
      <c r="J53" t="n">
        <v>48711</v>
      </c>
      <c r="K53" t="inlineStr">
        <is>
          <t>ST</t>
        </is>
      </c>
    </row>
    <row r="54">
      <c r="A54" s="1" t="n">
        <v>4064941006671</v>
      </c>
      <c r="B54" t="inlineStr">
        <is>
          <t>KJ MU M LIQ K SET NWMDIN802 CANDY K 23IV</t>
        </is>
      </c>
      <c r="C54" t="inlineStr">
        <is>
          <t>P_US_ALL_OTHERS</t>
        </is>
      </c>
      <c r="D54" t="inlineStr">
        <is>
          <t>Horses</t>
        </is>
      </c>
      <c r="E54" t="inlineStr">
        <is>
          <t>TES</t>
        </is>
      </c>
      <c r="G54" t="inlineStr">
        <is>
          <t>TES,STLF,Simple Snaive</t>
        </is>
      </c>
      <c r="I54" t="n">
        <v>2716</v>
      </c>
      <c r="J54" t="n">
        <v>2716</v>
      </c>
      <c r="K54" t="inlineStr">
        <is>
          <t>LT</t>
        </is>
      </c>
    </row>
    <row r="55">
      <c r="A55" s="1" t="n">
        <v>4064941006671</v>
      </c>
      <c r="B55" t="inlineStr">
        <is>
          <t>KJ MU M LIQ K SET NWMDIN802 CANDY K 23IV</t>
        </is>
      </c>
      <c r="C55" t="inlineStr">
        <is>
          <t>P_US_ULTA</t>
        </is>
      </c>
      <c r="D55" t="inlineStr">
        <is>
          <t>Horses</t>
        </is>
      </c>
      <c r="E55" t="inlineStr">
        <is>
          <t>TES</t>
        </is>
      </c>
      <c r="G55" t="inlineStr">
        <is>
          <t>TES,STLF,Simple Snaive</t>
        </is>
      </c>
      <c r="I55" t="n">
        <v>23766</v>
      </c>
      <c r="J55" t="n">
        <v>23766</v>
      </c>
      <c r="K55" t="inlineStr">
        <is>
          <t>LT</t>
        </is>
      </c>
    </row>
    <row r="56">
      <c r="A56" s="1" t="n">
        <v>4064941006701</v>
      </c>
      <c r="B56" t="inlineStr">
        <is>
          <t>KJ MU M LIQ K SET MLTLPK 3ml1.1g 600 IV</t>
        </is>
      </c>
      <c r="C56" t="inlineStr">
        <is>
          <t>P_US_ALL_OTHERS</t>
        </is>
      </c>
      <c r="D56" t="inlineStr">
        <is>
          <t>Horses</t>
        </is>
      </c>
      <c r="E56" t="inlineStr">
        <is>
          <t>Simple Snaive</t>
        </is>
      </c>
      <c r="G56" t="inlineStr">
        <is>
          <t>TES,STLF,Simple Snaive</t>
        </is>
      </c>
      <c r="I56" t="n">
        <v>3980</v>
      </c>
      <c r="J56" t="n">
        <v>3980</v>
      </c>
      <c r="K56" t="inlineStr">
        <is>
          <t>ST</t>
        </is>
      </c>
    </row>
    <row r="57">
      <c r="A57" s="1" t="n">
        <v>4064941006701</v>
      </c>
      <c r="B57" t="inlineStr">
        <is>
          <t>KJ MU M LIQ K SET MLTLPK 3ml1.1g 600 IV</t>
        </is>
      </c>
      <c r="C57" t="inlineStr">
        <is>
          <t>P_US_ULTA</t>
        </is>
      </c>
      <c r="D57" t="inlineStr">
        <is>
          <t>Horses</t>
        </is>
      </c>
      <c r="E57" t="inlineStr">
        <is>
          <t>TES</t>
        </is>
      </c>
      <c r="F57" t="inlineStr">
        <is>
          <t>STLF</t>
        </is>
      </c>
      <c r="G57" t="inlineStr">
        <is>
          <t>TES,STLF,Simple Snaive</t>
        </is>
      </c>
      <c r="I57" t="n">
        <v>34931</v>
      </c>
      <c r="J57" t="n">
        <v>34931</v>
      </c>
      <c r="K57" t="inlineStr">
        <is>
          <t>LT</t>
        </is>
      </c>
    </row>
    <row r="58">
      <c r="A58" s="1" t="n">
        <v>4064941006800</v>
      </c>
      <c r="B58" t="inlineStr">
        <is>
          <t>KJ MU M LIQ K SET NMDIN 302 SNWWYBA 23IV</t>
        </is>
      </c>
      <c r="C58" t="inlineStr">
        <is>
          <t>P_US_ALL_OTHERS</t>
        </is>
      </c>
      <c r="D58" t="inlineStr">
        <is>
          <t>Horses</t>
        </is>
      </c>
      <c r="E58" t="inlineStr">
        <is>
          <t>TES</t>
        </is>
      </c>
      <c r="G58" t="inlineStr">
        <is>
          <t>TES,STLF,Simple Snaive</t>
        </is>
      </c>
      <c r="I58" t="n">
        <v>2384</v>
      </c>
      <c r="J58" t="n">
        <v>2384</v>
      </c>
      <c r="K58" t="inlineStr">
        <is>
          <t>ST</t>
        </is>
      </c>
    </row>
    <row r="59">
      <c r="A59" s="1" t="n">
        <v>4064941006800</v>
      </c>
      <c r="B59" t="inlineStr">
        <is>
          <t>KJ MU M LIQ K SET NMDIN 302 SNWWYBA 23IV</t>
        </is>
      </c>
      <c r="C59" t="inlineStr">
        <is>
          <t>P_US_ULTA</t>
        </is>
      </c>
      <c r="D59" t="inlineStr">
        <is>
          <t>Horses</t>
        </is>
      </c>
      <c r="E59" t="inlineStr">
        <is>
          <t>TES</t>
        </is>
      </c>
      <c r="F59" t="inlineStr">
        <is>
          <t>TES</t>
        </is>
      </c>
      <c r="G59" t="inlineStr">
        <is>
          <t>TES,STLF,Simple Snaive</t>
        </is>
      </c>
      <c r="I59" t="n">
        <v>14435</v>
      </c>
      <c r="J59" t="n">
        <v>14435</v>
      </c>
      <c r="K59" t="inlineStr">
        <is>
          <t>LT</t>
        </is>
      </c>
    </row>
    <row r="60">
      <c r="A60" s="1" t="n">
        <v>4064941006824</v>
      </c>
      <c r="B60" t="inlineStr">
        <is>
          <t>KJ MU M LIQ K SET NEWMDIN300 KOKO K 23IV</t>
        </is>
      </c>
      <c r="C60" t="inlineStr">
        <is>
          <t>P_US_ALL_OTHERS</t>
        </is>
      </c>
      <c r="D60" t="inlineStr">
        <is>
          <t>Horses</t>
        </is>
      </c>
      <c r="E60" t="inlineStr">
        <is>
          <t>TES</t>
        </is>
      </c>
      <c r="G60" t="inlineStr">
        <is>
          <t>TES,STLF,Simple Snaive</t>
        </is>
      </c>
      <c r="I60" t="n">
        <v>1928</v>
      </c>
      <c r="J60" t="n">
        <v>1928</v>
      </c>
      <c r="K60" t="inlineStr">
        <is>
          <t>CML</t>
        </is>
      </c>
    </row>
    <row r="61">
      <c r="A61" s="1" t="n">
        <v>4064941006824</v>
      </c>
      <c r="B61" t="inlineStr">
        <is>
          <t>KJ MU M LIQ K SET NEWMDIN300 KOKO K 23IV</t>
        </is>
      </c>
      <c r="C61" t="inlineStr">
        <is>
          <t>P_US_ULTA</t>
        </is>
      </c>
      <c r="D61" t="inlineStr">
        <is>
          <t>Horses</t>
        </is>
      </c>
      <c r="E61" t="inlineStr">
        <is>
          <t>DES</t>
        </is>
      </c>
      <c r="F61" t="inlineStr">
        <is>
          <t>STLF</t>
        </is>
      </c>
      <c r="G61" t="inlineStr">
        <is>
          <t>DES,STLF,Weighted AOA</t>
        </is>
      </c>
      <c r="I61" t="n">
        <v>13500</v>
      </c>
      <c r="J61" t="n">
        <v>13500</v>
      </c>
      <c r="K61" t="inlineStr">
        <is>
          <t>ST</t>
        </is>
      </c>
    </row>
    <row r="62">
      <c r="A62" s="1" t="n">
        <v>4064941006923</v>
      </c>
      <c r="B62" t="inlineStr">
        <is>
          <t>KJ MU M LIQ K SET NWMDIN100 POSIE K 23IV</t>
        </is>
      </c>
      <c r="C62" t="inlineStr">
        <is>
          <t>P_US_ALL_OTHERS</t>
        </is>
      </c>
      <c r="D62" t="inlineStr">
        <is>
          <t>Horses</t>
        </is>
      </c>
      <c r="E62" t="inlineStr">
        <is>
          <t>Simple Snaive</t>
        </is>
      </c>
      <c r="F62" t="inlineStr">
        <is>
          <t>TES</t>
        </is>
      </c>
      <c r="G62" t="inlineStr">
        <is>
          <t>TES,STLF,Simple Snaive</t>
        </is>
      </c>
      <c r="I62" t="n">
        <v>3578</v>
      </c>
      <c r="J62" t="n">
        <v>3578</v>
      </c>
      <c r="K62" t="inlineStr">
        <is>
          <t>ST</t>
        </is>
      </c>
    </row>
    <row r="63">
      <c r="A63" s="1" t="n">
        <v>4064941006923</v>
      </c>
      <c r="B63" t="inlineStr">
        <is>
          <t>KJ MU M LIQ K SET NWMDIN100 POSIE K 23IV</t>
        </is>
      </c>
      <c r="C63" t="inlineStr">
        <is>
          <t>P_US_ULTA</t>
        </is>
      </c>
      <c r="D63" t="inlineStr">
        <is>
          <t>Horses</t>
        </is>
      </c>
      <c r="E63" t="inlineStr">
        <is>
          <t>TES</t>
        </is>
      </c>
      <c r="G63" t="inlineStr">
        <is>
          <t>TES,STLF,Simple Snaive</t>
        </is>
      </c>
      <c r="I63" t="n">
        <v>41523</v>
      </c>
      <c r="J63" t="n">
        <v>41523</v>
      </c>
      <c r="K63" t="inlineStr">
        <is>
          <t>ST</t>
        </is>
      </c>
    </row>
    <row r="64">
      <c r="A64" s="1" t="n">
        <v>4064941006985</v>
      </c>
      <c r="B64" t="inlineStr">
        <is>
          <t>KJ MU V LIQ K MLTLPK 3ML 1.1G CHARM IV</t>
        </is>
      </c>
      <c r="C64" t="inlineStr">
        <is>
          <t>P_US_ALL_OTHERS</t>
        </is>
      </c>
      <c r="D64" t="inlineStr">
        <is>
          <t>Horses</t>
        </is>
      </c>
      <c r="E64" t="inlineStr">
        <is>
          <t>TES</t>
        </is>
      </c>
      <c r="G64" t="inlineStr">
        <is>
          <t>TES,STLF,Simple Snaive</t>
        </is>
      </c>
      <c r="I64" t="n">
        <v>1973</v>
      </c>
      <c r="J64" t="n">
        <v>1973</v>
      </c>
      <c r="K64" t="inlineStr">
        <is>
          <t>CML</t>
        </is>
      </c>
    </row>
    <row r="65">
      <c r="A65" s="1" t="n">
        <v>4064941006985</v>
      </c>
      <c r="B65" t="inlineStr">
        <is>
          <t>KJ MU V LIQ K MLTLPK 3ML 1.1G CHARM IV</t>
        </is>
      </c>
      <c r="C65" t="inlineStr">
        <is>
          <t>P_US_ULTA</t>
        </is>
      </c>
      <c r="D65" t="inlineStr">
        <is>
          <t>Horses</t>
        </is>
      </c>
      <c r="E65" t="inlineStr">
        <is>
          <t>TES</t>
        </is>
      </c>
      <c r="G65" t="inlineStr">
        <is>
          <t>TES,STLF,Simple Snaive</t>
        </is>
      </c>
      <c r="I65" t="n">
        <v>9841</v>
      </c>
      <c r="J65" t="n">
        <v>9841</v>
      </c>
      <c r="K65" t="inlineStr">
        <is>
          <t>CML</t>
        </is>
      </c>
    </row>
    <row r="66">
      <c r="A66" s="1" t="n">
        <v>4064941006992</v>
      </c>
      <c r="B66" t="inlineStr">
        <is>
          <t>KJ MU V LIQ K MLTLPK 3ML 1.1G BARE IV</t>
        </is>
      </c>
      <c r="C66" t="inlineStr">
        <is>
          <t>P_US_ALL_OTHERS</t>
        </is>
      </c>
      <c r="D66" t="inlineStr">
        <is>
          <t>Horses</t>
        </is>
      </c>
      <c r="E66" t="inlineStr">
        <is>
          <t>TES</t>
        </is>
      </c>
      <c r="G66" t="inlineStr">
        <is>
          <t>TES,STLF,Simple Snaive</t>
        </is>
      </c>
      <c r="I66" t="n">
        <v>1554</v>
      </c>
      <c r="J66" t="n">
        <v>1554</v>
      </c>
      <c r="K66" t="inlineStr">
        <is>
          <t>CML</t>
        </is>
      </c>
    </row>
    <row r="67">
      <c r="A67" s="1" t="n">
        <v>4064941006992</v>
      </c>
      <c r="B67" t="inlineStr">
        <is>
          <t>KJ MU V LIQ K MLTLPK 3ML 1.1G BARE IV</t>
        </is>
      </c>
      <c r="C67" t="inlineStr">
        <is>
          <t>P_US_ULTA</t>
        </is>
      </c>
      <c r="D67" t="inlineStr">
        <is>
          <t>Horses</t>
        </is>
      </c>
      <c r="E67" t="inlineStr">
        <is>
          <t>TES</t>
        </is>
      </c>
      <c r="F67" t="inlineStr">
        <is>
          <t>TES</t>
        </is>
      </c>
      <c r="G67" t="inlineStr">
        <is>
          <t>TES,STLF,Simple Snaive</t>
        </is>
      </c>
      <c r="I67" t="n">
        <v>10797</v>
      </c>
      <c r="J67" t="n">
        <v>10797</v>
      </c>
      <c r="K67" t="inlineStr">
        <is>
          <t>CML</t>
        </is>
      </c>
    </row>
    <row r="68">
      <c r="A68" s="1" t="n">
        <v>4064941008552</v>
      </c>
      <c r="B68" t="inlineStr">
        <is>
          <t>KJ MU M LIQ K SET NWMDIN403 BITE ME 23IV</t>
        </is>
      </c>
      <c r="C68" t="inlineStr">
        <is>
          <t>P_US_ALL_OTHERS</t>
        </is>
      </c>
      <c r="D68" t="inlineStr">
        <is>
          <t>Horses</t>
        </is>
      </c>
      <c r="E68" t="inlineStr">
        <is>
          <t>TES</t>
        </is>
      </c>
      <c r="G68" t="inlineStr">
        <is>
          <t>TES,STLF,Simple Snaive</t>
        </is>
      </c>
      <c r="I68" t="n">
        <v>3309</v>
      </c>
      <c r="J68" t="n">
        <v>3309</v>
      </c>
      <c r="K68" t="inlineStr">
        <is>
          <t>LT</t>
        </is>
      </c>
    </row>
    <row r="69">
      <c r="A69" s="1" t="n">
        <v>4064941008552</v>
      </c>
      <c r="B69" t="inlineStr">
        <is>
          <t>KJ MU M LIQ K SET NWMDIN403 BITE ME 23IV</t>
        </is>
      </c>
      <c r="C69" t="inlineStr">
        <is>
          <t>P_US_ULTA</t>
        </is>
      </c>
      <c r="D69" t="inlineStr">
        <is>
          <t>Horses</t>
        </is>
      </c>
      <c r="E69" t="inlineStr">
        <is>
          <t>Weighted AOA</t>
        </is>
      </c>
      <c r="G69" t="inlineStr">
        <is>
          <t>DES,STLF,Weighted AOA</t>
        </is>
      </c>
      <c r="I69" t="n">
        <v>14501</v>
      </c>
      <c r="J69" t="n">
        <v>14501</v>
      </c>
      <c r="K69" t="inlineStr">
        <is>
          <t>LT</t>
        </is>
      </c>
    </row>
    <row r="70">
      <c r="A70" s="1" t="n">
        <v>4064941008613</v>
      </c>
      <c r="B70" t="inlineStr">
        <is>
          <t>KJ MU V LIQ K MLTLPK 3ML 1.1G HARM IV</t>
        </is>
      </c>
      <c r="C70" t="inlineStr">
        <is>
          <t>P_US_ALL_OTHERS</t>
        </is>
      </c>
      <c r="D70" t="inlineStr">
        <is>
          <t>Horses</t>
        </is>
      </c>
      <c r="E70" t="inlineStr">
        <is>
          <t>Moving Average</t>
        </is>
      </c>
      <c r="G70" t="inlineStr">
        <is>
          <t>DES,STLF,Weighted AOA,Moving Average</t>
        </is>
      </c>
      <c r="I70" t="n">
        <v>2531</v>
      </c>
      <c r="J70" t="n">
        <v>2531</v>
      </c>
      <c r="K70" t="inlineStr">
        <is>
          <t>LT</t>
        </is>
      </c>
    </row>
    <row r="71">
      <c r="A71" s="1" t="n">
        <v>4064941008613</v>
      </c>
      <c r="B71" t="inlineStr">
        <is>
          <t>KJ MU V LIQ K MLTLPK 3ML 1.1G HARM IV</t>
        </is>
      </c>
      <c r="C71" t="inlineStr">
        <is>
          <t>P_US_ULTA</t>
        </is>
      </c>
      <c r="D71" t="inlineStr">
        <is>
          <t>Horses</t>
        </is>
      </c>
      <c r="E71" t="inlineStr">
        <is>
          <t>TES</t>
        </is>
      </c>
      <c r="F71" t="inlineStr">
        <is>
          <t>TES</t>
        </is>
      </c>
      <c r="G71" t="inlineStr">
        <is>
          <t>TES,STLF,Simple Snaive</t>
        </is>
      </c>
      <c r="I71" t="n">
        <v>13746</v>
      </c>
      <c r="J71" t="n">
        <v>13746</v>
      </c>
      <c r="K71" t="inlineStr">
        <is>
          <t>ST</t>
        </is>
      </c>
    </row>
    <row r="72">
      <c r="A72" s="1" t="n">
        <v>4064941008644</v>
      </c>
      <c r="B72" t="inlineStr">
        <is>
          <t>KJ MU V LIQ K MLTLPK 3G 1G PSK 100 VP IV</t>
        </is>
      </c>
      <c r="C72" t="inlineStr">
        <is>
          <t>P_US_ALL_OTHERS</t>
        </is>
      </c>
      <c r="D72" t="inlineStr">
        <is>
          <t>Horses</t>
        </is>
      </c>
      <c r="E72" t="inlineStr">
        <is>
          <t>Simple Snaive</t>
        </is>
      </c>
      <c r="G72" t="inlineStr">
        <is>
          <t>TES,STLF,Simple Snaive</t>
        </is>
      </c>
      <c r="I72" t="n">
        <v>2881</v>
      </c>
      <c r="J72" t="n">
        <v>2881</v>
      </c>
      <c r="K72" t="inlineStr">
        <is>
          <t>LT</t>
        </is>
      </c>
    </row>
    <row r="73">
      <c r="A73" s="1" t="n">
        <v>4064941008644</v>
      </c>
      <c r="B73" t="inlineStr">
        <is>
          <t>KJ MU V LIQ K MLTLPK 3G 1G PSK 100 VP IV</t>
        </is>
      </c>
      <c r="C73" t="inlineStr">
        <is>
          <t>P_US_ULTA</t>
        </is>
      </c>
      <c r="D73" t="inlineStr">
        <is>
          <t>Horses</t>
        </is>
      </c>
      <c r="E73" t="inlineStr">
        <is>
          <t>TES</t>
        </is>
      </c>
      <c r="G73" t="inlineStr">
        <is>
          <t>TES,STLF,Simple Snaive</t>
        </is>
      </c>
      <c r="I73" t="n">
        <v>8514</v>
      </c>
      <c r="J73" t="n">
        <v>8514</v>
      </c>
      <c r="K73" t="inlineStr">
        <is>
          <t>LT</t>
        </is>
      </c>
    </row>
    <row r="74">
      <c r="A74" s="1" t="n">
        <v>4064941008675</v>
      </c>
      <c r="B74" t="inlineStr">
        <is>
          <t>KJ MU M LIQ K SET NEW MDIN 700 BARE 23IV</t>
        </is>
      </c>
      <c r="C74" t="inlineStr">
        <is>
          <t>P_US_ALL_OTHERS</t>
        </is>
      </c>
      <c r="D74" t="inlineStr">
        <is>
          <t>Horses</t>
        </is>
      </c>
      <c r="E74" t="inlineStr">
        <is>
          <t>TES</t>
        </is>
      </c>
      <c r="G74" t="inlineStr">
        <is>
          <t>TES,STLF,Simple Snaive</t>
        </is>
      </c>
      <c r="I74" t="n">
        <v>2183</v>
      </c>
      <c r="J74" t="n">
        <v>2183</v>
      </c>
      <c r="K74" t="inlineStr">
        <is>
          <t>LT</t>
        </is>
      </c>
    </row>
    <row r="75">
      <c r="A75" s="1" t="n">
        <v>4064941008675</v>
      </c>
      <c r="B75" t="inlineStr">
        <is>
          <t>KJ MU M LIQ K SET NEW MDIN 700 BARE 23IV</t>
        </is>
      </c>
      <c r="C75" t="inlineStr">
        <is>
          <t>P_US_ULTA</t>
        </is>
      </c>
      <c r="D75" t="inlineStr">
        <is>
          <t>Horses</t>
        </is>
      </c>
      <c r="E75" t="inlineStr">
        <is>
          <t>TES</t>
        </is>
      </c>
      <c r="G75" t="inlineStr">
        <is>
          <t>TES,STLF,Simple Snaive</t>
        </is>
      </c>
      <c r="I75" t="n">
        <v>12645</v>
      </c>
      <c r="J75" t="n">
        <v>12645</v>
      </c>
      <c r="K75" t="inlineStr">
        <is>
          <t>CML</t>
        </is>
      </c>
    </row>
    <row r="76">
      <c r="A76" s="1" t="n">
        <v>4064941008682</v>
      </c>
      <c r="B76" t="inlineStr">
        <is>
          <t>KJ MU M LIQ K SET NWMDIN704 SWTRWTR 23IV</t>
        </is>
      </c>
      <c r="C76" t="inlineStr">
        <is>
          <t>P_US_ALL_OTHERS</t>
        </is>
      </c>
      <c r="D76" t="inlineStr">
        <is>
          <t>Mules</t>
        </is>
      </c>
      <c r="E76" t="inlineStr">
        <is>
          <t>Moving Average</t>
        </is>
      </c>
      <c r="G76" t="inlineStr">
        <is>
          <t>DES,STLF,Weighted AOA,Moving Average</t>
        </is>
      </c>
      <c r="I76" t="n">
        <v>208</v>
      </c>
      <c r="J76" t="n">
        <v>208</v>
      </c>
      <c r="K76" t="inlineStr">
        <is>
          <t>ST</t>
        </is>
      </c>
    </row>
    <row r="77">
      <c r="A77" s="1" t="n">
        <v>4064941008682</v>
      </c>
      <c r="B77" t="inlineStr">
        <is>
          <t>KJ MU M LIQ K SET NWMDIN704 SWTRWTR 23IV</t>
        </is>
      </c>
      <c r="C77" t="inlineStr">
        <is>
          <t>P_US_ULTA</t>
        </is>
      </c>
      <c r="D77" t="inlineStr">
        <is>
          <t>Mules</t>
        </is>
      </c>
      <c r="E77" t="inlineStr">
        <is>
          <t>DES</t>
        </is>
      </c>
      <c r="G77" t="inlineStr">
        <is>
          <t>DES,STLF,Weighted AOA</t>
        </is>
      </c>
      <c r="I77" t="n">
        <v>13235</v>
      </c>
      <c r="J77" t="n">
        <v>13235</v>
      </c>
      <c r="K77" t="inlineStr">
        <is>
          <t>CML</t>
        </is>
      </c>
    </row>
    <row r="78">
      <c r="A78" s="1" t="n">
        <v>4064941008699</v>
      </c>
      <c r="B78" t="inlineStr">
        <is>
          <t>KJ MU M LIQ K SET NWMDIN703 DOLCE K 23IV</t>
        </is>
      </c>
      <c r="C78" t="inlineStr">
        <is>
          <t>P_US_ALL_OTHERS</t>
        </is>
      </c>
      <c r="D78" t="inlineStr">
        <is>
          <t>Horses</t>
        </is>
      </c>
      <c r="E78" t="inlineStr">
        <is>
          <t>DES</t>
        </is>
      </c>
      <c r="G78" t="inlineStr">
        <is>
          <t>SES,Moving Average,DES</t>
        </is>
      </c>
      <c r="I78" t="n">
        <v>306</v>
      </c>
      <c r="J78" t="n">
        <v>306</v>
      </c>
      <c r="K78" t="inlineStr">
        <is>
          <t>LT</t>
        </is>
      </c>
    </row>
    <row r="79">
      <c r="A79" s="1" t="n">
        <v>4064941008699</v>
      </c>
      <c r="B79" t="inlineStr">
        <is>
          <t>KJ MU M LIQ K SET NWMDIN703 DOLCE K 23IV</t>
        </is>
      </c>
      <c r="C79" t="inlineStr">
        <is>
          <t>P_US_ULTA</t>
        </is>
      </c>
      <c r="D79" t="inlineStr">
        <is>
          <t>Horses</t>
        </is>
      </c>
      <c r="E79" t="inlineStr">
        <is>
          <t>TES</t>
        </is>
      </c>
      <c r="G79" t="inlineStr">
        <is>
          <t>TES,STLF,Simple Snaive</t>
        </is>
      </c>
      <c r="I79" t="n">
        <v>25302</v>
      </c>
      <c r="J79" t="n">
        <v>25302</v>
      </c>
      <c r="K79" t="inlineStr">
        <is>
          <t>LT</t>
        </is>
      </c>
    </row>
    <row r="80">
      <c r="A80" s="1" t="n">
        <v>4064941033608</v>
      </c>
      <c r="B80" t="inlineStr">
        <is>
          <t>KJ MU LSE PWD LOSPWD 5G 100 TRNSL VP IV</t>
        </is>
      </c>
      <c r="C80" t="inlineStr">
        <is>
          <t>P_US_ALL_OTHERS</t>
        </is>
      </c>
      <c r="D80" t="inlineStr">
        <is>
          <t>Horses</t>
        </is>
      </c>
      <c r="E80" t="inlineStr">
        <is>
          <t>STLF</t>
        </is>
      </c>
      <c r="G80" t="inlineStr">
        <is>
          <t>TES,STLF,Simple Snaive</t>
        </is>
      </c>
      <c r="I80" t="n">
        <v>1154</v>
      </c>
      <c r="J80" t="n">
        <v>1154</v>
      </c>
      <c r="K80" t="inlineStr">
        <is>
          <t>LT</t>
        </is>
      </c>
    </row>
    <row r="81">
      <c r="A81" s="1" t="n">
        <v>4064941033608</v>
      </c>
      <c r="B81" t="inlineStr">
        <is>
          <t>KJ MU LSE PWD LOSPWD 5G 100 TRNSL VP IV</t>
        </is>
      </c>
      <c r="C81" t="inlineStr">
        <is>
          <t>P_US_ULTA</t>
        </is>
      </c>
      <c r="D81" t="inlineStr">
        <is>
          <t>Horses</t>
        </is>
      </c>
      <c r="E81" t="inlineStr">
        <is>
          <t>TES</t>
        </is>
      </c>
      <c r="F81" t="inlineStr">
        <is>
          <t>Simple Snaive</t>
        </is>
      </c>
      <c r="G81" t="inlineStr">
        <is>
          <t>TES,STLF,Simple Snaive</t>
        </is>
      </c>
      <c r="I81" t="n">
        <v>17785</v>
      </c>
      <c r="J81" t="n">
        <v>17785</v>
      </c>
      <c r="K81" t="inlineStr">
        <is>
          <t>CML</t>
        </is>
      </c>
    </row>
    <row r="82">
      <c r="A82" s="1" t="n">
        <v>4064941078074</v>
      </c>
      <c r="B82" t="inlineStr">
        <is>
          <t>KJ MU PLMP GLS LG3.22ml 110MOQ PLUMPG IV</t>
        </is>
      </c>
      <c r="C82" t="inlineStr">
        <is>
          <t>P_US_ALL_OTHERS</t>
        </is>
      </c>
      <c r="D82" t="inlineStr">
        <is>
          <t>Rabbits</t>
        </is>
      </c>
      <c r="K82" t="inlineStr">
        <is>
          <t>ST</t>
        </is>
      </c>
    </row>
    <row r="83">
      <c r="A83" s="1" t="n">
        <v>4064941078074</v>
      </c>
      <c r="B83" t="inlineStr">
        <is>
          <t>KJ MU PLMP GLS LG3.22ml 110MOQ PLUMPG IV</t>
        </is>
      </c>
      <c r="C83" t="inlineStr">
        <is>
          <t>P_US_ULTA</t>
        </is>
      </c>
      <c r="D83" t="inlineStr">
        <is>
          <t>Rabbits</t>
        </is>
      </c>
      <c r="E83" t="inlineStr">
        <is>
          <t>TES</t>
        </is>
      </c>
      <c r="G83" t="inlineStr">
        <is>
          <t>TES,STLF,Simple Snaive</t>
        </is>
      </c>
      <c r="I83" t="n">
        <v>1587</v>
      </c>
      <c r="J83" t="n">
        <v>1587</v>
      </c>
      <c r="K83" t="inlineStr">
        <is>
          <t>CML</t>
        </is>
      </c>
    </row>
    <row r="84">
      <c r="A84" s="1" t="n">
        <v>4064941078081</v>
      </c>
      <c r="B84" t="inlineStr">
        <is>
          <t>KJ MU PLMP GLS LG3.22ml 343ROC PLUMPG IV</t>
        </is>
      </c>
      <c r="C84" t="inlineStr">
        <is>
          <t>P_US_ALL_OTHERS</t>
        </is>
      </c>
      <c r="D84" t="inlineStr">
        <is>
          <t>Mules</t>
        </is>
      </c>
      <c r="K84" t="inlineStr">
        <is>
          <t>ST</t>
        </is>
      </c>
    </row>
    <row r="85">
      <c r="A85" s="1" t="n">
        <v>4064941078081</v>
      </c>
      <c r="B85" t="inlineStr">
        <is>
          <t>KJ MU PLMP GLS LG3.22ml 343ROC PLUMPG IV</t>
        </is>
      </c>
      <c r="C85" t="inlineStr">
        <is>
          <t>P_US_ULTA</t>
        </is>
      </c>
      <c r="D85" t="inlineStr">
        <is>
          <t>Mules</t>
        </is>
      </c>
      <c r="E85" t="inlineStr">
        <is>
          <t>STLF</t>
        </is>
      </c>
      <c r="F85" t="inlineStr">
        <is>
          <t>Simple Snaive</t>
        </is>
      </c>
      <c r="G85" t="inlineStr">
        <is>
          <t>TES,STLF,Simple Snaive</t>
        </is>
      </c>
      <c r="I85" t="n">
        <v>8629</v>
      </c>
      <c r="J85" t="n">
        <v>8629</v>
      </c>
      <c r="K85" t="inlineStr">
        <is>
          <t>LT</t>
        </is>
      </c>
    </row>
    <row r="86">
      <c r="A86" s="1" t="n">
        <v>4064941078098</v>
      </c>
      <c r="B86" t="inlineStr">
        <is>
          <t>KJ MU PLMP GLS LG3.22ml 618CHM PLUMPG IV</t>
        </is>
      </c>
      <c r="C86" t="inlineStr">
        <is>
          <t>P_US_ALL_OTHERS</t>
        </is>
      </c>
      <c r="D86" t="inlineStr">
        <is>
          <t>Mules</t>
        </is>
      </c>
      <c r="K86" t="inlineStr">
        <is>
          <t>ST</t>
        </is>
      </c>
    </row>
    <row r="87">
      <c r="A87" s="1" t="n">
        <v>4064941078098</v>
      </c>
      <c r="B87" t="inlineStr">
        <is>
          <t>KJ MU PLMP GLS LG3.22ml 618CHM PLUMPG IV</t>
        </is>
      </c>
      <c r="C87" t="inlineStr">
        <is>
          <t>P_US_ULTA</t>
        </is>
      </c>
      <c r="D87" t="inlineStr">
        <is>
          <t>Mules</t>
        </is>
      </c>
      <c r="E87" t="inlineStr">
        <is>
          <t>STLF</t>
        </is>
      </c>
      <c r="F87" t="inlineStr">
        <is>
          <t>TES</t>
        </is>
      </c>
      <c r="G87" t="inlineStr">
        <is>
          <t>TES,STLF,Simple Snaive</t>
        </is>
      </c>
      <c r="I87" t="n">
        <v>5063</v>
      </c>
      <c r="J87" t="n">
        <v>5063</v>
      </c>
      <c r="K87" t="inlineStr">
        <is>
          <t>LT</t>
        </is>
      </c>
    </row>
    <row r="88">
      <c r="A88" s="1" t="n">
        <v>4064941088790</v>
      </c>
      <c r="B88" t="inlineStr">
        <is>
          <t>KJ MU TNT BB LCAREM 2.4G SHES LVLY619 IV</t>
        </is>
      </c>
      <c r="C88" t="inlineStr">
        <is>
          <t>P_US_ALL_OTHERS</t>
        </is>
      </c>
      <c r="D88" t="inlineStr">
        <is>
          <t>Mules</t>
        </is>
      </c>
      <c r="E88" t="inlineStr">
        <is>
          <t>TES</t>
        </is>
      </c>
      <c r="G88" t="inlineStr">
        <is>
          <t>TES,STLF,Simple Snaive</t>
        </is>
      </c>
      <c r="I88" t="n">
        <v>1557</v>
      </c>
      <c r="J88" t="n">
        <v>1557</v>
      </c>
      <c r="K88" t="inlineStr">
        <is>
          <t>CML</t>
        </is>
      </c>
    </row>
    <row r="89">
      <c r="A89" s="1" t="n">
        <v>4064941088790</v>
      </c>
      <c r="B89" t="inlineStr">
        <is>
          <t>KJ MU TNT BB LCAREM 2.4G SHES LVLY619 IV</t>
        </is>
      </c>
      <c r="C89" t="inlineStr">
        <is>
          <t>P_US_ULTA</t>
        </is>
      </c>
      <c r="D89" t="inlineStr">
        <is>
          <t>Mules</t>
        </is>
      </c>
      <c r="E89" t="inlineStr">
        <is>
          <t>TES</t>
        </is>
      </c>
      <c r="F89" t="inlineStr">
        <is>
          <t>STLF</t>
        </is>
      </c>
      <c r="G89" t="inlineStr">
        <is>
          <t>TES,STLF,Simple Snaive</t>
        </is>
      </c>
      <c r="I89" t="n">
        <v>4747</v>
      </c>
      <c r="J89" t="n">
        <v>4747</v>
      </c>
      <c r="K89" t="inlineStr">
        <is>
          <t>ST</t>
        </is>
      </c>
    </row>
    <row r="90">
      <c r="A90" s="1" t="n">
        <v>4064941088844</v>
      </c>
      <c r="B90" t="inlineStr">
        <is>
          <t>KJ MU TNT BB LCAREM 2.4G PNKMUPAT 338 IV</t>
        </is>
      </c>
      <c r="C90" t="inlineStr">
        <is>
          <t>P_US_ALL_OTHERS</t>
        </is>
      </c>
      <c r="D90" t="inlineStr">
        <is>
          <t>Horses</t>
        </is>
      </c>
      <c r="E90" t="inlineStr">
        <is>
          <t>TES</t>
        </is>
      </c>
      <c r="G90" t="inlineStr">
        <is>
          <t>TES,STLF,Simple Snaive</t>
        </is>
      </c>
      <c r="I90" t="n">
        <v>1843</v>
      </c>
      <c r="J90" t="n">
        <v>1843</v>
      </c>
      <c r="K90" t="inlineStr">
        <is>
          <t>CML</t>
        </is>
      </c>
    </row>
    <row r="91">
      <c r="A91" s="1" t="n">
        <v>4064941088844</v>
      </c>
      <c r="B91" t="inlineStr">
        <is>
          <t>KJ MU TNT BB LCAREM 2.4G PNKMUPAT 338 IV</t>
        </is>
      </c>
      <c r="C91" t="inlineStr">
        <is>
          <t>P_US_ULTA</t>
        </is>
      </c>
      <c r="D91" t="inlineStr">
        <is>
          <t>Horses</t>
        </is>
      </c>
      <c r="E91" t="inlineStr">
        <is>
          <t>TES</t>
        </is>
      </c>
      <c r="G91" t="inlineStr">
        <is>
          <t>TES,STLF,Simple Snaive</t>
        </is>
      </c>
      <c r="I91" t="n">
        <v>12276</v>
      </c>
      <c r="J91" t="n">
        <v>12276</v>
      </c>
      <c r="K91" t="inlineStr">
        <is>
          <t>ST</t>
        </is>
      </c>
    </row>
    <row r="92">
      <c r="A92" s="1" t="n">
        <v>4064941091400</v>
      </c>
      <c r="B92" t="inlineStr">
        <is>
          <t>KJ MU SUMMER LG 15 ML UNDRESTIMATD002 IV</t>
        </is>
      </c>
      <c r="C92" t="inlineStr">
        <is>
          <t>P_US_ALL_OTHERS</t>
        </is>
      </c>
      <c r="D92" t="inlineStr">
        <is>
          <t>Rabbits</t>
        </is>
      </c>
      <c r="K92" t="inlineStr">
        <is>
          <t>ST</t>
        </is>
      </c>
    </row>
    <row r="93">
      <c r="A93" s="1" t="n">
        <v>4064941091400</v>
      </c>
      <c r="B93" t="inlineStr">
        <is>
          <t>KJ MU SUMMER LG 15 ML UNDRESTIMATD002 IV</t>
        </is>
      </c>
      <c r="C93" t="inlineStr">
        <is>
          <t>P_US_ULTA</t>
        </is>
      </c>
      <c r="D93" t="inlineStr">
        <is>
          <t>Rabbits</t>
        </is>
      </c>
      <c r="E93" t="inlineStr">
        <is>
          <t>DES</t>
        </is>
      </c>
      <c r="F93" t="inlineStr">
        <is>
          <t>Seasonal Naive YoY</t>
        </is>
      </c>
      <c r="G93" t="inlineStr">
        <is>
          <t>DES,STLF,Weighted AOA</t>
        </is>
      </c>
      <c r="H93" t="inlineStr">
        <is>
          <t>Seasonal Naive YoY</t>
        </is>
      </c>
      <c r="I93" t="n">
        <v>3392</v>
      </c>
      <c r="J93" t="n">
        <v>3392</v>
      </c>
      <c r="K93" t="inlineStr">
        <is>
          <t>LT</t>
        </is>
      </c>
    </row>
    <row r="94">
      <c r="A94" s="1" t="n">
        <v>4064941092797</v>
      </c>
      <c r="B94" t="inlineStr">
        <is>
          <t>KJ MU ES PALET  16G BRONZE NUDES IV</t>
        </is>
      </c>
      <c r="C94" t="inlineStr">
        <is>
          <t>P_US_ALL_OTHERS</t>
        </is>
      </c>
      <c r="D94" t="inlineStr">
        <is>
          <t>Rabbits</t>
        </is>
      </c>
      <c r="E94" t="inlineStr">
        <is>
          <t>Simple Snaive</t>
        </is>
      </c>
      <c r="G94" t="inlineStr">
        <is>
          <t>TES,STLF,Simple Snaive</t>
        </is>
      </c>
      <c r="I94" t="n">
        <v>6416</v>
      </c>
      <c r="J94" t="n">
        <v>6416</v>
      </c>
      <c r="K94" t="inlineStr">
        <is>
          <t>CML</t>
        </is>
      </c>
    </row>
    <row r="95">
      <c r="A95" s="1" t="n">
        <v>4064941092797</v>
      </c>
      <c r="B95" t="inlineStr">
        <is>
          <t>KJ MU ES PALET  16G BRONZE NUDES IV</t>
        </is>
      </c>
      <c r="C95" t="inlineStr">
        <is>
          <t>P_US_ULTA</t>
        </is>
      </c>
      <c r="D95" t="inlineStr">
        <is>
          <t>Rabbits</t>
        </is>
      </c>
      <c r="E95" t="inlineStr">
        <is>
          <t>Simple Snaive</t>
        </is>
      </c>
      <c r="G95" t="inlineStr">
        <is>
          <t>TES,STLF,Simple Snaive</t>
        </is>
      </c>
      <c r="I95" t="n">
        <v>259</v>
      </c>
      <c r="J95" t="n">
        <v>259</v>
      </c>
      <c r="K95" t="inlineStr">
        <is>
          <t>ST</t>
        </is>
      </c>
    </row>
    <row r="96">
      <c r="A96" s="1" t="n">
        <v>4064941111719</v>
      </c>
      <c r="B96" t="inlineStr">
        <is>
          <t>KJ COSMIC EDP 100 ML FML IV</t>
        </is>
      </c>
      <c r="C96" t="inlineStr">
        <is>
          <t>P_US_ALL_OTHERS</t>
        </is>
      </c>
      <c r="D96" t="inlineStr">
        <is>
          <t>Horses</t>
        </is>
      </c>
      <c r="E96" t="inlineStr">
        <is>
          <t>DES</t>
        </is>
      </c>
      <c r="F96" t="inlineStr">
        <is>
          <t>SES</t>
        </is>
      </c>
      <c r="G96" t="inlineStr">
        <is>
          <t>SES,Moving Average,DES</t>
        </is>
      </c>
      <c r="I96" t="n">
        <v>15044</v>
      </c>
      <c r="J96" t="n">
        <v>15044</v>
      </c>
      <c r="K96" t="inlineStr">
        <is>
          <t>ST</t>
        </is>
      </c>
    </row>
    <row r="97">
      <c r="A97" s="1" t="n">
        <v>4064941111719</v>
      </c>
      <c r="B97" t="inlineStr">
        <is>
          <t>KJ COSMIC EDP 100 ML FML IV</t>
        </is>
      </c>
      <c r="C97" t="inlineStr">
        <is>
          <t>P_US_ULTA</t>
        </is>
      </c>
      <c r="D97" t="inlineStr">
        <is>
          <t>Horses</t>
        </is>
      </c>
      <c r="E97" t="inlineStr">
        <is>
          <t>TES</t>
        </is>
      </c>
      <c r="F97" t="inlineStr">
        <is>
          <t>Simple Snaive</t>
        </is>
      </c>
      <c r="G97" t="inlineStr">
        <is>
          <t>TES,STLF,Simple Snaive</t>
        </is>
      </c>
      <c r="I97" t="n">
        <v>98937</v>
      </c>
      <c r="J97" t="n">
        <v>98937</v>
      </c>
      <c r="K97" t="inlineStr">
        <is>
          <t>ST</t>
        </is>
      </c>
    </row>
    <row r="98">
      <c r="A98" s="1" t="n">
        <v>4064941112709</v>
      </c>
      <c r="B98" t="inlineStr">
        <is>
          <t>KJ MU MASC CRM 5ml 001VOLUME BTG IV</t>
        </is>
      </c>
      <c r="C98" t="inlineStr">
        <is>
          <t>P_US_ALL_OTHERS</t>
        </is>
      </c>
      <c r="D98" t="inlineStr">
        <is>
          <t>Mules</t>
        </is>
      </c>
      <c r="E98" t="inlineStr">
        <is>
          <t>STLF</t>
        </is>
      </c>
      <c r="G98" t="inlineStr">
        <is>
          <t>TES,STLF,Simple Snaive</t>
        </is>
      </c>
      <c r="I98" t="n">
        <v>1243</v>
      </c>
      <c r="J98" t="n">
        <v>1243</v>
      </c>
      <c r="K98" t="inlineStr">
        <is>
          <t>CML</t>
        </is>
      </c>
    </row>
    <row r="99">
      <c r="A99" s="1" t="n">
        <v>4064941112709</v>
      </c>
      <c r="B99" t="inlineStr">
        <is>
          <t>KJ MU MASC CRM 5ml 001VOLUME BTG IV</t>
        </is>
      </c>
      <c r="C99" t="inlineStr">
        <is>
          <t>P_US_ULTA</t>
        </is>
      </c>
      <c r="D99" t="inlineStr">
        <is>
          <t>Mules</t>
        </is>
      </c>
      <c r="E99" t="inlineStr">
        <is>
          <t>Simple Snaive</t>
        </is>
      </c>
      <c r="G99" t="inlineStr">
        <is>
          <t>TES,STLF,Simple Snaive</t>
        </is>
      </c>
      <c r="I99" t="n">
        <v>9901</v>
      </c>
      <c r="J99" t="n">
        <v>9901</v>
      </c>
      <c r="K99" t="inlineStr">
        <is>
          <t>CML</t>
        </is>
      </c>
    </row>
    <row r="100">
      <c r="A100" s="1" t="n">
        <v>4064941118183</v>
      </c>
      <c r="B100" t="inlineStr">
        <is>
          <t>KJ MU HIGH GLS LG 3.3 ML 808KYLIE VP IV</t>
        </is>
      </c>
      <c r="C100" t="inlineStr">
        <is>
          <t>P_US_ALL_OTHERS</t>
        </is>
      </c>
      <c r="D100" t="inlineStr">
        <is>
          <t>Horses</t>
        </is>
      </c>
      <c r="E100" t="inlineStr">
        <is>
          <t>Simple Snaive</t>
        </is>
      </c>
      <c r="G100" t="inlineStr">
        <is>
          <t>TES,STLF,Simple Snaive</t>
        </is>
      </c>
      <c r="I100" t="n">
        <v>931</v>
      </c>
      <c r="J100" t="n">
        <v>931</v>
      </c>
      <c r="K100" t="inlineStr">
        <is>
          <t>LT</t>
        </is>
      </c>
    </row>
    <row r="101">
      <c r="A101" s="1" t="n">
        <v>4064941118183</v>
      </c>
      <c r="B101" t="inlineStr">
        <is>
          <t>KJ MU HIGH GLS LG 3.3 ML 808KYLIE VP IV</t>
        </is>
      </c>
      <c r="C101" t="inlineStr">
        <is>
          <t>P_US_ULTA</t>
        </is>
      </c>
      <c r="D101" t="inlineStr">
        <is>
          <t>Horses</t>
        </is>
      </c>
      <c r="E101" t="inlineStr">
        <is>
          <t>TES</t>
        </is>
      </c>
      <c r="G101" t="inlineStr">
        <is>
          <t>TES,STLF,Simple Snaive</t>
        </is>
      </c>
      <c r="I101" t="n">
        <v>10568</v>
      </c>
      <c r="J101" t="n">
        <v>10568</v>
      </c>
      <c r="K101" t="inlineStr">
        <is>
          <t>CML</t>
        </is>
      </c>
    </row>
    <row r="102">
      <c r="A102" s="1" t="n">
        <v>4064941130680</v>
      </c>
      <c r="B102" t="inlineStr">
        <is>
          <t>KJ MU SPP GLZ LG 3 ML 001ALL YOURS IV</t>
        </is>
      </c>
      <c r="C102" t="inlineStr">
        <is>
          <t>P_US_ALL_OTHERS</t>
        </is>
      </c>
      <c r="D102" t="inlineStr">
        <is>
          <t>Rabbits</t>
        </is>
      </c>
      <c r="E102" t="inlineStr">
        <is>
          <t>TES</t>
        </is>
      </c>
      <c r="G102" t="inlineStr">
        <is>
          <t>TES,STLF,Simple Snaive</t>
        </is>
      </c>
      <c r="I102" t="n">
        <v>665</v>
      </c>
      <c r="J102" t="n">
        <v>665</v>
      </c>
      <c r="K102" t="inlineStr">
        <is>
          <t>CML</t>
        </is>
      </c>
    </row>
    <row r="103">
      <c r="A103" s="1" t="n">
        <v>4064941130680</v>
      </c>
      <c r="B103" t="inlineStr">
        <is>
          <t>KJ MU SPP GLZ LG 3 ML 001ALL YOURS IV</t>
        </is>
      </c>
      <c r="C103" t="inlineStr">
        <is>
          <t>P_US_ULTA</t>
        </is>
      </c>
      <c r="D103" t="inlineStr">
        <is>
          <t>Rabbits</t>
        </is>
      </c>
      <c r="E103" t="inlineStr">
        <is>
          <t>Moving Average</t>
        </is>
      </c>
      <c r="G103" t="inlineStr">
        <is>
          <t>DES,STLF,Weighted AOA,Moving Average</t>
        </is>
      </c>
      <c r="I103" t="n">
        <v>4741</v>
      </c>
      <c r="J103" t="n">
        <v>4741</v>
      </c>
      <c r="K103" t="inlineStr">
        <is>
          <t>ST</t>
        </is>
      </c>
    </row>
    <row r="104">
      <c r="A104" s="1" t="n">
        <v>4064941130697</v>
      </c>
      <c r="B104" t="inlineStr">
        <is>
          <t>KJ MU SPP GLZ LG 3 ML 002LIKE MAGIC IV</t>
        </is>
      </c>
      <c r="C104" t="inlineStr">
        <is>
          <t>P_US_ALL_OTHERS</t>
        </is>
      </c>
      <c r="D104" t="inlineStr">
        <is>
          <t>Rabbits</t>
        </is>
      </c>
      <c r="E104" t="inlineStr">
        <is>
          <t>TES</t>
        </is>
      </c>
      <c r="G104" t="inlineStr">
        <is>
          <t>TES,STLF,Simple Snaive</t>
        </is>
      </c>
      <c r="I104" t="n">
        <v>1410</v>
      </c>
      <c r="J104" t="n">
        <v>1410</v>
      </c>
      <c r="K104" t="inlineStr">
        <is>
          <t>CML</t>
        </is>
      </c>
    </row>
    <row r="105">
      <c r="A105" s="1" t="n">
        <v>4064941130697</v>
      </c>
      <c r="B105" t="inlineStr">
        <is>
          <t>KJ MU SPP GLZ LG 3 ML 002LIKE MAGIC IV</t>
        </is>
      </c>
      <c r="C105" t="inlineStr">
        <is>
          <t>P_US_ULTA</t>
        </is>
      </c>
      <c r="D105" t="inlineStr">
        <is>
          <t>Rabbits</t>
        </is>
      </c>
      <c r="E105" t="inlineStr">
        <is>
          <t>DES</t>
        </is>
      </c>
      <c r="G105" t="inlineStr">
        <is>
          <t>DES,STLF,Weighted AOA</t>
        </is>
      </c>
      <c r="I105" t="n">
        <v>5904</v>
      </c>
      <c r="J105" t="n">
        <v>5904</v>
      </c>
      <c r="K105" t="inlineStr">
        <is>
          <t>ST</t>
        </is>
      </c>
    </row>
    <row r="106">
      <c r="A106" s="1" t="n">
        <v>4064941130703</v>
      </c>
      <c r="B106" t="inlineStr">
        <is>
          <t>KJ MU SPP GLZ LG 3 ML 003ROSE BLOOM IV</t>
        </is>
      </c>
      <c r="C106" t="inlineStr">
        <is>
          <t>P_US_ALL_OTHERS</t>
        </is>
      </c>
      <c r="D106" t="inlineStr">
        <is>
          <t>Mules</t>
        </is>
      </c>
      <c r="E106" t="inlineStr">
        <is>
          <t>TES</t>
        </is>
      </c>
      <c r="G106" t="inlineStr">
        <is>
          <t>TES,STLF,Simple Snaive</t>
        </is>
      </c>
      <c r="I106" t="n">
        <v>1063</v>
      </c>
      <c r="J106" t="n">
        <v>1063</v>
      </c>
      <c r="K106" t="inlineStr">
        <is>
          <t>ST</t>
        </is>
      </c>
    </row>
    <row r="107">
      <c r="A107" s="1" t="n">
        <v>4064941130703</v>
      </c>
      <c r="B107" t="inlineStr">
        <is>
          <t>KJ MU SPP GLZ LG 3 ML 003ROSE BLOOM IV</t>
        </is>
      </c>
      <c r="C107" t="inlineStr">
        <is>
          <t>P_US_ULTA</t>
        </is>
      </c>
      <c r="D107" t="inlineStr">
        <is>
          <t>Mules</t>
        </is>
      </c>
      <c r="E107" t="inlineStr">
        <is>
          <t>DES</t>
        </is>
      </c>
      <c r="G107" t="inlineStr">
        <is>
          <t>DES,STLF,Weighted AOA,Moving Average</t>
        </is>
      </c>
      <c r="I107" t="n">
        <v>5522</v>
      </c>
      <c r="J107" t="n">
        <v>5522</v>
      </c>
      <c r="K107" t="inlineStr">
        <is>
          <t>ST</t>
        </is>
      </c>
    </row>
    <row r="108">
      <c r="A108" s="1" t="n">
        <v>4064941130727</v>
      </c>
      <c r="B108" t="inlineStr">
        <is>
          <t>KJ MU SPP GLZ LG 3 ML 005LOVABLE IV</t>
        </is>
      </c>
      <c r="C108" t="inlineStr">
        <is>
          <t>P_US_ALL_OTHERS</t>
        </is>
      </c>
      <c r="D108" t="inlineStr">
        <is>
          <t>Mules</t>
        </is>
      </c>
      <c r="E108" t="inlineStr">
        <is>
          <t>STLF</t>
        </is>
      </c>
      <c r="G108" t="inlineStr">
        <is>
          <t>TES,STLF,Simple Snaive</t>
        </is>
      </c>
      <c r="I108" t="n">
        <v>1157</v>
      </c>
      <c r="J108" t="n">
        <v>1157</v>
      </c>
      <c r="K108" t="inlineStr">
        <is>
          <t>CML</t>
        </is>
      </c>
    </row>
    <row r="109">
      <c r="A109" s="1" t="n">
        <v>4064941130727</v>
      </c>
      <c r="B109" t="inlineStr">
        <is>
          <t>KJ MU SPP GLZ LG 3 ML 005LOVABLE IV</t>
        </is>
      </c>
      <c r="C109" t="inlineStr">
        <is>
          <t>P_US_ULTA</t>
        </is>
      </c>
      <c r="D109" t="inlineStr">
        <is>
          <t>Mules</t>
        </is>
      </c>
      <c r="E109" t="inlineStr">
        <is>
          <t>TES</t>
        </is>
      </c>
      <c r="G109" t="inlineStr">
        <is>
          <t>TES,STLF,Simple Snaive</t>
        </is>
      </c>
      <c r="I109" t="n">
        <v>7798</v>
      </c>
      <c r="J109" t="n">
        <v>7798</v>
      </c>
      <c r="K109" t="inlineStr">
        <is>
          <t>ST</t>
        </is>
      </c>
    </row>
    <row r="110">
      <c r="A110" s="1" t="n">
        <v>4064941130734</v>
      </c>
      <c r="B110" t="inlineStr">
        <is>
          <t>KJ MU POUT LINPEN 1G PRECIS 627 24IV</t>
        </is>
      </c>
      <c r="C110" t="inlineStr">
        <is>
          <t>P_US_ALL_OTHERS</t>
        </is>
      </c>
      <c r="D110" t="inlineStr">
        <is>
          <t>Bulls</t>
        </is>
      </c>
      <c r="E110" t="inlineStr">
        <is>
          <t>Moving Average</t>
        </is>
      </c>
      <c r="G110" t="inlineStr">
        <is>
          <t>DES,STLF,Weighted AOA,Moving Average</t>
        </is>
      </c>
      <c r="I110" t="n">
        <v>53</v>
      </c>
      <c r="J110" t="n">
        <v>53</v>
      </c>
      <c r="K110" t="inlineStr">
        <is>
          <t>LT</t>
        </is>
      </c>
    </row>
    <row r="111">
      <c r="A111" s="1" t="n">
        <v>4064941130734</v>
      </c>
      <c r="B111" t="inlineStr">
        <is>
          <t>KJ MU POUT LINPEN 1G PRECIS 627 24IV</t>
        </is>
      </c>
      <c r="C111" t="inlineStr">
        <is>
          <t>P_US_ULTA</t>
        </is>
      </c>
      <c r="D111" t="inlineStr">
        <is>
          <t>Bulls</t>
        </is>
      </c>
      <c r="E111" t="inlineStr">
        <is>
          <t>STLF</t>
        </is>
      </c>
      <c r="G111" t="inlineStr">
        <is>
          <t>TES,STLF,Simple Snaive</t>
        </is>
      </c>
      <c r="I111" t="n">
        <v>12683</v>
      </c>
      <c r="J111" t="n">
        <v>12683</v>
      </c>
      <c r="K111" t="inlineStr">
        <is>
          <t>CML</t>
        </is>
      </c>
    </row>
    <row r="112">
      <c r="A112" s="1" t="n">
        <v>4064941130741</v>
      </c>
      <c r="B112" t="inlineStr">
        <is>
          <t>KJ MU POUT LINPEN 1G PRECIS 355 24IV</t>
        </is>
      </c>
      <c r="C112" t="inlineStr">
        <is>
          <t>P_US_ALL_OTHERS</t>
        </is>
      </c>
      <c r="D112" t="inlineStr">
        <is>
          <t>Horses</t>
        </is>
      </c>
      <c r="E112" t="inlineStr">
        <is>
          <t>Simple Snaive</t>
        </is>
      </c>
      <c r="G112" t="inlineStr">
        <is>
          <t>TES,STLF,Simple Snaive</t>
        </is>
      </c>
      <c r="I112" t="n">
        <v>3588</v>
      </c>
      <c r="J112" t="n">
        <v>3588</v>
      </c>
      <c r="K112" t="inlineStr">
        <is>
          <t>LT</t>
        </is>
      </c>
    </row>
    <row r="113">
      <c r="A113" s="1" t="n">
        <v>4064941130741</v>
      </c>
      <c r="B113" t="inlineStr">
        <is>
          <t>KJ MU POUT LINPEN 1G PRECIS 355 24IV</t>
        </is>
      </c>
      <c r="C113" t="inlineStr">
        <is>
          <t>P_US_ULTA</t>
        </is>
      </c>
      <c r="D113" t="inlineStr">
        <is>
          <t>Horses</t>
        </is>
      </c>
      <c r="E113" t="inlineStr">
        <is>
          <t>DES</t>
        </is>
      </c>
      <c r="G113" t="inlineStr">
        <is>
          <t>DES,STLF,Weighted AOA</t>
        </is>
      </c>
      <c r="I113" t="n">
        <v>34576</v>
      </c>
      <c r="J113" t="n">
        <v>34576</v>
      </c>
      <c r="K113" t="inlineStr">
        <is>
          <t>ST</t>
        </is>
      </c>
    </row>
    <row r="114">
      <c r="A114" s="1" t="n">
        <v>4064941133551</v>
      </c>
      <c r="B114" t="inlineStr">
        <is>
          <t>KJ MU SPP GLZ LG 3 ML 006LOVER GIRL IV</t>
        </is>
      </c>
      <c r="C114" t="inlineStr">
        <is>
          <t>P_US_ALL_OTHERS</t>
        </is>
      </c>
      <c r="D114" t="inlineStr">
        <is>
          <t>Horses</t>
        </is>
      </c>
      <c r="E114" t="inlineStr">
        <is>
          <t>TES</t>
        </is>
      </c>
      <c r="G114" t="inlineStr">
        <is>
          <t>TES,STLF,Simple Snaive</t>
        </is>
      </c>
      <c r="I114" t="n">
        <v>1943</v>
      </c>
      <c r="J114" t="n">
        <v>1943</v>
      </c>
      <c r="K114" t="inlineStr">
        <is>
          <t>ST</t>
        </is>
      </c>
    </row>
    <row r="115">
      <c r="A115" s="1" t="n">
        <v>4064941133551</v>
      </c>
      <c r="B115" t="inlineStr">
        <is>
          <t>KJ MU SPP GLZ LG 3 ML 006LOVER GIRL IV</t>
        </is>
      </c>
      <c r="C115" t="inlineStr">
        <is>
          <t>P_US_ULTA</t>
        </is>
      </c>
      <c r="D115" t="inlineStr">
        <is>
          <t>Horses</t>
        </is>
      </c>
      <c r="E115" t="inlineStr">
        <is>
          <t>DES</t>
        </is>
      </c>
      <c r="G115" t="inlineStr">
        <is>
          <t>DES,STLF,Weighted AOA</t>
        </is>
      </c>
      <c r="I115" t="n">
        <v>22404</v>
      </c>
      <c r="J115" t="n">
        <v>22404</v>
      </c>
      <c r="K115" t="inlineStr">
        <is>
          <t>LT</t>
        </is>
      </c>
    </row>
    <row r="116">
      <c r="A116" s="1" t="n">
        <v>4064941147084</v>
      </c>
      <c r="B116" t="inlineStr">
        <is>
          <t>KJ MU HYB BLSH PWDBLU2.5G 356SMRSB 25IV</t>
        </is>
      </c>
      <c r="C116" t="inlineStr">
        <is>
          <t>P_US_ALL_OTHERS</t>
        </is>
      </c>
      <c r="D116" t="inlineStr">
        <is>
          <t>Bulls</t>
        </is>
      </c>
      <c r="E116" t="inlineStr">
        <is>
          <t>Moving Average</t>
        </is>
      </c>
      <c r="G116" t="inlineStr">
        <is>
          <t>SES,Moving Average,DES</t>
        </is>
      </c>
      <c r="I116" t="n">
        <v>1365</v>
      </c>
      <c r="J116" t="n">
        <v>1365</v>
      </c>
      <c r="K116" t="inlineStr">
        <is>
          <t>ST</t>
        </is>
      </c>
    </row>
    <row r="117">
      <c r="A117" s="1" t="n">
        <v>4064941147084</v>
      </c>
      <c r="B117" t="inlineStr">
        <is>
          <t>KJ MU HYB BLSH PWDBLU2.5G 356SMRSB 25IV</t>
        </is>
      </c>
      <c r="C117" t="inlineStr">
        <is>
          <t>P_US_ULTA</t>
        </is>
      </c>
      <c r="D117" t="inlineStr">
        <is>
          <t>Bulls</t>
        </is>
      </c>
      <c r="E117" t="inlineStr">
        <is>
          <t>DES</t>
        </is>
      </c>
      <c r="F117" t="inlineStr">
        <is>
          <t>Moving Average</t>
        </is>
      </c>
      <c r="G117" t="inlineStr">
        <is>
          <t>SES,Moving Average,DES</t>
        </is>
      </c>
      <c r="I117" t="n">
        <v>35133</v>
      </c>
      <c r="J117" t="n">
        <v>35133</v>
      </c>
      <c r="K117" t="inlineStr">
        <is>
          <t>ST</t>
        </is>
      </c>
    </row>
    <row r="118">
      <c r="A118" s="1" t="n">
        <v>4064941147091</v>
      </c>
      <c r="B118" t="inlineStr">
        <is>
          <t>KJ MU HYB BLSH PWDBLU2.5G 354PNKPL 25IV</t>
        </is>
      </c>
      <c r="C118" t="inlineStr">
        <is>
          <t>P_US_ALL_OTHERS</t>
        </is>
      </c>
      <c r="D118" t="inlineStr">
        <is>
          <t>Horses</t>
        </is>
      </c>
      <c r="E118" t="inlineStr">
        <is>
          <t>Moving Average</t>
        </is>
      </c>
      <c r="G118" t="inlineStr">
        <is>
          <t>SES,Moving Average,DES</t>
        </is>
      </c>
      <c r="I118" t="n">
        <v>932</v>
      </c>
      <c r="J118" t="n">
        <v>932</v>
      </c>
      <c r="K118" t="inlineStr">
        <is>
          <t>ST</t>
        </is>
      </c>
    </row>
    <row r="119">
      <c r="A119" s="1" t="n">
        <v>4064941147091</v>
      </c>
      <c r="B119" t="inlineStr">
        <is>
          <t>KJ MU HYB BLSH PWDBLU2.5G 354PNKPL 25IV</t>
        </is>
      </c>
      <c r="C119" t="inlineStr">
        <is>
          <t>P_US_ULTA</t>
        </is>
      </c>
      <c r="D119" t="inlineStr">
        <is>
          <t>Horses</t>
        </is>
      </c>
      <c r="E119" t="inlineStr">
        <is>
          <t>SES</t>
        </is>
      </c>
      <c r="G119" t="inlineStr">
        <is>
          <t>SES,Moving Average,DES</t>
        </is>
      </c>
      <c r="I119" t="n">
        <v>20324</v>
      </c>
      <c r="J119" t="n">
        <v>20324</v>
      </c>
      <c r="K119" t="inlineStr">
        <is>
          <t>ST</t>
        </is>
      </c>
    </row>
    <row r="120">
      <c r="A120" s="1" t="n">
        <v>4064941147107</v>
      </c>
      <c r="B120" t="inlineStr">
        <is>
          <t>KJ MU HYB BLSH PWDBLU2.5G 355PETAL 25IV</t>
        </is>
      </c>
      <c r="C120" t="inlineStr">
        <is>
          <t>P_US_ALL_OTHERS</t>
        </is>
      </c>
      <c r="D120" t="inlineStr">
        <is>
          <t>Horses</t>
        </is>
      </c>
      <c r="E120" t="inlineStr">
        <is>
          <t>Moving Average</t>
        </is>
      </c>
      <c r="G120" t="inlineStr">
        <is>
          <t>SES,Moving Average,DES</t>
        </is>
      </c>
      <c r="I120" t="n">
        <v>1827</v>
      </c>
      <c r="J120" t="n">
        <v>1827</v>
      </c>
      <c r="K120" t="inlineStr">
        <is>
          <t>ST</t>
        </is>
      </c>
    </row>
    <row r="121">
      <c r="A121" s="1" t="n">
        <v>4064941147107</v>
      </c>
      <c r="B121" t="inlineStr">
        <is>
          <t>KJ MU HYB BLSH PWDBLU2.5G 355PETAL 25IV</t>
        </is>
      </c>
      <c r="C121" t="inlineStr">
        <is>
          <t>P_US_ULTA</t>
        </is>
      </c>
      <c r="D121" t="inlineStr">
        <is>
          <t>Horses</t>
        </is>
      </c>
      <c r="E121" t="inlineStr">
        <is>
          <t>DES</t>
        </is>
      </c>
      <c r="G121" t="inlineStr">
        <is>
          <t>SES,Moving Average,DES</t>
        </is>
      </c>
      <c r="I121" t="n">
        <v>29932</v>
      </c>
      <c r="J121" t="n">
        <v>29932</v>
      </c>
      <c r="K121" t="inlineStr">
        <is>
          <t>ST</t>
        </is>
      </c>
    </row>
    <row r="122">
      <c r="A122" s="1" t="n">
        <v>4064941147114</v>
      </c>
      <c r="B122" t="inlineStr">
        <is>
          <t>KJ MU HYB BLSH PWDBLU2.5G 353WTRKS 25IV</t>
        </is>
      </c>
      <c r="C122" t="inlineStr">
        <is>
          <t>P_US_ALL_OTHERS</t>
        </is>
      </c>
      <c r="D122" t="inlineStr">
        <is>
          <t>Horses</t>
        </is>
      </c>
      <c r="E122" t="inlineStr">
        <is>
          <t>Moving Average</t>
        </is>
      </c>
      <c r="G122" t="inlineStr">
        <is>
          <t>SES,Moving Average,DES</t>
        </is>
      </c>
      <c r="I122" t="n">
        <v>4170</v>
      </c>
      <c r="J122" t="n">
        <v>4170</v>
      </c>
      <c r="K122" t="inlineStr">
        <is>
          <t>ST</t>
        </is>
      </c>
    </row>
    <row r="123">
      <c r="A123" s="1" t="n">
        <v>4064941147114</v>
      </c>
      <c r="B123" t="inlineStr">
        <is>
          <t>KJ MU HYB BLSH PWDBLU2.5G 353WTRKS 25IV</t>
        </is>
      </c>
      <c r="C123" t="inlineStr">
        <is>
          <t>P_US_ULTA</t>
        </is>
      </c>
      <c r="D123" t="inlineStr">
        <is>
          <t>Horses</t>
        </is>
      </c>
      <c r="E123" t="inlineStr">
        <is>
          <t>DES</t>
        </is>
      </c>
      <c r="G123" t="inlineStr">
        <is>
          <t>SES,Moving Average,DES</t>
        </is>
      </c>
      <c r="I123" t="n">
        <v>76818</v>
      </c>
      <c r="J123" t="n">
        <v>76818</v>
      </c>
      <c r="K123" t="inlineStr">
        <is>
          <t>ST</t>
        </is>
      </c>
    </row>
    <row r="124">
      <c r="A124" s="1" t="n">
        <v>4064941147121</v>
      </c>
      <c r="B124" t="inlineStr">
        <is>
          <t>KJ MU HYB BLSH PWDBLU2.5G 116SLWJM 25IV</t>
        </is>
      </c>
      <c r="C124" t="inlineStr">
        <is>
          <t>P_US_ALL_OTHERS</t>
        </is>
      </c>
      <c r="D124" t="inlineStr">
        <is>
          <t>Rabbits</t>
        </is>
      </c>
      <c r="E124" t="inlineStr">
        <is>
          <t>Moving Average</t>
        </is>
      </c>
      <c r="G124" t="inlineStr">
        <is>
          <t>SES,Moving Average,DES</t>
        </is>
      </c>
      <c r="I124" t="n">
        <v>221</v>
      </c>
      <c r="J124" t="n">
        <v>221</v>
      </c>
      <c r="K124" t="inlineStr">
        <is>
          <t>ST</t>
        </is>
      </c>
    </row>
    <row r="125">
      <c r="A125" s="1" t="n">
        <v>4064941147121</v>
      </c>
      <c r="B125" t="inlineStr">
        <is>
          <t>KJ MU HYB BLSH PWDBLU2.5G 116SLWJM 25IV</t>
        </is>
      </c>
      <c r="C125" t="inlineStr">
        <is>
          <t>P_US_ULTA</t>
        </is>
      </c>
      <c r="D125" t="inlineStr">
        <is>
          <t>Rabbits</t>
        </is>
      </c>
      <c r="E125" t="inlineStr">
        <is>
          <t>Moving Average</t>
        </is>
      </c>
      <c r="G125" t="inlineStr">
        <is>
          <t>SES,Moving Average</t>
        </is>
      </c>
      <c r="I125" t="n">
        <v>11104</v>
      </c>
      <c r="J125" t="n">
        <v>11104</v>
      </c>
      <c r="K125" t="inlineStr">
        <is>
          <t>ST</t>
        </is>
      </c>
    </row>
    <row r="126">
      <c r="A126" s="1" t="n">
        <v>4064941147145</v>
      </c>
      <c r="B126" t="inlineStr">
        <is>
          <t>KJ MU HYB BLSH PWDBLU2.5G 216SIENA 25IV</t>
        </is>
      </c>
      <c r="C126" t="inlineStr">
        <is>
          <t>P_US_ALL_OTHERS</t>
        </is>
      </c>
      <c r="D126" t="inlineStr">
        <is>
          <t>Rabbits</t>
        </is>
      </c>
      <c r="E126" t="inlineStr">
        <is>
          <t>Moving Average</t>
        </is>
      </c>
      <c r="G126" t="inlineStr">
        <is>
          <t>SES,Moving Average,DES</t>
        </is>
      </c>
      <c r="I126" t="n">
        <v>1176</v>
      </c>
      <c r="J126" t="n">
        <v>1176</v>
      </c>
      <c r="K126" t="inlineStr">
        <is>
          <t>ST</t>
        </is>
      </c>
    </row>
    <row r="127">
      <c r="A127" s="1" t="n">
        <v>4064941147145</v>
      </c>
      <c r="B127" t="inlineStr">
        <is>
          <t>KJ MU HYB BLSH PWDBLU2.5G 216SIENA 25IV</t>
        </is>
      </c>
      <c r="C127" t="inlineStr">
        <is>
          <t>P_US_ULTA</t>
        </is>
      </c>
      <c r="D127" t="inlineStr">
        <is>
          <t>Rabbits</t>
        </is>
      </c>
      <c r="E127" t="inlineStr">
        <is>
          <t>DES</t>
        </is>
      </c>
      <c r="G127" t="inlineStr">
        <is>
          <t>SES,Moving Average,DES</t>
        </is>
      </c>
      <c r="I127" t="n">
        <v>21662</v>
      </c>
      <c r="J127" t="n">
        <v>21662</v>
      </c>
      <c r="K127" t="inlineStr">
        <is>
          <t>ST</t>
        </is>
      </c>
    </row>
    <row r="128">
      <c r="A128" s="1" t="n">
        <v>4064941156826</v>
      </c>
      <c r="B128" t="inlineStr">
        <is>
          <t>KJ COSMIC FLNK EDP 30ML IV</t>
        </is>
      </c>
      <c r="C128" t="inlineStr">
        <is>
          <t>P_US_ALL_OTHERS</t>
        </is>
      </c>
      <c r="D128" t="inlineStr">
        <is>
          <t>Rabbits</t>
        </is>
      </c>
      <c r="E128" t="inlineStr">
        <is>
          <t>SES</t>
        </is>
      </c>
      <c r="G128" t="inlineStr">
        <is>
          <t>SES,Moving Average</t>
        </is>
      </c>
      <c r="I128" t="n">
        <v>46</v>
      </c>
      <c r="J128" t="n">
        <v>46</v>
      </c>
      <c r="K128" t="inlineStr">
        <is>
          <t>ST</t>
        </is>
      </c>
    </row>
    <row r="129">
      <c r="A129" s="1" t="n">
        <v>4064941156826</v>
      </c>
      <c r="B129" t="inlineStr">
        <is>
          <t>KJ COSMIC FLNK EDP 30ML IV</t>
        </is>
      </c>
      <c r="C129" t="inlineStr">
        <is>
          <t>P_US_ULTA</t>
        </is>
      </c>
      <c r="D129" t="inlineStr">
        <is>
          <t>Rabbits</t>
        </is>
      </c>
      <c r="E129" t="inlineStr">
        <is>
          <t>Moving Average</t>
        </is>
      </c>
      <c r="G129" t="inlineStr">
        <is>
          <t>SES,Moving Average</t>
        </is>
      </c>
      <c r="I129" t="n">
        <v>36665</v>
      </c>
      <c r="J129" t="n">
        <v>36665</v>
      </c>
      <c r="K129" t="inlineStr">
        <is>
          <t>LT</t>
        </is>
      </c>
    </row>
    <row r="130">
      <c r="A130" s="1" t="n">
        <v>4064941176343</v>
      </c>
      <c r="B130" t="inlineStr">
        <is>
          <t>KJ MU SPP LKIT SET 3ML 1.14G TAUPNUGL IV</t>
        </is>
      </c>
      <c r="C130" t="inlineStr">
        <is>
          <t>P_US_ALL_OTHERS</t>
        </is>
      </c>
      <c r="D130" t="inlineStr">
        <is>
          <t>Horses</t>
        </is>
      </c>
      <c r="E130" t="inlineStr">
        <is>
          <t>DES</t>
        </is>
      </c>
      <c r="G130" t="inlineStr">
        <is>
          <t>SES,Moving Average,DES</t>
        </is>
      </c>
      <c r="I130" t="n">
        <v>5849</v>
      </c>
      <c r="J130" t="n">
        <v>5849</v>
      </c>
      <c r="K130" t="inlineStr">
        <is>
          <t>LT</t>
        </is>
      </c>
    </row>
    <row r="131">
      <c r="A131" s="1" t="n">
        <v>4064941176343</v>
      </c>
      <c r="B131" t="inlineStr">
        <is>
          <t>KJ MU SPP LKIT SET 3ML 1.14G TAUPNUGL IV</t>
        </is>
      </c>
      <c r="C131" t="inlineStr">
        <is>
          <t>P_US_ULTA</t>
        </is>
      </c>
      <c r="D131" t="inlineStr">
        <is>
          <t>Horses</t>
        </is>
      </c>
      <c r="E131" t="inlineStr">
        <is>
          <t>SES</t>
        </is>
      </c>
      <c r="G131" t="inlineStr">
        <is>
          <t>SES,Moving Average,DES</t>
        </is>
      </c>
      <c r="I131" t="n">
        <v>53807</v>
      </c>
      <c r="J131" t="n">
        <v>53807</v>
      </c>
      <c r="K131" t="inlineStr">
        <is>
          <t>ST</t>
        </is>
      </c>
    </row>
    <row r="132">
      <c r="A132" s="1" t="n">
        <v>4064941176350</v>
      </c>
      <c r="B132" t="inlineStr">
        <is>
          <t>KJ MU SPP LKIT SET 3ML 1.14G KYL2.0GL IV</t>
        </is>
      </c>
      <c r="C132" t="inlineStr">
        <is>
          <t>P_US_ALL_OTHERS</t>
        </is>
      </c>
      <c r="D132" t="inlineStr">
        <is>
          <t>Horses</t>
        </is>
      </c>
      <c r="E132" t="inlineStr">
        <is>
          <t>DES</t>
        </is>
      </c>
      <c r="G132" t="inlineStr">
        <is>
          <t>SES,Moving Average,DES</t>
        </is>
      </c>
      <c r="I132" t="n">
        <v>6157</v>
      </c>
      <c r="J132" t="n">
        <v>6157</v>
      </c>
      <c r="K132" t="inlineStr">
        <is>
          <t>ST</t>
        </is>
      </c>
    </row>
    <row r="133">
      <c r="A133" s="1" t="n">
        <v>4064941176350</v>
      </c>
      <c r="B133" t="inlineStr">
        <is>
          <t>KJ MU SPP LKIT SET 3ML 1.14G KYL2.0GL IV</t>
        </is>
      </c>
      <c r="C133" t="inlineStr">
        <is>
          <t>P_US_ULTA</t>
        </is>
      </c>
      <c r="D133" t="inlineStr">
        <is>
          <t>Horses</t>
        </is>
      </c>
      <c r="E133" t="inlineStr">
        <is>
          <t>Moving Average</t>
        </is>
      </c>
      <c r="G133" t="inlineStr">
        <is>
          <t>SES,Moving Average,DES</t>
        </is>
      </c>
      <c r="I133" t="n">
        <v>75888</v>
      </c>
      <c r="J133" t="n">
        <v>75888</v>
      </c>
      <c r="K133" t="inlineStr">
        <is>
          <t>LT</t>
        </is>
      </c>
    </row>
    <row r="134">
      <c r="A134" s="1" t="n">
        <v>4064941176374</v>
      </c>
      <c r="B134" t="inlineStr">
        <is>
          <t>KJ MU SPP LKIT SET 3ML 1.14G DOLC KGL IV</t>
        </is>
      </c>
      <c r="C134" t="inlineStr">
        <is>
          <t>P_US_ALL_OTHERS</t>
        </is>
      </c>
      <c r="D134" t="inlineStr">
        <is>
          <t>Horses</t>
        </is>
      </c>
      <c r="E134" t="inlineStr">
        <is>
          <t>SES</t>
        </is>
      </c>
      <c r="G134" t="inlineStr">
        <is>
          <t>SES,Moving Average,DES</t>
        </is>
      </c>
      <c r="I134" t="n">
        <v>3424</v>
      </c>
      <c r="J134" t="n">
        <v>3424</v>
      </c>
      <c r="K134" t="inlineStr">
        <is>
          <t>CML</t>
        </is>
      </c>
    </row>
    <row r="135">
      <c r="A135" s="1" t="n">
        <v>4064941176374</v>
      </c>
      <c r="B135" t="inlineStr">
        <is>
          <t>KJ MU SPP LKIT SET 3ML 1.14G DOLC KGL IV</t>
        </is>
      </c>
      <c r="C135" t="inlineStr">
        <is>
          <t>P_US_ULTA</t>
        </is>
      </c>
      <c r="D135" t="inlineStr">
        <is>
          <t>Horses</t>
        </is>
      </c>
      <c r="E135" t="inlineStr">
        <is>
          <t>DES</t>
        </is>
      </c>
      <c r="G135" t="inlineStr">
        <is>
          <t>SES,Moving Average,DES</t>
        </is>
      </c>
      <c r="I135" t="n">
        <v>28811</v>
      </c>
      <c r="J135" t="n">
        <v>28811</v>
      </c>
      <c r="K135" t="inlineStr">
        <is>
          <t>LT</t>
        </is>
      </c>
    </row>
    <row r="136">
      <c r="A136" s="1" t="n">
        <v>4064941176381</v>
      </c>
      <c r="B136" t="inlineStr">
        <is>
          <t>KJ MU SPP LKIT SET 3ML 1.14G COCNT GL IV</t>
        </is>
      </c>
      <c r="C136" t="inlineStr">
        <is>
          <t>P_US_ALL_OTHERS</t>
        </is>
      </c>
      <c r="D136" t="inlineStr">
        <is>
          <t>Horses</t>
        </is>
      </c>
      <c r="E136" t="inlineStr">
        <is>
          <t>SES</t>
        </is>
      </c>
      <c r="G136" t="inlineStr">
        <is>
          <t>SES,Moving Average,DES</t>
        </is>
      </c>
      <c r="I136" t="n">
        <v>4201</v>
      </c>
      <c r="J136" t="n">
        <v>4201</v>
      </c>
      <c r="K136" t="inlineStr">
        <is>
          <t>ST</t>
        </is>
      </c>
    </row>
    <row r="137">
      <c r="A137" s="1" t="n">
        <v>4064941176381</v>
      </c>
      <c r="B137" t="inlineStr">
        <is>
          <t>KJ MU SPP LKIT SET 3ML 1.14G COCNT GL IV</t>
        </is>
      </c>
      <c r="C137" t="inlineStr">
        <is>
          <t>P_US_ULTA</t>
        </is>
      </c>
      <c r="D137" t="inlineStr">
        <is>
          <t>Horses</t>
        </is>
      </c>
      <c r="E137" t="inlineStr">
        <is>
          <t>DES</t>
        </is>
      </c>
      <c r="G137" t="inlineStr">
        <is>
          <t>SES,Moving Average,DES</t>
        </is>
      </c>
      <c r="I137" t="n">
        <v>46174</v>
      </c>
      <c r="J137" t="n">
        <v>46174</v>
      </c>
      <c r="K137" t="inlineStr">
        <is>
          <t>ST</t>
        </is>
      </c>
    </row>
    <row r="138">
      <c r="A138" s="1" t="n">
        <v>737052339047</v>
      </c>
      <c r="B138" t="inlineStr">
        <is>
          <t>GUCCI GUILT H EDT NS 90 ML IV</t>
        </is>
      </c>
      <c r="C138" t="inlineStr">
        <is>
          <t>P_US_ALL_OTHERS</t>
        </is>
      </c>
      <c r="D138" t="inlineStr">
        <is>
          <t>Horses</t>
        </is>
      </c>
      <c r="E138" t="inlineStr">
        <is>
          <t>Simple Snaive</t>
        </is>
      </c>
      <c r="F138" t="inlineStr">
        <is>
          <t>TES</t>
        </is>
      </c>
      <c r="G138" t="inlineStr">
        <is>
          <t>TES,STLF,Simple Snaive</t>
        </is>
      </c>
      <c r="I138" t="n">
        <v>40566</v>
      </c>
      <c r="J138" t="n">
        <v>40566</v>
      </c>
      <c r="K138" t="inlineStr">
        <is>
          <t>ST</t>
        </is>
      </c>
    </row>
    <row r="139">
      <c r="A139" s="1" t="n">
        <v>737052339047</v>
      </c>
      <c r="B139" t="inlineStr">
        <is>
          <t>GUCCI GUILT H EDT NS 90 ML IV</t>
        </is>
      </c>
      <c r="C139" t="inlineStr">
        <is>
          <t>P_US_ULTA</t>
        </is>
      </c>
      <c r="D139" t="inlineStr">
        <is>
          <t>Horses</t>
        </is>
      </c>
      <c r="E139" t="inlineStr">
        <is>
          <t>Simple Snaive</t>
        </is>
      </c>
      <c r="G139" t="inlineStr">
        <is>
          <t>TES,STLF,Simple Snaive</t>
        </is>
      </c>
      <c r="I139" t="n">
        <v>19170</v>
      </c>
      <c r="J139" t="n">
        <v>19170</v>
      </c>
      <c r="K139" t="inlineStr">
        <is>
          <t>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0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28" customWidth="1" min="5" max="5"/>
    <col width="22" customWidth="1" min="6" max="6"/>
  </cols>
  <sheetData>
    <row r="1">
      <c r="A1" s="3" t="inlineStr">
        <is>
          <t>EAN seleccionado</t>
        </is>
      </c>
      <c r="B1" s="19">
        <f>DASHBOARD!$C$5</f>
        <v/>
      </c>
      <c r="E1" s="3" t="inlineStr">
        <is>
          <t>Capa: System BestFit Final</t>
        </is>
      </c>
      <c r="F1" s="19">
        <f>"System BestFit Final"</f>
        <v/>
      </c>
    </row>
    <row r="2">
      <c r="A2" s="3" t="inlineStr">
        <is>
          <t>CFG seleccionado</t>
        </is>
      </c>
      <c r="B2" s="19">
        <f>DASHBOARD!$C$6</f>
        <v/>
      </c>
      <c r="E2" s="3" t="inlineStr">
        <is>
          <t>Capa: ST</t>
        </is>
      </c>
      <c r="F2" s="19">
        <f>"ST Stat Fcst"</f>
        <v/>
      </c>
    </row>
    <row r="3">
      <c r="A3" s="3" t="inlineStr">
        <is>
          <t>Combinado (1/0)</t>
        </is>
      </c>
      <c r="B3" s="19">
        <f>IF(OR($B$2="",$B$2=$B$23),1,0)</f>
        <v/>
      </c>
      <c r="E3" s="3" t="inlineStr">
        <is>
          <t>Capa: LT</t>
        </is>
      </c>
      <c r="F3" s="19">
        <f>"LT Stat Fcst"</f>
        <v/>
      </c>
    </row>
    <row r="4">
      <c r="A4" s="3" t="inlineStr">
        <is>
          <t>Criterio CFG</t>
        </is>
      </c>
      <c r="B4" s="19">
        <f>IF($B$3=1,"*",$B$2)</f>
        <v/>
      </c>
      <c r="E4" s="3" t="inlineStr">
        <is>
          <t>Capa: CML</t>
        </is>
      </c>
      <c r="F4" s="19">
        <f>"CML Fcst"</f>
        <v/>
      </c>
    </row>
    <row r="5">
      <c r="A5" s="3" t="inlineStr">
        <is>
          <t>Version actual</t>
        </is>
      </c>
      <c r="B5" s="19">
        <f>DASHBOARD!$C$7</f>
        <v/>
      </c>
      <c r="E5" s="3" t="inlineStr">
        <is>
          <t>Opcion algoritmo por defecto</t>
        </is>
      </c>
      <c r="F5" s="19">
        <f>"(ST BestFit)"</f>
        <v/>
      </c>
    </row>
    <row r="6">
      <c r="A6" s="3" t="inlineStr">
        <is>
          <t>Version snapshot</t>
        </is>
      </c>
      <c r="B6" s="19">
        <f>DASHBOARD!$C$8</f>
        <v/>
      </c>
      <c r="E6" s="3" t="inlineStr">
        <is>
          <t>Opcion sin cambio</t>
        </is>
      </c>
      <c r="F6" s="19">
        <f>"(SISTEMA)"</f>
        <v/>
      </c>
    </row>
    <row r="7">
      <c r="A7" s="3" t="inlineStr">
        <is>
          <t>Primer mes futuro</t>
        </is>
      </c>
      <c r="B7" s="19">
        <f>DASHBOARD!$C$9</f>
        <v/>
      </c>
      <c r="E7" s="3" t="inlineStr">
        <is>
          <t>Bucket ST</t>
        </is>
      </c>
      <c r="F7" s="19">
        <f>"ST"</f>
        <v/>
      </c>
    </row>
    <row r="8">
      <c r="A8" s="3" t="inlineStr">
        <is>
          <t>N meses detectados</t>
        </is>
      </c>
      <c r="B8" s="19">
        <f>COUNTIF($D$26:$AM$26,"?*")</f>
        <v/>
      </c>
      <c r="E8" s="3" t="inlineStr">
        <is>
          <t>Bucket LT</t>
        </is>
      </c>
      <c r="F8" s="19">
        <f>"LT"</f>
        <v/>
      </c>
    </row>
    <row r="9">
      <c r="A9" s="3" t="inlineStr">
        <is>
          <t>N CFG del EAN</t>
        </is>
      </c>
      <c r="B9" s="19">
        <f>COUNTIF($B$113:$B$120,"?*")</f>
        <v/>
      </c>
      <c r="E9" s="3" t="inlineStr">
        <is>
          <t>Bucket CML</t>
        </is>
      </c>
      <c r="F9" s="19">
        <f>"CML"</f>
        <v/>
      </c>
    </row>
    <row r="10">
      <c r="A10" s="3" t="inlineStr">
        <is>
          <t>CONSENSUS col Data</t>
        </is>
      </c>
      <c r="B10" s="19">
        <f>MATCH("Data",CONSENSUS!$1:$1,0)</f>
        <v/>
      </c>
      <c r="E10" s="3" t="inlineStr">
        <is>
          <t>Pos. 1er mes futuro</t>
        </is>
      </c>
      <c r="F10" s="19">
        <f>IFERROR(MATCH(1,$D$30:$AM$30,0),1)</f>
        <v/>
      </c>
    </row>
    <row r="11">
      <c r="A11" s="3" t="inlineStr">
        <is>
          <t>CONSENSUS col EAN</t>
        </is>
      </c>
      <c r="B11" s="19">
        <f>MATCH("EAN",CONSENSUS!$1:$1,0)</f>
        <v/>
      </c>
      <c r="E11" s="3" t="inlineStr">
        <is>
          <t>Pos. ultimo mes</t>
        </is>
      </c>
      <c r="F11" s="19">
        <f>MAX(1,$B$8)</f>
        <v/>
      </c>
    </row>
    <row r="12">
      <c r="A12" s="3" t="inlineStr">
        <is>
          <t>CONSENSUS col CFG</t>
        </is>
      </c>
      <c r="B12" s="19">
        <f>MATCH("CFG",CONSENSUS!$1:$1,0)</f>
        <v/>
      </c>
      <c r="E12" s="3" t="inlineStr">
        <is>
          <t>Capa: System FC</t>
        </is>
      </c>
      <c r="F12" s="19">
        <f>"System FC - Final"</f>
        <v/>
      </c>
    </row>
    <row r="13">
      <c r="A13" s="3" t="inlineStr">
        <is>
          <t>CONSENSUS col Version</t>
        </is>
      </c>
      <c r="B13" s="19">
        <f>MATCH("Version Name",CONSENSUS!$1:$1,0)</f>
        <v/>
      </c>
      <c r="E13" s="3" t="inlineStr">
        <is>
          <t>Capa: Consensus final</t>
        </is>
      </c>
      <c r="F13" s="19">
        <f>"Consensus - Final"</f>
        <v/>
      </c>
    </row>
    <row r="14">
      <c r="A14" s="3" t="inlineStr">
        <is>
          <t>BESTFIT col Data</t>
        </is>
      </c>
      <c r="B14" s="19">
        <f>MATCH("Data",BESTFIT!$1:$1,0)</f>
        <v/>
      </c>
      <c r="E14" s="3" t="inlineStr">
        <is>
          <t>Filas halladas del EAN</t>
        </is>
      </c>
      <c r="F14" s="19">
        <f>COUNTIF(INDEX(CONSENSUS!$A$2:$BZ$20001,0,$B$11),$B$1)</f>
        <v/>
      </c>
    </row>
    <row r="15">
      <c r="A15" s="3" t="inlineStr">
        <is>
          <t>BESTFIT col Item</t>
        </is>
      </c>
      <c r="B15" s="19">
        <f>MATCH("ST Stat Item",BESTFIT!$1:$1,0)</f>
        <v/>
      </c>
      <c r="E15" s="3" t="inlineStr">
        <is>
          <t>Capa: Consensus LY</t>
        </is>
      </c>
      <c r="F15" s="19">
        <f>"Consensus - Final LY M"</f>
        <v/>
      </c>
    </row>
    <row r="16">
      <c r="A16" s="3" t="inlineStr">
        <is>
          <t>BESTFIT col Account</t>
        </is>
      </c>
      <c r="B16" s="19">
        <f>MATCH("ST Stat Account",BESTFIT!$1:$1,0)</f>
        <v/>
      </c>
      <c r="E16" s="3" t="inlineStr">
        <is>
          <t>Snapshot auto-detectado</t>
        </is>
      </c>
      <c r="F16" s="19">
        <f>IFERROR(IF(SUMPRODUCT(MIN(((INDEX(CONSENSUS!$A$2:$BZ$20001,0,$B$13)&lt;&gt;"")*(INDEX(CONSENSUS!$A$2:$BZ$20001,0,$B$13)&lt;&gt;$B$5))*(ROW(CONSENSUS!$A$2:$A$20001)-1)+(1-((INDEX(CONSENSUS!$A$2:$BZ$20001,0,$B$13)&lt;&gt;"")*(INDEX(CONSENSUS!$A$2:$BZ$20001,0,$B$13)&lt;&gt;$B$5)))*1000000))&gt;=1000000,"",INDEX(INDEX(CONSENSUS!$A$2:$BZ$20001,0,$B$13),SUMPRODUCT(MIN(((INDEX(CONSENSUS!$A$2:$BZ$20001,0,$B$13)&lt;&gt;"")*(INDEX(CONSENSUS!$A$2:$BZ$20001,0,$B$13)&lt;&gt;$B$5))*(ROW(CONSENSUS!$A$2:$A$20001)-1)+(1-((INDEX(CONSENSUS!$A$2:$BZ$20001,0,$B$13)&lt;&gt;"")*(INDEX(CONSENSUS!$A$2:$BZ$20001,0,$B$13)&lt;&gt;$B$5)))*1000000)))),"")</f>
        <v/>
      </c>
    </row>
    <row r="17">
      <c r="A17" s="3" t="inlineStr">
        <is>
          <t>(libre)</t>
        </is>
      </c>
      <c r="E17" s="3" t="inlineStr">
        <is>
          <t>Primer mes futuro auto</t>
        </is>
      </c>
      <c r="F17" s="19">
        <f>IFERROR(TEXT(IF(VALUE(MID($B$6,13,2))=12,VALUE(MID($B$6,7,4))+1,VALUE(MID($B$6,7,4))),"0000")&amp;".M"&amp;TEXT(IF(VALUE(MID($B$6,13,2))=12,1,VALUE(MID($B$6,13,2))+1),"00"),$D$26)</f>
        <v/>
      </c>
    </row>
    <row r="18">
      <c r="A18" s="3" t="inlineStr">
        <is>
          <t>ALGO col Data</t>
        </is>
      </c>
      <c r="B18" s="19">
        <f>MATCH("Data",ALGO!$1:$1,0)</f>
        <v/>
      </c>
      <c r="E18" s="3" t="inlineStr">
        <is>
          <t>Algoritmos activos</t>
        </is>
      </c>
      <c r="F18" s="19">
        <f>MAX($E$80:$E$109)</f>
        <v/>
      </c>
    </row>
    <row r="19">
      <c r="A19" s="3" t="inlineStr">
        <is>
          <t>ALGO col Item</t>
        </is>
      </c>
      <c r="B19" s="19">
        <f>MATCH("ST Stat Item",ALGO!$1:$1,0)</f>
        <v/>
      </c>
    </row>
    <row r="20">
      <c r="A20" s="3" t="inlineStr">
        <is>
          <t>ALGO col Account</t>
        </is>
      </c>
      <c r="B20" s="19">
        <f>MATCH("ST Stat Account",ALGO!$1:$1,0)</f>
        <v/>
      </c>
      <c r="E20" s="3" t="inlineStr">
        <is>
          <t>House</t>
        </is>
      </c>
      <c r="F20" s="19">
        <f>IFERROR(INDEX(INDEX(CONSENSUS!$A$2:$BZ$20001,0,MATCH("House",CONSENSUS!$1:$1,0)),MATCH($B$1,INDEX(CONSENSUS!$A$2:$BZ$20001,0,$B$11),0)),"")</f>
        <v/>
      </c>
    </row>
    <row r="21">
      <c r="A21" s="3" t="inlineStr">
        <is>
          <t>ADHOC col Item</t>
        </is>
      </c>
      <c r="B21" s="19">
        <f>MATCH("ST Stat Item",ADHOC!$1:$1,0)</f>
        <v/>
      </c>
      <c r="E21" s="3" t="inlineStr">
        <is>
          <t>Brand</t>
        </is>
      </c>
      <c r="F21" s="19">
        <f>IFERROR(INDEX(INDEX(CONSENSUS!$A$2:$BZ$20001,0,MATCH("Brand",CONSENSUS!$1:$1,0)),MATCH($B$1,INDEX(CONSENSUS!$A$2:$BZ$20001,0,$B$11),0)),"")</f>
        <v/>
      </c>
    </row>
    <row r="22">
      <c r="A22" s="3" t="inlineStr">
        <is>
          <t>ADHOC col Account</t>
        </is>
      </c>
      <c r="B22" s="19">
        <f>MATCH("ST Stat Account",ADHOC!$1:$1,0)</f>
        <v/>
      </c>
      <c r="E22" s="3" t="inlineStr">
        <is>
          <t>Product Line</t>
        </is>
      </c>
      <c r="F22" s="19">
        <f>IFERROR(INDEX(INDEX(CONSENSUS!$A$2:$BZ$20001,0,MATCH("Product Line",CONSENSUS!$1:$1,0)),MATCH($B$1,INDEX(CONSENSUS!$A$2:$BZ$20001,0,$B$11),0)),"")</f>
        <v/>
      </c>
    </row>
    <row r="23">
      <c r="A23" s="3" t="inlineStr">
        <is>
          <t>Etiqueta "todos"</t>
        </is>
      </c>
      <c r="B23" s="19">
        <f>"(TODOS)"</f>
        <v/>
      </c>
      <c r="E23" s="3" t="inlineStr">
        <is>
          <t>Descripcion</t>
        </is>
      </c>
      <c r="F23" s="19">
        <f>IFERROR(INDEX(INDEX(CONSENSUS!$A$2:$BZ$20001,0,MATCH("Planning Item Description",CONSENSUS!$1:$1,0)),MATCH($B$1,INDEX(CONSENSUS!$A$2:$BZ$20001,0,$B$11),0)),"")</f>
        <v/>
      </c>
    </row>
    <row r="24">
      <c r="A24" s="3" t="inlineStr">
        <is>
          <t>N interseccs. ALGO (filtro)</t>
        </is>
      </c>
      <c r="B24" s="19">
        <f>COUNTIFS(INDEX(ALGO!$A$2:$BZ$20001,0,$B$19),$B$1,INDEX(ALGO!$A$2:$BZ$20001,0,$B$20),$B$4,INDEX(ALGO!$A$2:$BZ$20001,0,$B$18),$B$80)</f>
        <v/>
      </c>
    </row>
    <row r="26">
      <c r="A26" s="3" t="inlineStr">
        <is>
          <t>Mes (cabecera fila 1)</t>
        </is>
      </c>
      <c r="D26" s="20">
        <f>IFERROR(IF(INDEX(CONSENSUS!$1:$1,$B$10+1)="","",INDEX(CONSENSUS!$1:$1,$B$10+1)),"")</f>
        <v/>
      </c>
      <c r="E26" s="20">
        <f>IFERROR(IF(INDEX(CONSENSUS!$1:$1,$B$10+2)="","",INDEX(CONSENSUS!$1:$1,$B$10+2)),"")</f>
        <v/>
      </c>
      <c r="F26" s="20">
        <f>IFERROR(IF(INDEX(CONSENSUS!$1:$1,$B$10+3)="","",INDEX(CONSENSUS!$1:$1,$B$10+3)),"")</f>
        <v/>
      </c>
      <c r="G26" s="20">
        <f>IFERROR(IF(INDEX(CONSENSUS!$1:$1,$B$10+4)="","",INDEX(CONSENSUS!$1:$1,$B$10+4)),"")</f>
        <v/>
      </c>
      <c r="H26" s="20">
        <f>IFERROR(IF(INDEX(CONSENSUS!$1:$1,$B$10+5)="","",INDEX(CONSENSUS!$1:$1,$B$10+5)),"")</f>
        <v/>
      </c>
      <c r="I26" s="20">
        <f>IFERROR(IF(INDEX(CONSENSUS!$1:$1,$B$10+6)="","",INDEX(CONSENSUS!$1:$1,$B$10+6)),"")</f>
        <v/>
      </c>
      <c r="J26" s="20">
        <f>IFERROR(IF(INDEX(CONSENSUS!$1:$1,$B$10+7)="","",INDEX(CONSENSUS!$1:$1,$B$10+7)),"")</f>
        <v/>
      </c>
      <c r="K26" s="20">
        <f>IFERROR(IF(INDEX(CONSENSUS!$1:$1,$B$10+8)="","",INDEX(CONSENSUS!$1:$1,$B$10+8)),"")</f>
        <v/>
      </c>
      <c r="L26" s="20">
        <f>IFERROR(IF(INDEX(CONSENSUS!$1:$1,$B$10+9)="","",INDEX(CONSENSUS!$1:$1,$B$10+9)),"")</f>
        <v/>
      </c>
      <c r="M26" s="20">
        <f>IFERROR(IF(INDEX(CONSENSUS!$1:$1,$B$10+10)="","",INDEX(CONSENSUS!$1:$1,$B$10+10)),"")</f>
        <v/>
      </c>
      <c r="N26" s="20">
        <f>IFERROR(IF(INDEX(CONSENSUS!$1:$1,$B$10+11)="","",INDEX(CONSENSUS!$1:$1,$B$10+11)),"")</f>
        <v/>
      </c>
      <c r="O26" s="20">
        <f>IFERROR(IF(INDEX(CONSENSUS!$1:$1,$B$10+12)="","",INDEX(CONSENSUS!$1:$1,$B$10+12)),"")</f>
        <v/>
      </c>
      <c r="P26" s="20">
        <f>IFERROR(IF(INDEX(CONSENSUS!$1:$1,$B$10+13)="","",INDEX(CONSENSUS!$1:$1,$B$10+13)),"")</f>
        <v/>
      </c>
      <c r="Q26" s="20">
        <f>IFERROR(IF(INDEX(CONSENSUS!$1:$1,$B$10+14)="","",INDEX(CONSENSUS!$1:$1,$B$10+14)),"")</f>
        <v/>
      </c>
      <c r="R26" s="20">
        <f>IFERROR(IF(INDEX(CONSENSUS!$1:$1,$B$10+15)="","",INDEX(CONSENSUS!$1:$1,$B$10+15)),"")</f>
        <v/>
      </c>
      <c r="S26" s="20">
        <f>IFERROR(IF(INDEX(CONSENSUS!$1:$1,$B$10+16)="","",INDEX(CONSENSUS!$1:$1,$B$10+16)),"")</f>
        <v/>
      </c>
      <c r="T26" s="20">
        <f>IFERROR(IF(INDEX(CONSENSUS!$1:$1,$B$10+17)="","",INDEX(CONSENSUS!$1:$1,$B$10+17)),"")</f>
        <v/>
      </c>
      <c r="U26" s="20">
        <f>IFERROR(IF(INDEX(CONSENSUS!$1:$1,$B$10+18)="","",INDEX(CONSENSUS!$1:$1,$B$10+18)),"")</f>
        <v/>
      </c>
      <c r="V26" s="20">
        <f>IFERROR(IF(INDEX(CONSENSUS!$1:$1,$B$10+19)="","",INDEX(CONSENSUS!$1:$1,$B$10+19)),"")</f>
        <v/>
      </c>
      <c r="W26" s="20">
        <f>IFERROR(IF(INDEX(CONSENSUS!$1:$1,$B$10+20)="","",INDEX(CONSENSUS!$1:$1,$B$10+20)),"")</f>
        <v/>
      </c>
      <c r="X26" s="20">
        <f>IFERROR(IF(INDEX(CONSENSUS!$1:$1,$B$10+21)="","",INDEX(CONSENSUS!$1:$1,$B$10+21)),"")</f>
        <v/>
      </c>
      <c r="Y26" s="20">
        <f>IFERROR(IF(INDEX(CONSENSUS!$1:$1,$B$10+22)="","",INDEX(CONSENSUS!$1:$1,$B$10+22)),"")</f>
        <v/>
      </c>
      <c r="Z26" s="20">
        <f>IFERROR(IF(INDEX(CONSENSUS!$1:$1,$B$10+23)="","",INDEX(CONSENSUS!$1:$1,$B$10+23)),"")</f>
        <v/>
      </c>
      <c r="AA26" s="20">
        <f>IFERROR(IF(INDEX(CONSENSUS!$1:$1,$B$10+24)="","",INDEX(CONSENSUS!$1:$1,$B$10+24)),"")</f>
        <v/>
      </c>
      <c r="AB26" s="20">
        <f>IFERROR(IF(INDEX(CONSENSUS!$1:$1,$B$10+25)="","",INDEX(CONSENSUS!$1:$1,$B$10+25)),"")</f>
        <v/>
      </c>
      <c r="AC26" s="20">
        <f>IFERROR(IF(INDEX(CONSENSUS!$1:$1,$B$10+26)="","",INDEX(CONSENSUS!$1:$1,$B$10+26)),"")</f>
        <v/>
      </c>
      <c r="AD26" s="20">
        <f>IFERROR(IF(INDEX(CONSENSUS!$1:$1,$B$10+27)="","",INDEX(CONSENSUS!$1:$1,$B$10+27)),"")</f>
        <v/>
      </c>
      <c r="AE26" s="20">
        <f>IFERROR(IF(INDEX(CONSENSUS!$1:$1,$B$10+28)="","",INDEX(CONSENSUS!$1:$1,$B$10+28)),"")</f>
        <v/>
      </c>
      <c r="AF26" s="20">
        <f>IFERROR(IF(INDEX(CONSENSUS!$1:$1,$B$10+29)="","",INDEX(CONSENSUS!$1:$1,$B$10+29)),"")</f>
        <v/>
      </c>
      <c r="AG26" s="20">
        <f>IFERROR(IF(INDEX(CONSENSUS!$1:$1,$B$10+30)="","",INDEX(CONSENSUS!$1:$1,$B$10+30)),"")</f>
        <v/>
      </c>
      <c r="AH26" s="20">
        <f>IFERROR(IF(INDEX(CONSENSUS!$1:$1,$B$10+31)="","",INDEX(CONSENSUS!$1:$1,$B$10+31)),"")</f>
        <v/>
      </c>
      <c r="AI26" s="20">
        <f>IFERROR(IF(INDEX(CONSENSUS!$1:$1,$B$10+32)="","",INDEX(CONSENSUS!$1:$1,$B$10+32)),"")</f>
        <v/>
      </c>
      <c r="AJ26" s="20">
        <f>IFERROR(IF(INDEX(CONSENSUS!$1:$1,$B$10+33)="","",INDEX(CONSENSUS!$1:$1,$B$10+33)),"")</f>
        <v/>
      </c>
      <c r="AK26" s="20">
        <f>IFERROR(IF(INDEX(CONSENSUS!$1:$1,$B$10+34)="","",INDEX(CONSENSUS!$1:$1,$B$10+34)),"")</f>
        <v/>
      </c>
      <c r="AL26" s="20">
        <f>IFERROR(IF(INDEX(CONSENSUS!$1:$1,$B$10+35)="","",INDEX(CONSENSUS!$1:$1,$B$10+35)),"")</f>
        <v/>
      </c>
      <c r="AM26" s="20">
        <f>IFERROR(IF(INDEX(CONSENSUS!$1:$1,$B$10+36)="","",INDEX(CONSENSUS!$1:$1,$B$10+36)),"")</f>
        <v/>
      </c>
    </row>
    <row r="27">
      <c r="A27" s="3" t="inlineStr">
        <is>
          <t>col CONSENSUS</t>
        </is>
      </c>
      <c r="D27" s="20">
        <f>IF(D$26="","",$B$10+1)</f>
        <v/>
      </c>
      <c r="E27" s="20">
        <f>IF(E$26="","",$B$10+2)</f>
        <v/>
      </c>
      <c r="F27" s="20">
        <f>IF(F$26="","",$B$10+3)</f>
        <v/>
      </c>
      <c r="G27" s="20">
        <f>IF(G$26="","",$B$10+4)</f>
        <v/>
      </c>
      <c r="H27" s="20">
        <f>IF(H$26="","",$B$10+5)</f>
        <v/>
      </c>
      <c r="I27" s="20">
        <f>IF(I$26="","",$B$10+6)</f>
        <v/>
      </c>
      <c r="J27" s="20">
        <f>IF(J$26="","",$B$10+7)</f>
        <v/>
      </c>
      <c r="K27" s="20">
        <f>IF(K$26="","",$B$10+8)</f>
        <v/>
      </c>
      <c r="L27" s="20">
        <f>IF(L$26="","",$B$10+9)</f>
        <v/>
      </c>
      <c r="M27" s="20">
        <f>IF(M$26="","",$B$10+10)</f>
        <v/>
      </c>
      <c r="N27" s="20">
        <f>IF(N$26="","",$B$10+11)</f>
        <v/>
      </c>
      <c r="O27" s="20">
        <f>IF(O$26="","",$B$10+12)</f>
        <v/>
      </c>
      <c r="P27" s="20">
        <f>IF(P$26="","",$B$10+13)</f>
        <v/>
      </c>
      <c r="Q27" s="20">
        <f>IF(Q$26="","",$B$10+14)</f>
        <v/>
      </c>
      <c r="R27" s="20">
        <f>IF(R$26="","",$B$10+15)</f>
        <v/>
      </c>
      <c r="S27" s="20">
        <f>IF(S$26="","",$B$10+16)</f>
        <v/>
      </c>
      <c r="T27" s="20">
        <f>IF(T$26="","",$B$10+17)</f>
        <v/>
      </c>
      <c r="U27" s="20">
        <f>IF(U$26="","",$B$10+18)</f>
        <v/>
      </c>
      <c r="V27" s="20">
        <f>IF(V$26="","",$B$10+19)</f>
        <v/>
      </c>
      <c r="W27" s="20">
        <f>IF(W$26="","",$B$10+20)</f>
        <v/>
      </c>
      <c r="X27" s="20">
        <f>IF(X$26="","",$B$10+21)</f>
        <v/>
      </c>
      <c r="Y27" s="20">
        <f>IF(Y$26="","",$B$10+22)</f>
        <v/>
      </c>
      <c r="Z27" s="20">
        <f>IF(Z$26="","",$B$10+23)</f>
        <v/>
      </c>
      <c r="AA27" s="20">
        <f>IF(AA$26="","",$B$10+24)</f>
        <v/>
      </c>
      <c r="AB27" s="20">
        <f>IF(AB$26="","",$B$10+25)</f>
        <v/>
      </c>
      <c r="AC27" s="20">
        <f>IF(AC$26="","",$B$10+26)</f>
        <v/>
      </c>
      <c r="AD27" s="20">
        <f>IF(AD$26="","",$B$10+27)</f>
        <v/>
      </c>
      <c r="AE27" s="20">
        <f>IF(AE$26="","",$B$10+28)</f>
        <v/>
      </c>
      <c r="AF27" s="20">
        <f>IF(AF$26="","",$B$10+29)</f>
        <v/>
      </c>
      <c r="AG27" s="20">
        <f>IF(AG$26="","",$B$10+30)</f>
        <v/>
      </c>
      <c r="AH27" s="20">
        <f>IF(AH$26="","",$B$10+31)</f>
        <v/>
      </c>
      <c r="AI27" s="20">
        <f>IF(AI$26="","",$B$10+32)</f>
        <v/>
      </c>
      <c r="AJ27" s="20">
        <f>IF(AJ$26="","",$B$10+33)</f>
        <v/>
      </c>
      <c r="AK27" s="20">
        <f>IF(AK$26="","",$B$10+34)</f>
        <v/>
      </c>
      <c r="AL27" s="20">
        <f>IF(AL$26="","",$B$10+35)</f>
        <v/>
      </c>
      <c r="AM27" s="20">
        <f>IF(AM$26="","",$B$10+36)</f>
        <v/>
      </c>
    </row>
    <row r="28">
      <c r="A28" s="3" t="inlineStr">
        <is>
          <t>col BESTFIT</t>
        </is>
      </c>
      <c r="D28" s="20">
        <f>IF(D$26="","",IFERROR(MATCH(D$26,BESTFIT!$1:$1,0),""))</f>
        <v/>
      </c>
      <c r="E28" s="20">
        <f>IF(E$26="","",IFERROR(MATCH(E$26,BESTFIT!$1:$1,0),""))</f>
        <v/>
      </c>
      <c r="F28" s="20">
        <f>IF(F$26="","",IFERROR(MATCH(F$26,BESTFIT!$1:$1,0),""))</f>
        <v/>
      </c>
      <c r="G28" s="20">
        <f>IF(G$26="","",IFERROR(MATCH(G$26,BESTFIT!$1:$1,0),""))</f>
        <v/>
      </c>
      <c r="H28" s="20">
        <f>IF(H$26="","",IFERROR(MATCH(H$26,BESTFIT!$1:$1,0),""))</f>
        <v/>
      </c>
      <c r="I28" s="20">
        <f>IF(I$26="","",IFERROR(MATCH(I$26,BESTFIT!$1:$1,0),""))</f>
        <v/>
      </c>
      <c r="J28" s="20">
        <f>IF(J$26="","",IFERROR(MATCH(J$26,BESTFIT!$1:$1,0),""))</f>
        <v/>
      </c>
      <c r="K28" s="20">
        <f>IF(K$26="","",IFERROR(MATCH(K$26,BESTFIT!$1:$1,0),""))</f>
        <v/>
      </c>
      <c r="L28" s="20">
        <f>IF(L$26="","",IFERROR(MATCH(L$26,BESTFIT!$1:$1,0),""))</f>
        <v/>
      </c>
      <c r="M28" s="20">
        <f>IF(M$26="","",IFERROR(MATCH(M$26,BESTFIT!$1:$1,0),""))</f>
        <v/>
      </c>
      <c r="N28" s="20">
        <f>IF(N$26="","",IFERROR(MATCH(N$26,BESTFIT!$1:$1,0),""))</f>
        <v/>
      </c>
      <c r="O28" s="20">
        <f>IF(O$26="","",IFERROR(MATCH(O$26,BESTFIT!$1:$1,0),""))</f>
        <v/>
      </c>
      <c r="P28" s="20">
        <f>IF(P$26="","",IFERROR(MATCH(P$26,BESTFIT!$1:$1,0),""))</f>
        <v/>
      </c>
      <c r="Q28" s="20">
        <f>IF(Q$26="","",IFERROR(MATCH(Q$26,BESTFIT!$1:$1,0),""))</f>
        <v/>
      </c>
      <c r="R28" s="20">
        <f>IF(R$26="","",IFERROR(MATCH(R$26,BESTFIT!$1:$1,0),""))</f>
        <v/>
      </c>
      <c r="S28" s="20">
        <f>IF(S$26="","",IFERROR(MATCH(S$26,BESTFIT!$1:$1,0),""))</f>
        <v/>
      </c>
      <c r="T28" s="20">
        <f>IF(T$26="","",IFERROR(MATCH(T$26,BESTFIT!$1:$1,0),""))</f>
        <v/>
      </c>
      <c r="U28" s="20">
        <f>IF(U$26="","",IFERROR(MATCH(U$26,BESTFIT!$1:$1,0),""))</f>
        <v/>
      </c>
      <c r="V28" s="20">
        <f>IF(V$26="","",IFERROR(MATCH(V$26,BESTFIT!$1:$1,0),""))</f>
        <v/>
      </c>
      <c r="W28" s="20">
        <f>IF(W$26="","",IFERROR(MATCH(W$26,BESTFIT!$1:$1,0),""))</f>
        <v/>
      </c>
      <c r="X28" s="20">
        <f>IF(X$26="","",IFERROR(MATCH(X$26,BESTFIT!$1:$1,0),""))</f>
        <v/>
      </c>
      <c r="Y28" s="20">
        <f>IF(Y$26="","",IFERROR(MATCH(Y$26,BESTFIT!$1:$1,0),""))</f>
        <v/>
      </c>
      <c r="Z28" s="20">
        <f>IF(Z$26="","",IFERROR(MATCH(Z$26,BESTFIT!$1:$1,0),""))</f>
        <v/>
      </c>
      <c r="AA28" s="20">
        <f>IF(AA$26="","",IFERROR(MATCH(AA$26,BESTFIT!$1:$1,0),""))</f>
        <v/>
      </c>
      <c r="AB28" s="20">
        <f>IF(AB$26="","",IFERROR(MATCH(AB$26,BESTFIT!$1:$1,0),""))</f>
        <v/>
      </c>
      <c r="AC28" s="20">
        <f>IF(AC$26="","",IFERROR(MATCH(AC$26,BESTFIT!$1:$1,0),""))</f>
        <v/>
      </c>
      <c r="AD28" s="20">
        <f>IF(AD$26="","",IFERROR(MATCH(AD$26,BESTFIT!$1:$1,0),""))</f>
        <v/>
      </c>
      <c r="AE28" s="20">
        <f>IF(AE$26="","",IFERROR(MATCH(AE$26,BESTFIT!$1:$1,0),""))</f>
        <v/>
      </c>
      <c r="AF28" s="20">
        <f>IF(AF$26="","",IFERROR(MATCH(AF$26,BESTFIT!$1:$1,0),""))</f>
        <v/>
      </c>
      <c r="AG28" s="20">
        <f>IF(AG$26="","",IFERROR(MATCH(AG$26,BESTFIT!$1:$1,0),""))</f>
        <v/>
      </c>
      <c r="AH28" s="20">
        <f>IF(AH$26="","",IFERROR(MATCH(AH$26,BESTFIT!$1:$1,0),""))</f>
        <v/>
      </c>
      <c r="AI28" s="20">
        <f>IF(AI$26="","",IFERROR(MATCH(AI$26,BESTFIT!$1:$1,0),""))</f>
        <v/>
      </c>
      <c r="AJ28" s="20">
        <f>IF(AJ$26="","",IFERROR(MATCH(AJ$26,BESTFIT!$1:$1,0),""))</f>
        <v/>
      </c>
      <c r="AK28" s="20">
        <f>IF(AK$26="","",IFERROR(MATCH(AK$26,BESTFIT!$1:$1,0),""))</f>
        <v/>
      </c>
      <c r="AL28" s="20">
        <f>IF(AL$26="","",IFERROR(MATCH(AL$26,BESTFIT!$1:$1,0),""))</f>
        <v/>
      </c>
      <c r="AM28" s="20">
        <f>IF(AM$26="","",IFERROR(MATCH(AM$26,BESTFIT!$1:$1,0),""))</f>
        <v/>
      </c>
    </row>
    <row r="29">
      <c r="A29" s="3" t="inlineStr">
        <is>
          <t>col ALGO</t>
        </is>
      </c>
      <c r="D29" s="20">
        <f>IF(D$26="","",IFERROR(MATCH(D$26,ALGO!$1:$1,0),""))</f>
        <v/>
      </c>
      <c r="E29" s="20">
        <f>IF(E$26="","",IFERROR(MATCH(E$26,ALGO!$1:$1,0),""))</f>
        <v/>
      </c>
      <c r="F29" s="20">
        <f>IF(F$26="","",IFERROR(MATCH(F$26,ALGO!$1:$1,0),""))</f>
        <v/>
      </c>
      <c r="G29" s="20">
        <f>IF(G$26="","",IFERROR(MATCH(G$26,ALGO!$1:$1,0),""))</f>
        <v/>
      </c>
      <c r="H29" s="20">
        <f>IF(H$26="","",IFERROR(MATCH(H$26,ALGO!$1:$1,0),""))</f>
        <v/>
      </c>
      <c r="I29" s="20">
        <f>IF(I$26="","",IFERROR(MATCH(I$26,ALGO!$1:$1,0),""))</f>
        <v/>
      </c>
      <c r="J29" s="20">
        <f>IF(J$26="","",IFERROR(MATCH(J$26,ALGO!$1:$1,0),""))</f>
        <v/>
      </c>
      <c r="K29" s="20">
        <f>IF(K$26="","",IFERROR(MATCH(K$26,ALGO!$1:$1,0),""))</f>
        <v/>
      </c>
      <c r="L29" s="20">
        <f>IF(L$26="","",IFERROR(MATCH(L$26,ALGO!$1:$1,0),""))</f>
        <v/>
      </c>
      <c r="M29" s="20">
        <f>IF(M$26="","",IFERROR(MATCH(M$26,ALGO!$1:$1,0),""))</f>
        <v/>
      </c>
      <c r="N29" s="20">
        <f>IF(N$26="","",IFERROR(MATCH(N$26,ALGO!$1:$1,0),""))</f>
        <v/>
      </c>
      <c r="O29" s="20">
        <f>IF(O$26="","",IFERROR(MATCH(O$26,ALGO!$1:$1,0),""))</f>
        <v/>
      </c>
      <c r="P29" s="20">
        <f>IF(P$26="","",IFERROR(MATCH(P$26,ALGO!$1:$1,0),""))</f>
        <v/>
      </c>
      <c r="Q29" s="20">
        <f>IF(Q$26="","",IFERROR(MATCH(Q$26,ALGO!$1:$1,0),""))</f>
        <v/>
      </c>
      <c r="R29" s="20">
        <f>IF(R$26="","",IFERROR(MATCH(R$26,ALGO!$1:$1,0),""))</f>
        <v/>
      </c>
      <c r="S29" s="20">
        <f>IF(S$26="","",IFERROR(MATCH(S$26,ALGO!$1:$1,0),""))</f>
        <v/>
      </c>
      <c r="T29" s="20">
        <f>IF(T$26="","",IFERROR(MATCH(T$26,ALGO!$1:$1,0),""))</f>
        <v/>
      </c>
      <c r="U29" s="20">
        <f>IF(U$26="","",IFERROR(MATCH(U$26,ALGO!$1:$1,0),""))</f>
        <v/>
      </c>
      <c r="V29" s="20">
        <f>IF(V$26="","",IFERROR(MATCH(V$26,ALGO!$1:$1,0),""))</f>
        <v/>
      </c>
      <c r="W29" s="20">
        <f>IF(W$26="","",IFERROR(MATCH(W$26,ALGO!$1:$1,0),""))</f>
        <v/>
      </c>
      <c r="X29" s="20">
        <f>IF(X$26="","",IFERROR(MATCH(X$26,ALGO!$1:$1,0),""))</f>
        <v/>
      </c>
      <c r="Y29" s="20">
        <f>IF(Y$26="","",IFERROR(MATCH(Y$26,ALGO!$1:$1,0),""))</f>
        <v/>
      </c>
      <c r="Z29" s="20">
        <f>IF(Z$26="","",IFERROR(MATCH(Z$26,ALGO!$1:$1,0),""))</f>
        <v/>
      </c>
      <c r="AA29" s="20">
        <f>IF(AA$26="","",IFERROR(MATCH(AA$26,ALGO!$1:$1,0),""))</f>
        <v/>
      </c>
      <c r="AB29" s="20">
        <f>IF(AB$26="","",IFERROR(MATCH(AB$26,ALGO!$1:$1,0),""))</f>
        <v/>
      </c>
      <c r="AC29" s="20">
        <f>IF(AC$26="","",IFERROR(MATCH(AC$26,ALGO!$1:$1,0),""))</f>
        <v/>
      </c>
      <c r="AD29" s="20">
        <f>IF(AD$26="","",IFERROR(MATCH(AD$26,ALGO!$1:$1,0),""))</f>
        <v/>
      </c>
      <c r="AE29" s="20">
        <f>IF(AE$26="","",IFERROR(MATCH(AE$26,ALGO!$1:$1,0),""))</f>
        <v/>
      </c>
      <c r="AF29" s="20">
        <f>IF(AF$26="","",IFERROR(MATCH(AF$26,ALGO!$1:$1,0),""))</f>
        <v/>
      </c>
      <c r="AG29" s="20">
        <f>IF(AG$26="","",IFERROR(MATCH(AG$26,ALGO!$1:$1,0),""))</f>
        <v/>
      </c>
      <c r="AH29" s="20">
        <f>IF(AH$26="","",IFERROR(MATCH(AH$26,ALGO!$1:$1,0),""))</f>
        <v/>
      </c>
      <c r="AI29" s="20">
        <f>IF(AI$26="","",IFERROR(MATCH(AI$26,ALGO!$1:$1,0),""))</f>
        <v/>
      </c>
      <c r="AJ29" s="20">
        <f>IF(AJ$26="","",IFERROR(MATCH(AJ$26,ALGO!$1:$1,0),""))</f>
        <v/>
      </c>
      <c r="AK29" s="20">
        <f>IF(AK$26="","",IFERROR(MATCH(AK$26,ALGO!$1:$1,0),""))</f>
        <v/>
      </c>
      <c r="AL29" s="20">
        <f>IF(AL$26="","",IFERROR(MATCH(AL$26,ALGO!$1:$1,0),""))</f>
        <v/>
      </c>
      <c r="AM29" s="20">
        <f>IF(AM$26="","",IFERROR(MATCH(AM$26,ALGO!$1:$1,0),""))</f>
        <v/>
      </c>
    </row>
    <row r="30">
      <c r="A30" s="3" t="inlineStr">
        <is>
          <t>futuro (1/0)</t>
        </is>
      </c>
      <c r="D30" s="20">
        <f>IF(D$26="","",IF(D$26&gt;=$B$7,1,0))</f>
        <v/>
      </c>
      <c r="E30" s="20">
        <f>IF(E$26="","",IF(E$26&gt;=$B$7,1,0))</f>
        <v/>
      </c>
      <c r="F30" s="20">
        <f>IF(F$26="","",IF(F$26&gt;=$B$7,1,0))</f>
        <v/>
      </c>
      <c r="G30" s="20">
        <f>IF(G$26="","",IF(G$26&gt;=$B$7,1,0))</f>
        <v/>
      </c>
      <c r="H30" s="20">
        <f>IF(H$26="","",IF(H$26&gt;=$B$7,1,0))</f>
        <v/>
      </c>
      <c r="I30" s="20">
        <f>IF(I$26="","",IF(I$26&gt;=$B$7,1,0))</f>
        <v/>
      </c>
      <c r="J30" s="20">
        <f>IF(J$26="","",IF(J$26&gt;=$B$7,1,0))</f>
        <v/>
      </c>
      <c r="K30" s="20">
        <f>IF(K$26="","",IF(K$26&gt;=$B$7,1,0))</f>
        <v/>
      </c>
      <c r="L30" s="20">
        <f>IF(L$26="","",IF(L$26&gt;=$B$7,1,0))</f>
        <v/>
      </c>
      <c r="M30" s="20">
        <f>IF(M$26="","",IF(M$26&gt;=$B$7,1,0))</f>
        <v/>
      </c>
      <c r="N30" s="20">
        <f>IF(N$26="","",IF(N$26&gt;=$B$7,1,0))</f>
        <v/>
      </c>
      <c r="O30" s="20">
        <f>IF(O$26="","",IF(O$26&gt;=$B$7,1,0))</f>
        <v/>
      </c>
      <c r="P30" s="20">
        <f>IF(P$26="","",IF(P$26&gt;=$B$7,1,0))</f>
        <v/>
      </c>
      <c r="Q30" s="20">
        <f>IF(Q$26="","",IF(Q$26&gt;=$B$7,1,0))</f>
        <v/>
      </c>
      <c r="R30" s="20">
        <f>IF(R$26="","",IF(R$26&gt;=$B$7,1,0))</f>
        <v/>
      </c>
      <c r="S30" s="20">
        <f>IF(S$26="","",IF(S$26&gt;=$B$7,1,0))</f>
        <v/>
      </c>
      <c r="T30" s="20">
        <f>IF(T$26="","",IF(T$26&gt;=$B$7,1,0))</f>
        <v/>
      </c>
      <c r="U30" s="20">
        <f>IF(U$26="","",IF(U$26&gt;=$B$7,1,0))</f>
        <v/>
      </c>
      <c r="V30" s="20">
        <f>IF(V$26="","",IF(V$26&gt;=$B$7,1,0))</f>
        <v/>
      </c>
      <c r="W30" s="20">
        <f>IF(W$26="","",IF(W$26&gt;=$B$7,1,0))</f>
        <v/>
      </c>
      <c r="X30" s="20">
        <f>IF(X$26="","",IF(X$26&gt;=$B$7,1,0))</f>
        <v/>
      </c>
      <c r="Y30" s="20">
        <f>IF(Y$26="","",IF(Y$26&gt;=$B$7,1,0))</f>
        <v/>
      </c>
      <c r="Z30" s="20">
        <f>IF(Z$26="","",IF(Z$26&gt;=$B$7,1,0))</f>
        <v/>
      </c>
      <c r="AA30" s="20">
        <f>IF(AA$26="","",IF(AA$26&gt;=$B$7,1,0))</f>
        <v/>
      </c>
      <c r="AB30" s="20">
        <f>IF(AB$26="","",IF(AB$26&gt;=$B$7,1,0))</f>
        <v/>
      </c>
      <c r="AC30" s="20">
        <f>IF(AC$26="","",IF(AC$26&gt;=$B$7,1,0))</f>
        <v/>
      </c>
      <c r="AD30" s="20">
        <f>IF(AD$26="","",IF(AD$26&gt;=$B$7,1,0))</f>
        <v/>
      </c>
      <c r="AE30" s="20">
        <f>IF(AE$26="","",IF(AE$26&gt;=$B$7,1,0))</f>
        <v/>
      </c>
      <c r="AF30" s="20">
        <f>IF(AF$26="","",IF(AF$26&gt;=$B$7,1,0))</f>
        <v/>
      </c>
      <c r="AG30" s="20">
        <f>IF(AG$26="","",IF(AG$26&gt;=$B$7,1,0))</f>
        <v/>
      </c>
      <c r="AH30" s="20">
        <f>IF(AH$26="","",IF(AH$26&gt;=$B$7,1,0))</f>
        <v/>
      </c>
      <c r="AI30" s="20">
        <f>IF(AI$26="","",IF(AI$26&gt;=$B$7,1,0))</f>
        <v/>
      </c>
      <c r="AJ30" s="20">
        <f>IF(AJ$26="","",IF(AJ$26&gt;=$B$7,1,0))</f>
        <v/>
      </c>
      <c r="AK30" s="20">
        <f>IF(AK$26="","",IF(AK$26&gt;=$B$7,1,0))</f>
        <v/>
      </c>
      <c r="AL30" s="20">
        <f>IF(AL$26="","",IF(AL$26&gt;=$B$7,1,0))</f>
        <v/>
      </c>
      <c r="AM30" s="20">
        <f>IF(AM$26="","",IF(AM$26&gt;=$B$7,1,0))</f>
        <v/>
      </c>
    </row>
    <row r="31">
      <c r="A31" s="3" t="inlineStr">
        <is>
          <t>Etiqueta del eje X</t>
        </is>
      </c>
      <c r="D31" s="20">
        <f>IF(D$26="","",IF(D$30=0,D$26&amp;" (hist)",D$26))</f>
        <v/>
      </c>
      <c r="E31" s="20">
        <f>IF(E$26="","",IF(E$30=0,E$26&amp;" (hist)",E$26))</f>
        <v/>
      </c>
      <c r="F31" s="20">
        <f>IF(F$26="","",IF(F$30=0,F$26&amp;" (hist)",F$26))</f>
        <v/>
      </c>
      <c r="G31" s="20">
        <f>IF(G$26="","",IF(G$30=0,G$26&amp;" (hist)",G$26))</f>
        <v/>
      </c>
      <c r="H31" s="20">
        <f>IF(H$26="","",IF(H$30=0,H$26&amp;" (hist)",H$26))</f>
        <v/>
      </c>
      <c r="I31" s="20">
        <f>IF(I$26="","",IF(I$30=0,I$26&amp;" (hist)",I$26))</f>
        <v/>
      </c>
      <c r="J31" s="20">
        <f>IF(J$26="","",IF(J$30=0,J$26&amp;" (hist)",J$26))</f>
        <v/>
      </c>
      <c r="K31" s="20">
        <f>IF(K$26="","",IF(K$30=0,K$26&amp;" (hist)",K$26))</f>
        <v/>
      </c>
      <c r="L31" s="20">
        <f>IF(L$26="","",IF(L$30=0,L$26&amp;" (hist)",L$26))</f>
        <v/>
      </c>
      <c r="M31" s="20">
        <f>IF(M$26="","",IF(M$30=0,M$26&amp;" (hist)",M$26))</f>
        <v/>
      </c>
      <c r="N31" s="20">
        <f>IF(N$26="","",IF(N$30=0,N$26&amp;" (hist)",N$26))</f>
        <v/>
      </c>
      <c r="O31" s="20">
        <f>IF(O$26="","",IF(O$30=0,O$26&amp;" (hist)",O$26))</f>
        <v/>
      </c>
      <c r="P31" s="20">
        <f>IF(P$26="","",IF(P$30=0,P$26&amp;" (hist)",P$26))</f>
        <v/>
      </c>
      <c r="Q31" s="20">
        <f>IF(Q$26="","",IF(Q$30=0,Q$26&amp;" (hist)",Q$26))</f>
        <v/>
      </c>
      <c r="R31" s="20">
        <f>IF(R$26="","",IF(R$30=0,R$26&amp;" (hist)",R$26))</f>
        <v/>
      </c>
      <c r="S31" s="20">
        <f>IF(S$26="","",IF(S$30=0,S$26&amp;" (hist)",S$26))</f>
        <v/>
      </c>
      <c r="T31" s="20">
        <f>IF(T$26="","",IF(T$30=0,T$26&amp;" (hist)",T$26))</f>
        <v/>
      </c>
      <c r="U31" s="20">
        <f>IF(U$26="","",IF(U$30=0,U$26&amp;" (hist)",U$26))</f>
        <v/>
      </c>
      <c r="V31" s="20">
        <f>IF(V$26="","",IF(V$30=0,V$26&amp;" (hist)",V$26))</f>
        <v/>
      </c>
      <c r="W31" s="20">
        <f>IF(W$26="","",IF(W$30=0,W$26&amp;" (hist)",W$26))</f>
        <v/>
      </c>
      <c r="X31" s="20">
        <f>IF(X$26="","",IF(X$30=0,X$26&amp;" (hist)",X$26))</f>
        <v/>
      </c>
      <c r="Y31" s="20">
        <f>IF(Y$26="","",IF(Y$30=0,Y$26&amp;" (hist)",Y$26))</f>
        <v/>
      </c>
      <c r="Z31" s="20">
        <f>IF(Z$26="","",IF(Z$30=0,Z$26&amp;" (hist)",Z$26))</f>
        <v/>
      </c>
      <c r="AA31" s="20">
        <f>IF(AA$26="","",IF(AA$30=0,AA$26&amp;" (hist)",AA$26))</f>
        <v/>
      </c>
      <c r="AB31" s="20">
        <f>IF(AB$26="","",IF(AB$30=0,AB$26&amp;" (hist)",AB$26))</f>
        <v/>
      </c>
      <c r="AC31" s="20">
        <f>IF(AC$26="","",IF(AC$30=0,AC$26&amp;" (hist)",AC$26))</f>
        <v/>
      </c>
      <c r="AD31" s="20">
        <f>IF(AD$26="","",IF(AD$30=0,AD$26&amp;" (hist)",AD$26))</f>
        <v/>
      </c>
      <c r="AE31" s="20">
        <f>IF(AE$26="","",IF(AE$30=0,AE$26&amp;" (hist)",AE$26))</f>
        <v/>
      </c>
      <c r="AF31" s="20">
        <f>IF(AF$26="","",IF(AF$30=0,AF$26&amp;" (hist)",AF$26))</f>
        <v/>
      </c>
      <c r="AG31" s="20">
        <f>IF(AG$26="","",IF(AG$30=0,AG$26&amp;" (hist)",AG$26))</f>
        <v/>
      </c>
      <c r="AH31" s="20">
        <f>IF(AH$26="","",IF(AH$30=0,AH$26&amp;" (hist)",AH$26))</f>
        <v/>
      </c>
      <c r="AI31" s="20">
        <f>IF(AI$26="","",IF(AI$30=0,AI$26&amp;" (hist)",AI$26))</f>
        <v/>
      </c>
      <c r="AJ31" s="20">
        <f>IF(AJ$26="","",IF(AJ$30=0,AJ$26&amp;" (hist)",AJ$26))</f>
        <v/>
      </c>
      <c r="AK31" s="20">
        <f>IF(AK$26="","",IF(AK$30=0,AK$26&amp;" (hist)",AK$26))</f>
        <v/>
      </c>
      <c r="AL31" s="20">
        <f>IF(AL$26="","",IF(AL$30=0,AL$26&amp;" (hist)",AL$26))</f>
        <v/>
      </c>
      <c r="AM31" s="20">
        <f>IF(AM$26="","",IF(AM$30=0,AM$26&amp;" (hist)",AM$26))</f>
        <v/>
      </c>
    </row>
    <row r="33">
      <c r="A33" s="7" t="inlineStr">
        <is>
          <t>Capa origen</t>
        </is>
      </c>
      <c r="B33" s="7" t="inlineStr">
        <is>
          <t>Etiqueta de la serie</t>
        </is>
      </c>
      <c r="C33" s="7" t="inlineStr">
        <is>
          <t>Aviso</t>
        </is>
      </c>
    </row>
    <row r="34">
      <c r="A34" s="20">
        <f>$F$13</f>
        <v/>
      </c>
      <c r="B34" s="19">
        <f>$A34&amp;" | "&amp;$B$5</f>
        <v/>
      </c>
      <c r="D34" s="21">
        <f>IF(OR(D$27="",D56=0),NA(),SUMIFS(INDEX(CONSENSUS!$A$2:$BZ$20001,0,D$27),INDEX(CONSENSUS!$A$2:$BZ$20001,0,$B$11),$B$1,INDEX(CONSENSUS!$A$2:$BZ$20001,0,$B$12),$B$4,INDEX(CONSENSUS!$A$2:$BZ$20001,0,$B$13),$B$5,INDEX(CONSENSUS!$A$2:$BZ$20001,0,$B$10),$A34))</f>
        <v/>
      </c>
      <c r="E34" s="21">
        <f>IF(OR(E$27="",E56=0),NA(),SUMIFS(INDEX(CONSENSUS!$A$2:$BZ$20001,0,E$27),INDEX(CONSENSUS!$A$2:$BZ$20001,0,$B$11),$B$1,INDEX(CONSENSUS!$A$2:$BZ$20001,0,$B$12),$B$4,INDEX(CONSENSUS!$A$2:$BZ$20001,0,$B$13),$B$5,INDEX(CONSENSUS!$A$2:$BZ$20001,0,$B$10),$A34))</f>
        <v/>
      </c>
      <c r="F34" s="21">
        <f>IF(OR(F$27="",F56=0),NA(),SUMIFS(INDEX(CONSENSUS!$A$2:$BZ$20001,0,F$27),INDEX(CONSENSUS!$A$2:$BZ$20001,0,$B$11),$B$1,INDEX(CONSENSUS!$A$2:$BZ$20001,0,$B$12),$B$4,INDEX(CONSENSUS!$A$2:$BZ$20001,0,$B$13),$B$5,INDEX(CONSENSUS!$A$2:$BZ$20001,0,$B$10),$A34))</f>
        <v/>
      </c>
      <c r="G34" s="21">
        <f>IF(OR(G$27="",G56=0),NA(),SUMIFS(INDEX(CONSENSUS!$A$2:$BZ$20001,0,G$27),INDEX(CONSENSUS!$A$2:$BZ$20001,0,$B$11),$B$1,INDEX(CONSENSUS!$A$2:$BZ$20001,0,$B$12),$B$4,INDEX(CONSENSUS!$A$2:$BZ$20001,0,$B$13),$B$5,INDEX(CONSENSUS!$A$2:$BZ$20001,0,$B$10),$A34))</f>
        <v/>
      </c>
      <c r="H34" s="21">
        <f>IF(OR(H$27="",H56=0),NA(),SUMIFS(INDEX(CONSENSUS!$A$2:$BZ$20001,0,H$27),INDEX(CONSENSUS!$A$2:$BZ$20001,0,$B$11),$B$1,INDEX(CONSENSUS!$A$2:$BZ$20001,0,$B$12),$B$4,INDEX(CONSENSUS!$A$2:$BZ$20001,0,$B$13),$B$5,INDEX(CONSENSUS!$A$2:$BZ$20001,0,$B$10),$A34))</f>
        <v/>
      </c>
      <c r="I34" s="21">
        <f>IF(OR(I$27="",I56=0),NA(),SUMIFS(INDEX(CONSENSUS!$A$2:$BZ$20001,0,I$27),INDEX(CONSENSUS!$A$2:$BZ$20001,0,$B$11),$B$1,INDEX(CONSENSUS!$A$2:$BZ$20001,0,$B$12),$B$4,INDEX(CONSENSUS!$A$2:$BZ$20001,0,$B$13),$B$5,INDEX(CONSENSUS!$A$2:$BZ$20001,0,$B$10),$A34))</f>
        <v/>
      </c>
      <c r="J34" s="21">
        <f>IF(OR(J$27="",J56=0),NA(),SUMIFS(INDEX(CONSENSUS!$A$2:$BZ$20001,0,J$27),INDEX(CONSENSUS!$A$2:$BZ$20001,0,$B$11),$B$1,INDEX(CONSENSUS!$A$2:$BZ$20001,0,$B$12),$B$4,INDEX(CONSENSUS!$A$2:$BZ$20001,0,$B$13),$B$5,INDEX(CONSENSUS!$A$2:$BZ$20001,0,$B$10),$A34))</f>
        <v/>
      </c>
      <c r="K34" s="21">
        <f>IF(OR(K$27="",K56=0),NA(),SUMIFS(INDEX(CONSENSUS!$A$2:$BZ$20001,0,K$27),INDEX(CONSENSUS!$A$2:$BZ$20001,0,$B$11),$B$1,INDEX(CONSENSUS!$A$2:$BZ$20001,0,$B$12),$B$4,INDEX(CONSENSUS!$A$2:$BZ$20001,0,$B$13),$B$5,INDEX(CONSENSUS!$A$2:$BZ$20001,0,$B$10),$A34))</f>
        <v/>
      </c>
      <c r="L34" s="21">
        <f>IF(OR(L$27="",L56=0),NA(),SUMIFS(INDEX(CONSENSUS!$A$2:$BZ$20001,0,L$27),INDEX(CONSENSUS!$A$2:$BZ$20001,0,$B$11),$B$1,INDEX(CONSENSUS!$A$2:$BZ$20001,0,$B$12),$B$4,INDEX(CONSENSUS!$A$2:$BZ$20001,0,$B$13),$B$5,INDEX(CONSENSUS!$A$2:$BZ$20001,0,$B$10),$A34))</f>
        <v/>
      </c>
      <c r="M34" s="21">
        <f>IF(OR(M$27="",M56=0),NA(),SUMIFS(INDEX(CONSENSUS!$A$2:$BZ$20001,0,M$27),INDEX(CONSENSUS!$A$2:$BZ$20001,0,$B$11),$B$1,INDEX(CONSENSUS!$A$2:$BZ$20001,0,$B$12),$B$4,INDEX(CONSENSUS!$A$2:$BZ$20001,0,$B$13),$B$5,INDEX(CONSENSUS!$A$2:$BZ$20001,0,$B$10),$A34))</f>
        <v/>
      </c>
      <c r="N34" s="21">
        <f>IF(OR(N$27="",N56=0),NA(),SUMIFS(INDEX(CONSENSUS!$A$2:$BZ$20001,0,N$27),INDEX(CONSENSUS!$A$2:$BZ$20001,0,$B$11),$B$1,INDEX(CONSENSUS!$A$2:$BZ$20001,0,$B$12),$B$4,INDEX(CONSENSUS!$A$2:$BZ$20001,0,$B$13),$B$5,INDEX(CONSENSUS!$A$2:$BZ$20001,0,$B$10),$A34))</f>
        <v/>
      </c>
      <c r="O34" s="21">
        <f>IF(OR(O$27="",O56=0),NA(),SUMIFS(INDEX(CONSENSUS!$A$2:$BZ$20001,0,O$27),INDEX(CONSENSUS!$A$2:$BZ$20001,0,$B$11),$B$1,INDEX(CONSENSUS!$A$2:$BZ$20001,0,$B$12),$B$4,INDEX(CONSENSUS!$A$2:$BZ$20001,0,$B$13),$B$5,INDEX(CONSENSUS!$A$2:$BZ$20001,0,$B$10),$A34))</f>
        <v/>
      </c>
      <c r="P34" s="21">
        <f>IF(OR(P$27="",P56=0),NA(),SUMIFS(INDEX(CONSENSUS!$A$2:$BZ$20001,0,P$27),INDEX(CONSENSUS!$A$2:$BZ$20001,0,$B$11),$B$1,INDEX(CONSENSUS!$A$2:$BZ$20001,0,$B$12),$B$4,INDEX(CONSENSUS!$A$2:$BZ$20001,0,$B$13),$B$5,INDEX(CONSENSUS!$A$2:$BZ$20001,0,$B$10),$A34))</f>
        <v/>
      </c>
      <c r="Q34" s="21">
        <f>IF(OR(Q$27="",Q56=0),NA(),SUMIFS(INDEX(CONSENSUS!$A$2:$BZ$20001,0,Q$27),INDEX(CONSENSUS!$A$2:$BZ$20001,0,$B$11),$B$1,INDEX(CONSENSUS!$A$2:$BZ$20001,0,$B$12),$B$4,INDEX(CONSENSUS!$A$2:$BZ$20001,0,$B$13),$B$5,INDEX(CONSENSUS!$A$2:$BZ$20001,0,$B$10),$A34))</f>
        <v/>
      </c>
      <c r="R34" s="21">
        <f>IF(OR(R$27="",R56=0),NA(),SUMIFS(INDEX(CONSENSUS!$A$2:$BZ$20001,0,R$27),INDEX(CONSENSUS!$A$2:$BZ$20001,0,$B$11),$B$1,INDEX(CONSENSUS!$A$2:$BZ$20001,0,$B$12),$B$4,INDEX(CONSENSUS!$A$2:$BZ$20001,0,$B$13),$B$5,INDEX(CONSENSUS!$A$2:$BZ$20001,0,$B$10),$A34))</f>
        <v/>
      </c>
      <c r="S34" s="21">
        <f>IF(OR(S$27="",S56=0),NA(),SUMIFS(INDEX(CONSENSUS!$A$2:$BZ$20001,0,S$27),INDEX(CONSENSUS!$A$2:$BZ$20001,0,$B$11),$B$1,INDEX(CONSENSUS!$A$2:$BZ$20001,0,$B$12),$B$4,INDEX(CONSENSUS!$A$2:$BZ$20001,0,$B$13),$B$5,INDEX(CONSENSUS!$A$2:$BZ$20001,0,$B$10),$A34))</f>
        <v/>
      </c>
      <c r="T34" s="21">
        <f>IF(OR(T$27="",T56=0),NA(),SUMIFS(INDEX(CONSENSUS!$A$2:$BZ$20001,0,T$27),INDEX(CONSENSUS!$A$2:$BZ$20001,0,$B$11),$B$1,INDEX(CONSENSUS!$A$2:$BZ$20001,0,$B$12),$B$4,INDEX(CONSENSUS!$A$2:$BZ$20001,0,$B$13),$B$5,INDEX(CONSENSUS!$A$2:$BZ$20001,0,$B$10),$A34))</f>
        <v/>
      </c>
      <c r="U34" s="21">
        <f>IF(OR(U$27="",U56=0),NA(),SUMIFS(INDEX(CONSENSUS!$A$2:$BZ$20001,0,U$27),INDEX(CONSENSUS!$A$2:$BZ$20001,0,$B$11),$B$1,INDEX(CONSENSUS!$A$2:$BZ$20001,0,$B$12),$B$4,INDEX(CONSENSUS!$A$2:$BZ$20001,0,$B$13),$B$5,INDEX(CONSENSUS!$A$2:$BZ$20001,0,$B$10),$A34))</f>
        <v/>
      </c>
      <c r="V34" s="21">
        <f>IF(OR(V$27="",V56=0),NA(),SUMIFS(INDEX(CONSENSUS!$A$2:$BZ$20001,0,V$27),INDEX(CONSENSUS!$A$2:$BZ$20001,0,$B$11),$B$1,INDEX(CONSENSUS!$A$2:$BZ$20001,0,$B$12),$B$4,INDEX(CONSENSUS!$A$2:$BZ$20001,0,$B$13),$B$5,INDEX(CONSENSUS!$A$2:$BZ$20001,0,$B$10),$A34))</f>
        <v/>
      </c>
      <c r="W34" s="21">
        <f>IF(OR(W$27="",W56=0),NA(),SUMIFS(INDEX(CONSENSUS!$A$2:$BZ$20001,0,W$27),INDEX(CONSENSUS!$A$2:$BZ$20001,0,$B$11),$B$1,INDEX(CONSENSUS!$A$2:$BZ$20001,0,$B$12),$B$4,INDEX(CONSENSUS!$A$2:$BZ$20001,0,$B$13),$B$5,INDEX(CONSENSUS!$A$2:$BZ$20001,0,$B$10),$A34))</f>
        <v/>
      </c>
      <c r="X34" s="21">
        <f>IF(OR(X$27="",X56=0),NA(),SUMIFS(INDEX(CONSENSUS!$A$2:$BZ$20001,0,X$27),INDEX(CONSENSUS!$A$2:$BZ$20001,0,$B$11),$B$1,INDEX(CONSENSUS!$A$2:$BZ$20001,0,$B$12),$B$4,INDEX(CONSENSUS!$A$2:$BZ$20001,0,$B$13),$B$5,INDEX(CONSENSUS!$A$2:$BZ$20001,0,$B$10),$A34))</f>
        <v/>
      </c>
      <c r="Y34" s="21">
        <f>IF(OR(Y$27="",Y56=0),NA(),SUMIFS(INDEX(CONSENSUS!$A$2:$BZ$20001,0,Y$27),INDEX(CONSENSUS!$A$2:$BZ$20001,0,$B$11),$B$1,INDEX(CONSENSUS!$A$2:$BZ$20001,0,$B$12),$B$4,INDEX(CONSENSUS!$A$2:$BZ$20001,0,$B$13),$B$5,INDEX(CONSENSUS!$A$2:$BZ$20001,0,$B$10),$A34))</f>
        <v/>
      </c>
      <c r="Z34" s="21">
        <f>IF(OR(Z$27="",Z56=0),NA(),SUMIFS(INDEX(CONSENSUS!$A$2:$BZ$20001,0,Z$27),INDEX(CONSENSUS!$A$2:$BZ$20001,0,$B$11),$B$1,INDEX(CONSENSUS!$A$2:$BZ$20001,0,$B$12),$B$4,INDEX(CONSENSUS!$A$2:$BZ$20001,0,$B$13),$B$5,INDEX(CONSENSUS!$A$2:$BZ$20001,0,$B$10),$A34))</f>
        <v/>
      </c>
      <c r="AA34" s="21">
        <f>IF(OR(AA$27="",AA56=0),NA(),SUMIFS(INDEX(CONSENSUS!$A$2:$BZ$20001,0,AA$27),INDEX(CONSENSUS!$A$2:$BZ$20001,0,$B$11),$B$1,INDEX(CONSENSUS!$A$2:$BZ$20001,0,$B$12),$B$4,INDEX(CONSENSUS!$A$2:$BZ$20001,0,$B$13),$B$5,INDEX(CONSENSUS!$A$2:$BZ$20001,0,$B$10),$A34))</f>
        <v/>
      </c>
      <c r="AB34" s="21">
        <f>IF(OR(AB$27="",AB56=0),NA(),SUMIFS(INDEX(CONSENSUS!$A$2:$BZ$20001,0,AB$27),INDEX(CONSENSUS!$A$2:$BZ$20001,0,$B$11),$B$1,INDEX(CONSENSUS!$A$2:$BZ$20001,0,$B$12),$B$4,INDEX(CONSENSUS!$A$2:$BZ$20001,0,$B$13),$B$5,INDEX(CONSENSUS!$A$2:$BZ$20001,0,$B$10),$A34))</f>
        <v/>
      </c>
      <c r="AC34" s="21">
        <f>IF(OR(AC$27="",AC56=0),NA(),SUMIFS(INDEX(CONSENSUS!$A$2:$BZ$20001,0,AC$27),INDEX(CONSENSUS!$A$2:$BZ$20001,0,$B$11),$B$1,INDEX(CONSENSUS!$A$2:$BZ$20001,0,$B$12),$B$4,INDEX(CONSENSUS!$A$2:$BZ$20001,0,$B$13),$B$5,INDEX(CONSENSUS!$A$2:$BZ$20001,0,$B$10),$A34))</f>
        <v/>
      </c>
      <c r="AD34" s="21">
        <f>IF(OR(AD$27="",AD56=0),NA(),SUMIFS(INDEX(CONSENSUS!$A$2:$BZ$20001,0,AD$27),INDEX(CONSENSUS!$A$2:$BZ$20001,0,$B$11),$B$1,INDEX(CONSENSUS!$A$2:$BZ$20001,0,$B$12),$B$4,INDEX(CONSENSUS!$A$2:$BZ$20001,0,$B$13),$B$5,INDEX(CONSENSUS!$A$2:$BZ$20001,0,$B$10),$A34))</f>
        <v/>
      </c>
      <c r="AE34" s="21">
        <f>IF(OR(AE$27="",AE56=0),NA(),SUMIFS(INDEX(CONSENSUS!$A$2:$BZ$20001,0,AE$27),INDEX(CONSENSUS!$A$2:$BZ$20001,0,$B$11),$B$1,INDEX(CONSENSUS!$A$2:$BZ$20001,0,$B$12),$B$4,INDEX(CONSENSUS!$A$2:$BZ$20001,0,$B$13),$B$5,INDEX(CONSENSUS!$A$2:$BZ$20001,0,$B$10),$A34))</f>
        <v/>
      </c>
      <c r="AF34" s="21">
        <f>IF(OR(AF$27="",AF56=0),NA(),SUMIFS(INDEX(CONSENSUS!$A$2:$BZ$20001,0,AF$27),INDEX(CONSENSUS!$A$2:$BZ$20001,0,$B$11),$B$1,INDEX(CONSENSUS!$A$2:$BZ$20001,0,$B$12),$B$4,INDEX(CONSENSUS!$A$2:$BZ$20001,0,$B$13),$B$5,INDEX(CONSENSUS!$A$2:$BZ$20001,0,$B$10),$A34))</f>
        <v/>
      </c>
      <c r="AG34" s="21">
        <f>IF(OR(AG$27="",AG56=0),NA(),SUMIFS(INDEX(CONSENSUS!$A$2:$BZ$20001,0,AG$27),INDEX(CONSENSUS!$A$2:$BZ$20001,0,$B$11),$B$1,INDEX(CONSENSUS!$A$2:$BZ$20001,0,$B$12),$B$4,INDEX(CONSENSUS!$A$2:$BZ$20001,0,$B$13),$B$5,INDEX(CONSENSUS!$A$2:$BZ$20001,0,$B$10),$A34))</f>
        <v/>
      </c>
      <c r="AH34" s="21">
        <f>IF(OR(AH$27="",AH56=0),NA(),SUMIFS(INDEX(CONSENSUS!$A$2:$BZ$20001,0,AH$27),INDEX(CONSENSUS!$A$2:$BZ$20001,0,$B$11),$B$1,INDEX(CONSENSUS!$A$2:$BZ$20001,0,$B$12),$B$4,INDEX(CONSENSUS!$A$2:$BZ$20001,0,$B$13),$B$5,INDEX(CONSENSUS!$A$2:$BZ$20001,0,$B$10),$A34))</f>
        <v/>
      </c>
      <c r="AI34" s="21">
        <f>IF(OR(AI$27="",AI56=0),NA(),SUMIFS(INDEX(CONSENSUS!$A$2:$BZ$20001,0,AI$27),INDEX(CONSENSUS!$A$2:$BZ$20001,0,$B$11),$B$1,INDEX(CONSENSUS!$A$2:$BZ$20001,0,$B$12),$B$4,INDEX(CONSENSUS!$A$2:$BZ$20001,0,$B$13),$B$5,INDEX(CONSENSUS!$A$2:$BZ$20001,0,$B$10),$A34))</f>
        <v/>
      </c>
      <c r="AJ34" s="21">
        <f>IF(OR(AJ$27="",AJ56=0),NA(),SUMIFS(INDEX(CONSENSUS!$A$2:$BZ$20001,0,AJ$27),INDEX(CONSENSUS!$A$2:$BZ$20001,0,$B$11),$B$1,INDEX(CONSENSUS!$A$2:$BZ$20001,0,$B$12),$B$4,INDEX(CONSENSUS!$A$2:$BZ$20001,0,$B$13),$B$5,INDEX(CONSENSUS!$A$2:$BZ$20001,0,$B$10),$A34))</f>
        <v/>
      </c>
      <c r="AK34" s="21">
        <f>IF(OR(AK$27="",AK56=0),NA(),SUMIFS(INDEX(CONSENSUS!$A$2:$BZ$20001,0,AK$27),INDEX(CONSENSUS!$A$2:$BZ$20001,0,$B$11),$B$1,INDEX(CONSENSUS!$A$2:$BZ$20001,0,$B$12),$B$4,INDEX(CONSENSUS!$A$2:$BZ$20001,0,$B$13),$B$5,INDEX(CONSENSUS!$A$2:$BZ$20001,0,$B$10),$A34))</f>
        <v/>
      </c>
      <c r="AL34" s="21">
        <f>IF(OR(AL$27="",AL56=0),NA(),SUMIFS(INDEX(CONSENSUS!$A$2:$BZ$20001,0,AL$27),INDEX(CONSENSUS!$A$2:$BZ$20001,0,$B$11),$B$1,INDEX(CONSENSUS!$A$2:$BZ$20001,0,$B$12),$B$4,INDEX(CONSENSUS!$A$2:$BZ$20001,0,$B$13),$B$5,INDEX(CONSENSUS!$A$2:$BZ$20001,0,$B$10),$A34))</f>
        <v/>
      </c>
      <c r="AM34" s="21">
        <f>IF(OR(AM$27="",AM56=0),NA(),SUMIFS(INDEX(CONSENSUS!$A$2:$BZ$20001,0,AM$27),INDEX(CONSENSUS!$A$2:$BZ$20001,0,$B$11),$B$1,INDEX(CONSENSUS!$A$2:$BZ$20001,0,$B$12),$B$4,INDEX(CONSENSUS!$A$2:$BZ$20001,0,$B$13),$B$5,INDEX(CONSENSUS!$A$2:$BZ$20001,0,$B$10),$A34))</f>
        <v/>
      </c>
    </row>
    <row r="35">
      <c r="A35" s="20">
        <f>$F$13</f>
        <v/>
      </c>
      <c r="B35" s="19">
        <f>$A35&amp;" | "&amp;$B$6</f>
        <v/>
      </c>
      <c r="D35" s="21">
        <f>IF(OR(D$27="",D57=0),NA(),SUMIFS(INDEX(CONSENSUS!$A$2:$BZ$20001,0,D$27),INDEX(CONSENSUS!$A$2:$BZ$20001,0,$B$11),$B$1,INDEX(CONSENSUS!$A$2:$BZ$20001,0,$B$12),$B$4,INDEX(CONSENSUS!$A$2:$BZ$20001,0,$B$13),$B$6,INDEX(CONSENSUS!$A$2:$BZ$20001,0,$B$10),$A35))</f>
        <v/>
      </c>
      <c r="E35" s="21">
        <f>IF(OR(E$27="",E57=0),NA(),SUMIFS(INDEX(CONSENSUS!$A$2:$BZ$20001,0,E$27),INDEX(CONSENSUS!$A$2:$BZ$20001,0,$B$11),$B$1,INDEX(CONSENSUS!$A$2:$BZ$20001,0,$B$12),$B$4,INDEX(CONSENSUS!$A$2:$BZ$20001,0,$B$13),$B$6,INDEX(CONSENSUS!$A$2:$BZ$20001,0,$B$10),$A35))</f>
        <v/>
      </c>
      <c r="F35" s="21">
        <f>IF(OR(F$27="",F57=0),NA(),SUMIFS(INDEX(CONSENSUS!$A$2:$BZ$20001,0,F$27),INDEX(CONSENSUS!$A$2:$BZ$20001,0,$B$11),$B$1,INDEX(CONSENSUS!$A$2:$BZ$20001,0,$B$12),$B$4,INDEX(CONSENSUS!$A$2:$BZ$20001,0,$B$13),$B$6,INDEX(CONSENSUS!$A$2:$BZ$20001,0,$B$10),$A35))</f>
        <v/>
      </c>
      <c r="G35" s="21">
        <f>IF(OR(G$27="",G57=0),NA(),SUMIFS(INDEX(CONSENSUS!$A$2:$BZ$20001,0,G$27),INDEX(CONSENSUS!$A$2:$BZ$20001,0,$B$11),$B$1,INDEX(CONSENSUS!$A$2:$BZ$20001,0,$B$12),$B$4,INDEX(CONSENSUS!$A$2:$BZ$20001,0,$B$13),$B$6,INDEX(CONSENSUS!$A$2:$BZ$20001,0,$B$10),$A35))</f>
        <v/>
      </c>
      <c r="H35" s="21">
        <f>IF(OR(H$27="",H57=0),NA(),SUMIFS(INDEX(CONSENSUS!$A$2:$BZ$20001,0,H$27),INDEX(CONSENSUS!$A$2:$BZ$20001,0,$B$11),$B$1,INDEX(CONSENSUS!$A$2:$BZ$20001,0,$B$12),$B$4,INDEX(CONSENSUS!$A$2:$BZ$20001,0,$B$13),$B$6,INDEX(CONSENSUS!$A$2:$BZ$20001,0,$B$10),$A35))</f>
        <v/>
      </c>
      <c r="I35" s="21">
        <f>IF(OR(I$27="",I57=0),NA(),SUMIFS(INDEX(CONSENSUS!$A$2:$BZ$20001,0,I$27),INDEX(CONSENSUS!$A$2:$BZ$20001,0,$B$11),$B$1,INDEX(CONSENSUS!$A$2:$BZ$20001,0,$B$12),$B$4,INDEX(CONSENSUS!$A$2:$BZ$20001,0,$B$13),$B$6,INDEX(CONSENSUS!$A$2:$BZ$20001,0,$B$10),$A35))</f>
        <v/>
      </c>
      <c r="J35" s="21">
        <f>IF(OR(J$27="",J57=0),NA(),SUMIFS(INDEX(CONSENSUS!$A$2:$BZ$20001,0,J$27),INDEX(CONSENSUS!$A$2:$BZ$20001,0,$B$11),$B$1,INDEX(CONSENSUS!$A$2:$BZ$20001,0,$B$12),$B$4,INDEX(CONSENSUS!$A$2:$BZ$20001,0,$B$13),$B$6,INDEX(CONSENSUS!$A$2:$BZ$20001,0,$B$10),$A35))</f>
        <v/>
      </c>
      <c r="K35" s="21">
        <f>IF(OR(K$27="",K57=0),NA(),SUMIFS(INDEX(CONSENSUS!$A$2:$BZ$20001,0,K$27),INDEX(CONSENSUS!$A$2:$BZ$20001,0,$B$11),$B$1,INDEX(CONSENSUS!$A$2:$BZ$20001,0,$B$12),$B$4,INDEX(CONSENSUS!$A$2:$BZ$20001,0,$B$13),$B$6,INDEX(CONSENSUS!$A$2:$BZ$20001,0,$B$10),$A35))</f>
        <v/>
      </c>
      <c r="L35" s="21">
        <f>IF(OR(L$27="",L57=0),NA(),SUMIFS(INDEX(CONSENSUS!$A$2:$BZ$20001,0,L$27),INDEX(CONSENSUS!$A$2:$BZ$20001,0,$B$11),$B$1,INDEX(CONSENSUS!$A$2:$BZ$20001,0,$B$12),$B$4,INDEX(CONSENSUS!$A$2:$BZ$20001,0,$B$13),$B$6,INDEX(CONSENSUS!$A$2:$BZ$20001,0,$B$10),$A35))</f>
        <v/>
      </c>
      <c r="M35" s="21">
        <f>IF(OR(M$27="",M57=0),NA(),SUMIFS(INDEX(CONSENSUS!$A$2:$BZ$20001,0,M$27),INDEX(CONSENSUS!$A$2:$BZ$20001,0,$B$11),$B$1,INDEX(CONSENSUS!$A$2:$BZ$20001,0,$B$12),$B$4,INDEX(CONSENSUS!$A$2:$BZ$20001,0,$B$13),$B$6,INDEX(CONSENSUS!$A$2:$BZ$20001,0,$B$10),$A35))</f>
        <v/>
      </c>
      <c r="N35" s="21">
        <f>IF(OR(N$27="",N57=0),NA(),SUMIFS(INDEX(CONSENSUS!$A$2:$BZ$20001,0,N$27),INDEX(CONSENSUS!$A$2:$BZ$20001,0,$B$11),$B$1,INDEX(CONSENSUS!$A$2:$BZ$20001,0,$B$12),$B$4,INDEX(CONSENSUS!$A$2:$BZ$20001,0,$B$13),$B$6,INDEX(CONSENSUS!$A$2:$BZ$20001,0,$B$10),$A35))</f>
        <v/>
      </c>
      <c r="O35" s="21">
        <f>IF(OR(O$27="",O57=0),NA(),SUMIFS(INDEX(CONSENSUS!$A$2:$BZ$20001,0,O$27),INDEX(CONSENSUS!$A$2:$BZ$20001,0,$B$11),$B$1,INDEX(CONSENSUS!$A$2:$BZ$20001,0,$B$12),$B$4,INDEX(CONSENSUS!$A$2:$BZ$20001,0,$B$13),$B$6,INDEX(CONSENSUS!$A$2:$BZ$20001,0,$B$10),$A35))</f>
        <v/>
      </c>
      <c r="P35" s="21">
        <f>IF(OR(P$27="",P57=0),NA(),SUMIFS(INDEX(CONSENSUS!$A$2:$BZ$20001,0,P$27),INDEX(CONSENSUS!$A$2:$BZ$20001,0,$B$11),$B$1,INDEX(CONSENSUS!$A$2:$BZ$20001,0,$B$12),$B$4,INDEX(CONSENSUS!$A$2:$BZ$20001,0,$B$13),$B$6,INDEX(CONSENSUS!$A$2:$BZ$20001,0,$B$10),$A35))</f>
        <v/>
      </c>
      <c r="Q35" s="21">
        <f>IF(OR(Q$27="",Q57=0),NA(),SUMIFS(INDEX(CONSENSUS!$A$2:$BZ$20001,0,Q$27),INDEX(CONSENSUS!$A$2:$BZ$20001,0,$B$11),$B$1,INDEX(CONSENSUS!$A$2:$BZ$20001,0,$B$12),$B$4,INDEX(CONSENSUS!$A$2:$BZ$20001,0,$B$13),$B$6,INDEX(CONSENSUS!$A$2:$BZ$20001,0,$B$10),$A35))</f>
        <v/>
      </c>
      <c r="R35" s="21">
        <f>IF(OR(R$27="",R57=0),NA(),SUMIFS(INDEX(CONSENSUS!$A$2:$BZ$20001,0,R$27),INDEX(CONSENSUS!$A$2:$BZ$20001,0,$B$11),$B$1,INDEX(CONSENSUS!$A$2:$BZ$20001,0,$B$12),$B$4,INDEX(CONSENSUS!$A$2:$BZ$20001,0,$B$13),$B$6,INDEX(CONSENSUS!$A$2:$BZ$20001,0,$B$10),$A35))</f>
        <v/>
      </c>
      <c r="S35" s="21">
        <f>IF(OR(S$27="",S57=0),NA(),SUMIFS(INDEX(CONSENSUS!$A$2:$BZ$20001,0,S$27),INDEX(CONSENSUS!$A$2:$BZ$20001,0,$B$11),$B$1,INDEX(CONSENSUS!$A$2:$BZ$20001,0,$B$12),$B$4,INDEX(CONSENSUS!$A$2:$BZ$20001,0,$B$13),$B$6,INDEX(CONSENSUS!$A$2:$BZ$20001,0,$B$10),$A35))</f>
        <v/>
      </c>
      <c r="T35" s="21">
        <f>IF(OR(T$27="",T57=0),NA(),SUMIFS(INDEX(CONSENSUS!$A$2:$BZ$20001,0,T$27),INDEX(CONSENSUS!$A$2:$BZ$20001,0,$B$11),$B$1,INDEX(CONSENSUS!$A$2:$BZ$20001,0,$B$12),$B$4,INDEX(CONSENSUS!$A$2:$BZ$20001,0,$B$13),$B$6,INDEX(CONSENSUS!$A$2:$BZ$20001,0,$B$10),$A35))</f>
        <v/>
      </c>
      <c r="U35" s="21">
        <f>IF(OR(U$27="",U57=0),NA(),SUMIFS(INDEX(CONSENSUS!$A$2:$BZ$20001,0,U$27),INDEX(CONSENSUS!$A$2:$BZ$20001,0,$B$11),$B$1,INDEX(CONSENSUS!$A$2:$BZ$20001,0,$B$12),$B$4,INDEX(CONSENSUS!$A$2:$BZ$20001,0,$B$13),$B$6,INDEX(CONSENSUS!$A$2:$BZ$20001,0,$B$10),$A35))</f>
        <v/>
      </c>
      <c r="V35" s="21">
        <f>IF(OR(V$27="",V57=0),NA(),SUMIFS(INDEX(CONSENSUS!$A$2:$BZ$20001,0,V$27),INDEX(CONSENSUS!$A$2:$BZ$20001,0,$B$11),$B$1,INDEX(CONSENSUS!$A$2:$BZ$20001,0,$B$12),$B$4,INDEX(CONSENSUS!$A$2:$BZ$20001,0,$B$13),$B$6,INDEX(CONSENSUS!$A$2:$BZ$20001,0,$B$10),$A35))</f>
        <v/>
      </c>
      <c r="W35" s="21">
        <f>IF(OR(W$27="",W57=0),NA(),SUMIFS(INDEX(CONSENSUS!$A$2:$BZ$20001,0,W$27),INDEX(CONSENSUS!$A$2:$BZ$20001,0,$B$11),$B$1,INDEX(CONSENSUS!$A$2:$BZ$20001,0,$B$12),$B$4,INDEX(CONSENSUS!$A$2:$BZ$20001,0,$B$13),$B$6,INDEX(CONSENSUS!$A$2:$BZ$20001,0,$B$10),$A35))</f>
        <v/>
      </c>
      <c r="X35" s="21">
        <f>IF(OR(X$27="",X57=0),NA(),SUMIFS(INDEX(CONSENSUS!$A$2:$BZ$20001,0,X$27),INDEX(CONSENSUS!$A$2:$BZ$20001,0,$B$11),$B$1,INDEX(CONSENSUS!$A$2:$BZ$20001,0,$B$12),$B$4,INDEX(CONSENSUS!$A$2:$BZ$20001,0,$B$13),$B$6,INDEX(CONSENSUS!$A$2:$BZ$20001,0,$B$10),$A35))</f>
        <v/>
      </c>
      <c r="Y35" s="21">
        <f>IF(OR(Y$27="",Y57=0),NA(),SUMIFS(INDEX(CONSENSUS!$A$2:$BZ$20001,0,Y$27),INDEX(CONSENSUS!$A$2:$BZ$20001,0,$B$11),$B$1,INDEX(CONSENSUS!$A$2:$BZ$20001,0,$B$12),$B$4,INDEX(CONSENSUS!$A$2:$BZ$20001,0,$B$13),$B$6,INDEX(CONSENSUS!$A$2:$BZ$20001,0,$B$10),$A35))</f>
        <v/>
      </c>
      <c r="Z35" s="21">
        <f>IF(OR(Z$27="",Z57=0),NA(),SUMIFS(INDEX(CONSENSUS!$A$2:$BZ$20001,0,Z$27),INDEX(CONSENSUS!$A$2:$BZ$20001,0,$B$11),$B$1,INDEX(CONSENSUS!$A$2:$BZ$20001,0,$B$12),$B$4,INDEX(CONSENSUS!$A$2:$BZ$20001,0,$B$13),$B$6,INDEX(CONSENSUS!$A$2:$BZ$20001,0,$B$10),$A35))</f>
        <v/>
      </c>
      <c r="AA35" s="21">
        <f>IF(OR(AA$27="",AA57=0),NA(),SUMIFS(INDEX(CONSENSUS!$A$2:$BZ$20001,0,AA$27),INDEX(CONSENSUS!$A$2:$BZ$20001,0,$B$11),$B$1,INDEX(CONSENSUS!$A$2:$BZ$20001,0,$B$12),$B$4,INDEX(CONSENSUS!$A$2:$BZ$20001,0,$B$13),$B$6,INDEX(CONSENSUS!$A$2:$BZ$20001,0,$B$10),$A35))</f>
        <v/>
      </c>
      <c r="AB35" s="21">
        <f>IF(OR(AB$27="",AB57=0),NA(),SUMIFS(INDEX(CONSENSUS!$A$2:$BZ$20001,0,AB$27),INDEX(CONSENSUS!$A$2:$BZ$20001,0,$B$11),$B$1,INDEX(CONSENSUS!$A$2:$BZ$20001,0,$B$12),$B$4,INDEX(CONSENSUS!$A$2:$BZ$20001,0,$B$13),$B$6,INDEX(CONSENSUS!$A$2:$BZ$20001,0,$B$10),$A35))</f>
        <v/>
      </c>
      <c r="AC35" s="21">
        <f>IF(OR(AC$27="",AC57=0),NA(),SUMIFS(INDEX(CONSENSUS!$A$2:$BZ$20001,0,AC$27),INDEX(CONSENSUS!$A$2:$BZ$20001,0,$B$11),$B$1,INDEX(CONSENSUS!$A$2:$BZ$20001,0,$B$12),$B$4,INDEX(CONSENSUS!$A$2:$BZ$20001,0,$B$13),$B$6,INDEX(CONSENSUS!$A$2:$BZ$20001,0,$B$10),$A35))</f>
        <v/>
      </c>
      <c r="AD35" s="21">
        <f>IF(OR(AD$27="",AD57=0),NA(),SUMIFS(INDEX(CONSENSUS!$A$2:$BZ$20001,0,AD$27),INDEX(CONSENSUS!$A$2:$BZ$20001,0,$B$11),$B$1,INDEX(CONSENSUS!$A$2:$BZ$20001,0,$B$12),$B$4,INDEX(CONSENSUS!$A$2:$BZ$20001,0,$B$13),$B$6,INDEX(CONSENSUS!$A$2:$BZ$20001,0,$B$10),$A35))</f>
        <v/>
      </c>
      <c r="AE35" s="21">
        <f>IF(OR(AE$27="",AE57=0),NA(),SUMIFS(INDEX(CONSENSUS!$A$2:$BZ$20001,0,AE$27),INDEX(CONSENSUS!$A$2:$BZ$20001,0,$B$11),$B$1,INDEX(CONSENSUS!$A$2:$BZ$20001,0,$B$12),$B$4,INDEX(CONSENSUS!$A$2:$BZ$20001,0,$B$13),$B$6,INDEX(CONSENSUS!$A$2:$BZ$20001,0,$B$10),$A35))</f>
        <v/>
      </c>
      <c r="AF35" s="21">
        <f>IF(OR(AF$27="",AF57=0),NA(),SUMIFS(INDEX(CONSENSUS!$A$2:$BZ$20001,0,AF$27),INDEX(CONSENSUS!$A$2:$BZ$20001,0,$B$11),$B$1,INDEX(CONSENSUS!$A$2:$BZ$20001,0,$B$12),$B$4,INDEX(CONSENSUS!$A$2:$BZ$20001,0,$B$13),$B$6,INDEX(CONSENSUS!$A$2:$BZ$20001,0,$B$10),$A35))</f>
        <v/>
      </c>
      <c r="AG35" s="21">
        <f>IF(OR(AG$27="",AG57=0),NA(),SUMIFS(INDEX(CONSENSUS!$A$2:$BZ$20001,0,AG$27),INDEX(CONSENSUS!$A$2:$BZ$20001,0,$B$11),$B$1,INDEX(CONSENSUS!$A$2:$BZ$20001,0,$B$12),$B$4,INDEX(CONSENSUS!$A$2:$BZ$20001,0,$B$13),$B$6,INDEX(CONSENSUS!$A$2:$BZ$20001,0,$B$10),$A35))</f>
        <v/>
      </c>
      <c r="AH35" s="21">
        <f>IF(OR(AH$27="",AH57=0),NA(),SUMIFS(INDEX(CONSENSUS!$A$2:$BZ$20001,0,AH$27),INDEX(CONSENSUS!$A$2:$BZ$20001,0,$B$11),$B$1,INDEX(CONSENSUS!$A$2:$BZ$20001,0,$B$12),$B$4,INDEX(CONSENSUS!$A$2:$BZ$20001,0,$B$13),$B$6,INDEX(CONSENSUS!$A$2:$BZ$20001,0,$B$10),$A35))</f>
        <v/>
      </c>
      <c r="AI35" s="21">
        <f>IF(OR(AI$27="",AI57=0),NA(),SUMIFS(INDEX(CONSENSUS!$A$2:$BZ$20001,0,AI$27),INDEX(CONSENSUS!$A$2:$BZ$20001,0,$B$11),$B$1,INDEX(CONSENSUS!$A$2:$BZ$20001,0,$B$12),$B$4,INDEX(CONSENSUS!$A$2:$BZ$20001,0,$B$13),$B$6,INDEX(CONSENSUS!$A$2:$BZ$20001,0,$B$10),$A35))</f>
        <v/>
      </c>
      <c r="AJ35" s="21">
        <f>IF(OR(AJ$27="",AJ57=0),NA(),SUMIFS(INDEX(CONSENSUS!$A$2:$BZ$20001,0,AJ$27),INDEX(CONSENSUS!$A$2:$BZ$20001,0,$B$11),$B$1,INDEX(CONSENSUS!$A$2:$BZ$20001,0,$B$12),$B$4,INDEX(CONSENSUS!$A$2:$BZ$20001,0,$B$13),$B$6,INDEX(CONSENSUS!$A$2:$BZ$20001,0,$B$10),$A35))</f>
        <v/>
      </c>
      <c r="AK35" s="21">
        <f>IF(OR(AK$27="",AK57=0),NA(),SUMIFS(INDEX(CONSENSUS!$A$2:$BZ$20001,0,AK$27),INDEX(CONSENSUS!$A$2:$BZ$20001,0,$B$11),$B$1,INDEX(CONSENSUS!$A$2:$BZ$20001,0,$B$12),$B$4,INDEX(CONSENSUS!$A$2:$BZ$20001,0,$B$13),$B$6,INDEX(CONSENSUS!$A$2:$BZ$20001,0,$B$10),$A35))</f>
        <v/>
      </c>
      <c r="AL35" s="21">
        <f>IF(OR(AL$27="",AL57=0),NA(),SUMIFS(INDEX(CONSENSUS!$A$2:$BZ$20001,0,AL$27),INDEX(CONSENSUS!$A$2:$BZ$20001,0,$B$11),$B$1,INDEX(CONSENSUS!$A$2:$BZ$20001,0,$B$12),$B$4,INDEX(CONSENSUS!$A$2:$BZ$20001,0,$B$13),$B$6,INDEX(CONSENSUS!$A$2:$BZ$20001,0,$B$10),$A35))</f>
        <v/>
      </c>
      <c r="AM35" s="21">
        <f>IF(OR(AM$27="",AM57=0),NA(),SUMIFS(INDEX(CONSENSUS!$A$2:$BZ$20001,0,AM$27),INDEX(CONSENSUS!$A$2:$BZ$20001,0,$B$11),$B$1,INDEX(CONSENSUS!$A$2:$BZ$20001,0,$B$12),$B$4,INDEX(CONSENSUS!$A$2:$BZ$20001,0,$B$13),$B$6,INDEX(CONSENSUS!$A$2:$BZ$20001,0,$B$10),$A35))</f>
        <v/>
      </c>
    </row>
    <row r="36">
      <c r="A36" s="20">
        <f>$F$15</f>
        <v/>
      </c>
      <c r="B36" s="19">
        <f>$A36&amp;" | "&amp;$B$5</f>
        <v/>
      </c>
      <c r="D36" s="21">
        <f>IF(OR(D$27="",D58=0),NA(),SUMIFS(INDEX(CONSENSUS!$A$2:$BZ$20001,0,D$27),INDEX(CONSENSUS!$A$2:$BZ$20001,0,$B$11),$B$1,INDEX(CONSENSUS!$A$2:$BZ$20001,0,$B$12),$B$4,INDEX(CONSENSUS!$A$2:$BZ$20001,0,$B$13),$B$5,INDEX(CONSENSUS!$A$2:$BZ$20001,0,$B$10),$A36))</f>
        <v/>
      </c>
      <c r="E36" s="21">
        <f>IF(OR(E$27="",E58=0),NA(),SUMIFS(INDEX(CONSENSUS!$A$2:$BZ$20001,0,E$27),INDEX(CONSENSUS!$A$2:$BZ$20001,0,$B$11),$B$1,INDEX(CONSENSUS!$A$2:$BZ$20001,0,$B$12),$B$4,INDEX(CONSENSUS!$A$2:$BZ$20001,0,$B$13),$B$5,INDEX(CONSENSUS!$A$2:$BZ$20001,0,$B$10),$A36))</f>
        <v/>
      </c>
      <c r="F36" s="21">
        <f>IF(OR(F$27="",F58=0),NA(),SUMIFS(INDEX(CONSENSUS!$A$2:$BZ$20001,0,F$27),INDEX(CONSENSUS!$A$2:$BZ$20001,0,$B$11),$B$1,INDEX(CONSENSUS!$A$2:$BZ$20001,0,$B$12),$B$4,INDEX(CONSENSUS!$A$2:$BZ$20001,0,$B$13),$B$5,INDEX(CONSENSUS!$A$2:$BZ$20001,0,$B$10),$A36))</f>
        <v/>
      </c>
      <c r="G36" s="21">
        <f>IF(OR(G$27="",G58=0),NA(),SUMIFS(INDEX(CONSENSUS!$A$2:$BZ$20001,0,G$27),INDEX(CONSENSUS!$A$2:$BZ$20001,0,$B$11),$B$1,INDEX(CONSENSUS!$A$2:$BZ$20001,0,$B$12),$B$4,INDEX(CONSENSUS!$A$2:$BZ$20001,0,$B$13),$B$5,INDEX(CONSENSUS!$A$2:$BZ$20001,0,$B$10),$A36))</f>
        <v/>
      </c>
      <c r="H36" s="21">
        <f>IF(OR(H$27="",H58=0),NA(),SUMIFS(INDEX(CONSENSUS!$A$2:$BZ$20001,0,H$27),INDEX(CONSENSUS!$A$2:$BZ$20001,0,$B$11),$B$1,INDEX(CONSENSUS!$A$2:$BZ$20001,0,$B$12),$B$4,INDEX(CONSENSUS!$A$2:$BZ$20001,0,$B$13),$B$5,INDEX(CONSENSUS!$A$2:$BZ$20001,0,$B$10),$A36))</f>
        <v/>
      </c>
      <c r="I36" s="21">
        <f>IF(OR(I$27="",I58=0),NA(),SUMIFS(INDEX(CONSENSUS!$A$2:$BZ$20001,0,I$27),INDEX(CONSENSUS!$A$2:$BZ$20001,0,$B$11),$B$1,INDEX(CONSENSUS!$A$2:$BZ$20001,0,$B$12),$B$4,INDEX(CONSENSUS!$A$2:$BZ$20001,0,$B$13),$B$5,INDEX(CONSENSUS!$A$2:$BZ$20001,0,$B$10),$A36))</f>
        <v/>
      </c>
      <c r="J36" s="21">
        <f>IF(OR(J$27="",J58=0),NA(),SUMIFS(INDEX(CONSENSUS!$A$2:$BZ$20001,0,J$27),INDEX(CONSENSUS!$A$2:$BZ$20001,0,$B$11),$B$1,INDEX(CONSENSUS!$A$2:$BZ$20001,0,$B$12),$B$4,INDEX(CONSENSUS!$A$2:$BZ$20001,0,$B$13),$B$5,INDEX(CONSENSUS!$A$2:$BZ$20001,0,$B$10),$A36))</f>
        <v/>
      </c>
      <c r="K36" s="21">
        <f>IF(OR(K$27="",K58=0),NA(),SUMIFS(INDEX(CONSENSUS!$A$2:$BZ$20001,0,K$27),INDEX(CONSENSUS!$A$2:$BZ$20001,0,$B$11),$B$1,INDEX(CONSENSUS!$A$2:$BZ$20001,0,$B$12),$B$4,INDEX(CONSENSUS!$A$2:$BZ$20001,0,$B$13),$B$5,INDEX(CONSENSUS!$A$2:$BZ$20001,0,$B$10),$A36))</f>
        <v/>
      </c>
      <c r="L36" s="21">
        <f>IF(OR(L$27="",L58=0),NA(),SUMIFS(INDEX(CONSENSUS!$A$2:$BZ$20001,0,L$27),INDEX(CONSENSUS!$A$2:$BZ$20001,0,$B$11),$B$1,INDEX(CONSENSUS!$A$2:$BZ$20001,0,$B$12),$B$4,INDEX(CONSENSUS!$A$2:$BZ$20001,0,$B$13),$B$5,INDEX(CONSENSUS!$A$2:$BZ$20001,0,$B$10),$A36))</f>
        <v/>
      </c>
      <c r="M36" s="21">
        <f>IF(OR(M$27="",M58=0),NA(),SUMIFS(INDEX(CONSENSUS!$A$2:$BZ$20001,0,M$27),INDEX(CONSENSUS!$A$2:$BZ$20001,0,$B$11),$B$1,INDEX(CONSENSUS!$A$2:$BZ$20001,0,$B$12),$B$4,INDEX(CONSENSUS!$A$2:$BZ$20001,0,$B$13),$B$5,INDEX(CONSENSUS!$A$2:$BZ$20001,0,$B$10),$A36))</f>
        <v/>
      </c>
      <c r="N36" s="21">
        <f>IF(OR(N$27="",N58=0),NA(),SUMIFS(INDEX(CONSENSUS!$A$2:$BZ$20001,0,N$27),INDEX(CONSENSUS!$A$2:$BZ$20001,0,$B$11),$B$1,INDEX(CONSENSUS!$A$2:$BZ$20001,0,$B$12),$B$4,INDEX(CONSENSUS!$A$2:$BZ$20001,0,$B$13),$B$5,INDEX(CONSENSUS!$A$2:$BZ$20001,0,$B$10),$A36))</f>
        <v/>
      </c>
      <c r="O36" s="21">
        <f>IF(OR(O$27="",O58=0),NA(),SUMIFS(INDEX(CONSENSUS!$A$2:$BZ$20001,0,O$27),INDEX(CONSENSUS!$A$2:$BZ$20001,0,$B$11),$B$1,INDEX(CONSENSUS!$A$2:$BZ$20001,0,$B$12),$B$4,INDEX(CONSENSUS!$A$2:$BZ$20001,0,$B$13),$B$5,INDEX(CONSENSUS!$A$2:$BZ$20001,0,$B$10),$A36))</f>
        <v/>
      </c>
      <c r="P36" s="21">
        <f>IF(OR(P$27="",P58=0),NA(),SUMIFS(INDEX(CONSENSUS!$A$2:$BZ$20001,0,P$27),INDEX(CONSENSUS!$A$2:$BZ$20001,0,$B$11),$B$1,INDEX(CONSENSUS!$A$2:$BZ$20001,0,$B$12),$B$4,INDEX(CONSENSUS!$A$2:$BZ$20001,0,$B$13),$B$5,INDEX(CONSENSUS!$A$2:$BZ$20001,0,$B$10),$A36))</f>
        <v/>
      </c>
      <c r="Q36" s="21">
        <f>IF(OR(Q$27="",Q58=0),NA(),SUMIFS(INDEX(CONSENSUS!$A$2:$BZ$20001,0,Q$27),INDEX(CONSENSUS!$A$2:$BZ$20001,0,$B$11),$B$1,INDEX(CONSENSUS!$A$2:$BZ$20001,0,$B$12),$B$4,INDEX(CONSENSUS!$A$2:$BZ$20001,0,$B$13),$B$5,INDEX(CONSENSUS!$A$2:$BZ$20001,0,$B$10),$A36))</f>
        <v/>
      </c>
      <c r="R36" s="21">
        <f>IF(OR(R$27="",R58=0),NA(),SUMIFS(INDEX(CONSENSUS!$A$2:$BZ$20001,0,R$27),INDEX(CONSENSUS!$A$2:$BZ$20001,0,$B$11),$B$1,INDEX(CONSENSUS!$A$2:$BZ$20001,0,$B$12),$B$4,INDEX(CONSENSUS!$A$2:$BZ$20001,0,$B$13),$B$5,INDEX(CONSENSUS!$A$2:$BZ$20001,0,$B$10),$A36))</f>
        <v/>
      </c>
      <c r="S36" s="21">
        <f>IF(OR(S$27="",S58=0),NA(),SUMIFS(INDEX(CONSENSUS!$A$2:$BZ$20001,0,S$27),INDEX(CONSENSUS!$A$2:$BZ$20001,0,$B$11),$B$1,INDEX(CONSENSUS!$A$2:$BZ$20001,0,$B$12),$B$4,INDEX(CONSENSUS!$A$2:$BZ$20001,0,$B$13),$B$5,INDEX(CONSENSUS!$A$2:$BZ$20001,0,$B$10),$A36))</f>
        <v/>
      </c>
      <c r="T36" s="21">
        <f>IF(OR(T$27="",T58=0),NA(),SUMIFS(INDEX(CONSENSUS!$A$2:$BZ$20001,0,T$27),INDEX(CONSENSUS!$A$2:$BZ$20001,0,$B$11),$B$1,INDEX(CONSENSUS!$A$2:$BZ$20001,0,$B$12),$B$4,INDEX(CONSENSUS!$A$2:$BZ$20001,0,$B$13),$B$5,INDEX(CONSENSUS!$A$2:$BZ$20001,0,$B$10),$A36))</f>
        <v/>
      </c>
      <c r="U36" s="21">
        <f>IF(OR(U$27="",U58=0),NA(),SUMIFS(INDEX(CONSENSUS!$A$2:$BZ$20001,0,U$27),INDEX(CONSENSUS!$A$2:$BZ$20001,0,$B$11),$B$1,INDEX(CONSENSUS!$A$2:$BZ$20001,0,$B$12),$B$4,INDEX(CONSENSUS!$A$2:$BZ$20001,0,$B$13),$B$5,INDEX(CONSENSUS!$A$2:$BZ$20001,0,$B$10),$A36))</f>
        <v/>
      </c>
      <c r="V36" s="21">
        <f>IF(OR(V$27="",V58=0),NA(),SUMIFS(INDEX(CONSENSUS!$A$2:$BZ$20001,0,V$27),INDEX(CONSENSUS!$A$2:$BZ$20001,0,$B$11),$B$1,INDEX(CONSENSUS!$A$2:$BZ$20001,0,$B$12),$B$4,INDEX(CONSENSUS!$A$2:$BZ$20001,0,$B$13),$B$5,INDEX(CONSENSUS!$A$2:$BZ$20001,0,$B$10),$A36))</f>
        <v/>
      </c>
      <c r="W36" s="21">
        <f>IF(OR(W$27="",W58=0),NA(),SUMIFS(INDEX(CONSENSUS!$A$2:$BZ$20001,0,W$27),INDEX(CONSENSUS!$A$2:$BZ$20001,0,$B$11),$B$1,INDEX(CONSENSUS!$A$2:$BZ$20001,0,$B$12),$B$4,INDEX(CONSENSUS!$A$2:$BZ$20001,0,$B$13),$B$5,INDEX(CONSENSUS!$A$2:$BZ$20001,0,$B$10),$A36))</f>
        <v/>
      </c>
      <c r="X36" s="21">
        <f>IF(OR(X$27="",X58=0),NA(),SUMIFS(INDEX(CONSENSUS!$A$2:$BZ$20001,0,X$27),INDEX(CONSENSUS!$A$2:$BZ$20001,0,$B$11),$B$1,INDEX(CONSENSUS!$A$2:$BZ$20001,0,$B$12),$B$4,INDEX(CONSENSUS!$A$2:$BZ$20001,0,$B$13),$B$5,INDEX(CONSENSUS!$A$2:$BZ$20001,0,$B$10),$A36))</f>
        <v/>
      </c>
      <c r="Y36" s="21">
        <f>IF(OR(Y$27="",Y58=0),NA(),SUMIFS(INDEX(CONSENSUS!$A$2:$BZ$20001,0,Y$27),INDEX(CONSENSUS!$A$2:$BZ$20001,0,$B$11),$B$1,INDEX(CONSENSUS!$A$2:$BZ$20001,0,$B$12),$B$4,INDEX(CONSENSUS!$A$2:$BZ$20001,0,$B$13),$B$5,INDEX(CONSENSUS!$A$2:$BZ$20001,0,$B$10),$A36))</f>
        <v/>
      </c>
      <c r="Z36" s="21">
        <f>IF(OR(Z$27="",Z58=0),NA(),SUMIFS(INDEX(CONSENSUS!$A$2:$BZ$20001,0,Z$27),INDEX(CONSENSUS!$A$2:$BZ$20001,0,$B$11),$B$1,INDEX(CONSENSUS!$A$2:$BZ$20001,0,$B$12),$B$4,INDEX(CONSENSUS!$A$2:$BZ$20001,0,$B$13),$B$5,INDEX(CONSENSUS!$A$2:$BZ$20001,0,$B$10),$A36))</f>
        <v/>
      </c>
      <c r="AA36" s="21">
        <f>IF(OR(AA$27="",AA58=0),NA(),SUMIFS(INDEX(CONSENSUS!$A$2:$BZ$20001,0,AA$27),INDEX(CONSENSUS!$A$2:$BZ$20001,0,$B$11),$B$1,INDEX(CONSENSUS!$A$2:$BZ$20001,0,$B$12),$B$4,INDEX(CONSENSUS!$A$2:$BZ$20001,0,$B$13),$B$5,INDEX(CONSENSUS!$A$2:$BZ$20001,0,$B$10),$A36))</f>
        <v/>
      </c>
      <c r="AB36" s="21">
        <f>IF(OR(AB$27="",AB58=0),NA(),SUMIFS(INDEX(CONSENSUS!$A$2:$BZ$20001,0,AB$27),INDEX(CONSENSUS!$A$2:$BZ$20001,0,$B$11),$B$1,INDEX(CONSENSUS!$A$2:$BZ$20001,0,$B$12),$B$4,INDEX(CONSENSUS!$A$2:$BZ$20001,0,$B$13),$B$5,INDEX(CONSENSUS!$A$2:$BZ$20001,0,$B$10),$A36))</f>
        <v/>
      </c>
      <c r="AC36" s="21">
        <f>IF(OR(AC$27="",AC58=0),NA(),SUMIFS(INDEX(CONSENSUS!$A$2:$BZ$20001,0,AC$27),INDEX(CONSENSUS!$A$2:$BZ$20001,0,$B$11),$B$1,INDEX(CONSENSUS!$A$2:$BZ$20001,0,$B$12),$B$4,INDEX(CONSENSUS!$A$2:$BZ$20001,0,$B$13),$B$5,INDEX(CONSENSUS!$A$2:$BZ$20001,0,$B$10),$A36))</f>
        <v/>
      </c>
      <c r="AD36" s="21">
        <f>IF(OR(AD$27="",AD58=0),NA(),SUMIFS(INDEX(CONSENSUS!$A$2:$BZ$20001,0,AD$27),INDEX(CONSENSUS!$A$2:$BZ$20001,0,$B$11),$B$1,INDEX(CONSENSUS!$A$2:$BZ$20001,0,$B$12),$B$4,INDEX(CONSENSUS!$A$2:$BZ$20001,0,$B$13),$B$5,INDEX(CONSENSUS!$A$2:$BZ$20001,0,$B$10),$A36))</f>
        <v/>
      </c>
      <c r="AE36" s="21">
        <f>IF(OR(AE$27="",AE58=0),NA(),SUMIFS(INDEX(CONSENSUS!$A$2:$BZ$20001,0,AE$27),INDEX(CONSENSUS!$A$2:$BZ$20001,0,$B$11),$B$1,INDEX(CONSENSUS!$A$2:$BZ$20001,0,$B$12),$B$4,INDEX(CONSENSUS!$A$2:$BZ$20001,0,$B$13),$B$5,INDEX(CONSENSUS!$A$2:$BZ$20001,0,$B$10),$A36))</f>
        <v/>
      </c>
      <c r="AF36" s="21">
        <f>IF(OR(AF$27="",AF58=0),NA(),SUMIFS(INDEX(CONSENSUS!$A$2:$BZ$20001,0,AF$27),INDEX(CONSENSUS!$A$2:$BZ$20001,0,$B$11),$B$1,INDEX(CONSENSUS!$A$2:$BZ$20001,0,$B$12),$B$4,INDEX(CONSENSUS!$A$2:$BZ$20001,0,$B$13),$B$5,INDEX(CONSENSUS!$A$2:$BZ$20001,0,$B$10),$A36))</f>
        <v/>
      </c>
      <c r="AG36" s="21">
        <f>IF(OR(AG$27="",AG58=0),NA(),SUMIFS(INDEX(CONSENSUS!$A$2:$BZ$20001,0,AG$27),INDEX(CONSENSUS!$A$2:$BZ$20001,0,$B$11),$B$1,INDEX(CONSENSUS!$A$2:$BZ$20001,0,$B$12),$B$4,INDEX(CONSENSUS!$A$2:$BZ$20001,0,$B$13),$B$5,INDEX(CONSENSUS!$A$2:$BZ$20001,0,$B$10),$A36))</f>
        <v/>
      </c>
      <c r="AH36" s="21">
        <f>IF(OR(AH$27="",AH58=0),NA(),SUMIFS(INDEX(CONSENSUS!$A$2:$BZ$20001,0,AH$27),INDEX(CONSENSUS!$A$2:$BZ$20001,0,$B$11),$B$1,INDEX(CONSENSUS!$A$2:$BZ$20001,0,$B$12),$B$4,INDEX(CONSENSUS!$A$2:$BZ$20001,0,$B$13),$B$5,INDEX(CONSENSUS!$A$2:$BZ$20001,0,$B$10),$A36))</f>
        <v/>
      </c>
      <c r="AI36" s="21">
        <f>IF(OR(AI$27="",AI58=0),NA(),SUMIFS(INDEX(CONSENSUS!$A$2:$BZ$20001,0,AI$27),INDEX(CONSENSUS!$A$2:$BZ$20001,0,$B$11),$B$1,INDEX(CONSENSUS!$A$2:$BZ$20001,0,$B$12),$B$4,INDEX(CONSENSUS!$A$2:$BZ$20001,0,$B$13),$B$5,INDEX(CONSENSUS!$A$2:$BZ$20001,0,$B$10),$A36))</f>
        <v/>
      </c>
      <c r="AJ36" s="21">
        <f>IF(OR(AJ$27="",AJ58=0),NA(),SUMIFS(INDEX(CONSENSUS!$A$2:$BZ$20001,0,AJ$27),INDEX(CONSENSUS!$A$2:$BZ$20001,0,$B$11),$B$1,INDEX(CONSENSUS!$A$2:$BZ$20001,0,$B$12),$B$4,INDEX(CONSENSUS!$A$2:$BZ$20001,0,$B$13),$B$5,INDEX(CONSENSUS!$A$2:$BZ$20001,0,$B$10),$A36))</f>
        <v/>
      </c>
      <c r="AK36" s="21">
        <f>IF(OR(AK$27="",AK58=0),NA(),SUMIFS(INDEX(CONSENSUS!$A$2:$BZ$20001,0,AK$27),INDEX(CONSENSUS!$A$2:$BZ$20001,0,$B$11),$B$1,INDEX(CONSENSUS!$A$2:$BZ$20001,0,$B$12),$B$4,INDEX(CONSENSUS!$A$2:$BZ$20001,0,$B$13),$B$5,INDEX(CONSENSUS!$A$2:$BZ$20001,0,$B$10),$A36))</f>
        <v/>
      </c>
      <c r="AL36" s="21">
        <f>IF(OR(AL$27="",AL58=0),NA(),SUMIFS(INDEX(CONSENSUS!$A$2:$BZ$20001,0,AL$27),INDEX(CONSENSUS!$A$2:$BZ$20001,0,$B$11),$B$1,INDEX(CONSENSUS!$A$2:$BZ$20001,0,$B$12),$B$4,INDEX(CONSENSUS!$A$2:$BZ$20001,0,$B$13),$B$5,INDEX(CONSENSUS!$A$2:$BZ$20001,0,$B$10),$A36))</f>
        <v/>
      </c>
      <c r="AM36" s="21">
        <f>IF(OR(AM$27="",AM58=0),NA(),SUMIFS(INDEX(CONSENSUS!$A$2:$BZ$20001,0,AM$27),INDEX(CONSENSUS!$A$2:$BZ$20001,0,$B$11),$B$1,INDEX(CONSENSUS!$A$2:$BZ$20001,0,$B$12),$B$4,INDEX(CONSENSUS!$A$2:$BZ$20001,0,$B$13),$B$5,INDEX(CONSENSUS!$A$2:$BZ$20001,0,$B$10),$A36))</f>
        <v/>
      </c>
    </row>
    <row r="37">
      <c r="A37" s="20">
        <f>$F$12</f>
        <v/>
      </c>
      <c r="B37" s="19">
        <f>$A37&amp;" | "&amp;$B$5</f>
        <v/>
      </c>
      <c r="D37" s="21">
        <f>IF(OR(D$27="",D59=0),NA(),SUMIFS(INDEX(CONSENSUS!$A$2:$BZ$20001,0,D$27),INDEX(CONSENSUS!$A$2:$BZ$20001,0,$B$11),$B$1,INDEX(CONSENSUS!$A$2:$BZ$20001,0,$B$12),$B$4,INDEX(CONSENSUS!$A$2:$BZ$20001,0,$B$13),$B$5,INDEX(CONSENSUS!$A$2:$BZ$20001,0,$B$10),$A37))</f>
        <v/>
      </c>
      <c r="E37" s="21">
        <f>IF(OR(E$27="",E59=0),NA(),SUMIFS(INDEX(CONSENSUS!$A$2:$BZ$20001,0,E$27),INDEX(CONSENSUS!$A$2:$BZ$20001,0,$B$11),$B$1,INDEX(CONSENSUS!$A$2:$BZ$20001,0,$B$12),$B$4,INDEX(CONSENSUS!$A$2:$BZ$20001,0,$B$13),$B$5,INDEX(CONSENSUS!$A$2:$BZ$20001,0,$B$10),$A37))</f>
        <v/>
      </c>
      <c r="F37" s="21">
        <f>IF(OR(F$27="",F59=0),NA(),SUMIFS(INDEX(CONSENSUS!$A$2:$BZ$20001,0,F$27),INDEX(CONSENSUS!$A$2:$BZ$20001,0,$B$11),$B$1,INDEX(CONSENSUS!$A$2:$BZ$20001,0,$B$12),$B$4,INDEX(CONSENSUS!$A$2:$BZ$20001,0,$B$13),$B$5,INDEX(CONSENSUS!$A$2:$BZ$20001,0,$B$10),$A37))</f>
        <v/>
      </c>
      <c r="G37" s="21">
        <f>IF(OR(G$27="",G59=0),NA(),SUMIFS(INDEX(CONSENSUS!$A$2:$BZ$20001,0,G$27),INDEX(CONSENSUS!$A$2:$BZ$20001,0,$B$11),$B$1,INDEX(CONSENSUS!$A$2:$BZ$20001,0,$B$12),$B$4,INDEX(CONSENSUS!$A$2:$BZ$20001,0,$B$13),$B$5,INDEX(CONSENSUS!$A$2:$BZ$20001,0,$B$10),$A37))</f>
        <v/>
      </c>
      <c r="H37" s="21">
        <f>IF(OR(H$27="",H59=0),NA(),SUMIFS(INDEX(CONSENSUS!$A$2:$BZ$20001,0,H$27),INDEX(CONSENSUS!$A$2:$BZ$20001,0,$B$11),$B$1,INDEX(CONSENSUS!$A$2:$BZ$20001,0,$B$12),$B$4,INDEX(CONSENSUS!$A$2:$BZ$20001,0,$B$13),$B$5,INDEX(CONSENSUS!$A$2:$BZ$20001,0,$B$10),$A37))</f>
        <v/>
      </c>
      <c r="I37" s="21">
        <f>IF(OR(I$27="",I59=0),NA(),SUMIFS(INDEX(CONSENSUS!$A$2:$BZ$20001,0,I$27),INDEX(CONSENSUS!$A$2:$BZ$20001,0,$B$11),$B$1,INDEX(CONSENSUS!$A$2:$BZ$20001,0,$B$12),$B$4,INDEX(CONSENSUS!$A$2:$BZ$20001,0,$B$13),$B$5,INDEX(CONSENSUS!$A$2:$BZ$20001,0,$B$10),$A37))</f>
        <v/>
      </c>
      <c r="J37" s="21">
        <f>IF(OR(J$27="",J59=0),NA(),SUMIFS(INDEX(CONSENSUS!$A$2:$BZ$20001,0,J$27),INDEX(CONSENSUS!$A$2:$BZ$20001,0,$B$11),$B$1,INDEX(CONSENSUS!$A$2:$BZ$20001,0,$B$12),$B$4,INDEX(CONSENSUS!$A$2:$BZ$20001,0,$B$13),$B$5,INDEX(CONSENSUS!$A$2:$BZ$20001,0,$B$10),$A37))</f>
        <v/>
      </c>
      <c r="K37" s="21">
        <f>IF(OR(K$27="",K59=0),NA(),SUMIFS(INDEX(CONSENSUS!$A$2:$BZ$20001,0,K$27),INDEX(CONSENSUS!$A$2:$BZ$20001,0,$B$11),$B$1,INDEX(CONSENSUS!$A$2:$BZ$20001,0,$B$12),$B$4,INDEX(CONSENSUS!$A$2:$BZ$20001,0,$B$13),$B$5,INDEX(CONSENSUS!$A$2:$BZ$20001,0,$B$10),$A37))</f>
        <v/>
      </c>
      <c r="L37" s="21">
        <f>IF(OR(L$27="",L59=0),NA(),SUMIFS(INDEX(CONSENSUS!$A$2:$BZ$20001,0,L$27),INDEX(CONSENSUS!$A$2:$BZ$20001,0,$B$11),$B$1,INDEX(CONSENSUS!$A$2:$BZ$20001,0,$B$12),$B$4,INDEX(CONSENSUS!$A$2:$BZ$20001,0,$B$13),$B$5,INDEX(CONSENSUS!$A$2:$BZ$20001,0,$B$10),$A37))</f>
        <v/>
      </c>
      <c r="M37" s="21">
        <f>IF(OR(M$27="",M59=0),NA(),SUMIFS(INDEX(CONSENSUS!$A$2:$BZ$20001,0,M$27),INDEX(CONSENSUS!$A$2:$BZ$20001,0,$B$11),$B$1,INDEX(CONSENSUS!$A$2:$BZ$20001,0,$B$12),$B$4,INDEX(CONSENSUS!$A$2:$BZ$20001,0,$B$13),$B$5,INDEX(CONSENSUS!$A$2:$BZ$20001,0,$B$10),$A37))</f>
        <v/>
      </c>
      <c r="N37" s="21">
        <f>IF(OR(N$27="",N59=0),NA(),SUMIFS(INDEX(CONSENSUS!$A$2:$BZ$20001,0,N$27),INDEX(CONSENSUS!$A$2:$BZ$20001,0,$B$11),$B$1,INDEX(CONSENSUS!$A$2:$BZ$20001,0,$B$12),$B$4,INDEX(CONSENSUS!$A$2:$BZ$20001,0,$B$13),$B$5,INDEX(CONSENSUS!$A$2:$BZ$20001,0,$B$10),$A37))</f>
        <v/>
      </c>
      <c r="O37" s="21">
        <f>IF(OR(O$27="",O59=0),NA(),SUMIFS(INDEX(CONSENSUS!$A$2:$BZ$20001,0,O$27),INDEX(CONSENSUS!$A$2:$BZ$20001,0,$B$11),$B$1,INDEX(CONSENSUS!$A$2:$BZ$20001,0,$B$12),$B$4,INDEX(CONSENSUS!$A$2:$BZ$20001,0,$B$13),$B$5,INDEX(CONSENSUS!$A$2:$BZ$20001,0,$B$10),$A37))</f>
        <v/>
      </c>
      <c r="P37" s="21">
        <f>IF(OR(P$27="",P59=0),NA(),SUMIFS(INDEX(CONSENSUS!$A$2:$BZ$20001,0,P$27),INDEX(CONSENSUS!$A$2:$BZ$20001,0,$B$11),$B$1,INDEX(CONSENSUS!$A$2:$BZ$20001,0,$B$12),$B$4,INDEX(CONSENSUS!$A$2:$BZ$20001,0,$B$13),$B$5,INDEX(CONSENSUS!$A$2:$BZ$20001,0,$B$10),$A37))</f>
        <v/>
      </c>
      <c r="Q37" s="21">
        <f>IF(OR(Q$27="",Q59=0),NA(),SUMIFS(INDEX(CONSENSUS!$A$2:$BZ$20001,0,Q$27),INDEX(CONSENSUS!$A$2:$BZ$20001,0,$B$11),$B$1,INDEX(CONSENSUS!$A$2:$BZ$20001,0,$B$12),$B$4,INDEX(CONSENSUS!$A$2:$BZ$20001,0,$B$13),$B$5,INDEX(CONSENSUS!$A$2:$BZ$20001,0,$B$10),$A37))</f>
        <v/>
      </c>
      <c r="R37" s="21">
        <f>IF(OR(R$27="",R59=0),NA(),SUMIFS(INDEX(CONSENSUS!$A$2:$BZ$20001,0,R$27),INDEX(CONSENSUS!$A$2:$BZ$20001,0,$B$11),$B$1,INDEX(CONSENSUS!$A$2:$BZ$20001,0,$B$12),$B$4,INDEX(CONSENSUS!$A$2:$BZ$20001,0,$B$13),$B$5,INDEX(CONSENSUS!$A$2:$BZ$20001,0,$B$10),$A37))</f>
        <v/>
      </c>
      <c r="S37" s="21">
        <f>IF(OR(S$27="",S59=0),NA(),SUMIFS(INDEX(CONSENSUS!$A$2:$BZ$20001,0,S$27),INDEX(CONSENSUS!$A$2:$BZ$20001,0,$B$11),$B$1,INDEX(CONSENSUS!$A$2:$BZ$20001,0,$B$12),$B$4,INDEX(CONSENSUS!$A$2:$BZ$20001,0,$B$13),$B$5,INDEX(CONSENSUS!$A$2:$BZ$20001,0,$B$10),$A37))</f>
        <v/>
      </c>
      <c r="T37" s="21">
        <f>IF(OR(T$27="",T59=0),NA(),SUMIFS(INDEX(CONSENSUS!$A$2:$BZ$20001,0,T$27),INDEX(CONSENSUS!$A$2:$BZ$20001,0,$B$11),$B$1,INDEX(CONSENSUS!$A$2:$BZ$20001,0,$B$12),$B$4,INDEX(CONSENSUS!$A$2:$BZ$20001,0,$B$13),$B$5,INDEX(CONSENSUS!$A$2:$BZ$20001,0,$B$10),$A37))</f>
        <v/>
      </c>
      <c r="U37" s="21">
        <f>IF(OR(U$27="",U59=0),NA(),SUMIFS(INDEX(CONSENSUS!$A$2:$BZ$20001,0,U$27),INDEX(CONSENSUS!$A$2:$BZ$20001,0,$B$11),$B$1,INDEX(CONSENSUS!$A$2:$BZ$20001,0,$B$12),$B$4,INDEX(CONSENSUS!$A$2:$BZ$20001,0,$B$13),$B$5,INDEX(CONSENSUS!$A$2:$BZ$20001,0,$B$10),$A37))</f>
        <v/>
      </c>
      <c r="V37" s="21">
        <f>IF(OR(V$27="",V59=0),NA(),SUMIFS(INDEX(CONSENSUS!$A$2:$BZ$20001,0,V$27),INDEX(CONSENSUS!$A$2:$BZ$20001,0,$B$11),$B$1,INDEX(CONSENSUS!$A$2:$BZ$20001,0,$B$12),$B$4,INDEX(CONSENSUS!$A$2:$BZ$20001,0,$B$13),$B$5,INDEX(CONSENSUS!$A$2:$BZ$20001,0,$B$10),$A37))</f>
        <v/>
      </c>
      <c r="W37" s="21">
        <f>IF(OR(W$27="",W59=0),NA(),SUMIFS(INDEX(CONSENSUS!$A$2:$BZ$20001,0,W$27),INDEX(CONSENSUS!$A$2:$BZ$20001,0,$B$11),$B$1,INDEX(CONSENSUS!$A$2:$BZ$20001,0,$B$12),$B$4,INDEX(CONSENSUS!$A$2:$BZ$20001,0,$B$13),$B$5,INDEX(CONSENSUS!$A$2:$BZ$20001,0,$B$10),$A37))</f>
        <v/>
      </c>
      <c r="X37" s="21">
        <f>IF(OR(X$27="",X59=0),NA(),SUMIFS(INDEX(CONSENSUS!$A$2:$BZ$20001,0,X$27),INDEX(CONSENSUS!$A$2:$BZ$20001,0,$B$11),$B$1,INDEX(CONSENSUS!$A$2:$BZ$20001,0,$B$12),$B$4,INDEX(CONSENSUS!$A$2:$BZ$20001,0,$B$13),$B$5,INDEX(CONSENSUS!$A$2:$BZ$20001,0,$B$10),$A37))</f>
        <v/>
      </c>
      <c r="Y37" s="21">
        <f>IF(OR(Y$27="",Y59=0),NA(),SUMIFS(INDEX(CONSENSUS!$A$2:$BZ$20001,0,Y$27),INDEX(CONSENSUS!$A$2:$BZ$20001,0,$B$11),$B$1,INDEX(CONSENSUS!$A$2:$BZ$20001,0,$B$12),$B$4,INDEX(CONSENSUS!$A$2:$BZ$20001,0,$B$13),$B$5,INDEX(CONSENSUS!$A$2:$BZ$20001,0,$B$10),$A37))</f>
        <v/>
      </c>
      <c r="Z37" s="21">
        <f>IF(OR(Z$27="",Z59=0),NA(),SUMIFS(INDEX(CONSENSUS!$A$2:$BZ$20001,0,Z$27),INDEX(CONSENSUS!$A$2:$BZ$20001,0,$B$11),$B$1,INDEX(CONSENSUS!$A$2:$BZ$20001,0,$B$12),$B$4,INDEX(CONSENSUS!$A$2:$BZ$20001,0,$B$13),$B$5,INDEX(CONSENSUS!$A$2:$BZ$20001,0,$B$10),$A37))</f>
        <v/>
      </c>
      <c r="AA37" s="21">
        <f>IF(OR(AA$27="",AA59=0),NA(),SUMIFS(INDEX(CONSENSUS!$A$2:$BZ$20001,0,AA$27),INDEX(CONSENSUS!$A$2:$BZ$20001,0,$B$11),$B$1,INDEX(CONSENSUS!$A$2:$BZ$20001,0,$B$12),$B$4,INDEX(CONSENSUS!$A$2:$BZ$20001,0,$B$13),$B$5,INDEX(CONSENSUS!$A$2:$BZ$20001,0,$B$10),$A37))</f>
        <v/>
      </c>
      <c r="AB37" s="21">
        <f>IF(OR(AB$27="",AB59=0),NA(),SUMIFS(INDEX(CONSENSUS!$A$2:$BZ$20001,0,AB$27),INDEX(CONSENSUS!$A$2:$BZ$20001,0,$B$11),$B$1,INDEX(CONSENSUS!$A$2:$BZ$20001,0,$B$12),$B$4,INDEX(CONSENSUS!$A$2:$BZ$20001,0,$B$13),$B$5,INDEX(CONSENSUS!$A$2:$BZ$20001,0,$B$10),$A37))</f>
        <v/>
      </c>
      <c r="AC37" s="21">
        <f>IF(OR(AC$27="",AC59=0),NA(),SUMIFS(INDEX(CONSENSUS!$A$2:$BZ$20001,0,AC$27),INDEX(CONSENSUS!$A$2:$BZ$20001,0,$B$11),$B$1,INDEX(CONSENSUS!$A$2:$BZ$20001,0,$B$12),$B$4,INDEX(CONSENSUS!$A$2:$BZ$20001,0,$B$13),$B$5,INDEX(CONSENSUS!$A$2:$BZ$20001,0,$B$10),$A37))</f>
        <v/>
      </c>
      <c r="AD37" s="21">
        <f>IF(OR(AD$27="",AD59=0),NA(),SUMIFS(INDEX(CONSENSUS!$A$2:$BZ$20001,0,AD$27),INDEX(CONSENSUS!$A$2:$BZ$20001,0,$B$11),$B$1,INDEX(CONSENSUS!$A$2:$BZ$20001,0,$B$12),$B$4,INDEX(CONSENSUS!$A$2:$BZ$20001,0,$B$13),$B$5,INDEX(CONSENSUS!$A$2:$BZ$20001,0,$B$10),$A37))</f>
        <v/>
      </c>
      <c r="AE37" s="21">
        <f>IF(OR(AE$27="",AE59=0),NA(),SUMIFS(INDEX(CONSENSUS!$A$2:$BZ$20001,0,AE$27),INDEX(CONSENSUS!$A$2:$BZ$20001,0,$B$11),$B$1,INDEX(CONSENSUS!$A$2:$BZ$20001,0,$B$12),$B$4,INDEX(CONSENSUS!$A$2:$BZ$20001,0,$B$13),$B$5,INDEX(CONSENSUS!$A$2:$BZ$20001,0,$B$10),$A37))</f>
        <v/>
      </c>
      <c r="AF37" s="21">
        <f>IF(OR(AF$27="",AF59=0),NA(),SUMIFS(INDEX(CONSENSUS!$A$2:$BZ$20001,0,AF$27),INDEX(CONSENSUS!$A$2:$BZ$20001,0,$B$11),$B$1,INDEX(CONSENSUS!$A$2:$BZ$20001,0,$B$12),$B$4,INDEX(CONSENSUS!$A$2:$BZ$20001,0,$B$13),$B$5,INDEX(CONSENSUS!$A$2:$BZ$20001,0,$B$10),$A37))</f>
        <v/>
      </c>
      <c r="AG37" s="21">
        <f>IF(OR(AG$27="",AG59=0),NA(),SUMIFS(INDEX(CONSENSUS!$A$2:$BZ$20001,0,AG$27),INDEX(CONSENSUS!$A$2:$BZ$20001,0,$B$11),$B$1,INDEX(CONSENSUS!$A$2:$BZ$20001,0,$B$12),$B$4,INDEX(CONSENSUS!$A$2:$BZ$20001,0,$B$13),$B$5,INDEX(CONSENSUS!$A$2:$BZ$20001,0,$B$10),$A37))</f>
        <v/>
      </c>
      <c r="AH37" s="21">
        <f>IF(OR(AH$27="",AH59=0),NA(),SUMIFS(INDEX(CONSENSUS!$A$2:$BZ$20001,0,AH$27),INDEX(CONSENSUS!$A$2:$BZ$20001,0,$B$11),$B$1,INDEX(CONSENSUS!$A$2:$BZ$20001,0,$B$12),$B$4,INDEX(CONSENSUS!$A$2:$BZ$20001,0,$B$13),$B$5,INDEX(CONSENSUS!$A$2:$BZ$20001,0,$B$10),$A37))</f>
        <v/>
      </c>
      <c r="AI37" s="21">
        <f>IF(OR(AI$27="",AI59=0),NA(),SUMIFS(INDEX(CONSENSUS!$A$2:$BZ$20001,0,AI$27),INDEX(CONSENSUS!$A$2:$BZ$20001,0,$B$11),$B$1,INDEX(CONSENSUS!$A$2:$BZ$20001,0,$B$12),$B$4,INDEX(CONSENSUS!$A$2:$BZ$20001,0,$B$13),$B$5,INDEX(CONSENSUS!$A$2:$BZ$20001,0,$B$10),$A37))</f>
        <v/>
      </c>
      <c r="AJ37" s="21">
        <f>IF(OR(AJ$27="",AJ59=0),NA(),SUMIFS(INDEX(CONSENSUS!$A$2:$BZ$20001,0,AJ$27),INDEX(CONSENSUS!$A$2:$BZ$20001,0,$B$11),$B$1,INDEX(CONSENSUS!$A$2:$BZ$20001,0,$B$12),$B$4,INDEX(CONSENSUS!$A$2:$BZ$20001,0,$B$13),$B$5,INDEX(CONSENSUS!$A$2:$BZ$20001,0,$B$10),$A37))</f>
        <v/>
      </c>
      <c r="AK37" s="21">
        <f>IF(OR(AK$27="",AK59=0),NA(),SUMIFS(INDEX(CONSENSUS!$A$2:$BZ$20001,0,AK$27),INDEX(CONSENSUS!$A$2:$BZ$20001,0,$B$11),$B$1,INDEX(CONSENSUS!$A$2:$BZ$20001,0,$B$12),$B$4,INDEX(CONSENSUS!$A$2:$BZ$20001,0,$B$13),$B$5,INDEX(CONSENSUS!$A$2:$BZ$20001,0,$B$10),$A37))</f>
        <v/>
      </c>
      <c r="AL37" s="21">
        <f>IF(OR(AL$27="",AL59=0),NA(),SUMIFS(INDEX(CONSENSUS!$A$2:$BZ$20001,0,AL$27),INDEX(CONSENSUS!$A$2:$BZ$20001,0,$B$11),$B$1,INDEX(CONSENSUS!$A$2:$BZ$20001,0,$B$12),$B$4,INDEX(CONSENSUS!$A$2:$BZ$20001,0,$B$13),$B$5,INDEX(CONSENSUS!$A$2:$BZ$20001,0,$B$10),$A37))</f>
        <v/>
      </c>
      <c r="AM37" s="21">
        <f>IF(OR(AM$27="",AM59=0),NA(),SUMIFS(INDEX(CONSENSUS!$A$2:$BZ$20001,0,AM$27),INDEX(CONSENSUS!$A$2:$BZ$20001,0,$B$11),$B$1,INDEX(CONSENSUS!$A$2:$BZ$20001,0,$B$12),$B$4,INDEX(CONSENSUS!$A$2:$BZ$20001,0,$B$13),$B$5,INDEX(CONSENSUS!$A$2:$BZ$20001,0,$B$10),$A37))</f>
        <v/>
      </c>
    </row>
    <row r="38">
      <c r="A38" s="20">
        <f>$F$4</f>
        <v/>
      </c>
      <c r="B38" s="19">
        <f>$A38&amp;" | BestFit"</f>
        <v/>
      </c>
      <c r="D38" s="21">
        <f>IF(OR(D$28="",D60=0),NA(),SUMIFS(INDEX(BESTFIT!$A$2:$BZ$20001,0,D$28),INDEX(BESTFIT!$A$2:$BZ$20001,0,$B$15),$B$1,INDEX(BESTFIT!$A$2:$BZ$20001,0,$B$16),$B$4,INDEX(BESTFIT!$A$2:$BZ$20001,0,$B$14),$A38))</f>
        <v/>
      </c>
      <c r="E38" s="21">
        <f>IF(OR(E$28="",E60=0),NA(),SUMIFS(INDEX(BESTFIT!$A$2:$BZ$20001,0,E$28),INDEX(BESTFIT!$A$2:$BZ$20001,0,$B$15),$B$1,INDEX(BESTFIT!$A$2:$BZ$20001,0,$B$16),$B$4,INDEX(BESTFIT!$A$2:$BZ$20001,0,$B$14),$A38))</f>
        <v/>
      </c>
      <c r="F38" s="21">
        <f>IF(OR(F$28="",F60=0),NA(),SUMIFS(INDEX(BESTFIT!$A$2:$BZ$20001,0,F$28),INDEX(BESTFIT!$A$2:$BZ$20001,0,$B$15),$B$1,INDEX(BESTFIT!$A$2:$BZ$20001,0,$B$16),$B$4,INDEX(BESTFIT!$A$2:$BZ$20001,0,$B$14),$A38))</f>
        <v/>
      </c>
      <c r="G38" s="21">
        <f>IF(OR(G$28="",G60=0),NA(),SUMIFS(INDEX(BESTFIT!$A$2:$BZ$20001,0,G$28),INDEX(BESTFIT!$A$2:$BZ$20001,0,$B$15),$B$1,INDEX(BESTFIT!$A$2:$BZ$20001,0,$B$16),$B$4,INDEX(BESTFIT!$A$2:$BZ$20001,0,$B$14),$A38))</f>
        <v/>
      </c>
      <c r="H38" s="21">
        <f>IF(OR(H$28="",H60=0),NA(),SUMIFS(INDEX(BESTFIT!$A$2:$BZ$20001,0,H$28),INDEX(BESTFIT!$A$2:$BZ$20001,0,$B$15),$B$1,INDEX(BESTFIT!$A$2:$BZ$20001,0,$B$16),$B$4,INDEX(BESTFIT!$A$2:$BZ$20001,0,$B$14),$A38))</f>
        <v/>
      </c>
      <c r="I38" s="21">
        <f>IF(OR(I$28="",I60=0),NA(),SUMIFS(INDEX(BESTFIT!$A$2:$BZ$20001,0,I$28),INDEX(BESTFIT!$A$2:$BZ$20001,0,$B$15),$B$1,INDEX(BESTFIT!$A$2:$BZ$20001,0,$B$16),$B$4,INDEX(BESTFIT!$A$2:$BZ$20001,0,$B$14),$A38))</f>
        <v/>
      </c>
      <c r="J38" s="21">
        <f>IF(OR(J$28="",J60=0),NA(),SUMIFS(INDEX(BESTFIT!$A$2:$BZ$20001,0,J$28),INDEX(BESTFIT!$A$2:$BZ$20001,0,$B$15),$B$1,INDEX(BESTFIT!$A$2:$BZ$20001,0,$B$16),$B$4,INDEX(BESTFIT!$A$2:$BZ$20001,0,$B$14),$A38))</f>
        <v/>
      </c>
      <c r="K38" s="21">
        <f>IF(OR(K$28="",K60=0),NA(),SUMIFS(INDEX(BESTFIT!$A$2:$BZ$20001,0,K$28),INDEX(BESTFIT!$A$2:$BZ$20001,0,$B$15),$B$1,INDEX(BESTFIT!$A$2:$BZ$20001,0,$B$16),$B$4,INDEX(BESTFIT!$A$2:$BZ$20001,0,$B$14),$A38))</f>
        <v/>
      </c>
      <c r="L38" s="21">
        <f>IF(OR(L$28="",L60=0),NA(),SUMIFS(INDEX(BESTFIT!$A$2:$BZ$20001,0,L$28),INDEX(BESTFIT!$A$2:$BZ$20001,0,$B$15),$B$1,INDEX(BESTFIT!$A$2:$BZ$20001,0,$B$16),$B$4,INDEX(BESTFIT!$A$2:$BZ$20001,0,$B$14),$A38))</f>
        <v/>
      </c>
      <c r="M38" s="21">
        <f>IF(OR(M$28="",M60=0),NA(),SUMIFS(INDEX(BESTFIT!$A$2:$BZ$20001,0,M$28),INDEX(BESTFIT!$A$2:$BZ$20001,0,$B$15),$B$1,INDEX(BESTFIT!$A$2:$BZ$20001,0,$B$16),$B$4,INDEX(BESTFIT!$A$2:$BZ$20001,0,$B$14),$A38))</f>
        <v/>
      </c>
      <c r="N38" s="21">
        <f>IF(OR(N$28="",N60=0),NA(),SUMIFS(INDEX(BESTFIT!$A$2:$BZ$20001,0,N$28),INDEX(BESTFIT!$A$2:$BZ$20001,0,$B$15),$B$1,INDEX(BESTFIT!$A$2:$BZ$20001,0,$B$16),$B$4,INDEX(BESTFIT!$A$2:$BZ$20001,0,$B$14),$A38))</f>
        <v/>
      </c>
      <c r="O38" s="21">
        <f>IF(OR(O$28="",O60=0),NA(),SUMIFS(INDEX(BESTFIT!$A$2:$BZ$20001,0,O$28),INDEX(BESTFIT!$A$2:$BZ$20001,0,$B$15),$B$1,INDEX(BESTFIT!$A$2:$BZ$20001,0,$B$16),$B$4,INDEX(BESTFIT!$A$2:$BZ$20001,0,$B$14),$A38))</f>
        <v/>
      </c>
      <c r="P38" s="21">
        <f>IF(OR(P$28="",P60=0),NA(),SUMIFS(INDEX(BESTFIT!$A$2:$BZ$20001,0,P$28),INDEX(BESTFIT!$A$2:$BZ$20001,0,$B$15),$B$1,INDEX(BESTFIT!$A$2:$BZ$20001,0,$B$16),$B$4,INDEX(BESTFIT!$A$2:$BZ$20001,0,$B$14),$A38))</f>
        <v/>
      </c>
      <c r="Q38" s="21">
        <f>IF(OR(Q$28="",Q60=0),NA(),SUMIFS(INDEX(BESTFIT!$A$2:$BZ$20001,0,Q$28),INDEX(BESTFIT!$A$2:$BZ$20001,0,$B$15),$B$1,INDEX(BESTFIT!$A$2:$BZ$20001,0,$B$16),$B$4,INDEX(BESTFIT!$A$2:$BZ$20001,0,$B$14),$A38))</f>
        <v/>
      </c>
      <c r="R38" s="21">
        <f>IF(OR(R$28="",R60=0),NA(),SUMIFS(INDEX(BESTFIT!$A$2:$BZ$20001,0,R$28),INDEX(BESTFIT!$A$2:$BZ$20001,0,$B$15),$B$1,INDEX(BESTFIT!$A$2:$BZ$20001,0,$B$16),$B$4,INDEX(BESTFIT!$A$2:$BZ$20001,0,$B$14),$A38))</f>
        <v/>
      </c>
      <c r="S38" s="21">
        <f>IF(OR(S$28="",S60=0),NA(),SUMIFS(INDEX(BESTFIT!$A$2:$BZ$20001,0,S$28),INDEX(BESTFIT!$A$2:$BZ$20001,0,$B$15),$B$1,INDEX(BESTFIT!$A$2:$BZ$20001,0,$B$16),$B$4,INDEX(BESTFIT!$A$2:$BZ$20001,0,$B$14),$A38))</f>
        <v/>
      </c>
      <c r="T38" s="21">
        <f>IF(OR(T$28="",T60=0),NA(),SUMIFS(INDEX(BESTFIT!$A$2:$BZ$20001,0,T$28),INDEX(BESTFIT!$A$2:$BZ$20001,0,$B$15),$B$1,INDEX(BESTFIT!$A$2:$BZ$20001,0,$B$16),$B$4,INDEX(BESTFIT!$A$2:$BZ$20001,0,$B$14),$A38))</f>
        <v/>
      </c>
      <c r="U38" s="21">
        <f>IF(OR(U$28="",U60=0),NA(),SUMIFS(INDEX(BESTFIT!$A$2:$BZ$20001,0,U$28),INDEX(BESTFIT!$A$2:$BZ$20001,0,$B$15),$B$1,INDEX(BESTFIT!$A$2:$BZ$20001,0,$B$16),$B$4,INDEX(BESTFIT!$A$2:$BZ$20001,0,$B$14),$A38))</f>
        <v/>
      </c>
      <c r="V38" s="21">
        <f>IF(OR(V$28="",V60=0),NA(),SUMIFS(INDEX(BESTFIT!$A$2:$BZ$20001,0,V$28),INDEX(BESTFIT!$A$2:$BZ$20001,0,$B$15),$B$1,INDEX(BESTFIT!$A$2:$BZ$20001,0,$B$16),$B$4,INDEX(BESTFIT!$A$2:$BZ$20001,0,$B$14),$A38))</f>
        <v/>
      </c>
      <c r="W38" s="21">
        <f>IF(OR(W$28="",W60=0),NA(),SUMIFS(INDEX(BESTFIT!$A$2:$BZ$20001,0,W$28),INDEX(BESTFIT!$A$2:$BZ$20001,0,$B$15),$B$1,INDEX(BESTFIT!$A$2:$BZ$20001,0,$B$16),$B$4,INDEX(BESTFIT!$A$2:$BZ$20001,0,$B$14),$A38))</f>
        <v/>
      </c>
      <c r="X38" s="21">
        <f>IF(OR(X$28="",X60=0),NA(),SUMIFS(INDEX(BESTFIT!$A$2:$BZ$20001,0,X$28),INDEX(BESTFIT!$A$2:$BZ$20001,0,$B$15),$B$1,INDEX(BESTFIT!$A$2:$BZ$20001,0,$B$16),$B$4,INDEX(BESTFIT!$A$2:$BZ$20001,0,$B$14),$A38))</f>
        <v/>
      </c>
      <c r="Y38" s="21">
        <f>IF(OR(Y$28="",Y60=0),NA(),SUMIFS(INDEX(BESTFIT!$A$2:$BZ$20001,0,Y$28),INDEX(BESTFIT!$A$2:$BZ$20001,0,$B$15),$B$1,INDEX(BESTFIT!$A$2:$BZ$20001,0,$B$16),$B$4,INDEX(BESTFIT!$A$2:$BZ$20001,0,$B$14),$A38))</f>
        <v/>
      </c>
      <c r="Z38" s="21">
        <f>IF(OR(Z$28="",Z60=0),NA(),SUMIFS(INDEX(BESTFIT!$A$2:$BZ$20001,0,Z$28),INDEX(BESTFIT!$A$2:$BZ$20001,0,$B$15),$B$1,INDEX(BESTFIT!$A$2:$BZ$20001,0,$B$16),$B$4,INDEX(BESTFIT!$A$2:$BZ$20001,0,$B$14),$A38))</f>
        <v/>
      </c>
      <c r="AA38" s="21">
        <f>IF(OR(AA$28="",AA60=0),NA(),SUMIFS(INDEX(BESTFIT!$A$2:$BZ$20001,0,AA$28),INDEX(BESTFIT!$A$2:$BZ$20001,0,$B$15),$B$1,INDEX(BESTFIT!$A$2:$BZ$20001,0,$B$16),$B$4,INDEX(BESTFIT!$A$2:$BZ$20001,0,$B$14),$A38))</f>
        <v/>
      </c>
      <c r="AB38" s="21">
        <f>IF(OR(AB$28="",AB60=0),NA(),SUMIFS(INDEX(BESTFIT!$A$2:$BZ$20001,0,AB$28),INDEX(BESTFIT!$A$2:$BZ$20001,0,$B$15),$B$1,INDEX(BESTFIT!$A$2:$BZ$20001,0,$B$16),$B$4,INDEX(BESTFIT!$A$2:$BZ$20001,0,$B$14),$A38))</f>
        <v/>
      </c>
      <c r="AC38" s="21">
        <f>IF(OR(AC$28="",AC60=0),NA(),SUMIFS(INDEX(BESTFIT!$A$2:$BZ$20001,0,AC$28),INDEX(BESTFIT!$A$2:$BZ$20001,0,$B$15),$B$1,INDEX(BESTFIT!$A$2:$BZ$20001,0,$B$16),$B$4,INDEX(BESTFIT!$A$2:$BZ$20001,0,$B$14),$A38))</f>
        <v/>
      </c>
      <c r="AD38" s="21">
        <f>IF(OR(AD$28="",AD60=0),NA(),SUMIFS(INDEX(BESTFIT!$A$2:$BZ$20001,0,AD$28),INDEX(BESTFIT!$A$2:$BZ$20001,0,$B$15),$B$1,INDEX(BESTFIT!$A$2:$BZ$20001,0,$B$16),$B$4,INDEX(BESTFIT!$A$2:$BZ$20001,0,$B$14),$A38))</f>
        <v/>
      </c>
      <c r="AE38" s="21">
        <f>IF(OR(AE$28="",AE60=0),NA(),SUMIFS(INDEX(BESTFIT!$A$2:$BZ$20001,0,AE$28),INDEX(BESTFIT!$A$2:$BZ$20001,0,$B$15),$B$1,INDEX(BESTFIT!$A$2:$BZ$20001,0,$B$16),$B$4,INDEX(BESTFIT!$A$2:$BZ$20001,0,$B$14),$A38))</f>
        <v/>
      </c>
      <c r="AF38" s="21">
        <f>IF(OR(AF$28="",AF60=0),NA(),SUMIFS(INDEX(BESTFIT!$A$2:$BZ$20001,0,AF$28),INDEX(BESTFIT!$A$2:$BZ$20001,0,$B$15),$B$1,INDEX(BESTFIT!$A$2:$BZ$20001,0,$B$16),$B$4,INDEX(BESTFIT!$A$2:$BZ$20001,0,$B$14),$A38))</f>
        <v/>
      </c>
      <c r="AG38" s="21">
        <f>IF(OR(AG$28="",AG60=0),NA(),SUMIFS(INDEX(BESTFIT!$A$2:$BZ$20001,0,AG$28),INDEX(BESTFIT!$A$2:$BZ$20001,0,$B$15),$B$1,INDEX(BESTFIT!$A$2:$BZ$20001,0,$B$16),$B$4,INDEX(BESTFIT!$A$2:$BZ$20001,0,$B$14),$A38))</f>
        <v/>
      </c>
      <c r="AH38" s="21">
        <f>IF(OR(AH$28="",AH60=0),NA(),SUMIFS(INDEX(BESTFIT!$A$2:$BZ$20001,0,AH$28),INDEX(BESTFIT!$A$2:$BZ$20001,0,$B$15),$B$1,INDEX(BESTFIT!$A$2:$BZ$20001,0,$B$16),$B$4,INDEX(BESTFIT!$A$2:$BZ$20001,0,$B$14),$A38))</f>
        <v/>
      </c>
      <c r="AI38" s="21">
        <f>IF(OR(AI$28="",AI60=0),NA(),SUMIFS(INDEX(BESTFIT!$A$2:$BZ$20001,0,AI$28),INDEX(BESTFIT!$A$2:$BZ$20001,0,$B$15),$B$1,INDEX(BESTFIT!$A$2:$BZ$20001,0,$B$16),$B$4,INDEX(BESTFIT!$A$2:$BZ$20001,0,$B$14),$A38))</f>
        <v/>
      </c>
      <c r="AJ38" s="21">
        <f>IF(OR(AJ$28="",AJ60=0),NA(),SUMIFS(INDEX(BESTFIT!$A$2:$BZ$20001,0,AJ$28),INDEX(BESTFIT!$A$2:$BZ$20001,0,$B$15),$B$1,INDEX(BESTFIT!$A$2:$BZ$20001,0,$B$16),$B$4,INDEX(BESTFIT!$A$2:$BZ$20001,0,$B$14),$A38))</f>
        <v/>
      </c>
      <c r="AK38" s="21">
        <f>IF(OR(AK$28="",AK60=0),NA(),SUMIFS(INDEX(BESTFIT!$A$2:$BZ$20001,0,AK$28),INDEX(BESTFIT!$A$2:$BZ$20001,0,$B$15),$B$1,INDEX(BESTFIT!$A$2:$BZ$20001,0,$B$16),$B$4,INDEX(BESTFIT!$A$2:$BZ$20001,0,$B$14),$A38))</f>
        <v/>
      </c>
      <c r="AL38" s="21">
        <f>IF(OR(AL$28="",AL60=0),NA(),SUMIFS(INDEX(BESTFIT!$A$2:$BZ$20001,0,AL$28),INDEX(BESTFIT!$A$2:$BZ$20001,0,$B$15),$B$1,INDEX(BESTFIT!$A$2:$BZ$20001,0,$B$16),$B$4,INDEX(BESTFIT!$A$2:$BZ$20001,0,$B$14),$A38))</f>
        <v/>
      </c>
      <c r="AM38" s="21">
        <f>IF(OR(AM$28="",AM60=0),NA(),SUMIFS(INDEX(BESTFIT!$A$2:$BZ$20001,0,AM$28),INDEX(BESTFIT!$A$2:$BZ$20001,0,$B$15),$B$1,INDEX(BESTFIT!$A$2:$BZ$20001,0,$B$16),$B$4,INDEX(BESTFIT!$A$2:$BZ$20001,0,$B$14),$A38))</f>
        <v/>
      </c>
    </row>
    <row r="39">
      <c r="A39" s="20">
        <f>$F$2</f>
        <v/>
      </c>
      <c r="B39" s="19">
        <f>$A39&amp;" | BestFit"</f>
        <v/>
      </c>
      <c r="D39" s="21">
        <f>IF(OR(D$28="",D61=0),NA(),SUMIFS(INDEX(BESTFIT!$A$2:$BZ$20001,0,D$28),INDEX(BESTFIT!$A$2:$BZ$20001,0,$B$15),$B$1,INDEX(BESTFIT!$A$2:$BZ$20001,0,$B$16),$B$4,INDEX(BESTFIT!$A$2:$BZ$20001,0,$B$14),$A39))</f>
        <v/>
      </c>
      <c r="E39" s="21">
        <f>IF(OR(E$28="",E61=0),NA(),SUMIFS(INDEX(BESTFIT!$A$2:$BZ$20001,0,E$28),INDEX(BESTFIT!$A$2:$BZ$20001,0,$B$15),$B$1,INDEX(BESTFIT!$A$2:$BZ$20001,0,$B$16),$B$4,INDEX(BESTFIT!$A$2:$BZ$20001,0,$B$14),$A39))</f>
        <v/>
      </c>
      <c r="F39" s="21">
        <f>IF(OR(F$28="",F61=0),NA(),SUMIFS(INDEX(BESTFIT!$A$2:$BZ$20001,0,F$28),INDEX(BESTFIT!$A$2:$BZ$20001,0,$B$15),$B$1,INDEX(BESTFIT!$A$2:$BZ$20001,0,$B$16),$B$4,INDEX(BESTFIT!$A$2:$BZ$20001,0,$B$14),$A39))</f>
        <v/>
      </c>
      <c r="G39" s="21">
        <f>IF(OR(G$28="",G61=0),NA(),SUMIFS(INDEX(BESTFIT!$A$2:$BZ$20001,0,G$28),INDEX(BESTFIT!$A$2:$BZ$20001,0,$B$15),$B$1,INDEX(BESTFIT!$A$2:$BZ$20001,0,$B$16),$B$4,INDEX(BESTFIT!$A$2:$BZ$20001,0,$B$14),$A39))</f>
        <v/>
      </c>
      <c r="H39" s="21">
        <f>IF(OR(H$28="",H61=0),NA(),SUMIFS(INDEX(BESTFIT!$A$2:$BZ$20001,0,H$28),INDEX(BESTFIT!$A$2:$BZ$20001,0,$B$15),$B$1,INDEX(BESTFIT!$A$2:$BZ$20001,0,$B$16),$B$4,INDEX(BESTFIT!$A$2:$BZ$20001,0,$B$14),$A39))</f>
        <v/>
      </c>
      <c r="I39" s="21">
        <f>IF(OR(I$28="",I61=0),NA(),SUMIFS(INDEX(BESTFIT!$A$2:$BZ$20001,0,I$28),INDEX(BESTFIT!$A$2:$BZ$20001,0,$B$15),$B$1,INDEX(BESTFIT!$A$2:$BZ$20001,0,$B$16),$B$4,INDEX(BESTFIT!$A$2:$BZ$20001,0,$B$14),$A39))</f>
        <v/>
      </c>
      <c r="J39" s="21">
        <f>IF(OR(J$28="",J61=0),NA(),SUMIFS(INDEX(BESTFIT!$A$2:$BZ$20001,0,J$28),INDEX(BESTFIT!$A$2:$BZ$20001,0,$B$15),$B$1,INDEX(BESTFIT!$A$2:$BZ$20001,0,$B$16),$B$4,INDEX(BESTFIT!$A$2:$BZ$20001,0,$B$14),$A39))</f>
        <v/>
      </c>
      <c r="K39" s="21">
        <f>IF(OR(K$28="",K61=0),NA(),SUMIFS(INDEX(BESTFIT!$A$2:$BZ$20001,0,K$28),INDEX(BESTFIT!$A$2:$BZ$20001,0,$B$15),$B$1,INDEX(BESTFIT!$A$2:$BZ$20001,0,$B$16),$B$4,INDEX(BESTFIT!$A$2:$BZ$20001,0,$B$14),$A39))</f>
        <v/>
      </c>
      <c r="L39" s="21">
        <f>IF(OR(L$28="",L61=0),NA(),SUMIFS(INDEX(BESTFIT!$A$2:$BZ$20001,0,L$28),INDEX(BESTFIT!$A$2:$BZ$20001,0,$B$15),$B$1,INDEX(BESTFIT!$A$2:$BZ$20001,0,$B$16),$B$4,INDEX(BESTFIT!$A$2:$BZ$20001,0,$B$14),$A39))</f>
        <v/>
      </c>
      <c r="M39" s="21">
        <f>IF(OR(M$28="",M61=0),NA(),SUMIFS(INDEX(BESTFIT!$A$2:$BZ$20001,0,M$28),INDEX(BESTFIT!$A$2:$BZ$20001,0,$B$15),$B$1,INDEX(BESTFIT!$A$2:$BZ$20001,0,$B$16),$B$4,INDEX(BESTFIT!$A$2:$BZ$20001,0,$B$14),$A39))</f>
        <v/>
      </c>
      <c r="N39" s="21">
        <f>IF(OR(N$28="",N61=0),NA(),SUMIFS(INDEX(BESTFIT!$A$2:$BZ$20001,0,N$28),INDEX(BESTFIT!$A$2:$BZ$20001,0,$B$15),$B$1,INDEX(BESTFIT!$A$2:$BZ$20001,0,$B$16),$B$4,INDEX(BESTFIT!$A$2:$BZ$20001,0,$B$14),$A39))</f>
        <v/>
      </c>
      <c r="O39" s="21">
        <f>IF(OR(O$28="",O61=0),NA(),SUMIFS(INDEX(BESTFIT!$A$2:$BZ$20001,0,O$28),INDEX(BESTFIT!$A$2:$BZ$20001,0,$B$15),$B$1,INDEX(BESTFIT!$A$2:$BZ$20001,0,$B$16),$B$4,INDEX(BESTFIT!$A$2:$BZ$20001,0,$B$14),$A39))</f>
        <v/>
      </c>
      <c r="P39" s="21">
        <f>IF(OR(P$28="",P61=0),NA(),SUMIFS(INDEX(BESTFIT!$A$2:$BZ$20001,0,P$28),INDEX(BESTFIT!$A$2:$BZ$20001,0,$B$15),$B$1,INDEX(BESTFIT!$A$2:$BZ$20001,0,$B$16),$B$4,INDEX(BESTFIT!$A$2:$BZ$20001,0,$B$14),$A39))</f>
        <v/>
      </c>
      <c r="Q39" s="21">
        <f>IF(OR(Q$28="",Q61=0),NA(),SUMIFS(INDEX(BESTFIT!$A$2:$BZ$20001,0,Q$28),INDEX(BESTFIT!$A$2:$BZ$20001,0,$B$15),$B$1,INDEX(BESTFIT!$A$2:$BZ$20001,0,$B$16),$B$4,INDEX(BESTFIT!$A$2:$BZ$20001,0,$B$14),$A39))</f>
        <v/>
      </c>
      <c r="R39" s="21">
        <f>IF(OR(R$28="",R61=0),NA(),SUMIFS(INDEX(BESTFIT!$A$2:$BZ$20001,0,R$28),INDEX(BESTFIT!$A$2:$BZ$20001,0,$B$15),$B$1,INDEX(BESTFIT!$A$2:$BZ$20001,0,$B$16),$B$4,INDEX(BESTFIT!$A$2:$BZ$20001,0,$B$14),$A39))</f>
        <v/>
      </c>
      <c r="S39" s="21">
        <f>IF(OR(S$28="",S61=0),NA(),SUMIFS(INDEX(BESTFIT!$A$2:$BZ$20001,0,S$28),INDEX(BESTFIT!$A$2:$BZ$20001,0,$B$15),$B$1,INDEX(BESTFIT!$A$2:$BZ$20001,0,$B$16),$B$4,INDEX(BESTFIT!$A$2:$BZ$20001,0,$B$14),$A39))</f>
        <v/>
      </c>
      <c r="T39" s="21">
        <f>IF(OR(T$28="",T61=0),NA(),SUMIFS(INDEX(BESTFIT!$A$2:$BZ$20001,0,T$28),INDEX(BESTFIT!$A$2:$BZ$20001,0,$B$15),$B$1,INDEX(BESTFIT!$A$2:$BZ$20001,0,$B$16),$B$4,INDEX(BESTFIT!$A$2:$BZ$20001,0,$B$14),$A39))</f>
        <v/>
      </c>
      <c r="U39" s="21">
        <f>IF(OR(U$28="",U61=0),NA(),SUMIFS(INDEX(BESTFIT!$A$2:$BZ$20001,0,U$28),INDEX(BESTFIT!$A$2:$BZ$20001,0,$B$15),$B$1,INDEX(BESTFIT!$A$2:$BZ$20001,0,$B$16),$B$4,INDEX(BESTFIT!$A$2:$BZ$20001,0,$B$14),$A39))</f>
        <v/>
      </c>
      <c r="V39" s="21">
        <f>IF(OR(V$28="",V61=0),NA(),SUMIFS(INDEX(BESTFIT!$A$2:$BZ$20001,0,V$28),INDEX(BESTFIT!$A$2:$BZ$20001,0,$B$15),$B$1,INDEX(BESTFIT!$A$2:$BZ$20001,0,$B$16),$B$4,INDEX(BESTFIT!$A$2:$BZ$20001,0,$B$14),$A39))</f>
        <v/>
      </c>
      <c r="W39" s="21">
        <f>IF(OR(W$28="",W61=0),NA(),SUMIFS(INDEX(BESTFIT!$A$2:$BZ$20001,0,W$28),INDEX(BESTFIT!$A$2:$BZ$20001,0,$B$15),$B$1,INDEX(BESTFIT!$A$2:$BZ$20001,0,$B$16),$B$4,INDEX(BESTFIT!$A$2:$BZ$20001,0,$B$14),$A39))</f>
        <v/>
      </c>
      <c r="X39" s="21">
        <f>IF(OR(X$28="",X61=0),NA(),SUMIFS(INDEX(BESTFIT!$A$2:$BZ$20001,0,X$28),INDEX(BESTFIT!$A$2:$BZ$20001,0,$B$15),$B$1,INDEX(BESTFIT!$A$2:$BZ$20001,0,$B$16),$B$4,INDEX(BESTFIT!$A$2:$BZ$20001,0,$B$14),$A39))</f>
        <v/>
      </c>
      <c r="Y39" s="21">
        <f>IF(OR(Y$28="",Y61=0),NA(),SUMIFS(INDEX(BESTFIT!$A$2:$BZ$20001,0,Y$28),INDEX(BESTFIT!$A$2:$BZ$20001,0,$B$15),$B$1,INDEX(BESTFIT!$A$2:$BZ$20001,0,$B$16),$B$4,INDEX(BESTFIT!$A$2:$BZ$20001,0,$B$14),$A39))</f>
        <v/>
      </c>
      <c r="Z39" s="21">
        <f>IF(OR(Z$28="",Z61=0),NA(),SUMIFS(INDEX(BESTFIT!$A$2:$BZ$20001,0,Z$28),INDEX(BESTFIT!$A$2:$BZ$20001,0,$B$15),$B$1,INDEX(BESTFIT!$A$2:$BZ$20001,0,$B$16),$B$4,INDEX(BESTFIT!$A$2:$BZ$20001,0,$B$14),$A39))</f>
        <v/>
      </c>
      <c r="AA39" s="21">
        <f>IF(OR(AA$28="",AA61=0),NA(),SUMIFS(INDEX(BESTFIT!$A$2:$BZ$20001,0,AA$28),INDEX(BESTFIT!$A$2:$BZ$20001,0,$B$15),$B$1,INDEX(BESTFIT!$A$2:$BZ$20001,0,$B$16),$B$4,INDEX(BESTFIT!$A$2:$BZ$20001,0,$B$14),$A39))</f>
        <v/>
      </c>
      <c r="AB39" s="21">
        <f>IF(OR(AB$28="",AB61=0),NA(),SUMIFS(INDEX(BESTFIT!$A$2:$BZ$20001,0,AB$28),INDEX(BESTFIT!$A$2:$BZ$20001,0,$B$15),$B$1,INDEX(BESTFIT!$A$2:$BZ$20001,0,$B$16),$B$4,INDEX(BESTFIT!$A$2:$BZ$20001,0,$B$14),$A39))</f>
        <v/>
      </c>
      <c r="AC39" s="21">
        <f>IF(OR(AC$28="",AC61=0),NA(),SUMIFS(INDEX(BESTFIT!$A$2:$BZ$20001,0,AC$28),INDEX(BESTFIT!$A$2:$BZ$20001,0,$B$15),$B$1,INDEX(BESTFIT!$A$2:$BZ$20001,0,$B$16),$B$4,INDEX(BESTFIT!$A$2:$BZ$20001,0,$B$14),$A39))</f>
        <v/>
      </c>
      <c r="AD39" s="21">
        <f>IF(OR(AD$28="",AD61=0),NA(),SUMIFS(INDEX(BESTFIT!$A$2:$BZ$20001,0,AD$28),INDEX(BESTFIT!$A$2:$BZ$20001,0,$B$15),$B$1,INDEX(BESTFIT!$A$2:$BZ$20001,0,$B$16),$B$4,INDEX(BESTFIT!$A$2:$BZ$20001,0,$B$14),$A39))</f>
        <v/>
      </c>
      <c r="AE39" s="21">
        <f>IF(OR(AE$28="",AE61=0),NA(),SUMIFS(INDEX(BESTFIT!$A$2:$BZ$20001,0,AE$28),INDEX(BESTFIT!$A$2:$BZ$20001,0,$B$15),$B$1,INDEX(BESTFIT!$A$2:$BZ$20001,0,$B$16),$B$4,INDEX(BESTFIT!$A$2:$BZ$20001,0,$B$14),$A39))</f>
        <v/>
      </c>
      <c r="AF39" s="21">
        <f>IF(OR(AF$28="",AF61=0),NA(),SUMIFS(INDEX(BESTFIT!$A$2:$BZ$20001,0,AF$28),INDEX(BESTFIT!$A$2:$BZ$20001,0,$B$15),$B$1,INDEX(BESTFIT!$A$2:$BZ$20001,0,$B$16),$B$4,INDEX(BESTFIT!$A$2:$BZ$20001,0,$B$14),$A39))</f>
        <v/>
      </c>
      <c r="AG39" s="21">
        <f>IF(OR(AG$28="",AG61=0),NA(),SUMIFS(INDEX(BESTFIT!$A$2:$BZ$20001,0,AG$28),INDEX(BESTFIT!$A$2:$BZ$20001,0,$B$15),$B$1,INDEX(BESTFIT!$A$2:$BZ$20001,0,$B$16),$B$4,INDEX(BESTFIT!$A$2:$BZ$20001,0,$B$14),$A39))</f>
        <v/>
      </c>
      <c r="AH39" s="21">
        <f>IF(OR(AH$28="",AH61=0),NA(),SUMIFS(INDEX(BESTFIT!$A$2:$BZ$20001,0,AH$28),INDEX(BESTFIT!$A$2:$BZ$20001,0,$B$15),$B$1,INDEX(BESTFIT!$A$2:$BZ$20001,0,$B$16),$B$4,INDEX(BESTFIT!$A$2:$BZ$20001,0,$B$14),$A39))</f>
        <v/>
      </c>
      <c r="AI39" s="21">
        <f>IF(OR(AI$28="",AI61=0),NA(),SUMIFS(INDEX(BESTFIT!$A$2:$BZ$20001,0,AI$28),INDEX(BESTFIT!$A$2:$BZ$20001,0,$B$15),$B$1,INDEX(BESTFIT!$A$2:$BZ$20001,0,$B$16),$B$4,INDEX(BESTFIT!$A$2:$BZ$20001,0,$B$14),$A39))</f>
        <v/>
      </c>
      <c r="AJ39" s="21">
        <f>IF(OR(AJ$28="",AJ61=0),NA(),SUMIFS(INDEX(BESTFIT!$A$2:$BZ$20001,0,AJ$28),INDEX(BESTFIT!$A$2:$BZ$20001,0,$B$15),$B$1,INDEX(BESTFIT!$A$2:$BZ$20001,0,$B$16),$B$4,INDEX(BESTFIT!$A$2:$BZ$20001,0,$B$14),$A39))</f>
        <v/>
      </c>
      <c r="AK39" s="21">
        <f>IF(OR(AK$28="",AK61=0),NA(),SUMIFS(INDEX(BESTFIT!$A$2:$BZ$20001,0,AK$28),INDEX(BESTFIT!$A$2:$BZ$20001,0,$B$15),$B$1,INDEX(BESTFIT!$A$2:$BZ$20001,0,$B$16),$B$4,INDEX(BESTFIT!$A$2:$BZ$20001,0,$B$14),$A39))</f>
        <v/>
      </c>
      <c r="AL39" s="21">
        <f>IF(OR(AL$28="",AL61=0),NA(),SUMIFS(INDEX(BESTFIT!$A$2:$BZ$20001,0,AL$28),INDEX(BESTFIT!$A$2:$BZ$20001,0,$B$15),$B$1,INDEX(BESTFIT!$A$2:$BZ$20001,0,$B$16),$B$4,INDEX(BESTFIT!$A$2:$BZ$20001,0,$B$14),$A39))</f>
        <v/>
      </c>
      <c r="AM39" s="21">
        <f>IF(OR(AM$28="",AM61=0),NA(),SUMIFS(INDEX(BESTFIT!$A$2:$BZ$20001,0,AM$28),INDEX(BESTFIT!$A$2:$BZ$20001,0,$B$15),$B$1,INDEX(BESTFIT!$A$2:$BZ$20001,0,$B$16),$B$4,INDEX(BESTFIT!$A$2:$BZ$20001,0,$B$14),$A39))</f>
        <v/>
      </c>
    </row>
    <row r="40">
      <c r="A40" s="20">
        <f>$F$3</f>
        <v/>
      </c>
      <c r="B40" s="19">
        <f>$A40&amp;" | BestFit"</f>
        <v/>
      </c>
      <c r="D40" s="21">
        <f>IF(OR(D$28="",D62=0),NA(),SUMIFS(INDEX(BESTFIT!$A$2:$BZ$20001,0,D$28),INDEX(BESTFIT!$A$2:$BZ$20001,0,$B$15),$B$1,INDEX(BESTFIT!$A$2:$BZ$20001,0,$B$16),$B$4,INDEX(BESTFIT!$A$2:$BZ$20001,0,$B$14),$A40))</f>
        <v/>
      </c>
      <c r="E40" s="21">
        <f>IF(OR(E$28="",E62=0),NA(),SUMIFS(INDEX(BESTFIT!$A$2:$BZ$20001,0,E$28),INDEX(BESTFIT!$A$2:$BZ$20001,0,$B$15),$B$1,INDEX(BESTFIT!$A$2:$BZ$20001,0,$B$16),$B$4,INDEX(BESTFIT!$A$2:$BZ$20001,0,$B$14),$A40))</f>
        <v/>
      </c>
      <c r="F40" s="21">
        <f>IF(OR(F$28="",F62=0),NA(),SUMIFS(INDEX(BESTFIT!$A$2:$BZ$20001,0,F$28),INDEX(BESTFIT!$A$2:$BZ$20001,0,$B$15),$B$1,INDEX(BESTFIT!$A$2:$BZ$20001,0,$B$16),$B$4,INDEX(BESTFIT!$A$2:$BZ$20001,0,$B$14),$A40))</f>
        <v/>
      </c>
      <c r="G40" s="21">
        <f>IF(OR(G$28="",G62=0),NA(),SUMIFS(INDEX(BESTFIT!$A$2:$BZ$20001,0,G$28),INDEX(BESTFIT!$A$2:$BZ$20001,0,$B$15),$B$1,INDEX(BESTFIT!$A$2:$BZ$20001,0,$B$16),$B$4,INDEX(BESTFIT!$A$2:$BZ$20001,0,$B$14),$A40))</f>
        <v/>
      </c>
      <c r="H40" s="21">
        <f>IF(OR(H$28="",H62=0),NA(),SUMIFS(INDEX(BESTFIT!$A$2:$BZ$20001,0,H$28),INDEX(BESTFIT!$A$2:$BZ$20001,0,$B$15),$B$1,INDEX(BESTFIT!$A$2:$BZ$20001,0,$B$16),$B$4,INDEX(BESTFIT!$A$2:$BZ$20001,0,$B$14),$A40))</f>
        <v/>
      </c>
      <c r="I40" s="21">
        <f>IF(OR(I$28="",I62=0),NA(),SUMIFS(INDEX(BESTFIT!$A$2:$BZ$20001,0,I$28),INDEX(BESTFIT!$A$2:$BZ$20001,0,$B$15),$B$1,INDEX(BESTFIT!$A$2:$BZ$20001,0,$B$16),$B$4,INDEX(BESTFIT!$A$2:$BZ$20001,0,$B$14),$A40))</f>
        <v/>
      </c>
      <c r="J40" s="21">
        <f>IF(OR(J$28="",J62=0),NA(),SUMIFS(INDEX(BESTFIT!$A$2:$BZ$20001,0,J$28),INDEX(BESTFIT!$A$2:$BZ$20001,0,$B$15),$B$1,INDEX(BESTFIT!$A$2:$BZ$20001,0,$B$16),$B$4,INDEX(BESTFIT!$A$2:$BZ$20001,0,$B$14),$A40))</f>
        <v/>
      </c>
      <c r="K40" s="21">
        <f>IF(OR(K$28="",K62=0),NA(),SUMIFS(INDEX(BESTFIT!$A$2:$BZ$20001,0,K$28),INDEX(BESTFIT!$A$2:$BZ$20001,0,$B$15),$B$1,INDEX(BESTFIT!$A$2:$BZ$20001,0,$B$16),$B$4,INDEX(BESTFIT!$A$2:$BZ$20001,0,$B$14),$A40))</f>
        <v/>
      </c>
      <c r="L40" s="21">
        <f>IF(OR(L$28="",L62=0),NA(),SUMIFS(INDEX(BESTFIT!$A$2:$BZ$20001,0,L$28),INDEX(BESTFIT!$A$2:$BZ$20001,0,$B$15),$B$1,INDEX(BESTFIT!$A$2:$BZ$20001,0,$B$16),$B$4,INDEX(BESTFIT!$A$2:$BZ$20001,0,$B$14),$A40))</f>
        <v/>
      </c>
      <c r="M40" s="21">
        <f>IF(OR(M$28="",M62=0),NA(),SUMIFS(INDEX(BESTFIT!$A$2:$BZ$20001,0,M$28),INDEX(BESTFIT!$A$2:$BZ$20001,0,$B$15),$B$1,INDEX(BESTFIT!$A$2:$BZ$20001,0,$B$16),$B$4,INDEX(BESTFIT!$A$2:$BZ$20001,0,$B$14),$A40))</f>
        <v/>
      </c>
      <c r="N40" s="21">
        <f>IF(OR(N$28="",N62=0),NA(),SUMIFS(INDEX(BESTFIT!$A$2:$BZ$20001,0,N$28),INDEX(BESTFIT!$A$2:$BZ$20001,0,$B$15),$B$1,INDEX(BESTFIT!$A$2:$BZ$20001,0,$B$16),$B$4,INDEX(BESTFIT!$A$2:$BZ$20001,0,$B$14),$A40))</f>
        <v/>
      </c>
      <c r="O40" s="21">
        <f>IF(OR(O$28="",O62=0),NA(),SUMIFS(INDEX(BESTFIT!$A$2:$BZ$20001,0,O$28),INDEX(BESTFIT!$A$2:$BZ$20001,0,$B$15),$B$1,INDEX(BESTFIT!$A$2:$BZ$20001,0,$B$16),$B$4,INDEX(BESTFIT!$A$2:$BZ$20001,0,$B$14),$A40))</f>
        <v/>
      </c>
      <c r="P40" s="21">
        <f>IF(OR(P$28="",P62=0),NA(),SUMIFS(INDEX(BESTFIT!$A$2:$BZ$20001,0,P$28),INDEX(BESTFIT!$A$2:$BZ$20001,0,$B$15),$B$1,INDEX(BESTFIT!$A$2:$BZ$20001,0,$B$16),$B$4,INDEX(BESTFIT!$A$2:$BZ$20001,0,$B$14),$A40))</f>
        <v/>
      </c>
      <c r="Q40" s="21">
        <f>IF(OR(Q$28="",Q62=0),NA(),SUMIFS(INDEX(BESTFIT!$A$2:$BZ$20001,0,Q$28),INDEX(BESTFIT!$A$2:$BZ$20001,0,$B$15),$B$1,INDEX(BESTFIT!$A$2:$BZ$20001,0,$B$16),$B$4,INDEX(BESTFIT!$A$2:$BZ$20001,0,$B$14),$A40))</f>
        <v/>
      </c>
      <c r="R40" s="21">
        <f>IF(OR(R$28="",R62=0),NA(),SUMIFS(INDEX(BESTFIT!$A$2:$BZ$20001,0,R$28),INDEX(BESTFIT!$A$2:$BZ$20001,0,$B$15),$B$1,INDEX(BESTFIT!$A$2:$BZ$20001,0,$B$16),$B$4,INDEX(BESTFIT!$A$2:$BZ$20001,0,$B$14),$A40))</f>
        <v/>
      </c>
      <c r="S40" s="21">
        <f>IF(OR(S$28="",S62=0),NA(),SUMIFS(INDEX(BESTFIT!$A$2:$BZ$20001,0,S$28),INDEX(BESTFIT!$A$2:$BZ$20001,0,$B$15),$B$1,INDEX(BESTFIT!$A$2:$BZ$20001,0,$B$16),$B$4,INDEX(BESTFIT!$A$2:$BZ$20001,0,$B$14),$A40))</f>
        <v/>
      </c>
      <c r="T40" s="21">
        <f>IF(OR(T$28="",T62=0),NA(),SUMIFS(INDEX(BESTFIT!$A$2:$BZ$20001,0,T$28),INDEX(BESTFIT!$A$2:$BZ$20001,0,$B$15),$B$1,INDEX(BESTFIT!$A$2:$BZ$20001,0,$B$16),$B$4,INDEX(BESTFIT!$A$2:$BZ$20001,0,$B$14),$A40))</f>
        <v/>
      </c>
      <c r="U40" s="21">
        <f>IF(OR(U$28="",U62=0),NA(),SUMIFS(INDEX(BESTFIT!$A$2:$BZ$20001,0,U$28),INDEX(BESTFIT!$A$2:$BZ$20001,0,$B$15),$B$1,INDEX(BESTFIT!$A$2:$BZ$20001,0,$B$16),$B$4,INDEX(BESTFIT!$A$2:$BZ$20001,0,$B$14),$A40))</f>
        <v/>
      </c>
      <c r="V40" s="21">
        <f>IF(OR(V$28="",V62=0),NA(),SUMIFS(INDEX(BESTFIT!$A$2:$BZ$20001,0,V$28),INDEX(BESTFIT!$A$2:$BZ$20001,0,$B$15),$B$1,INDEX(BESTFIT!$A$2:$BZ$20001,0,$B$16),$B$4,INDEX(BESTFIT!$A$2:$BZ$20001,0,$B$14),$A40))</f>
        <v/>
      </c>
      <c r="W40" s="21">
        <f>IF(OR(W$28="",W62=0),NA(),SUMIFS(INDEX(BESTFIT!$A$2:$BZ$20001,0,W$28),INDEX(BESTFIT!$A$2:$BZ$20001,0,$B$15),$B$1,INDEX(BESTFIT!$A$2:$BZ$20001,0,$B$16),$B$4,INDEX(BESTFIT!$A$2:$BZ$20001,0,$B$14),$A40))</f>
        <v/>
      </c>
      <c r="X40" s="21">
        <f>IF(OR(X$28="",X62=0),NA(),SUMIFS(INDEX(BESTFIT!$A$2:$BZ$20001,0,X$28),INDEX(BESTFIT!$A$2:$BZ$20001,0,$B$15),$B$1,INDEX(BESTFIT!$A$2:$BZ$20001,0,$B$16),$B$4,INDEX(BESTFIT!$A$2:$BZ$20001,0,$B$14),$A40))</f>
        <v/>
      </c>
      <c r="Y40" s="21">
        <f>IF(OR(Y$28="",Y62=0),NA(),SUMIFS(INDEX(BESTFIT!$A$2:$BZ$20001,0,Y$28),INDEX(BESTFIT!$A$2:$BZ$20001,0,$B$15),$B$1,INDEX(BESTFIT!$A$2:$BZ$20001,0,$B$16),$B$4,INDEX(BESTFIT!$A$2:$BZ$20001,0,$B$14),$A40))</f>
        <v/>
      </c>
      <c r="Z40" s="21">
        <f>IF(OR(Z$28="",Z62=0),NA(),SUMIFS(INDEX(BESTFIT!$A$2:$BZ$20001,0,Z$28),INDEX(BESTFIT!$A$2:$BZ$20001,0,$B$15),$B$1,INDEX(BESTFIT!$A$2:$BZ$20001,0,$B$16),$B$4,INDEX(BESTFIT!$A$2:$BZ$20001,0,$B$14),$A40))</f>
        <v/>
      </c>
      <c r="AA40" s="21">
        <f>IF(OR(AA$28="",AA62=0),NA(),SUMIFS(INDEX(BESTFIT!$A$2:$BZ$20001,0,AA$28),INDEX(BESTFIT!$A$2:$BZ$20001,0,$B$15),$B$1,INDEX(BESTFIT!$A$2:$BZ$20001,0,$B$16),$B$4,INDEX(BESTFIT!$A$2:$BZ$20001,0,$B$14),$A40))</f>
        <v/>
      </c>
      <c r="AB40" s="21">
        <f>IF(OR(AB$28="",AB62=0),NA(),SUMIFS(INDEX(BESTFIT!$A$2:$BZ$20001,0,AB$28),INDEX(BESTFIT!$A$2:$BZ$20001,0,$B$15),$B$1,INDEX(BESTFIT!$A$2:$BZ$20001,0,$B$16),$B$4,INDEX(BESTFIT!$A$2:$BZ$20001,0,$B$14),$A40))</f>
        <v/>
      </c>
      <c r="AC40" s="21">
        <f>IF(OR(AC$28="",AC62=0),NA(),SUMIFS(INDEX(BESTFIT!$A$2:$BZ$20001,0,AC$28),INDEX(BESTFIT!$A$2:$BZ$20001,0,$B$15),$B$1,INDEX(BESTFIT!$A$2:$BZ$20001,0,$B$16),$B$4,INDEX(BESTFIT!$A$2:$BZ$20001,0,$B$14),$A40))</f>
        <v/>
      </c>
      <c r="AD40" s="21">
        <f>IF(OR(AD$28="",AD62=0),NA(),SUMIFS(INDEX(BESTFIT!$A$2:$BZ$20001,0,AD$28),INDEX(BESTFIT!$A$2:$BZ$20001,0,$B$15),$B$1,INDEX(BESTFIT!$A$2:$BZ$20001,0,$B$16),$B$4,INDEX(BESTFIT!$A$2:$BZ$20001,0,$B$14),$A40))</f>
        <v/>
      </c>
      <c r="AE40" s="21">
        <f>IF(OR(AE$28="",AE62=0),NA(),SUMIFS(INDEX(BESTFIT!$A$2:$BZ$20001,0,AE$28),INDEX(BESTFIT!$A$2:$BZ$20001,0,$B$15),$B$1,INDEX(BESTFIT!$A$2:$BZ$20001,0,$B$16),$B$4,INDEX(BESTFIT!$A$2:$BZ$20001,0,$B$14),$A40))</f>
        <v/>
      </c>
      <c r="AF40" s="21">
        <f>IF(OR(AF$28="",AF62=0),NA(),SUMIFS(INDEX(BESTFIT!$A$2:$BZ$20001,0,AF$28),INDEX(BESTFIT!$A$2:$BZ$20001,0,$B$15),$B$1,INDEX(BESTFIT!$A$2:$BZ$20001,0,$B$16),$B$4,INDEX(BESTFIT!$A$2:$BZ$20001,0,$B$14),$A40))</f>
        <v/>
      </c>
      <c r="AG40" s="21">
        <f>IF(OR(AG$28="",AG62=0),NA(),SUMIFS(INDEX(BESTFIT!$A$2:$BZ$20001,0,AG$28),INDEX(BESTFIT!$A$2:$BZ$20001,0,$B$15),$B$1,INDEX(BESTFIT!$A$2:$BZ$20001,0,$B$16),$B$4,INDEX(BESTFIT!$A$2:$BZ$20001,0,$B$14),$A40))</f>
        <v/>
      </c>
      <c r="AH40" s="21">
        <f>IF(OR(AH$28="",AH62=0),NA(),SUMIFS(INDEX(BESTFIT!$A$2:$BZ$20001,0,AH$28),INDEX(BESTFIT!$A$2:$BZ$20001,0,$B$15),$B$1,INDEX(BESTFIT!$A$2:$BZ$20001,0,$B$16),$B$4,INDEX(BESTFIT!$A$2:$BZ$20001,0,$B$14),$A40))</f>
        <v/>
      </c>
      <c r="AI40" s="21">
        <f>IF(OR(AI$28="",AI62=0),NA(),SUMIFS(INDEX(BESTFIT!$A$2:$BZ$20001,0,AI$28),INDEX(BESTFIT!$A$2:$BZ$20001,0,$B$15),$B$1,INDEX(BESTFIT!$A$2:$BZ$20001,0,$B$16),$B$4,INDEX(BESTFIT!$A$2:$BZ$20001,0,$B$14),$A40))</f>
        <v/>
      </c>
      <c r="AJ40" s="21">
        <f>IF(OR(AJ$28="",AJ62=0),NA(),SUMIFS(INDEX(BESTFIT!$A$2:$BZ$20001,0,AJ$28),INDEX(BESTFIT!$A$2:$BZ$20001,0,$B$15),$B$1,INDEX(BESTFIT!$A$2:$BZ$20001,0,$B$16),$B$4,INDEX(BESTFIT!$A$2:$BZ$20001,0,$B$14),$A40))</f>
        <v/>
      </c>
      <c r="AK40" s="21">
        <f>IF(OR(AK$28="",AK62=0),NA(),SUMIFS(INDEX(BESTFIT!$A$2:$BZ$20001,0,AK$28),INDEX(BESTFIT!$A$2:$BZ$20001,0,$B$15),$B$1,INDEX(BESTFIT!$A$2:$BZ$20001,0,$B$16),$B$4,INDEX(BESTFIT!$A$2:$BZ$20001,0,$B$14),$A40))</f>
        <v/>
      </c>
      <c r="AL40" s="21">
        <f>IF(OR(AL$28="",AL62=0),NA(),SUMIFS(INDEX(BESTFIT!$A$2:$BZ$20001,0,AL$28),INDEX(BESTFIT!$A$2:$BZ$20001,0,$B$15),$B$1,INDEX(BESTFIT!$A$2:$BZ$20001,0,$B$16),$B$4,INDEX(BESTFIT!$A$2:$BZ$20001,0,$B$14),$A40))</f>
        <v/>
      </c>
      <c r="AM40" s="21">
        <f>IF(OR(AM$28="",AM62=0),NA(),SUMIFS(INDEX(BESTFIT!$A$2:$BZ$20001,0,AM$28),INDEX(BESTFIT!$A$2:$BZ$20001,0,$B$15),$B$1,INDEX(BESTFIT!$A$2:$BZ$20001,0,$B$16),$B$4,INDEX(BESTFIT!$A$2:$BZ$20001,0,$B$14),$A40))</f>
        <v/>
      </c>
    </row>
    <row r="41">
      <c r="A41" s="20">
        <f>IFERROR(INDEX($B$80:$B$109,MATCH(1,$E$80:$E$109,0)),"")</f>
        <v/>
      </c>
      <c r="B41" s="19">
        <f>IF($A41="","—",$A41&amp;IF($C41="",""," ["&amp;$C41&amp;"]"))</f>
        <v/>
      </c>
      <c r="C41" s="20">
        <f>IF($A41="","",IF(MAX($D63:$AM63)=0,"sin datos en este CFG",IF(MAX($D63:$AM63)&lt;$B$24,"parcial "&amp;MAX($D63:$AM63)&amp;"/"&amp;$B$24,"")))</f>
        <v/>
      </c>
      <c r="D41" s="21">
        <f>IF(OR($A41="",D$29="",D63=0),NA(),SUMIFS(INDEX(ALGO!$A$2:$BZ$20001,0,D$29),INDEX(ALGO!$A$2:$BZ$20001,0,$B$19),$B$1,INDEX(ALGO!$A$2:$BZ$20001,0,$B$20),$B$4,INDEX(ALGO!$A$2:$BZ$20001,0,$B$18),$A41))</f>
        <v/>
      </c>
      <c r="E41" s="21">
        <f>IF(OR($A41="",E$29="",E63=0),NA(),SUMIFS(INDEX(ALGO!$A$2:$BZ$20001,0,E$29),INDEX(ALGO!$A$2:$BZ$20001,0,$B$19),$B$1,INDEX(ALGO!$A$2:$BZ$20001,0,$B$20),$B$4,INDEX(ALGO!$A$2:$BZ$20001,0,$B$18),$A41))</f>
        <v/>
      </c>
      <c r="F41" s="21">
        <f>IF(OR($A41="",F$29="",F63=0),NA(),SUMIFS(INDEX(ALGO!$A$2:$BZ$20001,0,F$29),INDEX(ALGO!$A$2:$BZ$20001,0,$B$19),$B$1,INDEX(ALGO!$A$2:$BZ$20001,0,$B$20),$B$4,INDEX(ALGO!$A$2:$BZ$20001,0,$B$18),$A41))</f>
        <v/>
      </c>
      <c r="G41" s="21">
        <f>IF(OR($A41="",G$29="",G63=0),NA(),SUMIFS(INDEX(ALGO!$A$2:$BZ$20001,0,G$29),INDEX(ALGO!$A$2:$BZ$20001,0,$B$19),$B$1,INDEX(ALGO!$A$2:$BZ$20001,0,$B$20),$B$4,INDEX(ALGO!$A$2:$BZ$20001,0,$B$18),$A41))</f>
        <v/>
      </c>
      <c r="H41" s="21">
        <f>IF(OR($A41="",H$29="",H63=0),NA(),SUMIFS(INDEX(ALGO!$A$2:$BZ$20001,0,H$29),INDEX(ALGO!$A$2:$BZ$20001,0,$B$19),$B$1,INDEX(ALGO!$A$2:$BZ$20001,0,$B$20),$B$4,INDEX(ALGO!$A$2:$BZ$20001,0,$B$18),$A41))</f>
        <v/>
      </c>
      <c r="I41" s="21">
        <f>IF(OR($A41="",I$29="",I63=0),NA(),SUMIFS(INDEX(ALGO!$A$2:$BZ$20001,0,I$29),INDEX(ALGO!$A$2:$BZ$20001,0,$B$19),$B$1,INDEX(ALGO!$A$2:$BZ$20001,0,$B$20),$B$4,INDEX(ALGO!$A$2:$BZ$20001,0,$B$18),$A41))</f>
        <v/>
      </c>
      <c r="J41" s="21">
        <f>IF(OR($A41="",J$29="",J63=0),NA(),SUMIFS(INDEX(ALGO!$A$2:$BZ$20001,0,J$29),INDEX(ALGO!$A$2:$BZ$20001,0,$B$19),$B$1,INDEX(ALGO!$A$2:$BZ$20001,0,$B$20),$B$4,INDEX(ALGO!$A$2:$BZ$20001,0,$B$18),$A41))</f>
        <v/>
      </c>
      <c r="K41" s="21">
        <f>IF(OR($A41="",K$29="",K63=0),NA(),SUMIFS(INDEX(ALGO!$A$2:$BZ$20001,0,K$29),INDEX(ALGO!$A$2:$BZ$20001,0,$B$19),$B$1,INDEX(ALGO!$A$2:$BZ$20001,0,$B$20),$B$4,INDEX(ALGO!$A$2:$BZ$20001,0,$B$18),$A41))</f>
        <v/>
      </c>
      <c r="L41" s="21">
        <f>IF(OR($A41="",L$29="",L63=0),NA(),SUMIFS(INDEX(ALGO!$A$2:$BZ$20001,0,L$29),INDEX(ALGO!$A$2:$BZ$20001,0,$B$19),$B$1,INDEX(ALGO!$A$2:$BZ$20001,0,$B$20),$B$4,INDEX(ALGO!$A$2:$BZ$20001,0,$B$18),$A41))</f>
        <v/>
      </c>
      <c r="M41" s="21">
        <f>IF(OR($A41="",M$29="",M63=0),NA(),SUMIFS(INDEX(ALGO!$A$2:$BZ$20001,0,M$29),INDEX(ALGO!$A$2:$BZ$20001,0,$B$19),$B$1,INDEX(ALGO!$A$2:$BZ$20001,0,$B$20),$B$4,INDEX(ALGO!$A$2:$BZ$20001,0,$B$18),$A41))</f>
        <v/>
      </c>
      <c r="N41" s="21">
        <f>IF(OR($A41="",N$29="",N63=0),NA(),SUMIFS(INDEX(ALGO!$A$2:$BZ$20001,0,N$29),INDEX(ALGO!$A$2:$BZ$20001,0,$B$19),$B$1,INDEX(ALGO!$A$2:$BZ$20001,0,$B$20),$B$4,INDEX(ALGO!$A$2:$BZ$20001,0,$B$18),$A41))</f>
        <v/>
      </c>
      <c r="O41" s="21">
        <f>IF(OR($A41="",O$29="",O63=0),NA(),SUMIFS(INDEX(ALGO!$A$2:$BZ$20001,0,O$29),INDEX(ALGO!$A$2:$BZ$20001,0,$B$19),$B$1,INDEX(ALGO!$A$2:$BZ$20001,0,$B$20),$B$4,INDEX(ALGO!$A$2:$BZ$20001,0,$B$18),$A41))</f>
        <v/>
      </c>
      <c r="P41" s="21">
        <f>IF(OR($A41="",P$29="",P63=0),NA(),SUMIFS(INDEX(ALGO!$A$2:$BZ$20001,0,P$29),INDEX(ALGO!$A$2:$BZ$20001,0,$B$19),$B$1,INDEX(ALGO!$A$2:$BZ$20001,0,$B$20),$B$4,INDEX(ALGO!$A$2:$BZ$20001,0,$B$18),$A41))</f>
        <v/>
      </c>
      <c r="Q41" s="21">
        <f>IF(OR($A41="",Q$29="",Q63=0),NA(),SUMIFS(INDEX(ALGO!$A$2:$BZ$20001,0,Q$29),INDEX(ALGO!$A$2:$BZ$20001,0,$B$19),$B$1,INDEX(ALGO!$A$2:$BZ$20001,0,$B$20),$B$4,INDEX(ALGO!$A$2:$BZ$20001,0,$B$18),$A41))</f>
        <v/>
      </c>
      <c r="R41" s="21">
        <f>IF(OR($A41="",R$29="",R63=0),NA(),SUMIFS(INDEX(ALGO!$A$2:$BZ$20001,0,R$29),INDEX(ALGO!$A$2:$BZ$20001,0,$B$19),$B$1,INDEX(ALGO!$A$2:$BZ$20001,0,$B$20),$B$4,INDEX(ALGO!$A$2:$BZ$20001,0,$B$18),$A41))</f>
        <v/>
      </c>
      <c r="S41" s="21">
        <f>IF(OR($A41="",S$29="",S63=0),NA(),SUMIFS(INDEX(ALGO!$A$2:$BZ$20001,0,S$29),INDEX(ALGO!$A$2:$BZ$20001,0,$B$19),$B$1,INDEX(ALGO!$A$2:$BZ$20001,0,$B$20),$B$4,INDEX(ALGO!$A$2:$BZ$20001,0,$B$18),$A41))</f>
        <v/>
      </c>
      <c r="T41" s="21">
        <f>IF(OR($A41="",T$29="",T63=0),NA(),SUMIFS(INDEX(ALGO!$A$2:$BZ$20001,0,T$29),INDEX(ALGO!$A$2:$BZ$20001,0,$B$19),$B$1,INDEX(ALGO!$A$2:$BZ$20001,0,$B$20),$B$4,INDEX(ALGO!$A$2:$BZ$20001,0,$B$18),$A41))</f>
        <v/>
      </c>
      <c r="U41" s="21">
        <f>IF(OR($A41="",U$29="",U63=0),NA(),SUMIFS(INDEX(ALGO!$A$2:$BZ$20001,0,U$29),INDEX(ALGO!$A$2:$BZ$20001,0,$B$19),$B$1,INDEX(ALGO!$A$2:$BZ$20001,0,$B$20),$B$4,INDEX(ALGO!$A$2:$BZ$20001,0,$B$18),$A41))</f>
        <v/>
      </c>
      <c r="V41" s="21">
        <f>IF(OR($A41="",V$29="",V63=0),NA(),SUMIFS(INDEX(ALGO!$A$2:$BZ$20001,0,V$29),INDEX(ALGO!$A$2:$BZ$20001,0,$B$19),$B$1,INDEX(ALGO!$A$2:$BZ$20001,0,$B$20),$B$4,INDEX(ALGO!$A$2:$BZ$20001,0,$B$18),$A41))</f>
        <v/>
      </c>
      <c r="W41" s="21">
        <f>IF(OR($A41="",W$29="",W63=0),NA(),SUMIFS(INDEX(ALGO!$A$2:$BZ$20001,0,W$29),INDEX(ALGO!$A$2:$BZ$20001,0,$B$19),$B$1,INDEX(ALGO!$A$2:$BZ$20001,0,$B$20),$B$4,INDEX(ALGO!$A$2:$BZ$20001,0,$B$18),$A41))</f>
        <v/>
      </c>
      <c r="X41" s="21">
        <f>IF(OR($A41="",X$29="",X63=0),NA(),SUMIFS(INDEX(ALGO!$A$2:$BZ$20001,0,X$29),INDEX(ALGO!$A$2:$BZ$20001,0,$B$19),$B$1,INDEX(ALGO!$A$2:$BZ$20001,0,$B$20),$B$4,INDEX(ALGO!$A$2:$BZ$20001,0,$B$18),$A41))</f>
        <v/>
      </c>
      <c r="Y41" s="21">
        <f>IF(OR($A41="",Y$29="",Y63=0),NA(),SUMIFS(INDEX(ALGO!$A$2:$BZ$20001,0,Y$29),INDEX(ALGO!$A$2:$BZ$20001,0,$B$19),$B$1,INDEX(ALGO!$A$2:$BZ$20001,0,$B$20),$B$4,INDEX(ALGO!$A$2:$BZ$20001,0,$B$18),$A41))</f>
        <v/>
      </c>
      <c r="Z41" s="21">
        <f>IF(OR($A41="",Z$29="",Z63=0),NA(),SUMIFS(INDEX(ALGO!$A$2:$BZ$20001,0,Z$29),INDEX(ALGO!$A$2:$BZ$20001,0,$B$19),$B$1,INDEX(ALGO!$A$2:$BZ$20001,0,$B$20),$B$4,INDEX(ALGO!$A$2:$BZ$20001,0,$B$18),$A41))</f>
        <v/>
      </c>
      <c r="AA41" s="21">
        <f>IF(OR($A41="",AA$29="",AA63=0),NA(),SUMIFS(INDEX(ALGO!$A$2:$BZ$20001,0,AA$29),INDEX(ALGO!$A$2:$BZ$20001,0,$B$19),$B$1,INDEX(ALGO!$A$2:$BZ$20001,0,$B$20),$B$4,INDEX(ALGO!$A$2:$BZ$20001,0,$B$18),$A41))</f>
        <v/>
      </c>
      <c r="AB41" s="21">
        <f>IF(OR($A41="",AB$29="",AB63=0),NA(),SUMIFS(INDEX(ALGO!$A$2:$BZ$20001,0,AB$29),INDEX(ALGO!$A$2:$BZ$20001,0,$B$19),$B$1,INDEX(ALGO!$A$2:$BZ$20001,0,$B$20),$B$4,INDEX(ALGO!$A$2:$BZ$20001,0,$B$18),$A41))</f>
        <v/>
      </c>
      <c r="AC41" s="21">
        <f>IF(OR($A41="",AC$29="",AC63=0),NA(),SUMIFS(INDEX(ALGO!$A$2:$BZ$20001,0,AC$29),INDEX(ALGO!$A$2:$BZ$20001,0,$B$19),$B$1,INDEX(ALGO!$A$2:$BZ$20001,0,$B$20),$B$4,INDEX(ALGO!$A$2:$BZ$20001,0,$B$18),$A41))</f>
        <v/>
      </c>
      <c r="AD41" s="21">
        <f>IF(OR($A41="",AD$29="",AD63=0),NA(),SUMIFS(INDEX(ALGO!$A$2:$BZ$20001,0,AD$29),INDEX(ALGO!$A$2:$BZ$20001,0,$B$19),$B$1,INDEX(ALGO!$A$2:$BZ$20001,0,$B$20),$B$4,INDEX(ALGO!$A$2:$BZ$20001,0,$B$18),$A41))</f>
        <v/>
      </c>
      <c r="AE41" s="21">
        <f>IF(OR($A41="",AE$29="",AE63=0),NA(),SUMIFS(INDEX(ALGO!$A$2:$BZ$20001,0,AE$29),INDEX(ALGO!$A$2:$BZ$20001,0,$B$19),$B$1,INDEX(ALGO!$A$2:$BZ$20001,0,$B$20),$B$4,INDEX(ALGO!$A$2:$BZ$20001,0,$B$18),$A41))</f>
        <v/>
      </c>
      <c r="AF41" s="21">
        <f>IF(OR($A41="",AF$29="",AF63=0),NA(),SUMIFS(INDEX(ALGO!$A$2:$BZ$20001,0,AF$29),INDEX(ALGO!$A$2:$BZ$20001,0,$B$19),$B$1,INDEX(ALGO!$A$2:$BZ$20001,0,$B$20),$B$4,INDEX(ALGO!$A$2:$BZ$20001,0,$B$18),$A41))</f>
        <v/>
      </c>
      <c r="AG41" s="21">
        <f>IF(OR($A41="",AG$29="",AG63=0),NA(),SUMIFS(INDEX(ALGO!$A$2:$BZ$20001,0,AG$29),INDEX(ALGO!$A$2:$BZ$20001,0,$B$19),$B$1,INDEX(ALGO!$A$2:$BZ$20001,0,$B$20),$B$4,INDEX(ALGO!$A$2:$BZ$20001,0,$B$18),$A41))</f>
        <v/>
      </c>
      <c r="AH41" s="21">
        <f>IF(OR($A41="",AH$29="",AH63=0),NA(),SUMIFS(INDEX(ALGO!$A$2:$BZ$20001,0,AH$29),INDEX(ALGO!$A$2:$BZ$20001,0,$B$19),$B$1,INDEX(ALGO!$A$2:$BZ$20001,0,$B$20),$B$4,INDEX(ALGO!$A$2:$BZ$20001,0,$B$18),$A41))</f>
        <v/>
      </c>
      <c r="AI41" s="21">
        <f>IF(OR($A41="",AI$29="",AI63=0),NA(),SUMIFS(INDEX(ALGO!$A$2:$BZ$20001,0,AI$29),INDEX(ALGO!$A$2:$BZ$20001,0,$B$19),$B$1,INDEX(ALGO!$A$2:$BZ$20001,0,$B$20),$B$4,INDEX(ALGO!$A$2:$BZ$20001,0,$B$18),$A41))</f>
        <v/>
      </c>
      <c r="AJ41" s="21">
        <f>IF(OR($A41="",AJ$29="",AJ63=0),NA(),SUMIFS(INDEX(ALGO!$A$2:$BZ$20001,0,AJ$29),INDEX(ALGO!$A$2:$BZ$20001,0,$B$19),$B$1,INDEX(ALGO!$A$2:$BZ$20001,0,$B$20),$B$4,INDEX(ALGO!$A$2:$BZ$20001,0,$B$18),$A41))</f>
        <v/>
      </c>
      <c r="AK41" s="21">
        <f>IF(OR($A41="",AK$29="",AK63=0),NA(),SUMIFS(INDEX(ALGO!$A$2:$BZ$20001,0,AK$29),INDEX(ALGO!$A$2:$BZ$20001,0,$B$19),$B$1,INDEX(ALGO!$A$2:$BZ$20001,0,$B$20),$B$4,INDEX(ALGO!$A$2:$BZ$20001,0,$B$18),$A41))</f>
        <v/>
      </c>
      <c r="AL41" s="21">
        <f>IF(OR($A41="",AL$29="",AL63=0),NA(),SUMIFS(INDEX(ALGO!$A$2:$BZ$20001,0,AL$29),INDEX(ALGO!$A$2:$BZ$20001,0,$B$19),$B$1,INDEX(ALGO!$A$2:$BZ$20001,0,$B$20),$B$4,INDEX(ALGO!$A$2:$BZ$20001,0,$B$18),$A41))</f>
        <v/>
      </c>
      <c r="AM41" s="21">
        <f>IF(OR($A41="",AM$29="",AM63=0),NA(),SUMIFS(INDEX(ALGO!$A$2:$BZ$20001,0,AM$29),INDEX(ALGO!$A$2:$BZ$20001,0,$B$19),$B$1,INDEX(ALGO!$A$2:$BZ$20001,0,$B$20),$B$4,INDEX(ALGO!$A$2:$BZ$20001,0,$B$18),$A41))</f>
        <v/>
      </c>
    </row>
    <row r="42">
      <c r="A42" s="20">
        <f>IFERROR(INDEX($B$80:$B$109,MATCH(2,$E$80:$E$109,0)),"")</f>
        <v/>
      </c>
      <c r="B42" s="19">
        <f>IF($A42="","—",$A42&amp;IF($C42="",""," ["&amp;$C42&amp;"]"))</f>
        <v/>
      </c>
      <c r="C42" s="20">
        <f>IF($A42="","",IF(MAX($D64:$AM64)=0,"sin datos en este CFG",IF(MAX($D64:$AM64)&lt;$B$24,"parcial "&amp;MAX($D64:$AM64)&amp;"/"&amp;$B$24,"")))</f>
        <v/>
      </c>
      <c r="D42" s="21">
        <f>IF(OR($A42="",D$29="",D64=0),NA(),SUMIFS(INDEX(ALGO!$A$2:$BZ$20001,0,D$29),INDEX(ALGO!$A$2:$BZ$20001,0,$B$19),$B$1,INDEX(ALGO!$A$2:$BZ$20001,0,$B$20),$B$4,INDEX(ALGO!$A$2:$BZ$20001,0,$B$18),$A42))</f>
        <v/>
      </c>
      <c r="E42" s="21">
        <f>IF(OR($A42="",E$29="",E64=0),NA(),SUMIFS(INDEX(ALGO!$A$2:$BZ$20001,0,E$29),INDEX(ALGO!$A$2:$BZ$20001,0,$B$19),$B$1,INDEX(ALGO!$A$2:$BZ$20001,0,$B$20),$B$4,INDEX(ALGO!$A$2:$BZ$20001,0,$B$18),$A42))</f>
        <v/>
      </c>
      <c r="F42" s="21">
        <f>IF(OR($A42="",F$29="",F64=0),NA(),SUMIFS(INDEX(ALGO!$A$2:$BZ$20001,0,F$29),INDEX(ALGO!$A$2:$BZ$20001,0,$B$19),$B$1,INDEX(ALGO!$A$2:$BZ$20001,0,$B$20),$B$4,INDEX(ALGO!$A$2:$BZ$20001,0,$B$18),$A42))</f>
        <v/>
      </c>
      <c r="G42" s="21">
        <f>IF(OR($A42="",G$29="",G64=0),NA(),SUMIFS(INDEX(ALGO!$A$2:$BZ$20001,0,G$29),INDEX(ALGO!$A$2:$BZ$20001,0,$B$19),$B$1,INDEX(ALGO!$A$2:$BZ$20001,0,$B$20),$B$4,INDEX(ALGO!$A$2:$BZ$20001,0,$B$18),$A42))</f>
        <v/>
      </c>
      <c r="H42" s="21">
        <f>IF(OR($A42="",H$29="",H64=0),NA(),SUMIFS(INDEX(ALGO!$A$2:$BZ$20001,0,H$29),INDEX(ALGO!$A$2:$BZ$20001,0,$B$19),$B$1,INDEX(ALGO!$A$2:$BZ$20001,0,$B$20),$B$4,INDEX(ALGO!$A$2:$BZ$20001,0,$B$18),$A42))</f>
        <v/>
      </c>
      <c r="I42" s="21">
        <f>IF(OR($A42="",I$29="",I64=0),NA(),SUMIFS(INDEX(ALGO!$A$2:$BZ$20001,0,I$29),INDEX(ALGO!$A$2:$BZ$20001,0,$B$19),$B$1,INDEX(ALGO!$A$2:$BZ$20001,0,$B$20),$B$4,INDEX(ALGO!$A$2:$BZ$20001,0,$B$18),$A42))</f>
        <v/>
      </c>
      <c r="J42" s="21">
        <f>IF(OR($A42="",J$29="",J64=0),NA(),SUMIFS(INDEX(ALGO!$A$2:$BZ$20001,0,J$29),INDEX(ALGO!$A$2:$BZ$20001,0,$B$19),$B$1,INDEX(ALGO!$A$2:$BZ$20001,0,$B$20),$B$4,INDEX(ALGO!$A$2:$BZ$20001,0,$B$18),$A42))</f>
        <v/>
      </c>
      <c r="K42" s="21">
        <f>IF(OR($A42="",K$29="",K64=0),NA(),SUMIFS(INDEX(ALGO!$A$2:$BZ$20001,0,K$29),INDEX(ALGO!$A$2:$BZ$20001,0,$B$19),$B$1,INDEX(ALGO!$A$2:$BZ$20001,0,$B$20),$B$4,INDEX(ALGO!$A$2:$BZ$20001,0,$B$18),$A42))</f>
        <v/>
      </c>
      <c r="L42" s="21">
        <f>IF(OR($A42="",L$29="",L64=0),NA(),SUMIFS(INDEX(ALGO!$A$2:$BZ$20001,0,L$29),INDEX(ALGO!$A$2:$BZ$20001,0,$B$19),$B$1,INDEX(ALGO!$A$2:$BZ$20001,0,$B$20),$B$4,INDEX(ALGO!$A$2:$BZ$20001,0,$B$18),$A42))</f>
        <v/>
      </c>
      <c r="M42" s="21">
        <f>IF(OR($A42="",M$29="",M64=0),NA(),SUMIFS(INDEX(ALGO!$A$2:$BZ$20001,0,M$29),INDEX(ALGO!$A$2:$BZ$20001,0,$B$19),$B$1,INDEX(ALGO!$A$2:$BZ$20001,0,$B$20),$B$4,INDEX(ALGO!$A$2:$BZ$20001,0,$B$18),$A42))</f>
        <v/>
      </c>
      <c r="N42" s="21">
        <f>IF(OR($A42="",N$29="",N64=0),NA(),SUMIFS(INDEX(ALGO!$A$2:$BZ$20001,0,N$29),INDEX(ALGO!$A$2:$BZ$20001,0,$B$19),$B$1,INDEX(ALGO!$A$2:$BZ$20001,0,$B$20),$B$4,INDEX(ALGO!$A$2:$BZ$20001,0,$B$18),$A42))</f>
        <v/>
      </c>
      <c r="O42" s="21">
        <f>IF(OR($A42="",O$29="",O64=0),NA(),SUMIFS(INDEX(ALGO!$A$2:$BZ$20001,0,O$29),INDEX(ALGO!$A$2:$BZ$20001,0,$B$19),$B$1,INDEX(ALGO!$A$2:$BZ$20001,0,$B$20),$B$4,INDEX(ALGO!$A$2:$BZ$20001,0,$B$18),$A42))</f>
        <v/>
      </c>
      <c r="P42" s="21">
        <f>IF(OR($A42="",P$29="",P64=0),NA(),SUMIFS(INDEX(ALGO!$A$2:$BZ$20001,0,P$29),INDEX(ALGO!$A$2:$BZ$20001,0,$B$19),$B$1,INDEX(ALGO!$A$2:$BZ$20001,0,$B$20),$B$4,INDEX(ALGO!$A$2:$BZ$20001,0,$B$18),$A42))</f>
        <v/>
      </c>
      <c r="Q42" s="21">
        <f>IF(OR($A42="",Q$29="",Q64=0),NA(),SUMIFS(INDEX(ALGO!$A$2:$BZ$20001,0,Q$29),INDEX(ALGO!$A$2:$BZ$20001,0,$B$19),$B$1,INDEX(ALGO!$A$2:$BZ$20001,0,$B$20),$B$4,INDEX(ALGO!$A$2:$BZ$20001,0,$B$18),$A42))</f>
        <v/>
      </c>
      <c r="R42" s="21">
        <f>IF(OR($A42="",R$29="",R64=0),NA(),SUMIFS(INDEX(ALGO!$A$2:$BZ$20001,0,R$29),INDEX(ALGO!$A$2:$BZ$20001,0,$B$19),$B$1,INDEX(ALGO!$A$2:$BZ$20001,0,$B$20),$B$4,INDEX(ALGO!$A$2:$BZ$20001,0,$B$18),$A42))</f>
        <v/>
      </c>
      <c r="S42" s="21">
        <f>IF(OR($A42="",S$29="",S64=0),NA(),SUMIFS(INDEX(ALGO!$A$2:$BZ$20001,0,S$29),INDEX(ALGO!$A$2:$BZ$20001,0,$B$19),$B$1,INDEX(ALGO!$A$2:$BZ$20001,0,$B$20),$B$4,INDEX(ALGO!$A$2:$BZ$20001,0,$B$18),$A42))</f>
        <v/>
      </c>
      <c r="T42" s="21">
        <f>IF(OR($A42="",T$29="",T64=0),NA(),SUMIFS(INDEX(ALGO!$A$2:$BZ$20001,0,T$29),INDEX(ALGO!$A$2:$BZ$20001,0,$B$19),$B$1,INDEX(ALGO!$A$2:$BZ$20001,0,$B$20),$B$4,INDEX(ALGO!$A$2:$BZ$20001,0,$B$18),$A42))</f>
        <v/>
      </c>
      <c r="U42" s="21">
        <f>IF(OR($A42="",U$29="",U64=0),NA(),SUMIFS(INDEX(ALGO!$A$2:$BZ$20001,0,U$29),INDEX(ALGO!$A$2:$BZ$20001,0,$B$19),$B$1,INDEX(ALGO!$A$2:$BZ$20001,0,$B$20),$B$4,INDEX(ALGO!$A$2:$BZ$20001,0,$B$18),$A42))</f>
        <v/>
      </c>
      <c r="V42" s="21">
        <f>IF(OR($A42="",V$29="",V64=0),NA(),SUMIFS(INDEX(ALGO!$A$2:$BZ$20001,0,V$29),INDEX(ALGO!$A$2:$BZ$20001,0,$B$19),$B$1,INDEX(ALGO!$A$2:$BZ$20001,0,$B$20),$B$4,INDEX(ALGO!$A$2:$BZ$20001,0,$B$18),$A42))</f>
        <v/>
      </c>
      <c r="W42" s="21">
        <f>IF(OR($A42="",W$29="",W64=0),NA(),SUMIFS(INDEX(ALGO!$A$2:$BZ$20001,0,W$29),INDEX(ALGO!$A$2:$BZ$20001,0,$B$19),$B$1,INDEX(ALGO!$A$2:$BZ$20001,0,$B$20),$B$4,INDEX(ALGO!$A$2:$BZ$20001,0,$B$18),$A42))</f>
        <v/>
      </c>
      <c r="X42" s="21">
        <f>IF(OR($A42="",X$29="",X64=0),NA(),SUMIFS(INDEX(ALGO!$A$2:$BZ$20001,0,X$29),INDEX(ALGO!$A$2:$BZ$20001,0,$B$19),$B$1,INDEX(ALGO!$A$2:$BZ$20001,0,$B$20),$B$4,INDEX(ALGO!$A$2:$BZ$20001,0,$B$18),$A42))</f>
        <v/>
      </c>
      <c r="Y42" s="21">
        <f>IF(OR($A42="",Y$29="",Y64=0),NA(),SUMIFS(INDEX(ALGO!$A$2:$BZ$20001,0,Y$29),INDEX(ALGO!$A$2:$BZ$20001,0,$B$19),$B$1,INDEX(ALGO!$A$2:$BZ$20001,0,$B$20),$B$4,INDEX(ALGO!$A$2:$BZ$20001,0,$B$18),$A42))</f>
        <v/>
      </c>
      <c r="Z42" s="21">
        <f>IF(OR($A42="",Z$29="",Z64=0),NA(),SUMIFS(INDEX(ALGO!$A$2:$BZ$20001,0,Z$29),INDEX(ALGO!$A$2:$BZ$20001,0,$B$19),$B$1,INDEX(ALGO!$A$2:$BZ$20001,0,$B$20),$B$4,INDEX(ALGO!$A$2:$BZ$20001,0,$B$18),$A42))</f>
        <v/>
      </c>
      <c r="AA42" s="21">
        <f>IF(OR($A42="",AA$29="",AA64=0),NA(),SUMIFS(INDEX(ALGO!$A$2:$BZ$20001,0,AA$29),INDEX(ALGO!$A$2:$BZ$20001,0,$B$19),$B$1,INDEX(ALGO!$A$2:$BZ$20001,0,$B$20),$B$4,INDEX(ALGO!$A$2:$BZ$20001,0,$B$18),$A42))</f>
        <v/>
      </c>
      <c r="AB42" s="21">
        <f>IF(OR($A42="",AB$29="",AB64=0),NA(),SUMIFS(INDEX(ALGO!$A$2:$BZ$20001,0,AB$29),INDEX(ALGO!$A$2:$BZ$20001,0,$B$19),$B$1,INDEX(ALGO!$A$2:$BZ$20001,0,$B$20),$B$4,INDEX(ALGO!$A$2:$BZ$20001,0,$B$18),$A42))</f>
        <v/>
      </c>
      <c r="AC42" s="21">
        <f>IF(OR($A42="",AC$29="",AC64=0),NA(),SUMIFS(INDEX(ALGO!$A$2:$BZ$20001,0,AC$29),INDEX(ALGO!$A$2:$BZ$20001,0,$B$19),$B$1,INDEX(ALGO!$A$2:$BZ$20001,0,$B$20),$B$4,INDEX(ALGO!$A$2:$BZ$20001,0,$B$18),$A42))</f>
        <v/>
      </c>
      <c r="AD42" s="21">
        <f>IF(OR($A42="",AD$29="",AD64=0),NA(),SUMIFS(INDEX(ALGO!$A$2:$BZ$20001,0,AD$29),INDEX(ALGO!$A$2:$BZ$20001,0,$B$19),$B$1,INDEX(ALGO!$A$2:$BZ$20001,0,$B$20),$B$4,INDEX(ALGO!$A$2:$BZ$20001,0,$B$18),$A42))</f>
        <v/>
      </c>
      <c r="AE42" s="21">
        <f>IF(OR($A42="",AE$29="",AE64=0),NA(),SUMIFS(INDEX(ALGO!$A$2:$BZ$20001,0,AE$29),INDEX(ALGO!$A$2:$BZ$20001,0,$B$19),$B$1,INDEX(ALGO!$A$2:$BZ$20001,0,$B$20),$B$4,INDEX(ALGO!$A$2:$BZ$20001,0,$B$18),$A42))</f>
        <v/>
      </c>
      <c r="AF42" s="21">
        <f>IF(OR($A42="",AF$29="",AF64=0),NA(),SUMIFS(INDEX(ALGO!$A$2:$BZ$20001,0,AF$29),INDEX(ALGO!$A$2:$BZ$20001,0,$B$19),$B$1,INDEX(ALGO!$A$2:$BZ$20001,0,$B$20),$B$4,INDEX(ALGO!$A$2:$BZ$20001,0,$B$18),$A42))</f>
        <v/>
      </c>
      <c r="AG42" s="21">
        <f>IF(OR($A42="",AG$29="",AG64=0),NA(),SUMIFS(INDEX(ALGO!$A$2:$BZ$20001,0,AG$29),INDEX(ALGO!$A$2:$BZ$20001,0,$B$19),$B$1,INDEX(ALGO!$A$2:$BZ$20001,0,$B$20),$B$4,INDEX(ALGO!$A$2:$BZ$20001,0,$B$18),$A42))</f>
        <v/>
      </c>
      <c r="AH42" s="21">
        <f>IF(OR($A42="",AH$29="",AH64=0),NA(),SUMIFS(INDEX(ALGO!$A$2:$BZ$20001,0,AH$29),INDEX(ALGO!$A$2:$BZ$20001,0,$B$19),$B$1,INDEX(ALGO!$A$2:$BZ$20001,0,$B$20),$B$4,INDEX(ALGO!$A$2:$BZ$20001,0,$B$18),$A42))</f>
        <v/>
      </c>
      <c r="AI42" s="21">
        <f>IF(OR($A42="",AI$29="",AI64=0),NA(),SUMIFS(INDEX(ALGO!$A$2:$BZ$20001,0,AI$29),INDEX(ALGO!$A$2:$BZ$20001,0,$B$19),$B$1,INDEX(ALGO!$A$2:$BZ$20001,0,$B$20),$B$4,INDEX(ALGO!$A$2:$BZ$20001,0,$B$18),$A42))</f>
        <v/>
      </c>
      <c r="AJ42" s="21">
        <f>IF(OR($A42="",AJ$29="",AJ64=0),NA(),SUMIFS(INDEX(ALGO!$A$2:$BZ$20001,0,AJ$29),INDEX(ALGO!$A$2:$BZ$20001,0,$B$19),$B$1,INDEX(ALGO!$A$2:$BZ$20001,0,$B$20),$B$4,INDEX(ALGO!$A$2:$BZ$20001,0,$B$18),$A42))</f>
        <v/>
      </c>
      <c r="AK42" s="21">
        <f>IF(OR($A42="",AK$29="",AK64=0),NA(),SUMIFS(INDEX(ALGO!$A$2:$BZ$20001,0,AK$29),INDEX(ALGO!$A$2:$BZ$20001,0,$B$19),$B$1,INDEX(ALGO!$A$2:$BZ$20001,0,$B$20),$B$4,INDEX(ALGO!$A$2:$BZ$20001,0,$B$18),$A42))</f>
        <v/>
      </c>
      <c r="AL42" s="21">
        <f>IF(OR($A42="",AL$29="",AL64=0),NA(),SUMIFS(INDEX(ALGO!$A$2:$BZ$20001,0,AL$29),INDEX(ALGO!$A$2:$BZ$20001,0,$B$19),$B$1,INDEX(ALGO!$A$2:$BZ$20001,0,$B$20),$B$4,INDEX(ALGO!$A$2:$BZ$20001,0,$B$18),$A42))</f>
        <v/>
      </c>
      <c r="AM42" s="21">
        <f>IF(OR($A42="",AM$29="",AM64=0),NA(),SUMIFS(INDEX(ALGO!$A$2:$BZ$20001,0,AM$29),INDEX(ALGO!$A$2:$BZ$20001,0,$B$19),$B$1,INDEX(ALGO!$A$2:$BZ$20001,0,$B$20),$B$4,INDEX(ALGO!$A$2:$BZ$20001,0,$B$18),$A42))</f>
        <v/>
      </c>
    </row>
    <row r="43">
      <c r="A43" s="20">
        <f>IFERROR(INDEX($B$80:$B$109,MATCH(3,$E$80:$E$109,0)),"")</f>
        <v/>
      </c>
      <c r="B43" s="19">
        <f>IF($A43="","—",$A43&amp;IF($C43="",""," ["&amp;$C43&amp;"]"))</f>
        <v/>
      </c>
      <c r="C43" s="20">
        <f>IF($A43="","",IF(MAX($D65:$AM65)=0,"sin datos en este CFG",IF(MAX($D65:$AM65)&lt;$B$24,"parcial "&amp;MAX($D65:$AM65)&amp;"/"&amp;$B$24,"")))</f>
        <v/>
      </c>
      <c r="D43" s="21">
        <f>IF(OR($A43="",D$29="",D65=0),NA(),SUMIFS(INDEX(ALGO!$A$2:$BZ$20001,0,D$29),INDEX(ALGO!$A$2:$BZ$20001,0,$B$19),$B$1,INDEX(ALGO!$A$2:$BZ$20001,0,$B$20),$B$4,INDEX(ALGO!$A$2:$BZ$20001,0,$B$18),$A43))</f>
        <v/>
      </c>
      <c r="E43" s="21">
        <f>IF(OR($A43="",E$29="",E65=0),NA(),SUMIFS(INDEX(ALGO!$A$2:$BZ$20001,0,E$29),INDEX(ALGO!$A$2:$BZ$20001,0,$B$19),$B$1,INDEX(ALGO!$A$2:$BZ$20001,0,$B$20),$B$4,INDEX(ALGO!$A$2:$BZ$20001,0,$B$18),$A43))</f>
        <v/>
      </c>
      <c r="F43" s="21">
        <f>IF(OR($A43="",F$29="",F65=0),NA(),SUMIFS(INDEX(ALGO!$A$2:$BZ$20001,0,F$29),INDEX(ALGO!$A$2:$BZ$20001,0,$B$19),$B$1,INDEX(ALGO!$A$2:$BZ$20001,0,$B$20),$B$4,INDEX(ALGO!$A$2:$BZ$20001,0,$B$18),$A43))</f>
        <v/>
      </c>
      <c r="G43" s="21">
        <f>IF(OR($A43="",G$29="",G65=0),NA(),SUMIFS(INDEX(ALGO!$A$2:$BZ$20001,0,G$29),INDEX(ALGO!$A$2:$BZ$20001,0,$B$19),$B$1,INDEX(ALGO!$A$2:$BZ$20001,0,$B$20),$B$4,INDEX(ALGO!$A$2:$BZ$20001,0,$B$18),$A43))</f>
        <v/>
      </c>
      <c r="H43" s="21">
        <f>IF(OR($A43="",H$29="",H65=0),NA(),SUMIFS(INDEX(ALGO!$A$2:$BZ$20001,0,H$29),INDEX(ALGO!$A$2:$BZ$20001,0,$B$19),$B$1,INDEX(ALGO!$A$2:$BZ$20001,0,$B$20),$B$4,INDEX(ALGO!$A$2:$BZ$20001,0,$B$18),$A43))</f>
        <v/>
      </c>
      <c r="I43" s="21">
        <f>IF(OR($A43="",I$29="",I65=0),NA(),SUMIFS(INDEX(ALGO!$A$2:$BZ$20001,0,I$29),INDEX(ALGO!$A$2:$BZ$20001,0,$B$19),$B$1,INDEX(ALGO!$A$2:$BZ$20001,0,$B$20),$B$4,INDEX(ALGO!$A$2:$BZ$20001,0,$B$18),$A43))</f>
        <v/>
      </c>
      <c r="J43" s="21">
        <f>IF(OR($A43="",J$29="",J65=0),NA(),SUMIFS(INDEX(ALGO!$A$2:$BZ$20001,0,J$29),INDEX(ALGO!$A$2:$BZ$20001,0,$B$19),$B$1,INDEX(ALGO!$A$2:$BZ$20001,0,$B$20),$B$4,INDEX(ALGO!$A$2:$BZ$20001,0,$B$18),$A43))</f>
        <v/>
      </c>
      <c r="K43" s="21">
        <f>IF(OR($A43="",K$29="",K65=0),NA(),SUMIFS(INDEX(ALGO!$A$2:$BZ$20001,0,K$29),INDEX(ALGO!$A$2:$BZ$20001,0,$B$19),$B$1,INDEX(ALGO!$A$2:$BZ$20001,0,$B$20),$B$4,INDEX(ALGO!$A$2:$BZ$20001,0,$B$18),$A43))</f>
        <v/>
      </c>
      <c r="L43" s="21">
        <f>IF(OR($A43="",L$29="",L65=0),NA(),SUMIFS(INDEX(ALGO!$A$2:$BZ$20001,0,L$29),INDEX(ALGO!$A$2:$BZ$20001,0,$B$19),$B$1,INDEX(ALGO!$A$2:$BZ$20001,0,$B$20),$B$4,INDEX(ALGO!$A$2:$BZ$20001,0,$B$18),$A43))</f>
        <v/>
      </c>
      <c r="M43" s="21">
        <f>IF(OR($A43="",M$29="",M65=0),NA(),SUMIFS(INDEX(ALGO!$A$2:$BZ$20001,0,M$29),INDEX(ALGO!$A$2:$BZ$20001,0,$B$19),$B$1,INDEX(ALGO!$A$2:$BZ$20001,0,$B$20),$B$4,INDEX(ALGO!$A$2:$BZ$20001,0,$B$18),$A43))</f>
        <v/>
      </c>
      <c r="N43" s="21">
        <f>IF(OR($A43="",N$29="",N65=0),NA(),SUMIFS(INDEX(ALGO!$A$2:$BZ$20001,0,N$29),INDEX(ALGO!$A$2:$BZ$20001,0,$B$19),$B$1,INDEX(ALGO!$A$2:$BZ$20001,0,$B$20),$B$4,INDEX(ALGO!$A$2:$BZ$20001,0,$B$18),$A43))</f>
        <v/>
      </c>
      <c r="O43" s="21">
        <f>IF(OR($A43="",O$29="",O65=0),NA(),SUMIFS(INDEX(ALGO!$A$2:$BZ$20001,0,O$29),INDEX(ALGO!$A$2:$BZ$20001,0,$B$19),$B$1,INDEX(ALGO!$A$2:$BZ$20001,0,$B$20),$B$4,INDEX(ALGO!$A$2:$BZ$20001,0,$B$18),$A43))</f>
        <v/>
      </c>
      <c r="P43" s="21">
        <f>IF(OR($A43="",P$29="",P65=0),NA(),SUMIFS(INDEX(ALGO!$A$2:$BZ$20001,0,P$29),INDEX(ALGO!$A$2:$BZ$20001,0,$B$19),$B$1,INDEX(ALGO!$A$2:$BZ$20001,0,$B$20),$B$4,INDEX(ALGO!$A$2:$BZ$20001,0,$B$18),$A43))</f>
        <v/>
      </c>
      <c r="Q43" s="21">
        <f>IF(OR($A43="",Q$29="",Q65=0),NA(),SUMIFS(INDEX(ALGO!$A$2:$BZ$20001,0,Q$29),INDEX(ALGO!$A$2:$BZ$20001,0,$B$19),$B$1,INDEX(ALGO!$A$2:$BZ$20001,0,$B$20),$B$4,INDEX(ALGO!$A$2:$BZ$20001,0,$B$18),$A43))</f>
        <v/>
      </c>
      <c r="R43" s="21">
        <f>IF(OR($A43="",R$29="",R65=0),NA(),SUMIFS(INDEX(ALGO!$A$2:$BZ$20001,0,R$29),INDEX(ALGO!$A$2:$BZ$20001,0,$B$19),$B$1,INDEX(ALGO!$A$2:$BZ$20001,0,$B$20),$B$4,INDEX(ALGO!$A$2:$BZ$20001,0,$B$18),$A43))</f>
        <v/>
      </c>
      <c r="S43" s="21">
        <f>IF(OR($A43="",S$29="",S65=0),NA(),SUMIFS(INDEX(ALGO!$A$2:$BZ$20001,0,S$29),INDEX(ALGO!$A$2:$BZ$20001,0,$B$19),$B$1,INDEX(ALGO!$A$2:$BZ$20001,0,$B$20),$B$4,INDEX(ALGO!$A$2:$BZ$20001,0,$B$18),$A43))</f>
        <v/>
      </c>
      <c r="T43" s="21">
        <f>IF(OR($A43="",T$29="",T65=0),NA(),SUMIFS(INDEX(ALGO!$A$2:$BZ$20001,0,T$29),INDEX(ALGO!$A$2:$BZ$20001,0,$B$19),$B$1,INDEX(ALGO!$A$2:$BZ$20001,0,$B$20),$B$4,INDEX(ALGO!$A$2:$BZ$20001,0,$B$18),$A43))</f>
        <v/>
      </c>
      <c r="U43" s="21">
        <f>IF(OR($A43="",U$29="",U65=0),NA(),SUMIFS(INDEX(ALGO!$A$2:$BZ$20001,0,U$29),INDEX(ALGO!$A$2:$BZ$20001,0,$B$19),$B$1,INDEX(ALGO!$A$2:$BZ$20001,0,$B$20),$B$4,INDEX(ALGO!$A$2:$BZ$20001,0,$B$18),$A43))</f>
        <v/>
      </c>
      <c r="V43" s="21">
        <f>IF(OR($A43="",V$29="",V65=0),NA(),SUMIFS(INDEX(ALGO!$A$2:$BZ$20001,0,V$29),INDEX(ALGO!$A$2:$BZ$20001,0,$B$19),$B$1,INDEX(ALGO!$A$2:$BZ$20001,0,$B$20),$B$4,INDEX(ALGO!$A$2:$BZ$20001,0,$B$18),$A43))</f>
        <v/>
      </c>
      <c r="W43" s="21">
        <f>IF(OR($A43="",W$29="",W65=0),NA(),SUMIFS(INDEX(ALGO!$A$2:$BZ$20001,0,W$29),INDEX(ALGO!$A$2:$BZ$20001,0,$B$19),$B$1,INDEX(ALGO!$A$2:$BZ$20001,0,$B$20),$B$4,INDEX(ALGO!$A$2:$BZ$20001,0,$B$18),$A43))</f>
        <v/>
      </c>
      <c r="X43" s="21">
        <f>IF(OR($A43="",X$29="",X65=0),NA(),SUMIFS(INDEX(ALGO!$A$2:$BZ$20001,0,X$29),INDEX(ALGO!$A$2:$BZ$20001,0,$B$19),$B$1,INDEX(ALGO!$A$2:$BZ$20001,0,$B$20),$B$4,INDEX(ALGO!$A$2:$BZ$20001,0,$B$18),$A43))</f>
        <v/>
      </c>
      <c r="Y43" s="21">
        <f>IF(OR($A43="",Y$29="",Y65=0),NA(),SUMIFS(INDEX(ALGO!$A$2:$BZ$20001,0,Y$29),INDEX(ALGO!$A$2:$BZ$20001,0,$B$19),$B$1,INDEX(ALGO!$A$2:$BZ$20001,0,$B$20),$B$4,INDEX(ALGO!$A$2:$BZ$20001,0,$B$18),$A43))</f>
        <v/>
      </c>
      <c r="Z43" s="21">
        <f>IF(OR($A43="",Z$29="",Z65=0),NA(),SUMIFS(INDEX(ALGO!$A$2:$BZ$20001,0,Z$29),INDEX(ALGO!$A$2:$BZ$20001,0,$B$19),$B$1,INDEX(ALGO!$A$2:$BZ$20001,0,$B$20),$B$4,INDEX(ALGO!$A$2:$BZ$20001,0,$B$18),$A43))</f>
        <v/>
      </c>
      <c r="AA43" s="21">
        <f>IF(OR($A43="",AA$29="",AA65=0),NA(),SUMIFS(INDEX(ALGO!$A$2:$BZ$20001,0,AA$29),INDEX(ALGO!$A$2:$BZ$20001,0,$B$19),$B$1,INDEX(ALGO!$A$2:$BZ$20001,0,$B$20),$B$4,INDEX(ALGO!$A$2:$BZ$20001,0,$B$18),$A43))</f>
        <v/>
      </c>
      <c r="AB43" s="21">
        <f>IF(OR($A43="",AB$29="",AB65=0),NA(),SUMIFS(INDEX(ALGO!$A$2:$BZ$20001,0,AB$29),INDEX(ALGO!$A$2:$BZ$20001,0,$B$19),$B$1,INDEX(ALGO!$A$2:$BZ$20001,0,$B$20),$B$4,INDEX(ALGO!$A$2:$BZ$20001,0,$B$18),$A43))</f>
        <v/>
      </c>
      <c r="AC43" s="21">
        <f>IF(OR($A43="",AC$29="",AC65=0),NA(),SUMIFS(INDEX(ALGO!$A$2:$BZ$20001,0,AC$29),INDEX(ALGO!$A$2:$BZ$20001,0,$B$19),$B$1,INDEX(ALGO!$A$2:$BZ$20001,0,$B$20),$B$4,INDEX(ALGO!$A$2:$BZ$20001,0,$B$18),$A43))</f>
        <v/>
      </c>
      <c r="AD43" s="21">
        <f>IF(OR($A43="",AD$29="",AD65=0),NA(),SUMIFS(INDEX(ALGO!$A$2:$BZ$20001,0,AD$29),INDEX(ALGO!$A$2:$BZ$20001,0,$B$19),$B$1,INDEX(ALGO!$A$2:$BZ$20001,0,$B$20),$B$4,INDEX(ALGO!$A$2:$BZ$20001,0,$B$18),$A43))</f>
        <v/>
      </c>
      <c r="AE43" s="21">
        <f>IF(OR($A43="",AE$29="",AE65=0),NA(),SUMIFS(INDEX(ALGO!$A$2:$BZ$20001,0,AE$29),INDEX(ALGO!$A$2:$BZ$20001,0,$B$19),$B$1,INDEX(ALGO!$A$2:$BZ$20001,0,$B$20),$B$4,INDEX(ALGO!$A$2:$BZ$20001,0,$B$18),$A43))</f>
        <v/>
      </c>
      <c r="AF43" s="21">
        <f>IF(OR($A43="",AF$29="",AF65=0),NA(),SUMIFS(INDEX(ALGO!$A$2:$BZ$20001,0,AF$29),INDEX(ALGO!$A$2:$BZ$20001,0,$B$19),$B$1,INDEX(ALGO!$A$2:$BZ$20001,0,$B$20),$B$4,INDEX(ALGO!$A$2:$BZ$20001,0,$B$18),$A43))</f>
        <v/>
      </c>
      <c r="AG43" s="21">
        <f>IF(OR($A43="",AG$29="",AG65=0),NA(),SUMIFS(INDEX(ALGO!$A$2:$BZ$20001,0,AG$29),INDEX(ALGO!$A$2:$BZ$20001,0,$B$19),$B$1,INDEX(ALGO!$A$2:$BZ$20001,0,$B$20),$B$4,INDEX(ALGO!$A$2:$BZ$20001,0,$B$18),$A43))</f>
        <v/>
      </c>
      <c r="AH43" s="21">
        <f>IF(OR($A43="",AH$29="",AH65=0),NA(),SUMIFS(INDEX(ALGO!$A$2:$BZ$20001,0,AH$29),INDEX(ALGO!$A$2:$BZ$20001,0,$B$19),$B$1,INDEX(ALGO!$A$2:$BZ$20001,0,$B$20),$B$4,INDEX(ALGO!$A$2:$BZ$20001,0,$B$18),$A43))</f>
        <v/>
      </c>
      <c r="AI43" s="21">
        <f>IF(OR($A43="",AI$29="",AI65=0),NA(),SUMIFS(INDEX(ALGO!$A$2:$BZ$20001,0,AI$29),INDEX(ALGO!$A$2:$BZ$20001,0,$B$19),$B$1,INDEX(ALGO!$A$2:$BZ$20001,0,$B$20),$B$4,INDEX(ALGO!$A$2:$BZ$20001,0,$B$18),$A43))</f>
        <v/>
      </c>
      <c r="AJ43" s="21">
        <f>IF(OR($A43="",AJ$29="",AJ65=0),NA(),SUMIFS(INDEX(ALGO!$A$2:$BZ$20001,0,AJ$29),INDEX(ALGO!$A$2:$BZ$20001,0,$B$19),$B$1,INDEX(ALGO!$A$2:$BZ$20001,0,$B$20),$B$4,INDEX(ALGO!$A$2:$BZ$20001,0,$B$18),$A43))</f>
        <v/>
      </c>
      <c r="AK43" s="21">
        <f>IF(OR($A43="",AK$29="",AK65=0),NA(),SUMIFS(INDEX(ALGO!$A$2:$BZ$20001,0,AK$29),INDEX(ALGO!$A$2:$BZ$20001,0,$B$19),$B$1,INDEX(ALGO!$A$2:$BZ$20001,0,$B$20),$B$4,INDEX(ALGO!$A$2:$BZ$20001,0,$B$18),$A43))</f>
        <v/>
      </c>
      <c r="AL43" s="21">
        <f>IF(OR($A43="",AL$29="",AL65=0),NA(),SUMIFS(INDEX(ALGO!$A$2:$BZ$20001,0,AL$29),INDEX(ALGO!$A$2:$BZ$20001,0,$B$19),$B$1,INDEX(ALGO!$A$2:$BZ$20001,0,$B$20),$B$4,INDEX(ALGO!$A$2:$BZ$20001,0,$B$18),$A43))</f>
        <v/>
      </c>
      <c r="AM43" s="21">
        <f>IF(OR($A43="",AM$29="",AM65=0),NA(),SUMIFS(INDEX(ALGO!$A$2:$BZ$20001,0,AM$29),INDEX(ALGO!$A$2:$BZ$20001,0,$B$19),$B$1,INDEX(ALGO!$A$2:$BZ$20001,0,$B$20),$B$4,INDEX(ALGO!$A$2:$BZ$20001,0,$B$18),$A43))</f>
        <v/>
      </c>
    </row>
    <row r="44">
      <c r="A44" s="20">
        <f>IFERROR(INDEX($B$80:$B$109,MATCH(4,$E$80:$E$109,0)),"")</f>
        <v/>
      </c>
      <c r="B44" s="19">
        <f>IF($A44="","—",$A44&amp;IF($C44="",""," ["&amp;$C44&amp;"]"))</f>
        <v/>
      </c>
      <c r="C44" s="20">
        <f>IF($A44="","",IF(MAX($D66:$AM66)=0,"sin datos en este CFG",IF(MAX($D66:$AM66)&lt;$B$24,"parcial "&amp;MAX($D66:$AM66)&amp;"/"&amp;$B$24,"")))</f>
        <v/>
      </c>
      <c r="D44" s="21">
        <f>IF(OR($A44="",D$29="",D66=0),NA(),SUMIFS(INDEX(ALGO!$A$2:$BZ$20001,0,D$29),INDEX(ALGO!$A$2:$BZ$20001,0,$B$19),$B$1,INDEX(ALGO!$A$2:$BZ$20001,0,$B$20),$B$4,INDEX(ALGO!$A$2:$BZ$20001,0,$B$18),$A44))</f>
        <v/>
      </c>
      <c r="E44" s="21">
        <f>IF(OR($A44="",E$29="",E66=0),NA(),SUMIFS(INDEX(ALGO!$A$2:$BZ$20001,0,E$29),INDEX(ALGO!$A$2:$BZ$20001,0,$B$19),$B$1,INDEX(ALGO!$A$2:$BZ$20001,0,$B$20),$B$4,INDEX(ALGO!$A$2:$BZ$20001,0,$B$18),$A44))</f>
        <v/>
      </c>
      <c r="F44" s="21">
        <f>IF(OR($A44="",F$29="",F66=0),NA(),SUMIFS(INDEX(ALGO!$A$2:$BZ$20001,0,F$29),INDEX(ALGO!$A$2:$BZ$20001,0,$B$19),$B$1,INDEX(ALGO!$A$2:$BZ$20001,0,$B$20),$B$4,INDEX(ALGO!$A$2:$BZ$20001,0,$B$18),$A44))</f>
        <v/>
      </c>
      <c r="G44" s="21">
        <f>IF(OR($A44="",G$29="",G66=0),NA(),SUMIFS(INDEX(ALGO!$A$2:$BZ$20001,0,G$29),INDEX(ALGO!$A$2:$BZ$20001,0,$B$19),$B$1,INDEX(ALGO!$A$2:$BZ$20001,0,$B$20),$B$4,INDEX(ALGO!$A$2:$BZ$20001,0,$B$18),$A44))</f>
        <v/>
      </c>
      <c r="H44" s="21">
        <f>IF(OR($A44="",H$29="",H66=0),NA(),SUMIFS(INDEX(ALGO!$A$2:$BZ$20001,0,H$29),INDEX(ALGO!$A$2:$BZ$20001,0,$B$19),$B$1,INDEX(ALGO!$A$2:$BZ$20001,0,$B$20),$B$4,INDEX(ALGO!$A$2:$BZ$20001,0,$B$18),$A44))</f>
        <v/>
      </c>
      <c r="I44" s="21">
        <f>IF(OR($A44="",I$29="",I66=0),NA(),SUMIFS(INDEX(ALGO!$A$2:$BZ$20001,0,I$29),INDEX(ALGO!$A$2:$BZ$20001,0,$B$19),$B$1,INDEX(ALGO!$A$2:$BZ$20001,0,$B$20),$B$4,INDEX(ALGO!$A$2:$BZ$20001,0,$B$18),$A44))</f>
        <v/>
      </c>
      <c r="J44" s="21">
        <f>IF(OR($A44="",J$29="",J66=0),NA(),SUMIFS(INDEX(ALGO!$A$2:$BZ$20001,0,J$29),INDEX(ALGO!$A$2:$BZ$20001,0,$B$19),$B$1,INDEX(ALGO!$A$2:$BZ$20001,0,$B$20),$B$4,INDEX(ALGO!$A$2:$BZ$20001,0,$B$18),$A44))</f>
        <v/>
      </c>
      <c r="K44" s="21">
        <f>IF(OR($A44="",K$29="",K66=0),NA(),SUMIFS(INDEX(ALGO!$A$2:$BZ$20001,0,K$29),INDEX(ALGO!$A$2:$BZ$20001,0,$B$19),$B$1,INDEX(ALGO!$A$2:$BZ$20001,0,$B$20),$B$4,INDEX(ALGO!$A$2:$BZ$20001,0,$B$18),$A44))</f>
        <v/>
      </c>
      <c r="L44" s="21">
        <f>IF(OR($A44="",L$29="",L66=0),NA(),SUMIFS(INDEX(ALGO!$A$2:$BZ$20001,0,L$29),INDEX(ALGO!$A$2:$BZ$20001,0,$B$19),$B$1,INDEX(ALGO!$A$2:$BZ$20001,0,$B$20),$B$4,INDEX(ALGO!$A$2:$BZ$20001,0,$B$18),$A44))</f>
        <v/>
      </c>
      <c r="M44" s="21">
        <f>IF(OR($A44="",M$29="",M66=0),NA(),SUMIFS(INDEX(ALGO!$A$2:$BZ$20001,0,M$29),INDEX(ALGO!$A$2:$BZ$20001,0,$B$19),$B$1,INDEX(ALGO!$A$2:$BZ$20001,0,$B$20),$B$4,INDEX(ALGO!$A$2:$BZ$20001,0,$B$18),$A44))</f>
        <v/>
      </c>
      <c r="N44" s="21">
        <f>IF(OR($A44="",N$29="",N66=0),NA(),SUMIFS(INDEX(ALGO!$A$2:$BZ$20001,0,N$29),INDEX(ALGO!$A$2:$BZ$20001,0,$B$19),$B$1,INDEX(ALGO!$A$2:$BZ$20001,0,$B$20),$B$4,INDEX(ALGO!$A$2:$BZ$20001,0,$B$18),$A44))</f>
        <v/>
      </c>
      <c r="O44" s="21">
        <f>IF(OR($A44="",O$29="",O66=0),NA(),SUMIFS(INDEX(ALGO!$A$2:$BZ$20001,0,O$29),INDEX(ALGO!$A$2:$BZ$20001,0,$B$19),$B$1,INDEX(ALGO!$A$2:$BZ$20001,0,$B$20),$B$4,INDEX(ALGO!$A$2:$BZ$20001,0,$B$18),$A44))</f>
        <v/>
      </c>
      <c r="P44" s="21">
        <f>IF(OR($A44="",P$29="",P66=0),NA(),SUMIFS(INDEX(ALGO!$A$2:$BZ$20001,0,P$29),INDEX(ALGO!$A$2:$BZ$20001,0,$B$19),$B$1,INDEX(ALGO!$A$2:$BZ$20001,0,$B$20),$B$4,INDEX(ALGO!$A$2:$BZ$20001,0,$B$18),$A44))</f>
        <v/>
      </c>
      <c r="Q44" s="21">
        <f>IF(OR($A44="",Q$29="",Q66=0),NA(),SUMIFS(INDEX(ALGO!$A$2:$BZ$20001,0,Q$29),INDEX(ALGO!$A$2:$BZ$20001,0,$B$19),$B$1,INDEX(ALGO!$A$2:$BZ$20001,0,$B$20),$B$4,INDEX(ALGO!$A$2:$BZ$20001,0,$B$18),$A44))</f>
        <v/>
      </c>
      <c r="R44" s="21">
        <f>IF(OR($A44="",R$29="",R66=0),NA(),SUMIFS(INDEX(ALGO!$A$2:$BZ$20001,0,R$29),INDEX(ALGO!$A$2:$BZ$20001,0,$B$19),$B$1,INDEX(ALGO!$A$2:$BZ$20001,0,$B$20),$B$4,INDEX(ALGO!$A$2:$BZ$20001,0,$B$18),$A44))</f>
        <v/>
      </c>
      <c r="S44" s="21">
        <f>IF(OR($A44="",S$29="",S66=0),NA(),SUMIFS(INDEX(ALGO!$A$2:$BZ$20001,0,S$29),INDEX(ALGO!$A$2:$BZ$20001,0,$B$19),$B$1,INDEX(ALGO!$A$2:$BZ$20001,0,$B$20),$B$4,INDEX(ALGO!$A$2:$BZ$20001,0,$B$18),$A44))</f>
        <v/>
      </c>
      <c r="T44" s="21">
        <f>IF(OR($A44="",T$29="",T66=0),NA(),SUMIFS(INDEX(ALGO!$A$2:$BZ$20001,0,T$29),INDEX(ALGO!$A$2:$BZ$20001,0,$B$19),$B$1,INDEX(ALGO!$A$2:$BZ$20001,0,$B$20),$B$4,INDEX(ALGO!$A$2:$BZ$20001,0,$B$18),$A44))</f>
        <v/>
      </c>
      <c r="U44" s="21">
        <f>IF(OR($A44="",U$29="",U66=0),NA(),SUMIFS(INDEX(ALGO!$A$2:$BZ$20001,0,U$29),INDEX(ALGO!$A$2:$BZ$20001,0,$B$19),$B$1,INDEX(ALGO!$A$2:$BZ$20001,0,$B$20),$B$4,INDEX(ALGO!$A$2:$BZ$20001,0,$B$18),$A44))</f>
        <v/>
      </c>
      <c r="V44" s="21">
        <f>IF(OR($A44="",V$29="",V66=0),NA(),SUMIFS(INDEX(ALGO!$A$2:$BZ$20001,0,V$29),INDEX(ALGO!$A$2:$BZ$20001,0,$B$19),$B$1,INDEX(ALGO!$A$2:$BZ$20001,0,$B$20),$B$4,INDEX(ALGO!$A$2:$BZ$20001,0,$B$18),$A44))</f>
        <v/>
      </c>
      <c r="W44" s="21">
        <f>IF(OR($A44="",W$29="",W66=0),NA(),SUMIFS(INDEX(ALGO!$A$2:$BZ$20001,0,W$29),INDEX(ALGO!$A$2:$BZ$20001,0,$B$19),$B$1,INDEX(ALGO!$A$2:$BZ$20001,0,$B$20),$B$4,INDEX(ALGO!$A$2:$BZ$20001,0,$B$18),$A44))</f>
        <v/>
      </c>
      <c r="X44" s="21">
        <f>IF(OR($A44="",X$29="",X66=0),NA(),SUMIFS(INDEX(ALGO!$A$2:$BZ$20001,0,X$29),INDEX(ALGO!$A$2:$BZ$20001,0,$B$19),$B$1,INDEX(ALGO!$A$2:$BZ$20001,0,$B$20),$B$4,INDEX(ALGO!$A$2:$BZ$20001,0,$B$18),$A44))</f>
        <v/>
      </c>
      <c r="Y44" s="21">
        <f>IF(OR($A44="",Y$29="",Y66=0),NA(),SUMIFS(INDEX(ALGO!$A$2:$BZ$20001,0,Y$29),INDEX(ALGO!$A$2:$BZ$20001,0,$B$19),$B$1,INDEX(ALGO!$A$2:$BZ$20001,0,$B$20),$B$4,INDEX(ALGO!$A$2:$BZ$20001,0,$B$18),$A44))</f>
        <v/>
      </c>
      <c r="Z44" s="21">
        <f>IF(OR($A44="",Z$29="",Z66=0),NA(),SUMIFS(INDEX(ALGO!$A$2:$BZ$20001,0,Z$29),INDEX(ALGO!$A$2:$BZ$20001,0,$B$19),$B$1,INDEX(ALGO!$A$2:$BZ$20001,0,$B$20),$B$4,INDEX(ALGO!$A$2:$BZ$20001,0,$B$18),$A44))</f>
        <v/>
      </c>
      <c r="AA44" s="21">
        <f>IF(OR($A44="",AA$29="",AA66=0),NA(),SUMIFS(INDEX(ALGO!$A$2:$BZ$20001,0,AA$29),INDEX(ALGO!$A$2:$BZ$20001,0,$B$19),$B$1,INDEX(ALGO!$A$2:$BZ$20001,0,$B$20),$B$4,INDEX(ALGO!$A$2:$BZ$20001,0,$B$18),$A44))</f>
        <v/>
      </c>
      <c r="AB44" s="21">
        <f>IF(OR($A44="",AB$29="",AB66=0),NA(),SUMIFS(INDEX(ALGO!$A$2:$BZ$20001,0,AB$29),INDEX(ALGO!$A$2:$BZ$20001,0,$B$19),$B$1,INDEX(ALGO!$A$2:$BZ$20001,0,$B$20),$B$4,INDEX(ALGO!$A$2:$BZ$20001,0,$B$18),$A44))</f>
        <v/>
      </c>
      <c r="AC44" s="21">
        <f>IF(OR($A44="",AC$29="",AC66=0),NA(),SUMIFS(INDEX(ALGO!$A$2:$BZ$20001,0,AC$29),INDEX(ALGO!$A$2:$BZ$20001,0,$B$19),$B$1,INDEX(ALGO!$A$2:$BZ$20001,0,$B$20),$B$4,INDEX(ALGO!$A$2:$BZ$20001,0,$B$18),$A44))</f>
        <v/>
      </c>
      <c r="AD44" s="21">
        <f>IF(OR($A44="",AD$29="",AD66=0),NA(),SUMIFS(INDEX(ALGO!$A$2:$BZ$20001,0,AD$29),INDEX(ALGO!$A$2:$BZ$20001,0,$B$19),$B$1,INDEX(ALGO!$A$2:$BZ$20001,0,$B$20),$B$4,INDEX(ALGO!$A$2:$BZ$20001,0,$B$18),$A44))</f>
        <v/>
      </c>
      <c r="AE44" s="21">
        <f>IF(OR($A44="",AE$29="",AE66=0),NA(),SUMIFS(INDEX(ALGO!$A$2:$BZ$20001,0,AE$29),INDEX(ALGO!$A$2:$BZ$20001,0,$B$19),$B$1,INDEX(ALGO!$A$2:$BZ$20001,0,$B$20),$B$4,INDEX(ALGO!$A$2:$BZ$20001,0,$B$18),$A44))</f>
        <v/>
      </c>
      <c r="AF44" s="21">
        <f>IF(OR($A44="",AF$29="",AF66=0),NA(),SUMIFS(INDEX(ALGO!$A$2:$BZ$20001,0,AF$29),INDEX(ALGO!$A$2:$BZ$20001,0,$B$19),$B$1,INDEX(ALGO!$A$2:$BZ$20001,0,$B$20),$B$4,INDEX(ALGO!$A$2:$BZ$20001,0,$B$18),$A44))</f>
        <v/>
      </c>
      <c r="AG44" s="21">
        <f>IF(OR($A44="",AG$29="",AG66=0),NA(),SUMIFS(INDEX(ALGO!$A$2:$BZ$20001,0,AG$29),INDEX(ALGO!$A$2:$BZ$20001,0,$B$19),$B$1,INDEX(ALGO!$A$2:$BZ$20001,0,$B$20),$B$4,INDEX(ALGO!$A$2:$BZ$20001,0,$B$18),$A44))</f>
        <v/>
      </c>
      <c r="AH44" s="21">
        <f>IF(OR($A44="",AH$29="",AH66=0),NA(),SUMIFS(INDEX(ALGO!$A$2:$BZ$20001,0,AH$29),INDEX(ALGO!$A$2:$BZ$20001,0,$B$19),$B$1,INDEX(ALGO!$A$2:$BZ$20001,0,$B$20),$B$4,INDEX(ALGO!$A$2:$BZ$20001,0,$B$18),$A44))</f>
        <v/>
      </c>
      <c r="AI44" s="21">
        <f>IF(OR($A44="",AI$29="",AI66=0),NA(),SUMIFS(INDEX(ALGO!$A$2:$BZ$20001,0,AI$29),INDEX(ALGO!$A$2:$BZ$20001,0,$B$19),$B$1,INDEX(ALGO!$A$2:$BZ$20001,0,$B$20),$B$4,INDEX(ALGO!$A$2:$BZ$20001,0,$B$18),$A44))</f>
        <v/>
      </c>
      <c r="AJ44" s="21">
        <f>IF(OR($A44="",AJ$29="",AJ66=0),NA(),SUMIFS(INDEX(ALGO!$A$2:$BZ$20001,0,AJ$29),INDEX(ALGO!$A$2:$BZ$20001,0,$B$19),$B$1,INDEX(ALGO!$A$2:$BZ$20001,0,$B$20),$B$4,INDEX(ALGO!$A$2:$BZ$20001,0,$B$18),$A44))</f>
        <v/>
      </c>
      <c r="AK44" s="21">
        <f>IF(OR($A44="",AK$29="",AK66=0),NA(),SUMIFS(INDEX(ALGO!$A$2:$BZ$20001,0,AK$29),INDEX(ALGO!$A$2:$BZ$20001,0,$B$19),$B$1,INDEX(ALGO!$A$2:$BZ$20001,0,$B$20),$B$4,INDEX(ALGO!$A$2:$BZ$20001,0,$B$18),$A44))</f>
        <v/>
      </c>
      <c r="AL44" s="21">
        <f>IF(OR($A44="",AL$29="",AL66=0),NA(),SUMIFS(INDEX(ALGO!$A$2:$BZ$20001,0,AL$29),INDEX(ALGO!$A$2:$BZ$20001,0,$B$19),$B$1,INDEX(ALGO!$A$2:$BZ$20001,0,$B$20),$B$4,INDEX(ALGO!$A$2:$BZ$20001,0,$B$18),$A44))</f>
        <v/>
      </c>
      <c r="AM44" s="21">
        <f>IF(OR($A44="",AM$29="",AM66=0),NA(),SUMIFS(INDEX(ALGO!$A$2:$BZ$20001,0,AM$29),INDEX(ALGO!$A$2:$BZ$20001,0,$B$19),$B$1,INDEX(ALGO!$A$2:$BZ$20001,0,$B$20),$B$4,INDEX(ALGO!$A$2:$BZ$20001,0,$B$18),$A44))</f>
        <v/>
      </c>
    </row>
    <row r="45">
      <c r="A45" s="20">
        <f>IFERROR(INDEX($B$80:$B$109,MATCH(5,$E$80:$E$109,0)),"")</f>
        <v/>
      </c>
      <c r="B45" s="19">
        <f>IF($A45="","—",$A45&amp;IF($C45="",""," ["&amp;$C45&amp;"]"))</f>
        <v/>
      </c>
      <c r="C45" s="20">
        <f>IF($A45="","",IF(MAX($D67:$AM67)=0,"sin datos en este CFG",IF(MAX($D67:$AM67)&lt;$B$24,"parcial "&amp;MAX($D67:$AM67)&amp;"/"&amp;$B$24,"")))</f>
        <v/>
      </c>
      <c r="D45" s="21">
        <f>IF(OR($A45="",D$29="",D67=0),NA(),SUMIFS(INDEX(ALGO!$A$2:$BZ$20001,0,D$29),INDEX(ALGO!$A$2:$BZ$20001,0,$B$19),$B$1,INDEX(ALGO!$A$2:$BZ$20001,0,$B$20),$B$4,INDEX(ALGO!$A$2:$BZ$20001,0,$B$18),$A45))</f>
        <v/>
      </c>
      <c r="E45" s="21">
        <f>IF(OR($A45="",E$29="",E67=0),NA(),SUMIFS(INDEX(ALGO!$A$2:$BZ$20001,0,E$29),INDEX(ALGO!$A$2:$BZ$20001,0,$B$19),$B$1,INDEX(ALGO!$A$2:$BZ$20001,0,$B$20),$B$4,INDEX(ALGO!$A$2:$BZ$20001,0,$B$18),$A45))</f>
        <v/>
      </c>
      <c r="F45" s="21">
        <f>IF(OR($A45="",F$29="",F67=0),NA(),SUMIFS(INDEX(ALGO!$A$2:$BZ$20001,0,F$29),INDEX(ALGO!$A$2:$BZ$20001,0,$B$19),$B$1,INDEX(ALGO!$A$2:$BZ$20001,0,$B$20),$B$4,INDEX(ALGO!$A$2:$BZ$20001,0,$B$18),$A45))</f>
        <v/>
      </c>
      <c r="G45" s="21">
        <f>IF(OR($A45="",G$29="",G67=0),NA(),SUMIFS(INDEX(ALGO!$A$2:$BZ$20001,0,G$29),INDEX(ALGO!$A$2:$BZ$20001,0,$B$19),$B$1,INDEX(ALGO!$A$2:$BZ$20001,0,$B$20),$B$4,INDEX(ALGO!$A$2:$BZ$20001,0,$B$18),$A45))</f>
        <v/>
      </c>
      <c r="H45" s="21">
        <f>IF(OR($A45="",H$29="",H67=0),NA(),SUMIFS(INDEX(ALGO!$A$2:$BZ$20001,0,H$29),INDEX(ALGO!$A$2:$BZ$20001,0,$B$19),$B$1,INDEX(ALGO!$A$2:$BZ$20001,0,$B$20),$B$4,INDEX(ALGO!$A$2:$BZ$20001,0,$B$18),$A45))</f>
        <v/>
      </c>
      <c r="I45" s="21">
        <f>IF(OR($A45="",I$29="",I67=0),NA(),SUMIFS(INDEX(ALGO!$A$2:$BZ$20001,0,I$29),INDEX(ALGO!$A$2:$BZ$20001,0,$B$19),$B$1,INDEX(ALGO!$A$2:$BZ$20001,0,$B$20),$B$4,INDEX(ALGO!$A$2:$BZ$20001,0,$B$18),$A45))</f>
        <v/>
      </c>
      <c r="J45" s="21">
        <f>IF(OR($A45="",J$29="",J67=0),NA(),SUMIFS(INDEX(ALGO!$A$2:$BZ$20001,0,J$29),INDEX(ALGO!$A$2:$BZ$20001,0,$B$19),$B$1,INDEX(ALGO!$A$2:$BZ$20001,0,$B$20),$B$4,INDEX(ALGO!$A$2:$BZ$20001,0,$B$18),$A45))</f>
        <v/>
      </c>
      <c r="K45" s="21">
        <f>IF(OR($A45="",K$29="",K67=0),NA(),SUMIFS(INDEX(ALGO!$A$2:$BZ$20001,0,K$29),INDEX(ALGO!$A$2:$BZ$20001,0,$B$19),$B$1,INDEX(ALGO!$A$2:$BZ$20001,0,$B$20),$B$4,INDEX(ALGO!$A$2:$BZ$20001,0,$B$18),$A45))</f>
        <v/>
      </c>
      <c r="L45" s="21">
        <f>IF(OR($A45="",L$29="",L67=0),NA(),SUMIFS(INDEX(ALGO!$A$2:$BZ$20001,0,L$29),INDEX(ALGO!$A$2:$BZ$20001,0,$B$19),$B$1,INDEX(ALGO!$A$2:$BZ$20001,0,$B$20),$B$4,INDEX(ALGO!$A$2:$BZ$20001,0,$B$18),$A45))</f>
        <v/>
      </c>
      <c r="M45" s="21">
        <f>IF(OR($A45="",M$29="",M67=0),NA(),SUMIFS(INDEX(ALGO!$A$2:$BZ$20001,0,M$29),INDEX(ALGO!$A$2:$BZ$20001,0,$B$19),$B$1,INDEX(ALGO!$A$2:$BZ$20001,0,$B$20),$B$4,INDEX(ALGO!$A$2:$BZ$20001,0,$B$18),$A45))</f>
        <v/>
      </c>
      <c r="N45" s="21">
        <f>IF(OR($A45="",N$29="",N67=0),NA(),SUMIFS(INDEX(ALGO!$A$2:$BZ$20001,0,N$29),INDEX(ALGO!$A$2:$BZ$20001,0,$B$19),$B$1,INDEX(ALGO!$A$2:$BZ$20001,0,$B$20),$B$4,INDEX(ALGO!$A$2:$BZ$20001,0,$B$18),$A45))</f>
        <v/>
      </c>
      <c r="O45" s="21">
        <f>IF(OR($A45="",O$29="",O67=0),NA(),SUMIFS(INDEX(ALGO!$A$2:$BZ$20001,0,O$29),INDEX(ALGO!$A$2:$BZ$20001,0,$B$19),$B$1,INDEX(ALGO!$A$2:$BZ$20001,0,$B$20),$B$4,INDEX(ALGO!$A$2:$BZ$20001,0,$B$18),$A45))</f>
        <v/>
      </c>
      <c r="P45" s="21">
        <f>IF(OR($A45="",P$29="",P67=0),NA(),SUMIFS(INDEX(ALGO!$A$2:$BZ$20001,0,P$29),INDEX(ALGO!$A$2:$BZ$20001,0,$B$19),$B$1,INDEX(ALGO!$A$2:$BZ$20001,0,$B$20),$B$4,INDEX(ALGO!$A$2:$BZ$20001,0,$B$18),$A45))</f>
        <v/>
      </c>
      <c r="Q45" s="21">
        <f>IF(OR($A45="",Q$29="",Q67=0),NA(),SUMIFS(INDEX(ALGO!$A$2:$BZ$20001,0,Q$29),INDEX(ALGO!$A$2:$BZ$20001,0,$B$19),$B$1,INDEX(ALGO!$A$2:$BZ$20001,0,$B$20),$B$4,INDEX(ALGO!$A$2:$BZ$20001,0,$B$18),$A45))</f>
        <v/>
      </c>
      <c r="R45" s="21">
        <f>IF(OR($A45="",R$29="",R67=0),NA(),SUMIFS(INDEX(ALGO!$A$2:$BZ$20001,0,R$29),INDEX(ALGO!$A$2:$BZ$20001,0,$B$19),$B$1,INDEX(ALGO!$A$2:$BZ$20001,0,$B$20),$B$4,INDEX(ALGO!$A$2:$BZ$20001,0,$B$18),$A45))</f>
        <v/>
      </c>
      <c r="S45" s="21">
        <f>IF(OR($A45="",S$29="",S67=0),NA(),SUMIFS(INDEX(ALGO!$A$2:$BZ$20001,0,S$29),INDEX(ALGO!$A$2:$BZ$20001,0,$B$19),$B$1,INDEX(ALGO!$A$2:$BZ$20001,0,$B$20),$B$4,INDEX(ALGO!$A$2:$BZ$20001,0,$B$18),$A45))</f>
        <v/>
      </c>
      <c r="T45" s="21">
        <f>IF(OR($A45="",T$29="",T67=0),NA(),SUMIFS(INDEX(ALGO!$A$2:$BZ$20001,0,T$29),INDEX(ALGO!$A$2:$BZ$20001,0,$B$19),$B$1,INDEX(ALGO!$A$2:$BZ$20001,0,$B$20),$B$4,INDEX(ALGO!$A$2:$BZ$20001,0,$B$18),$A45))</f>
        <v/>
      </c>
      <c r="U45" s="21">
        <f>IF(OR($A45="",U$29="",U67=0),NA(),SUMIFS(INDEX(ALGO!$A$2:$BZ$20001,0,U$29),INDEX(ALGO!$A$2:$BZ$20001,0,$B$19),$B$1,INDEX(ALGO!$A$2:$BZ$20001,0,$B$20),$B$4,INDEX(ALGO!$A$2:$BZ$20001,0,$B$18),$A45))</f>
        <v/>
      </c>
      <c r="V45" s="21">
        <f>IF(OR($A45="",V$29="",V67=0),NA(),SUMIFS(INDEX(ALGO!$A$2:$BZ$20001,0,V$29),INDEX(ALGO!$A$2:$BZ$20001,0,$B$19),$B$1,INDEX(ALGO!$A$2:$BZ$20001,0,$B$20),$B$4,INDEX(ALGO!$A$2:$BZ$20001,0,$B$18),$A45))</f>
        <v/>
      </c>
      <c r="W45" s="21">
        <f>IF(OR($A45="",W$29="",W67=0),NA(),SUMIFS(INDEX(ALGO!$A$2:$BZ$20001,0,W$29),INDEX(ALGO!$A$2:$BZ$20001,0,$B$19),$B$1,INDEX(ALGO!$A$2:$BZ$20001,0,$B$20),$B$4,INDEX(ALGO!$A$2:$BZ$20001,0,$B$18),$A45))</f>
        <v/>
      </c>
      <c r="X45" s="21">
        <f>IF(OR($A45="",X$29="",X67=0),NA(),SUMIFS(INDEX(ALGO!$A$2:$BZ$20001,0,X$29),INDEX(ALGO!$A$2:$BZ$20001,0,$B$19),$B$1,INDEX(ALGO!$A$2:$BZ$20001,0,$B$20),$B$4,INDEX(ALGO!$A$2:$BZ$20001,0,$B$18),$A45))</f>
        <v/>
      </c>
      <c r="Y45" s="21">
        <f>IF(OR($A45="",Y$29="",Y67=0),NA(),SUMIFS(INDEX(ALGO!$A$2:$BZ$20001,0,Y$29),INDEX(ALGO!$A$2:$BZ$20001,0,$B$19),$B$1,INDEX(ALGO!$A$2:$BZ$20001,0,$B$20),$B$4,INDEX(ALGO!$A$2:$BZ$20001,0,$B$18),$A45))</f>
        <v/>
      </c>
      <c r="Z45" s="21">
        <f>IF(OR($A45="",Z$29="",Z67=0),NA(),SUMIFS(INDEX(ALGO!$A$2:$BZ$20001,0,Z$29),INDEX(ALGO!$A$2:$BZ$20001,0,$B$19),$B$1,INDEX(ALGO!$A$2:$BZ$20001,0,$B$20),$B$4,INDEX(ALGO!$A$2:$BZ$20001,0,$B$18),$A45))</f>
        <v/>
      </c>
      <c r="AA45" s="21">
        <f>IF(OR($A45="",AA$29="",AA67=0),NA(),SUMIFS(INDEX(ALGO!$A$2:$BZ$20001,0,AA$29),INDEX(ALGO!$A$2:$BZ$20001,0,$B$19),$B$1,INDEX(ALGO!$A$2:$BZ$20001,0,$B$20),$B$4,INDEX(ALGO!$A$2:$BZ$20001,0,$B$18),$A45))</f>
        <v/>
      </c>
      <c r="AB45" s="21">
        <f>IF(OR($A45="",AB$29="",AB67=0),NA(),SUMIFS(INDEX(ALGO!$A$2:$BZ$20001,0,AB$29),INDEX(ALGO!$A$2:$BZ$20001,0,$B$19),$B$1,INDEX(ALGO!$A$2:$BZ$20001,0,$B$20),$B$4,INDEX(ALGO!$A$2:$BZ$20001,0,$B$18),$A45))</f>
        <v/>
      </c>
      <c r="AC45" s="21">
        <f>IF(OR($A45="",AC$29="",AC67=0),NA(),SUMIFS(INDEX(ALGO!$A$2:$BZ$20001,0,AC$29),INDEX(ALGO!$A$2:$BZ$20001,0,$B$19),$B$1,INDEX(ALGO!$A$2:$BZ$20001,0,$B$20),$B$4,INDEX(ALGO!$A$2:$BZ$20001,0,$B$18),$A45))</f>
        <v/>
      </c>
      <c r="AD45" s="21">
        <f>IF(OR($A45="",AD$29="",AD67=0),NA(),SUMIFS(INDEX(ALGO!$A$2:$BZ$20001,0,AD$29),INDEX(ALGO!$A$2:$BZ$20001,0,$B$19),$B$1,INDEX(ALGO!$A$2:$BZ$20001,0,$B$20),$B$4,INDEX(ALGO!$A$2:$BZ$20001,0,$B$18),$A45))</f>
        <v/>
      </c>
      <c r="AE45" s="21">
        <f>IF(OR($A45="",AE$29="",AE67=0),NA(),SUMIFS(INDEX(ALGO!$A$2:$BZ$20001,0,AE$29),INDEX(ALGO!$A$2:$BZ$20001,0,$B$19),$B$1,INDEX(ALGO!$A$2:$BZ$20001,0,$B$20),$B$4,INDEX(ALGO!$A$2:$BZ$20001,0,$B$18),$A45))</f>
        <v/>
      </c>
      <c r="AF45" s="21">
        <f>IF(OR($A45="",AF$29="",AF67=0),NA(),SUMIFS(INDEX(ALGO!$A$2:$BZ$20001,0,AF$29),INDEX(ALGO!$A$2:$BZ$20001,0,$B$19),$B$1,INDEX(ALGO!$A$2:$BZ$20001,0,$B$20),$B$4,INDEX(ALGO!$A$2:$BZ$20001,0,$B$18),$A45))</f>
        <v/>
      </c>
      <c r="AG45" s="21">
        <f>IF(OR($A45="",AG$29="",AG67=0),NA(),SUMIFS(INDEX(ALGO!$A$2:$BZ$20001,0,AG$29),INDEX(ALGO!$A$2:$BZ$20001,0,$B$19),$B$1,INDEX(ALGO!$A$2:$BZ$20001,0,$B$20),$B$4,INDEX(ALGO!$A$2:$BZ$20001,0,$B$18),$A45))</f>
        <v/>
      </c>
      <c r="AH45" s="21">
        <f>IF(OR($A45="",AH$29="",AH67=0),NA(),SUMIFS(INDEX(ALGO!$A$2:$BZ$20001,0,AH$29),INDEX(ALGO!$A$2:$BZ$20001,0,$B$19),$B$1,INDEX(ALGO!$A$2:$BZ$20001,0,$B$20),$B$4,INDEX(ALGO!$A$2:$BZ$20001,0,$B$18),$A45))</f>
        <v/>
      </c>
      <c r="AI45" s="21">
        <f>IF(OR($A45="",AI$29="",AI67=0),NA(),SUMIFS(INDEX(ALGO!$A$2:$BZ$20001,0,AI$29),INDEX(ALGO!$A$2:$BZ$20001,0,$B$19),$B$1,INDEX(ALGO!$A$2:$BZ$20001,0,$B$20),$B$4,INDEX(ALGO!$A$2:$BZ$20001,0,$B$18),$A45))</f>
        <v/>
      </c>
      <c r="AJ45" s="21">
        <f>IF(OR($A45="",AJ$29="",AJ67=0),NA(),SUMIFS(INDEX(ALGO!$A$2:$BZ$20001,0,AJ$29),INDEX(ALGO!$A$2:$BZ$20001,0,$B$19),$B$1,INDEX(ALGO!$A$2:$BZ$20001,0,$B$20),$B$4,INDEX(ALGO!$A$2:$BZ$20001,0,$B$18),$A45))</f>
        <v/>
      </c>
      <c r="AK45" s="21">
        <f>IF(OR($A45="",AK$29="",AK67=0),NA(),SUMIFS(INDEX(ALGO!$A$2:$BZ$20001,0,AK$29),INDEX(ALGO!$A$2:$BZ$20001,0,$B$19),$B$1,INDEX(ALGO!$A$2:$BZ$20001,0,$B$20),$B$4,INDEX(ALGO!$A$2:$BZ$20001,0,$B$18),$A45))</f>
        <v/>
      </c>
      <c r="AL45" s="21">
        <f>IF(OR($A45="",AL$29="",AL67=0),NA(),SUMIFS(INDEX(ALGO!$A$2:$BZ$20001,0,AL$29),INDEX(ALGO!$A$2:$BZ$20001,0,$B$19),$B$1,INDEX(ALGO!$A$2:$BZ$20001,0,$B$20),$B$4,INDEX(ALGO!$A$2:$BZ$20001,0,$B$18),$A45))</f>
        <v/>
      </c>
      <c r="AM45" s="21">
        <f>IF(OR($A45="",AM$29="",AM67=0),NA(),SUMIFS(INDEX(ALGO!$A$2:$BZ$20001,0,AM$29),INDEX(ALGO!$A$2:$BZ$20001,0,$B$19),$B$1,INDEX(ALGO!$A$2:$BZ$20001,0,$B$20),$B$4,INDEX(ALGO!$A$2:$BZ$20001,0,$B$18),$A45))</f>
        <v/>
      </c>
    </row>
    <row r="46">
      <c r="A46" s="20">
        <f>IFERROR(INDEX($B$80:$B$109,MATCH(6,$E$80:$E$109,0)),"")</f>
        <v/>
      </c>
      <c r="B46" s="19">
        <f>IF($A46="","—",$A46&amp;IF($C46="",""," ["&amp;$C46&amp;"]"))</f>
        <v/>
      </c>
      <c r="C46" s="20">
        <f>IF($A46="","",IF(MAX($D68:$AM68)=0,"sin datos en este CFG",IF(MAX($D68:$AM68)&lt;$B$24,"parcial "&amp;MAX($D68:$AM68)&amp;"/"&amp;$B$24,"")))</f>
        <v/>
      </c>
      <c r="D46" s="21">
        <f>IF(OR($A46="",D$29="",D68=0),NA(),SUMIFS(INDEX(ALGO!$A$2:$BZ$20001,0,D$29),INDEX(ALGO!$A$2:$BZ$20001,0,$B$19),$B$1,INDEX(ALGO!$A$2:$BZ$20001,0,$B$20),$B$4,INDEX(ALGO!$A$2:$BZ$20001,0,$B$18),$A46))</f>
        <v/>
      </c>
      <c r="E46" s="21">
        <f>IF(OR($A46="",E$29="",E68=0),NA(),SUMIFS(INDEX(ALGO!$A$2:$BZ$20001,0,E$29),INDEX(ALGO!$A$2:$BZ$20001,0,$B$19),$B$1,INDEX(ALGO!$A$2:$BZ$20001,0,$B$20),$B$4,INDEX(ALGO!$A$2:$BZ$20001,0,$B$18),$A46))</f>
        <v/>
      </c>
      <c r="F46" s="21">
        <f>IF(OR($A46="",F$29="",F68=0),NA(),SUMIFS(INDEX(ALGO!$A$2:$BZ$20001,0,F$29),INDEX(ALGO!$A$2:$BZ$20001,0,$B$19),$B$1,INDEX(ALGO!$A$2:$BZ$20001,0,$B$20),$B$4,INDEX(ALGO!$A$2:$BZ$20001,0,$B$18),$A46))</f>
        <v/>
      </c>
      <c r="G46" s="21">
        <f>IF(OR($A46="",G$29="",G68=0),NA(),SUMIFS(INDEX(ALGO!$A$2:$BZ$20001,0,G$29),INDEX(ALGO!$A$2:$BZ$20001,0,$B$19),$B$1,INDEX(ALGO!$A$2:$BZ$20001,0,$B$20),$B$4,INDEX(ALGO!$A$2:$BZ$20001,0,$B$18),$A46))</f>
        <v/>
      </c>
      <c r="H46" s="21">
        <f>IF(OR($A46="",H$29="",H68=0),NA(),SUMIFS(INDEX(ALGO!$A$2:$BZ$20001,0,H$29),INDEX(ALGO!$A$2:$BZ$20001,0,$B$19),$B$1,INDEX(ALGO!$A$2:$BZ$20001,0,$B$20),$B$4,INDEX(ALGO!$A$2:$BZ$20001,0,$B$18),$A46))</f>
        <v/>
      </c>
      <c r="I46" s="21">
        <f>IF(OR($A46="",I$29="",I68=0),NA(),SUMIFS(INDEX(ALGO!$A$2:$BZ$20001,0,I$29),INDEX(ALGO!$A$2:$BZ$20001,0,$B$19),$B$1,INDEX(ALGO!$A$2:$BZ$20001,0,$B$20),$B$4,INDEX(ALGO!$A$2:$BZ$20001,0,$B$18),$A46))</f>
        <v/>
      </c>
      <c r="J46" s="21">
        <f>IF(OR($A46="",J$29="",J68=0),NA(),SUMIFS(INDEX(ALGO!$A$2:$BZ$20001,0,J$29),INDEX(ALGO!$A$2:$BZ$20001,0,$B$19),$B$1,INDEX(ALGO!$A$2:$BZ$20001,0,$B$20),$B$4,INDEX(ALGO!$A$2:$BZ$20001,0,$B$18),$A46))</f>
        <v/>
      </c>
      <c r="K46" s="21">
        <f>IF(OR($A46="",K$29="",K68=0),NA(),SUMIFS(INDEX(ALGO!$A$2:$BZ$20001,0,K$29),INDEX(ALGO!$A$2:$BZ$20001,0,$B$19),$B$1,INDEX(ALGO!$A$2:$BZ$20001,0,$B$20),$B$4,INDEX(ALGO!$A$2:$BZ$20001,0,$B$18),$A46))</f>
        <v/>
      </c>
      <c r="L46" s="21">
        <f>IF(OR($A46="",L$29="",L68=0),NA(),SUMIFS(INDEX(ALGO!$A$2:$BZ$20001,0,L$29),INDEX(ALGO!$A$2:$BZ$20001,0,$B$19),$B$1,INDEX(ALGO!$A$2:$BZ$20001,0,$B$20),$B$4,INDEX(ALGO!$A$2:$BZ$20001,0,$B$18),$A46))</f>
        <v/>
      </c>
      <c r="M46" s="21">
        <f>IF(OR($A46="",M$29="",M68=0),NA(),SUMIFS(INDEX(ALGO!$A$2:$BZ$20001,0,M$29),INDEX(ALGO!$A$2:$BZ$20001,0,$B$19),$B$1,INDEX(ALGO!$A$2:$BZ$20001,0,$B$20),$B$4,INDEX(ALGO!$A$2:$BZ$20001,0,$B$18),$A46))</f>
        <v/>
      </c>
      <c r="N46" s="21">
        <f>IF(OR($A46="",N$29="",N68=0),NA(),SUMIFS(INDEX(ALGO!$A$2:$BZ$20001,0,N$29),INDEX(ALGO!$A$2:$BZ$20001,0,$B$19),$B$1,INDEX(ALGO!$A$2:$BZ$20001,0,$B$20),$B$4,INDEX(ALGO!$A$2:$BZ$20001,0,$B$18),$A46))</f>
        <v/>
      </c>
      <c r="O46" s="21">
        <f>IF(OR($A46="",O$29="",O68=0),NA(),SUMIFS(INDEX(ALGO!$A$2:$BZ$20001,0,O$29),INDEX(ALGO!$A$2:$BZ$20001,0,$B$19),$B$1,INDEX(ALGO!$A$2:$BZ$20001,0,$B$20),$B$4,INDEX(ALGO!$A$2:$BZ$20001,0,$B$18),$A46))</f>
        <v/>
      </c>
      <c r="P46" s="21">
        <f>IF(OR($A46="",P$29="",P68=0),NA(),SUMIFS(INDEX(ALGO!$A$2:$BZ$20001,0,P$29),INDEX(ALGO!$A$2:$BZ$20001,0,$B$19),$B$1,INDEX(ALGO!$A$2:$BZ$20001,0,$B$20),$B$4,INDEX(ALGO!$A$2:$BZ$20001,0,$B$18),$A46))</f>
        <v/>
      </c>
      <c r="Q46" s="21">
        <f>IF(OR($A46="",Q$29="",Q68=0),NA(),SUMIFS(INDEX(ALGO!$A$2:$BZ$20001,0,Q$29),INDEX(ALGO!$A$2:$BZ$20001,0,$B$19),$B$1,INDEX(ALGO!$A$2:$BZ$20001,0,$B$20),$B$4,INDEX(ALGO!$A$2:$BZ$20001,0,$B$18),$A46))</f>
        <v/>
      </c>
      <c r="R46" s="21">
        <f>IF(OR($A46="",R$29="",R68=0),NA(),SUMIFS(INDEX(ALGO!$A$2:$BZ$20001,0,R$29),INDEX(ALGO!$A$2:$BZ$20001,0,$B$19),$B$1,INDEX(ALGO!$A$2:$BZ$20001,0,$B$20),$B$4,INDEX(ALGO!$A$2:$BZ$20001,0,$B$18),$A46))</f>
        <v/>
      </c>
      <c r="S46" s="21">
        <f>IF(OR($A46="",S$29="",S68=0),NA(),SUMIFS(INDEX(ALGO!$A$2:$BZ$20001,0,S$29),INDEX(ALGO!$A$2:$BZ$20001,0,$B$19),$B$1,INDEX(ALGO!$A$2:$BZ$20001,0,$B$20),$B$4,INDEX(ALGO!$A$2:$BZ$20001,0,$B$18),$A46))</f>
        <v/>
      </c>
      <c r="T46" s="21">
        <f>IF(OR($A46="",T$29="",T68=0),NA(),SUMIFS(INDEX(ALGO!$A$2:$BZ$20001,0,T$29),INDEX(ALGO!$A$2:$BZ$20001,0,$B$19),$B$1,INDEX(ALGO!$A$2:$BZ$20001,0,$B$20),$B$4,INDEX(ALGO!$A$2:$BZ$20001,0,$B$18),$A46))</f>
        <v/>
      </c>
      <c r="U46" s="21">
        <f>IF(OR($A46="",U$29="",U68=0),NA(),SUMIFS(INDEX(ALGO!$A$2:$BZ$20001,0,U$29),INDEX(ALGO!$A$2:$BZ$20001,0,$B$19),$B$1,INDEX(ALGO!$A$2:$BZ$20001,0,$B$20),$B$4,INDEX(ALGO!$A$2:$BZ$20001,0,$B$18),$A46))</f>
        <v/>
      </c>
      <c r="V46" s="21">
        <f>IF(OR($A46="",V$29="",V68=0),NA(),SUMIFS(INDEX(ALGO!$A$2:$BZ$20001,0,V$29),INDEX(ALGO!$A$2:$BZ$20001,0,$B$19),$B$1,INDEX(ALGO!$A$2:$BZ$20001,0,$B$20),$B$4,INDEX(ALGO!$A$2:$BZ$20001,0,$B$18),$A46))</f>
        <v/>
      </c>
      <c r="W46" s="21">
        <f>IF(OR($A46="",W$29="",W68=0),NA(),SUMIFS(INDEX(ALGO!$A$2:$BZ$20001,0,W$29),INDEX(ALGO!$A$2:$BZ$20001,0,$B$19),$B$1,INDEX(ALGO!$A$2:$BZ$20001,0,$B$20),$B$4,INDEX(ALGO!$A$2:$BZ$20001,0,$B$18),$A46))</f>
        <v/>
      </c>
      <c r="X46" s="21">
        <f>IF(OR($A46="",X$29="",X68=0),NA(),SUMIFS(INDEX(ALGO!$A$2:$BZ$20001,0,X$29),INDEX(ALGO!$A$2:$BZ$20001,0,$B$19),$B$1,INDEX(ALGO!$A$2:$BZ$20001,0,$B$20),$B$4,INDEX(ALGO!$A$2:$BZ$20001,0,$B$18),$A46))</f>
        <v/>
      </c>
      <c r="Y46" s="21">
        <f>IF(OR($A46="",Y$29="",Y68=0),NA(),SUMIFS(INDEX(ALGO!$A$2:$BZ$20001,0,Y$29),INDEX(ALGO!$A$2:$BZ$20001,0,$B$19),$B$1,INDEX(ALGO!$A$2:$BZ$20001,0,$B$20),$B$4,INDEX(ALGO!$A$2:$BZ$20001,0,$B$18),$A46))</f>
        <v/>
      </c>
      <c r="Z46" s="21">
        <f>IF(OR($A46="",Z$29="",Z68=0),NA(),SUMIFS(INDEX(ALGO!$A$2:$BZ$20001,0,Z$29),INDEX(ALGO!$A$2:$BZ$20001,0,$B$19),$B$1,INDEX(ALGO!$A$2:$BZ$20001,0,$B$20),$B$4,INDEX(ALGO!$A$2:$BZ$20001,0,$B$18),$A46))</f>
        <v/>
      </c>
      <c r="AA46" s="21">
        <f>IF(OR($A46="",AA$29="",AA68=0),NA(),SUMIFS(INDEX(ALGO!$A$2:$BZ$20001,0,AA$29),INDEX(ALGO!$A$2:$BZ$20001,0,$B$19),$B$1,INDEX(ALGO!$A$2:$BZ$20001,0,$B$20),$B$4,INDEX(ALGO!$A$2:$BZ$20001,0,$B$18),$A46))</f>
        <v/>
      </c>
      <c r="AB46" s="21">
        <f>IF(OR($A46="",AB$29="",AB68=0),NA(),SUMIFS(INDEX(ALGO!$A$2:$BZ$20001,0,AB$29),INDEX(ALGO!$A$2:$BZ$20001,0,$B$19),$B$1,INDEX(ALGO!$A$2:$BZ$20001,0,$B$20),$B$4,INDEX(ALGO!$A$2:$BZ$20001,0,$B$18),$A46))</f>
        <v/>
      </c>
      <c r="AC46" s="21">
        <f>IF(OR($A46="",AC$29="",AC68=0),NA(),SUMIFS(INDEX(ALGO!$A$2:$BZ$20001,0,AC$29),INDEX(ALGO!$A$2:$BZ$20001,0,$B$19),$B$1,INDEX(ALGO!$A$2:$BZ$20001,0,$B$20),$B$4,INDEX(ALGO!$A$2:$BZ$20001,0,$B$18),$A46))</f>
        <v/>
      </c>
      <c r="AD46" s="21">
        <f>IF(OR($A46="",AD$29="",AD68=0),NA(),SUMIFS(INDEX(ALGO!$A$2:$BZ$20001,0,AD$29),INDEX(ALGO!$A$2:$BZ$20001,0,$B$19),$B$1,INDEX(ALGO!$A$2:$BZ$20001,0,$B$20),$B$4,INDEX(ALGO!$A$2:$BZ$20001,0,$B$18),$A46))</f>
        <v/>
      </c>
      <c r="AE46" s="21">
        <f>IF(OR($A46="",AE$29="",AE68=0),NA(),SUMIFS(INDEX(ALGO!$A$2:$BZ$20001,0,AE$29),INDEX(ALGO!$A$2:$BZ$20001,0,$B$19),$B$1,INDEX(ALGO!$A$2:$BZ$20001,0,$B$20),$B$4,INDEX(ALGO!$A$2:$BZ$20001,0,$B$18),$A46))</f>
        <v/>
      </c>
      <c r="AF46" s="21">
        <f>IF(OR($A46="",AF$29="",AF68=0),NA(),SUMIFS(INDEX(ALGO!$A$2:$BZ$20001,0,AF$29),INDEX(ALGO!$A$2:$BZ$20001,0,$B$19),$B$1,INDEX(ALGO!$A$2:$BZ$20001,0,$B$20),$B$4,INDEX(ALGO!$A$2:$BZ$20001,0,$B$18),$A46))</f>
        <v/>
      </c>
      <c r="AG46" s="21">
        <f>IF(OR($A46="",AG$29="",AG68=0),NA(),SUMIFS(INDEX(ALGO!$A$2:$BZ$20001,0,AG$29),INDEX(ALGO!$A$2:$BZ$20001,0,$B$19),$B$1,INDEX(ALGO!$A$2:$BZ$20001,0,$B$20),$B$4,INDEX(ALGO!$A$2:$BZ$20001,0,$B$18),$A46))</f>
        <v/>
      </c>
      <c r="AH46" s="21">
        <f>IF(OR($A46="",AH$29="",AH68=0),NA(),SUMIFS(INDEX(ALGO!$A$2:$BZ$20001,0,AH$29),INDEX(ALGO!$A$2:$BZ$20001,0,$B$19),$B$1,INDEX(ALGO!$A$2:$BZ$20001,0,$B$20),$B$4,INDEX(ALGO!$A$2:$BZ$20001,0,$B$18),$A46))</f>
        <v/>
      </c>
      <c r="AI46" s="21">
        <f>IF(OR($A46="",AI$29="",AI68=0),NA(),SUMIFS(INDEX(ALGO!$A$2:$BZ$20001,0,AI$29),INDEX(ALGO!$A$2:$BZ$20001,0,$B$19),$B$1,INDEX(ALGO!$A$2:$BZ$20001,0,$B$20),$B$4,INDEX(ALGO!$A$2:$BZ$20001,0,$B$18),$A46))</f>
        <v/>
      </c>
      <c r="AJ46" s="21">
        <f>IF(OR($A46="",AJ$29="",AJ68=0),NA(),SUMIFS(INDEX(ALGO!$A$2:$BZ$20001,0,AJ$29),INDEX(ALGO!$A$2:$BZ$20001,0,$B$19),$B$1,INDEX(ALGO!$A$2:$BZ$20001,0,$B$20),$B$4,INDEX(ALGO!$A$2:$BZ$20001,0,$B$18),$A46))</f>
        <v/>
      </c>
      <c r="AK46" s="21">
        <f>IF(OR($A46="",AK$29="",AK68=0),NA(),SUMIFS(INDEX(ALGO!$A$2:$BZ$20001,0,AK$29),INDEX(ALGO!$A$2:$BZ$20001,0,$B$19),$B$1,INDEX(ALGO!$A$2:$BZ$20001,0,$B$20),$B$4,INDEX(ALGO!$A$2:$BZ$20001,0,$B$18),$A46))</f>
        <v/>
      </c>
      <c r="AL46" s="21">
        <f>IF(OR($A46="",AL$29="",AL68=0),NA(),SUMIFS(INDEX(ALGO!$A$2:$BZ$20001,0,AL$29),INDEX(ALGO!$A$2:$BZ$20001,0,$B$19),$B$1,INDEX(ALGO!$A$2:$BZ$20001,0,$B$20),$B$4,INDEX(ALGO!$A$2:$BZ$20001,0,$B$18),$A46))</f>
        <v/>
      </c>
      <c r="AM46" s="21">
        <f>IF(OR($A46="",AM$29="",AM68=0),NA(),SUMIFS(INDEX(ALGO!$A$2:$BZ$20001,0,AM$29),INDEX(ALGO!$A$2:$BZ$20001,0,$B$19),$B$1,INDEX(ALGO!$A$2:$BZ$20001,0,$B$20),$B$4,INDEX(ALGO!$A$2:$BZ$20001,0,$B$18),$A46))</f>
        <v/>
      </c>
    </row>
    <row r="47">
      <c r="A47" s="20">
        <f>IFERROR(INDEX($B$80:$B$109,MATCH(7,$E$80:$E$109,0)),"")</f>
        <v/>
      </c>
      <c r="B47" s="19">
        <f>IF($A47="","—",$A47&amp;IF($C47="",""," ["&amp;$C47&amp;"]"))</f>
        <v/>
      </c>
      <c r="C47" s="20">
        <f>IF($A47="","",IF(MAX($D69:$AM69)=0,"sin datos en este CFG",IF(MAX($D69:$AM69)&lt;$B$24,"parcial "&amp;MAX($D69:$AM69)&amp;"/"&amp;$B$24,"")))</f>
        <v/>
      </c>
      <c r="D47" s="21">
        <f>IF(OR($A47="",D$29="",D69=0),NA(),SUMIFS(INDEX(ALGO!$A$2:$BZ$20001,0,D$29),INDEX(ALGO!$A$2:$BZ$20001,0,$B$19),$B$1,INDEX(ALGO!$A$2:$BZ$20001,0,$B$20),$B$4,INDEX(ALGO!$A$2:$BZ$20001,0,$B$18),$A47))</f>
        <v/>
      </c>
      <c r="E47" s="21">
        <f>IF(OR($A47="",E$29="",E69=0),NA(),SUMIFS(INDEX(ALGO!$A$2:$BZ$20001,0,E$29),INDEX(ALGO!$A$2:$BZ$20001,0,$B$19),$B$1,INDEX(ALGO!$A$2:$BZ$20001,0,$B$20),$B$4,INDEX(ALGO!$A$2:$BZ$20001,0,$B$18),$A47))</f>
        <v/>
      </c>
      <c r="F47" s="21">
        <f>IF(OR($A47="",F$29="",F69=0),NA(),SUMIFS(INDEX(ALGO!$A$2:$BZ$20001,0,F$29),INDEX(ALGO!$A$2:$BZ$20001,0,$B$19),$B$1,INDEX(ALGO!$A$2:$BZ$20001,0,$B$20),$B$4,INDEX(ALGO!$A$2:$BZ$20001,0,$B$18),$A47))</f>
        <v/>
      </c>
      <c r="G47" s="21">
        <f>IF(OR($A47="",G$29="",G69=0),NA(),SUMIFS(INDEX(ALGO!$A$2:$BZ$20001,0,G$29),INDEX(ALGO!$A$2:$BZ$20001,0,$B$19),$B$1,INDEX(ALGO!$A$2:$BZ$20001,0,$B$20),$B$4,INDEX(ALGO!$A$2:$BZ$20001,0,$B$18),$A47))</f>
        <v/>
      </c>
      <c r="H47" s="21">
        <f>IF(OR($A47="",H$29="",H69=0),NA(),SUMIFS(INDEX(ALGO!$A$2:$BZ$20001,0,H$29),INDEX(ALGO!$A$2:$BZ$20001,0,$B$19),$B$1,INDEX(ALGO!$A$2:$BZ$20001,0,$B$20),$B$4,INDEX(ALGO!$A$2:$BZ$20001,0,$B$18),$A47))</f>
        <v/>
      </c>
      <c r="I47" s="21">
        <f>IF(OR($A47="",I$29="",I69=0),NA(),SUMIFS(INDEX(ALGO!$A$2:$BZ$20001,0,I$29),INDEX(ALGO!$A$2:$BZ$20001,0,$B$19),$B$1,INDEX(ALGO!$A$2:$BZ$20001,0,$B$20),$B$4,INDEX(ALGO!$A$2:$BZ$20001,0,$B$18),$A47))</f>
        <v/>
      </c>
      <c r="J47" s="21">
        <f>IF(OR($A47="",J$29="",J69=0),NA(),SUMIFS(INDEX(ALGO!$A$2:$BZ$20001,0,J$29),INDEX(ALGO!$A$2:$BZ$20001,0,$B$19),$B$1,INDEX(ALGO!$A$2:$BZ$20001,0,$B$20),$B$4,INDEX(ALGO!$A$2:$BZ$20001,0,$B$18),$A47))</f>
        <v/>
      </c>
      <c r="K47" s="21">
        <f>IF(OR($A47="",K$29="",K69=0),NA(),SUMIFS(INDEX(ALGO!$A$2:$BZ$20001,0,K$29),INDEX(ALGO!$A$2:$BZ$20001,0,$B$19),$B$1,INDEX(ALGO!$A$2:$BZ$20001,0,$B$20),$B$4,INDEX(ALGO!$A$2:$BZ$20001,0,$B$18),$A47))</f>
        <v/>
      </c>
      <c r="L47" s="21">
        <f>IF(OR($A47="",L$29="",L69=0),NA(),SUMIFS(INDEX(ALGO!$A$2:$BZ$20001,0,L$29),INDEX(ALGO!$A$2:$BZ$20001,0,$B$19),$B$1,INDEX(ALGO!$A$2:$BZ$20001,0,$B$20),$B$4,INDEX(ALGO!$A$2:$BZ$20001,0,$B$18),$A47))</f>
        <v/>
      </c>
      <c r="M47" s="21">
        <f>IF(OR($A47="",M$29="",M69=0),NA(),SUMIFS(INDEX(ALGO!$A$2:$BZ$20001,0,M$29),INDEX(ALGO!$A$2:$BZ$20001,0,$B$19),$B$1,INDEX(ALGO!$A$2:$BZ$20001,0,$B$20),$B$4,INDEX(ALGO!$A$2:$BZ$20001,0,$B$18),$A47))</f>
        <v/>
      </c>
      <c r="N47" s="21">
        <f>IF(OR($A47="",N$29="",N69=0),NA(),SUMIFS(INDEX(ALGO!$A$2:$BZ$20001,0,N$29),INDEX(ALGO!$A$2:$BZ$20001,0,$B$19),$B$1,INDEX(ALGO!$A$2:$BZ$20001,0,$B$20),$B$4,INDEX(ALGO!$A$2:$BZ$20001,0,$B$18),$A47))</f>
        <v/>
      </c>
      <c r="O47" s="21">
        <f>IF(OR($A47="",O$29="",O69=0),NA(),SUMIFS(INDEX(ALGO!$A$2:$BZ$20001,0,O$29),INDEX(ALGO!$A$2:$BZ$20001,0,$B$19),$B$1,INDEX(ALGO!$A$2:$BZ$20001,0,$B$20),$B$4,INDEX(ALGO!$A$2:$BZ$20001,0,$B$18),$A47))</f>
        <v/>
      </c>
      <c r="P47" s="21">
        <f>IF(OR($A47="",P$29="",P69=0),NA(),SUMIFS(INDEX(ALGO!$A$2:$BZ$20001,0,P$29),INDEX(ALGO!$A$2:$BZ$20001,0,$B$19),$B$1,INDEX(ALGO!$A$2:$BZ$20001,0,$B$20),$B$4,INDEX(ALGO!$A$2:$BZ$20001,0,$B$18),$A47))</f>
        <v/>
      </c>
      <c r="Q47" s="21">
        <f>IF(OR($A47="",Q$29="",Q69=0),NA(),SUMIFS(INDEX(ALGO!$A$2:$BZ$20001,0,Q$29),INDEX(ALGO!$A$2:$BZ$20001,0,$B$19),$B$1,INDEX(ALGO!$A$2:$BZ$20001,0,$B$20),$B$4,INDEX(ALGO!$A$2:$BZ$20001,0,$B$18),$A47))</f>
        <v/>
      </c>
      <c r="R47" s="21">
        <f>IF(OR($A47="",R$29="",R69=0),NA(),SUMIFS(INDEX(ALGO!$A$2:$BZ$20001,0,R$29),INDEX(ALGO!$A$2:$BZ$20001,0,$B$19),$B$1,INDEX(ALGO!$A$2:$BZ$20001,0,$B$20),$B$4,INDEX(ALGO!$A$2:$BZ$20001,0,$B$18),$A47))</f>
        <v/>
      </c>
      <c r="S47" s="21">
        <f>IF(OR($A47="",S$29="",S69=0),NA(),SUMIFS(INDEX(ALGO!$A$2:$BZ$20001,0,S$29),INDEX(ALGO!$A$2:$BZ$20001,0,$B$19),$B$1,INDEX(ALGO!$A$2:$BZ$20001,0,$B$20),$B$4,INDEX(ALGO!$A$2:$BZ$20001,0,$B$18),$A47))</f>
        <v/>
      </c>
      <c r="T47" s="21">
        <f>IF(OR($A47="",T$29="",T69=0),NA(),SUMIFS(INDEX(ALGO!$A$2:$BZ$20001,0,T$29),INDEX(ALGO!$A$2:$BZ$20001,0,$B$19),$B$1,INDEX(ALGO!$A$2:$BZ$20001,0,$B$20),$B$4,INDEX(ALGO!$A$2:$BZ$20001,0,$B$18),$A47))</f>
        <v/>
      </c>
      <c r="U47" s="21">
        <f>IF(OR($A47="",U$29="",U69=0),NA(),SUMIFS(INDEX(ALGO!$A$2:$BZ$20001,0,U$29),INDEX(ALGO!$A$2:$BZ$20001,0,$B$19),$B$1,INDEX(ALGO!$A$2:$BZ$20001,0,$B$20),$B$4,INDEX(ALGO!$A$2:$BZ$20001,0,$B$18),$A47))</f>
        <v/>
      </c>
      <c r="V47" s="21">
        <f>IF(OR($A47="",V$29="",V69=0),NA(),SUMIFS(INDEX(ALGO!$A$2:$BZ$20001,0,V$29),INDEX(ALGO!$A$2:$BZ$20001,0,$B$19),$B$1,INDEX(ALGO!$A$2:$BZ$20001,0,$B$20),$B$4,INDEX(ALGO!$A$2:$BZ$20001,0,$B$18),$A47))</f>
        <v/>
      </c>
      <c r="W47" s="21">
        <f>IF(OR($A47="",W$29="",W69=0),NA(),SUMIFS(INDEX(ALGO!$A$2:$BZ$20001,0,W$29),INDEX(ALGO!$A$2:$BZ$20001,0,$B$19),$B$1,INDEX(ALGO!$A$2:$BZ$20001,0,$B$20),$B$4,INDEX(ALGO!$A$2:$BZ$20001,0,$B$18),$A47))</f>
        <v/>
      </c>
      <c r="X47" s="21">
        <f>IF(OR($A47="",X$29="",X69=0),NA(),SUMIFS(INDEX(ALGO!$A$2:$BZ$20001,0,X$29),INDEX(ALGO!$A$2:$BZ$20001,0,$B$19),$B$1,INDEX(ALGO!$A$2:$BZ$20001,0,$B$20),$B$4,INDEX(ALGO!$A$2:$BZ$20001,0,$B$18),$A47))</f>
        <v/>
      </c>
      <c r="Y47" s="21">
        <f>IF(OR($A47="",Y$29="",Y69=0),NA(),SUMIFS(INDEX(ALGO!$A$2:$BZ$20001,0,Y$29),INDEX(ALGO!$A$2:$BZ$20001,0,$B$19),$B$1,INDEX(ALGO!$A$2:$BZ$20001,0,$B$20),$B$4,INDEX(ALGO!$A$2:$BZ$20001,0,$B$18),$A47))</f>
        <v/>
      </c>
      <c r="Z47" s="21">
        <f>IF(OR($A47="",Z$29="",Z69=0),NA(),SUMIFS(INDEX(ALGO!$A$2:$BZ$20001,0,Z$29),INDEX(ALGO!$A$2:$BZ$20001,0,$B$19),$B$1,INDEX(ALGO!$A$2:$BZ$20001,0,$B$20),$B$4,INDEX(ALGO!$A$2:$BZ$20001,0,$B$18),$A47))</f>
        <v/>
      </c>
      <c r="AA47" s="21">
        <f>IF(OR($A47="",AA$29="",AA69=0),NA(),SUMIFS(INDEX(ALGO!$A$2:$BZ$20001,0,AA$29),INDEX(ALGO!$A$2:$BZ$20001,0,$B$19),$B$1,INDEX(ALGO!$A$2:$BZ$20001,0,$B$20),$B$4,INDEX(ALGO!$A$2:$BZ$20001,0,$B$18),$A47))</f>
        <v/>
      </c>
      <c r="AB47" s="21">
        <f>IF(OR($A47="",AB$29="",AB69=0),NA(),SUMIFS(INDEX(ALGO!$A$2:$BZ$20001,0,AB$29),INDEX(ALGO!$A$2:$BZ$20001,0,$B$19),$B$1,INDEX(ALGO!$A$2:$BZ$20001,0,$B$20),$B$4,INDEX(ALGO!$A$2:$BZ$20001,0,$B$18),$A47))</f>
        <v/>
      </c>
      <c r="AC47" s="21">
        <f>IF(OR($A47="",AC$29="",AC69=0),NA(),SUMIFS(INDEX(ALGO!$A$2:$BZ$20001,0,AC$29),INDEX(ALGO!$A$2:$BZ$20001,0,$B$19),$B$1,INDEX(ALGO!$A$2:$BZ$20001,0,$B$20),$B$4,INDEX(ALGO!$A$2:$BZ$20001,0,$B$18),$A47))</f>
        <v/>
      </c>
      <c r="AD47" s="21">
        <f>IF(OR($A47="",AD$29="",AD69=0),NA(),SUMIFS(INDEX(ALGO!$A$2:$BZ$20001,0,AD$29),INDEX(ALGO!$A$2:$BZ$20001,0,$B$19),$B$1,INDEX(ALGO!$A$2:$BZ$20001,0,$B$20),$B$4,INDEX(ALGO!$A$2:$BZ$20001,0,$B$18),$A47))</f>
        <v/>
      </c>
      <c r="AE47" s="21">
        <f>IF(OR($A47="",AE$29="",AE69=0),NA(),SUMIFS(INDEX(ALGO!$A$2:$BZ$20001,0,AE$29),INDEX(ALGO!$A$2:$BZ$20001,0,$B$19),$B$1,INDEX(ALGO!$A$2:$BZ$20001,0,$B$20),$B$4,INDEX(ALGO!$A$2:$BZ$20001,0,$B$18),$A47))</f>
        <v/>
      </c>
      <c r="AF47" s="21">
        <f>IF(OR($A47="",AF$29="",AF69=0),NA(),SUMIFS(INDEX(ALGO!$A$2:$BZ$20001,0,AF$29),INDEX(ALGO!$A$2:$BZ$20001,0,$B$19),$B$1,INDEX(ALGO!$A$2:$BZ$20001,0,$B$20),$B$4,INDEX(ALGO!$A$2:$BZ$20001,0,$B$18),$A47))</f>
        <v/>
      </c>
      <c r="AG47" s="21">
        <f>IF(OR($A47="",AG$29="",AG69=0),NA(),SUMIFS(INDEX(ALGO!$A$2:$BZ$20001,0,AG$29),INDEX(ALGO!$A$2:$BZ$20001,0,$B$19),$B$1,INDEX(ALGO!$A$2:$BZ$20001,0,$B$20),$B$4,INDEX(ALGO!$A$2:$BZ$20001,0,$B$18),$A47))</f>
        <v/>
      </c>
      <c r="AH47" s="21">
        <f>IF(OR($A47="",AH$29="",AH69=0),NA(),SUMIFS(INDEX(ALGO!$A$2:$BZ$20001,0,AH$29),INDEX(ALGO!$A$2:$BZ$20001,0,$B$19),$B$1,INDEX(ALGO!$A$2:$BZ$20001,0,$B$20),$B$4,INDEX(ALGO!$A$2:$BZ$20001,0,$B$18),$A47))</f>
        <v/>
      </c>
      <c r="AI47" s="21">
        <f>IF(OR($A47="",AI$29="",AI69=0),NA(),SUMIFS(INDEX(ALGO!$A$2:$BZ$20001,0,AI$29),INDEX(ALGO!$A$2:$BZ$20001,0,$B$19),$B$1,INDEX(ALGO!$A$2:$BZ$20001,0,$B$20),$B$4,INDEX(ALGO!$A$2:$BZ$20001,0,$B$18),$A47))</f>
        <v/>
      </c>
      <c r="AJ47" s="21">
        <f>IF(OR($A47="",AJ$29="",AJ69=0),NA(),SUMIFS(INDEX(ALGO!$A$2:$BZ$20001,0,AJ$29),INDEX(ALGO!$A$2:$BZ$20001,0,$B$19),$B$1,INDEX(ALGO!$A$2:$BZ$20001,0,$B$20),$B$4,INDEX(ALGO!$A$2:$BZ$20001,0,$B$18),$A47))</f>
        <v/>
      </c>
      <c r="AK47" s="21">
        <f>IF(OR($A47="",AK$29="",AK69=0),NA(),SUMIFS(INDEX(ALGO!$A$2:$BZ$20001,0,AK$29),INDEX(ALGO!$A$2:$BZ$20001,0,$B$19),$B$1,INDEX(ALGO!$A$2:$BZ$20001,0,$B$20),$B$4,INDEX(ALGO!$A$2:$BZ$20001,0,$B$18),$A47))</f>
        <v/>
      </c>
      <c r="AL47" s="21">
        <f>IF(OR($A47="",AL$29="",AL69=0),NA(),SUMIFS(INDEX(ALGO!$A$2:$BZ$20001,0,AL$29),INDEX(ALGO!$A$2:$BZ$20001,0,$B$19),$B$1,INDEX(ALGO!$A$2:$BZ$20001,0,$B$20),$B$4,INDEX(ALGO!$A$2:$BZ$20001,0,$B$18),$A47))</f>
        <v/>
      </c>
      <c r="AM47" s="21">
        <f>IF(OR($A47="",AM$29="",AM69=0),NA(),SUMIFS(INDEX(ALGO!$A$2:$BZ$20001,0,AM$29),INDEX(ALGO!$A$2:$BZ$20001,0,$B$19),$B$1,INDEX(ALGO!$A$2:$BZ$20001,0,$B$20),$B$4,INDEX(ALGO!$A$2:$BZ$20001,0,$B$18),$A47))</f>
        <v/>
      </c>
    </row>
    <row r="48">
      <c r="A48" s="20">
        <f>IFERROR(INDEX($B$80:$B$109,MATCH(8,$E$80:$E$109,0)),"")</f>
        <v/>
      </c>
      <c r="B48" s="19">
        <f>IF($A48="","—",$A48&amp;IF($C48="",""," ["&amp;$C48&amp;"]"))</f>
        <v/>
      </c>
      <c r="C48" s="20">
        <f>IF($A48="","",IF(MAX($D70:$AM70)=0,"sin datos en este CFG",IF(MAX($D70:$AM70)&lt;$B$24,"parcial "&amp;MAX($D70:$AM70)&amp;"/"&amp;$B$24,"")))</f>
        <v/>
      </c>
      <c r="D48" s="21">
        <f>IF(OR($A48="",D$29="",D70=0),NA(),SUMIFS(INDEX(ALGO!$A$2:$BZ$20001,0,D$29),INDEX(ALGO!$A$2:$BZ$20001,0,$B$19),$B$1,INDEX(ALGO!$A$2:$BZ$20001,0,$B$20),$B$4,INDEX(ALGO!$A$2:$BZ$20001,0,$B$18),$A48))</f>
        <v/>
      </c>
      <c r="E48" s="21">
        <f>IF(OR($A48="",E$29="",E70=0),NA(),SUMIFS(INDEX(ALGO!$A$2:$BZ$20001,0,E$29),INDEX(ALGO!$A$2:$BZ$20001,0,$B$19),$B$1,INDEX(ALGO!$A$2:$BZ$20001,0,$B$20),$B$4,INDEX(ALGO!$A$2:$BZ$20001,0,$B$18),$A48))</f>
        <v/>
      </c>
      <c r="F48" s="21">
        <f>IF(OR($A48="",F$29="",F70=0),NA(),SUMIFS(INDEX(ALGO!$A$2:$BZ$20001,0,F$29),INDEX(ALGO!$A$2:$BZ$20001,0,$B$19),$B$1,INDEX(ALGO!$A$2:$BZ$20001,0,$B$20),$B$4,INDEX(ALGO!$A$2:$BZ$20001,0,$B$18),$A48))</f>
        <v/>
      </c>
      <c r="G48" s="21">
        <f>IF(OR($A48="",G$29="",G70=0),NA(),SUMIFS(INDEX(ALGO!$A$2:$BZ$20001,0,G$29),INDEX(ALGO!$A$2:$BZ$20001,0,$B$19),$B$1,INDEX(ALGO!$A$2:$BZ$20001,0,$B$20),$B$4,INDEX(ALGO!$A$2:$BZ$20001,0,$B$18),$A48))</f>
        <v/>
      </c>
      <c r="H48" s="21">
        <f>IF(OR($A48="",H$29="",H70=0),NA(),SUMIFS(INDEX(ALGO!$A$2:$BZ$20001,0,H$29),INDEX(ALGO!$A$2:$BZ$20001,0,$B$19),$B$1,INDEX(ALGO!$A$2:$BZ$20001,0,$B$20),$B$4,INDEX(ALGO!$A$2:$BZ$20001,0,$B$18),$A48))</f>
        <v/>
      </c>
      <c r="I48" s="21">
        <f>IF(OR($A48="",I$29="",I70=0),NA(),SUMIFS(INDEX(ALGO!$A$2:$BZ$20001,0,I$29),INDEX(ALGO!$A$2:$BZ$20001,0,$B$19),$B$1,INDEX(ALGO!$A$2:$BZ$20001,0,$B$20),$B$4,INDEX(ALGO!$A$2:$BZ$20001,0,$B$18),$A48))</f>
        <v/>
      </c>
      <c r="J48" s="21">
        <f>IF(OR($A48="",J$29="",J70=0),NA(),SUMIFS(INDEX(ALGO!$A$2:$BZ$20001,0,J$29),INDEX(ALGO!$A$2:$BZ$20001,0,$B$19),$B$1,INDEX(ALGO!$A$2:$BZ$20001,0,$B$20),$B$4,INDEX(ALGO!$A$2:$BZ$20001,0,$B$18),$A48))</f>
        <v/>
      </c>
      <c r="K48" s="21">
        <f>IF(OR($A48="",K$29="",K70=0),NA(),SUMIFS(INDEX(ALGO!$A$2:$BZ$20001,0,K$29),INDEX(ALGO!$A$2:$BZ$20001,0,$B$19),$B$1,INDEX(ALGO!$A$2:$BZ$20001,0,$B$20),$B$4,INDEX(ALGO!$A$2:$BZ$20001,0,$B$18),$A48))</f>
        <v/>
      </c>
      <c r="L48" s="21">
        <f>IF(OR($A48="",L$29="",L70=0),NA(),SUMIFS(INDEX(ALGO!$A$2:$BZ$20001,0,L$29),INDEX(ALGO!$A$2:$BZ$20001,0,$B$19),$B$1,INDEX(ALGO!$A$2:$BZ$20001,0,$B$20),$B$4,INDEX(ALGO!$A$2:$BZ$20001,0,$B$18),$A48))</f>
        <v/>
      </c>
      <c r="M48" s="21">
        <f>IF(OR($A48="",M$29="",M70=0),NA(),SUMIFS(INDEX(ALGO!$A$2:$BZ$20001,0,M$29),INDEX(ALGO!$A$2:$BZ$20001,0,$B$19),$B$1,INDEX(ALGO!$A$2:$BZ$20001,0,$B$20),$B$4,INDEX(ALGO!$A$2:$BZ$20001,0,$B$18),$A48))</f>
        <v/>
      </c>
      <c r="N48" s="21">
        <f>IF(OR($A48="",N$29="",N70=0),NA(),SUMIFS(INDEX(ALGO!$A$2:$BZ$20001,0,N$29),INDEX(ALGO!$A$2:$BZ$20001,0,$B$19),$B$1,INDEX(ALGO!$A$2:$BZ$20001,0,$B$20),$B$4,INDEX(ALGO!$A$2:$BZ$20001,0,$B$18),$A48))</f>
        <v/>
      </c>
      <c r="O48" s="21">
        <f>IF(OR($A48="",O$29="",O70=0),NA(),SUMIFS(INDEX(ALGO!$A$2:$BZ$20001,0,O$29),INDEX(ALGO!$A$2:$BZ$20001,0,$B$19),$B$1,INDEX(ALGO!$A$2:$BZ$20001,0,$B$20),$B$4,INDEX(ALGO!$A$2:$BZ$20001,0,$B$18),$A48))</f>
        <v/>
      </c>
      <c r="P48" s="21">
        <f>IF(OR($A48="",P$29="",P70=0),NA(),SUMIFS(INDEX(ALGO!$A$2:$BZ$20001,0,P$29),INDEX(ALGO!$A$2:$BZ$20001,0,$B$19),$B$1,INDEX(ALGO!$A$2:$BZ$20001,0,$B$20),$B$4,INDEX(ALGO!$A$2:$BZ$20001,0,$B$18),$A48))</f>
        <v/>
      </c>
      <c r="Q48" s="21">
        <f>IF(OR($A48="",Q$29="",Q70=0),NA(),SUMIFS(INDEX(ALGO!$A$2:$BZ$20001,0,Q$29),INDEX(ALGO!$A$2:$BZ$20001,0,$B$19),$B$1,INDEX(ALGO!$A$2:$BZ$20001,0,$B$20),$B$4,INDEX(ALGO!$A$2:$BZ$20001,0,$B$18),$A48))</f>
        <v/>
      </c>
      <c r="R48" s="21">
        <f>IF(OR($A48="",R$29="",R70=0),NA(),SUMIFS(INDEX(ALGO!$A$2:$BZ$20001,0,R$29),INDEX(ALGO!$A$2:$BZ$20001,0,$B$19),$B$1,INDEX(ALGO!$A$2:$BZ$20001,0,$B$20),$B$4,INDEX(ALGO!$A$2:$BZ$20001,0,$B$18),$A48))</f>
        <v/>
      </c>
      <c r="S48" s="21">
        <f>IF(OR($A48="",S$29="",S70=0),NA(),SUMIFS(INDEX(ALGO!$A$2:$BZ$20001,0,S$29),INDEX(ALGO!$A$2:$BZ$20001,0,$B$19),$B$1,INDEX(ALGO!$A$2:$BZ$20001,0,$B$20),$B$4,INDEX(ALGO!$A$2:$BZ$20001,0,$B$18),$A48))</f>
        <v/>
      </c>
      <c r="T48" s="21">
        <f>IF(OR($A48="",T$29="",T70=0),NA(),SUMIFS(INDEX(ALGO!$A$2:$BZ$20001,0,T$29),INDEX(ALGO!$A$2:$BZ$20001,0,$B$19),$B$1,INDEX(ALGO!$A$2:$BZ$20001,0,$B$20),$B$4,INDEX(ALGO!$A$2:$BZ$20001,0,$B$18),$A48))</f>
        <v/>
      </c>
      <c r="U48" s="21">
        <f>IF(OR($A48="",U$29="",U70=0),NA(),SUMIFS(INDEX(ALGO!$A$2:$BZ$20001,0,U$29),INDEX(ALGO!$A$2:$BZ$20001,0,$B$19),$B$1,INDEX(ALGO!$A$2:$BZ$20001,0,$B$20),$B$4,INDEX(ALGO!$A$2:$BZ$20001,0,$B$18),$A48))</f>
        <v/>
      </c>
      <c r="V48" s="21">
        <f>IF(OR($A48="",V$29="",V70=0),NA(),SUMIFS(INDEX(ALGO!$A$2:$BZ$20001,0,V$29),INDEX(ALGO!$A$2:$BZ$20001,0,$B$19),$B$1,INDEX(ALGO!$A$2:$BZ$20001,0,$B$20),$B$4,INDEX(ALGO!$A$2:$BZ$20001,0,$B$18),$A48))</f>
        <v/>
      </c>
      <c r="W48" s="21">
        <f>IF(OR($A48="",W$29="",W70=0),NA(),SUMIFS(INDEX(ALGO!$A$2:$BZ$20001,0,W$29),INDEX(ALGO!$A$2:$BZ$20001,0,$B$19),$B$1,INDEX(ALGO!$A$2:$BZ$20001,0,$B$20),$B$4,INDEX(ALGO!$A$2:$BZ$20001,0,$B$18),$A48))</f>
        <v/>
      </c>
      <c r="X48" s="21">
        <f>IF(OR($A48="",X$29="",X70=0),NA(),SUMIFS(INDEX(ALGO!$A$2:$BZ$20001,0,X$29),INDEX(ALGO!$A$2:$BZ$20001,0,$B$19),$B$1,INDEX(ALGO!$A$2:$BZ$20001,0,$B$20),$B$4,INDEX(ALGO!$A$2:$BZ$20001,0,$B$18),$A48))</f>
        <v/>
      </c>
      <c r="Y48" s="21">
        <f>IF(OR($A48="",Y$29="",Y70=0),NA(),SUMIFS(INDEX(ALGO!$A$2:$BZ$20001,0,Y$29),INDEX(ALGO!$A$2:$BZ$20001,0,$B$19),$B$1,INDEX(ALGO!$A$2:$BZ$20001,0,$B$20),$B$4,INDEX(ALGO!$A$2:$BZ$20001,0,$B$18),$A48))</f>
        <v/>
      </c>
      <c r="Z48" s="21">
        <f>IF(OR($A48="",Z$29="",Z70=0),NA(),SUMIFS(INDEX(ALGO!$A$2:$BZ$20001,0,Z$29),INDEX(ALGO!$A$2:$BZ$20001,0,$B$19),$B$1,INDEX(ALGO!$A$2:$BZ$20001,0,$B$20),$B$4,INDEX(ALGO!$A$2:$BZ$20001,0,$B$18),$A48))</f>
        <v/>
      </c>
      <c r="AA48" s="21">
        <f>IF(OR($A48="",AA$29="",AA70=0),NA(),SUMIFS(INDEX(ALGO!$A$2:$BZ$20001,0,AA$29),INDEX(ALGO!$A$2:$BZ$20001,0,$B$19),$B$1,INDEX(ALGO!$A$2:$BZ$20001,0,$B$20),$B$4,INDEX(ALGO!$A$2:$BZ$20001,0,$B$18),$A48))</f>
        <v/>
      </c>
      <c r="AB48" s="21">
        <f>IF(OR($A48="",AB$29="",AB70=0),NA(),SUMIFS(INDEX(ALGO!$A$2:$BZ$20001,0,AB$29),INDEX(ALGO!$A$2:$BZ$20001,0,$B$19),$B$1,INDEX(ALGO!$A$2:$BZ$20001,0,$B$20),$B$4,INDEX(ALGO!$A$2:$BZ$20001,0,$B$18),$A48))</f>
        <v/>
      </c>
      <c r="AC48" s="21">
        <f>IF(OR($A48="",AC$29="",AC70=0),NA(),SUMIFS(INDEX(ALGO!$A$2:$BZ$20001,0,AC$29),INDEX(ALGO!$A$2:$BZ$20001,0,$B$19),$B$1,INDEX(ALGO!$A$2:$BZ$20001,0,$B$20),$B$4,INDEX(ALGO!$A$2:$BZ$20001,0,$B$18),$A48))</f>
        <v/>
      </c>
      <c r="AD48" s="21">
        <f>IF(OR($A48="",AD$29="",AD70=0),NA(),SUMIFS(INDEX(ALGO!$A$2:$BZ$20001,0,AD$29),INDEX(ALGO!$A$2:$BZ$20001,0,$B$19),$B$1,INDEX(ALGO!$A$2:$BZ$20001,0,$B$20),$B$4,INDEX(ALGO!$A$2:$BZ$20001,0,$B$18),$A48))</f>
        <v/>
      </c>
      <c r="AE48" s="21">
        <f>IF(OR($A48="",AE$29="",AE70=0),NA(),SUMIFS(INDEX(ALGO!$A$2:$BZ$20001,0,AE$29),INDEX(ALGO!$A$2:$BZ$20001,0,$B$19),$B$1,INDEX(ALGO!$A$2:$BZ$20001,0,$B$20),$B$4,INDEX(ALGO!$A$2:$BZ$20001,0,$B$18),$A48))</f>
        <v/>
      </c>
      <c r="AF48" s="21">
        <f>IF(OR($A48="",AF$29="",AF70=0),NA(),SUMIFS(INDEX(ALGO!$A$2:$BZ$20001,0,AF$29),INDEX(ALGO!$A$2:$BZ$20001,0,$B$19),$B$1,INDEX(ALGO!$A$2:$BZ$20001,0,$B$20),$B$4,INDEX(ALGO!$A$2:$BZ$20001,0,$B$18),$A48))</f>
        <v/>
      </c>
      <c r="AG48" s="21">
        <f>IF(OR($A48="",AG$29="",AG70=0),NA(),SUMIFS(INDEX(ALGO!$A$2:$BZ$20001,0,AG$29),INDEX(ALGO!$A$2:$BZ$20001,0,$B$19),$B$1,INDEX(ALGO!$A$2:$BZ$20001,0,$B$20),$B$4,INDEX(ALGO!$A$2:$BZ$20001,0,$B$18),$A48))</f>
        <v/>
      </c>
      <c r="AH48" s="21">
        <f>IF(OR($A48="",AH$29="",AH70=0),NA(),SUMIFS(INDEX(ALGO!$A$2:$BZ$20001,0,AH$29),INDEX(ALGO!$A$2:$BZ$20001,0,$B$19),$B$1,INDEX(ALGO!$A$2:$BZ$20001,0,$B$20),$B$4,INDEX(ALGO!$A$2:$BZ$20001,0,$B$18),$A48))</f>
        <v/>
      </c>
      <c r="AI48" s="21">
        <f>IF(OR($A48="",AI$29="",AI70=0),NA(),SUMIFS(INDEX(ALGO!$A$2:$BZ$20001,0,AI$29),INDEX(ALGO!$A$2:$BZ$20001,0,$B$19),$B$1,INDEX(ALGO!$A$2:$BZ$20001,0,$B$20),$B$4,INDEX(ALGO!$A$2:$BZ$20001,0,$B$18),$A48))</f>
        <v/>
      </c>
      <c r="AJ48" s="21">
        <f>IF(OR($A48="",AJ$29="",AJ70=0),NA(),SUMIFS(INDEX(ALGO!$A$2:$BZ$20001,0,AJ$29),INDEX(ALGO!$A$2:$BZ$20001,0,$B$19),$B$1,INDEX(ALGO!$A$2:$BZ$20001,0,$B$20),$B$4,INDEX(ALGO!$A$2:$BZ$20001,0,$B$18),$A48))</f>
        <v/>
      </c>
      <c r="AK48" s="21">
        <f>IF(OR($A48="",AK$29="",AK70=0),NA(),SUMIFS(INDEX(ALGO!$A$2:$BZ$20001,0,AK$29),INDEX(ALGO!$A$2:$BZ$20001,0,$B$19),$B$1,INDEX(ALGO!$A$2:$BZ$20001,0,$B$20),$B$4,INDEX(ALGO!$A$2:$BZ$20001,0,$B$18),$A48))</f>
        <v/>
      </c>
      <c r="AL48" s="21">
        <f>IF(OR($A48="",AL$29="",AL70=0),NA(),SUMIFS(INDEX(ALGO!$A$2:$BZ$20001,0,AL$29),INDEX(ALGO!$A$2:$BZ$20001,0,$B$19),$B$1,INDEX(ALGO!$A$2:$BZ$20001,0,$B$20),$B$4,INDEX(ALGO!$A$2:$BZ$20001,0,$B$18),$A48))</f>
        <v/>
      </c>
      <c r="AM48" s="21">
        <f>IF(OR($A48="",AM$29="",AM70=0),NA(),SUMIFS(INDEX(ALGO!$A$2:$BZ$20001,0,AM$29),INDEX(ALGO!$A$2:$BZ$20001,0,$B$19),$B$1,INDEX(ALGO!$A$2:$BZ$20001,0,$B$20),$B$4,INDEX(ALGO!$A$2:$BZ$20001,0,$B$18),$A48))</f>
        <v/>
      </c>
    </row>
    <row r="49">
      <c r="A49" s="20">
        <f>IFERROR(INDEX($B$80:$B$109,MATCH(9,$E$80:$E$109,0)),"")</f>
        <v/>
      </c>
      <c r="B49" s="19">
        <f>IF($A49="","—",$A49&amp;IF($C49="",""," ["&amp;$C49&amp;"]"))</f>
        <v/>
      </c>
      <c r="C49" s="20">
        <f>IF($A49="","",IF(MAX($D71:$AM71)=0,"sin datos en este CFG",IF(MAX($D71:$AM71)&lt;$B$24,"parcial "&amp;MAX($D71:$AM71)&amp;"/"&amp;$B$24,"")))</f>
        <v/>
      </c>
      <c r="D49" s="21">
        <f>IF(OR($A49="",D$29="",D71=0),NA(),SUMIFS(INDEX(ALGO!$A$2:$BZ$20001,0,D$29),INDEX(ALGO!$A$2:$BZ$20001,0,$B$19),$B$1,INDEX(ALGO!$A$2:$BZ$20001,0,$B$20),$B$4,INDEX(ALGO!$A$2:$BZ$20001,0,$B$18),$A49))</f>
        <v/>
      </c>
      <c r="E49" s="21">
        <f>IF(OR($A49="",E$29="",E71=0),NA(),SUMIFS(INDEX(ALGO!$A$2:$BZ$20001,0,E$29),INDEX(ALGO!$A$2:$BZ$20001,0,$B$19),$B$1,INDEX(ALGO!$A$2:$BZ$20001,0,$B$20),$B$4,INDEX(ALGO!$A$2:$BZ$20001,0,$B$18),$A49))</f>
        <v/>
      </c>
      <c r="F49" s="21">
        <f>IF(OR($A49="",F$29="",F71=0),NA(),SUMIFS(INDEX(ALGO!$A$2:$BZ$20001,0,F$29),INDEX(ALGO!$A$2:$BZ$20001,0,$B$19),$B$1,INDEX(ALGO!$A$2:$BZ$20001,0,$B$20),$B$4,INDEX(ALGO!$A$2:$BZ$20001,0,$B$18),$A49))</f>
        <v/>
      </c>
      <c r="G49" s="21">
        <f>IF(OR($A49="",G$29="",G71=0),NA(),SUMIFS(INDEX(ALGO!$A$2:$BZ$20001,0,G$29),INDEX(ALGO!$A$2:$BZ$20001,0,$B$19),$B$1,INDEX(ALGO!$A$2:$BZ$20001,0,$B$20),$B$4,INDEX(ALGO!$A$2:$BZ$20001,0,$B$18),$A49))</f>
        <v/>
      </c>
      <c r="H49" s="21">
        <f>IF(OR($A49="",H$29="",H71=0),NA(),SUMIFS(INDEX(ALGO!$A$2:$BZ$20001,0,H$29),INDEX(ALGO!$A$2:$BZ$20001,0,$B$19),$B$1,INDEX(ALGO!$A$2:$BZ$20001,0,$B$20),$B$4,INDEX(ALGO!$A$2:$BZ$20001,0,$B$18),$A49))</f>
        <v/>
      </c>
      <c r="I49" s="21">
        <f>IF(OR($A49="",I$29="",I71=0),NA(),SUMIFS(INDEX(ALGO!$A$2:$BZ$20001,0,I$29),INDEX(ALGO!$A$2:$BZ$20001,0,$B$19),$B$1,INDEX(ALGO!$A$2:$BZ$20001,0,$B$20),$B$4,INDEX(ALGO!$A$2:$BZ$20001,0,$B$18),$A49))</f>
        <v/>
      </c>
      <c r="J49" s="21">
        <f>IF(OR($A49="",J$29="",J71=0),NA(),SUMIFS(INDEX(ALGO!$A$2:$BZ$20001,0,J$29),INDEX(ALGO!$A$2:$BZ$20001,0,$B$19),$B$1,INDEX(ALGO!$A$2:$BZ$20001,0,$B$20),$B$4,INDEX(ALGO!$A$2:$BZ$20001,0,$B$18),$A49))</f>
        <v/>
      </c>
      <c r="K49" s="21">
        <f>IF(OR($A49="",K$29="",K71=0),NA(),SUMIFS(INDEX(ALGO!$A$2:$BZ$20001,0,K$29),INDEX(ALGO!$A$2:$BZ$20001,0,$B$19),$B$1,INDEX(ALGO!$A$2:$BZ$20001,0,$B$20),$B$4,INDEX(ALGO!$A$2:$BZ$20001,0,$B$18),$A49))</f>
        <v/>
      </c>
      <c r="L49" s="21">
        <f>IF(OR($A49="",L$29="",L71=0),NA(),SUMIFS(INDEX(ALGO!$A$2:$BZ$20001,0,L$29),INDEX(ALGO!$A$2:$BZ$20001,0,$B$19),$B$1,INDEX(ALGO!$A$2:$BZ$20001,0,$B$20),$B$4,INDEX(ALGO!$A$2:$BZ$20001,0,$B$18),$A49))</f>
        <v/>
      </c>
      <c r="M49" s="21">
        <f>IF(OR($A49="",M$29="",M71=0),NA(),SUMIFS(INDEX(ALGO!$A$2:$BZ$20001,0,M$29),INDEX(ALGO!$A$2:$BZ$20001,0,$B$19),$B$1,INDEX(ALGO!$A$2:$BZ$20001,0,$B$20),$B$4,INDEX(ALGO!$A$2:$BZ$20001,0,$B$18),$A49))</f>
        <v/>
      </c>
      <c r="N49" s="21">
        <f>IF(OR($A49="",N$29="",N71=0),NA(),SUMIFS(INDEX(ALGO!$A$2:$BZ$20001,0,N$29),INDEX(ALGO!$A$2:$BZ$20001,0,$B$19),$B$1,INDEX(ALGO!$A$2:$BZ$20001,0,$B$20),$B$4,INDEX(ALGO!$A$2:$BZ$20001,0,$B$18),$A49))</f>
        <v/>
      </c>
      <c r="O49" s="21">
        <f>IF(OR($A49="",O$29="",O71=0),NA(),SUMIFS(INDEX(ALGO!$A$2:$BZ$20001,0,O$29),INDEX(ALGO!$A$2:$BZ$20001,0,$B$19),$B$1,INDEX(ALGO!$A$2:$BZ$20001,0,$B$20),$B$4,INDEX(ALGO!$A$2:$BZ$20001,0,$B$18),$A49))</f>
        <v/>
      </c>
      <c r="P49" s="21">
        <f>IF(OR($A49="",P$29="",P71=0),NA(),SUMIFS(INDEX(ALGO!$A$2:$BZ$20001,0,P$29),INDEX(ALGO!$A$2:$BZ$20001,0,$B$19),$B$1,INDEX(ALGO!$A$2:$BZ$20001,0,$B$20),$B$4,INDEX(ALGO!$A$2:$BZ$20001,0,$B$18),$A49))</f>
        <v/>
      </c>
      <c r="Q49" s="21">
        <f>IF(OR($A49="",Q$29="",Q71=0),NA(),SUMIFS(INDEX(ALGO!$A$2:$BZ$20001,0,Q$29),INDEX(ALGO!$A$2:$BZ$20001,0,$B$19),$B$1,INDEX(ALGO!$A$2:$BZ$20001,0,$B$20),$B$4,INDEX(ALGO!$A$2:$BZ$20001,0,$B$18),$A49))</f>
        <v/>
      </c>
      <c r="R49" s="21">
        <f>IF(OR($A49="",R$29="",R71=0),NA(),SUMIFS(INDEX(ALGO!$A$2:$BZ$20001,0,R$29),INDEX(ALGO!$A$2:$BZ$20001,0,$B$19),$B$1,INDEX(ALGO!$A$2:$BZ$20001,0,$B$20),$B$4,INDEX(ALGO!$A$2:$BZ$20001,0,$B$18),$A49))</f>
        <v/>
      </c>
      <c r="S49" s="21">
        <f>IF(OR($A49="",S$29="",S71=0),NA(),SUMIFS(INDEX(ALGO!$A$2:$BZ$20001,0,S$29),INDEX(ALGO!$A$2:$BZ$20001,0,$B$19),$B$1,INDEX(ALGO!$A$2:$BZ$20001,0,$B$20),$B$4,INDEX(ALGO!$A$2:$BZ$20001,0,$B$18),$A49))</f>
        <v/>
      </c>
      <c r="T49" s="21">
        <f>IF(OR($A49="",T$29="",T71=0),NA(),SUMIFS(INDEX(ALGO!$A$2:$BZ$20001,0,T$29),INDEX(ALGO!$A$2:$BZ$20001,0,$B$19),$B$1,INDEX(ALGO!$A$2:$BZ$20001,0,$B$20),$B$4,INDEX(ALGO!$A$2:$BZ$20001,0,$B$18),$A49))</f>
        <v/>
      </c>
      <c r="U49" s="21">
        <f>IF(OR($A49="",U$29="",U71=0),NA(),SUMIFS(INDEX(ALGO!$A$2:$BZ$20001,0,U$29),INDEX(ALGO!$A$2:$BZ$20001,0,$B$19),$B$1,INDEX(ALGO!$A$2:$BZ$20001,0,$B$20),$B$4,INDEX(ALGO!$A$2:$BZ$20001,0,$B$18),$A49))</f>
        <v/>
      </c>
      <c r="V49" s="21">
        <f>IF(OR($A49="",V$29="",V71=0),NA(),SUMIFS(INDEX(ALGO!$A$2:$BZ$20001,0,V$29),INDEX(ALGO!$A$2:$BZ$20001,0,$B$19),$B$1,INDEX(ALGO!$A$2:$BZ$20001,0,$B$20),$B$4,INDEX(ALGO!$A$2:$BZ$20001,0,$B$18),$A49))</f>
        <v/>
      </c>
      <c r="W49" s="21">
        <f>IF(OR($A49="",W$29="",W71=0),NA(),SUMIFS(INDEX(ALGO!$A$2:$BZ$20001,0,W$29),INDEX(ALGO!$A$2:$BZ$20001,0,$B$19),$B$1,INDEX(ALGO!$A$2:$BZ$20001,0,$B$20),$B$4,INDEX(ALGO!$A$2:$BZ$20001,0,$B$18),$A49))</f>
        <v/>
      </c>
      <c r="X49" s="21">
        <f>IF(OR($A49="",X$29="",X71=0),NA(),SUMIFS(INDEX(ALGO!$A$2:$BZ$20001,0,X$29),INDEX(ALGO!$A$2:$BZ$20001,0,$B$19),$B$1,INDEX(ALGO!$A$2:$BZ$20001,0,$B$20),$B$4,INDEX(ALGO!$A$2:$BZ$20001,0,$B$18),$A49))</f>
        <v/>
      </c>
      <c r="Y49" s="21">
        <f>IF(OR($A49="",Y$29="",Y71=0),NA(),SUMIFS(INDEX(ALGO!$A$2:$BZ$20001,0,Y$29),INDEX(ALGO!$A$2:$BZ$20001,0,$B$19),$B$1,INDEX(ALGO!$A$2:$BZ$20001,0,$B$20),$B$4,INDEX(ALGO!$A$2:$BZ$20001,0,$B$18),$A49))</f>
        <v/>
      </c>
      <c r="Z49" s="21">
        <f>IF(OR($A49="",Z$29="",Z71=0),NA(),SUMIFS(INDEX(ALGO!$A$2:$BZ$20001,0,Z$29),INDEX(ALGO!$A$2:$BZ$20001,0,$B$19),$B$1,INDEX(ALGO!$A$2:$BZ$20001,0,$B$20),$B$4,INDEX(ALGO!$A$2:$BZ$20001,0,$B$18),$A49))</f>
        <v/>
      </c>
      <c r="AA49" s="21">
        <f>IF(OR($A49="",AA$29="",AA71=0),NA(),SUMIFS(INDEX(ALGO!$A$2:$BZ$20001,0,AA$29),INDEX(ALGO!$A$2:$BZ$20001,0,$B$19),$B$1,INDEX(ALGO!$A$2:$BZ$20001,0,$B$20),$B$4,INDEX(ALGO!$A$2:$BZ$20001,0,$B$18),$A49))</f>
        <v/>
      </c>
      <c r="AB49" s="21">
        <f>IF(OR($A49="",AB$29="",AB71=0),NA(),SUMIFS(INDEX(ALGO!$A$2:$BZ$20001,0,AB$29),INDEX(ALGO!$A$2:$BZ$20001,0,$B$19),$B$1,INDEX(ALGO!$A$2:$BZ$20001,0,$B$20),$B$4,INDEX(ALGO!$A$2:$BZ$20001,0,$B$18),$A49))</f>
        <v/>
      </c>
      <c r="AC49" s="21">
        <f>IF(OR($A49="",AC$29="",AC71=0),NA(),SUMIFS(INDEX(ALGO!$A$2:$BZ$20001,0,AC$29),INDEX(ALGO!$A$2:$BZ$20001,0,$B$19),$B$1,INDEX(ALGO!$A$2:$BZ$20001,0,$B$20),$B$4,INDEX(ALGO!$A$2:$BZ$20001,0,$B$18),$A49))</f>
        <v/>
      </c>
      <c r="AD49" s="21">
        <f>IF(OR($A49="",AD$29="",AD71=0),NA(),SUMIFS(INDEX(ALGO!$A$2:$BZ$20001,0,AD$29),INDEX(ALGO!$A$2:$BZ$20001,0,$B$19),$B$1,INDEX(ALGO!$A$2:$BZ$20001,0,$B$20),$B$4,INDEX(ALGO!$A$2:$BZ$20001,0,$B$18),$A49))</f>
        <v/>
      </c>
      <c r="AE49" s="21">
        <f>IF(OR($A49="",AE$29="",AE71=0),NA(),SUMIFS(INDEX(ALGO!$A$2:$BZ$20001,0,AE$29),INDEX(ALGO!$A$2:$BZ$20001,0,$B$19),$B$1,INDEX(ALGO!$A$2:$BZ$20001,0,$B$20),$B$4,INDEX(ALGO!$A$2:$BZ$20001,0,$B$18),$A49))</f>
        <v/>
      </c>
      <c r="AF49" s="21">
        <f>IF(OR($A49="",AF$29="",AF71=0),NA(),SUMIFS(INDEX(ALGO!$A$2:$BZ$20001,0,AF$29),INDEX(ALGO!$A$2:$BZ$20001,0,$B$19),$B$1,INDEX(ALGO!$A$2:$BZ$20001,0,$B$20),$B$4,INDEX(ALGO!$A$2:$BZ$20001,0,$B$18),$A49))</f>
        <v/>
      </c>
      <c r="AG49" s="21">
        <f>IF(OR($A49="",AG$29="",AG71=0),NA(),SUMIFS(INDEX(ALGO!$A$2:$BZ$20001,0,AG$29),INDEX(ALGO!$A$2:$BZ$20001,0,$B$19),$B$1,INDEX(ALGO!$A$2:$BZ$20001,0,$B$20),$B$4,INDEX(ALGO!$A$2:$BZ$20001,0,$B$18),$A49))</f>
        <v/>
      </c>
      <c r="AH49" s="21">
        <f>IF(OR($A49="",AH$29="",AH71=0),NA(),SUMIFS(INDEX(ALGO!$A$2:$BZ$20001,0,AH$29),INDEX(ALGO!$A$2:$BZ$20001,0,$B$19),$B$1,INDEX(ALGO!$A$2:$BZ$20001,0,$B$20),$B$4,INDEX(ALGO!$A$2:$BZ$20001,0,$B$18),$A49))</f>
        <v/>
      </c>
      <c r="AI49" s="21">
        <f>IF(OR($A49="",AI$29="",AI71=0),NA(),SUMIFS(INDEX(ALGO!$A$2:$BZ$20001,0,AI$29),INDEX(ALGO!$A$2:$BZ$20001,0,$B$19),$B$1,INDEX(ALGO!$A$2:$BZ$20001,0,$B$20),$B$4,INDEX(ALGO!$A$2:$BZ$20001,0,$B$18),$A49))</f>
        <v/>
      </c>
      <c r="AJ49" s="21">
        <f>IF(OR($A49="",AJ$29="",AJ71=0),NA(),SUMIFS(INDEX(ALGO!$A$2:$BZ$20001,0,AJ$29),INDEX(ALGO!$A$2:$BZ$20001,0,$B$19),$B$1,INDEX(ALGO!$A$2:$BZ$20001,0,$B$20),$B$4,INDEX(ALGO!$A$2:$BZ$20001,0,$B$18),$A49))</f>
        <v/>
      </c>
      <c r="AK49" s="21">
        <f>IF(OR($A49="",AK$29="",AK71=0),NA(),SUMIFS(INDEX(ALGO!$A$2:$BZ$20001,0,AK$29),INDEX(ALGO!$A$2:$BZ$20001,0,$B$19),$B$1,INDEX(ALGO!$A$2:$BZ$20001,0,$B$20),$B$4,INDEX(ALGO!$A$2:$BZ$20001,0,$B$18),$A49))</f>
        <v/>
      </c>
      <c r="AL49" s="21">
        <f>IF(OR($A49="",AL$29="",AL71=0),NA(),SUMIFS(INDEX(ALGO!$A$2:$BZ$20001,0,AL$29),INDEX(ALGO!$A$2:$BZ$20001,0,$B$19),$B$1,INDEX(ALGO!$A$2:$BZ$20001,0,$B$20),$B$4,INDEX(ALGO!$A$2:$BZ$20001,0,$B$18),$A49))</f>
        <v/>
      </c>
      <c r="AM49" s="21">
        <f>IF(OR($A49="",AM$29="",AM71=0),NA(),SUMIFS(INDEX(ALGO!$A$2:$BZ$20001,0,AM$29),INDEX(ALGO!$A$2:$BZ$20001,0,$B$19),$B$1,INDEX(ALGO!$A$2:$BZ$20001,0,$B$20),$B$4,INDEX(ALGO!$A$2:$BZ$20001,0,$B$18),$A49))</f>
        <v/>
      </c>
    </row>
    <row r="50">
      <c r="A50" s="20">
        <f>IFERROR(INDEX($B$80:$B$109,MATCH(10,$E$80:$E$109,0)),"")</f>
        <v/>
      </c>
      <c r="B50" s="19">
        <f>IF($A50="","—",$A50&amp;IF($C50="",""," ["&amp;$C50&amp;"]"))</f>
        <v/>
      </c>
      <c r="C50" s="20">
        <f>IF($A50="","",IF(MAX($D72:$AM72)=0,"sin datos en este CFG",IF(MAX($D72:$AM72)&lt;$B$24,"parcial "&amp;MAX($D72:$AM72)&amp;"/"&amp;$B$24,"")))</f>
        <v/>
      </c>
      <c r="D50" s="21">
        <f>IF(OR($A50="",D$29="",D72=0),NA(),SUMIFS(INDEX(ALGO!$A$2:$BZ$20001,0,D$29),INDEX(ALGO!$A$2:$BZ$20001,0,$B$19),$B$1,INDEX(ALGO!$A$2:$BZ$20001,0,$B$20),$B$4,INDEX(ALGO!$A$2:$BZ$20001,0,$B$18),$A50))</f>
        <v/>
      </c>
      <c r="E50" s="21">
        <f>IF(OR($A50="",E$29="",E72=0),NA(),SUMIFS(INDEX(ALGO!$A$2:$BZ$20001,0,E$29),INDEX(ALGO!$A$2:$BZ$20001,0,$B$19),$B$1,INDEX(ALGO!$A$2:$BZ$20001,0,$B$20),$B$4,INDEX(ALGO!$A$2:$BZ$20001,0,$B$18),$A50))</f>
        <v/>
      </c>
      <c r="F50" s="21">
        <f>IF(OR($A50="",F$29="",F72=0),NA(),SUMIFS(INDEX(ALGO!$A$2:$BZ$20001,0,F$29),INDEX(ALGO!$A$2:$BZ$20001,0,$B$19),$B$1,INDEX(ALGO!$A$2:$BZ$20001,0,$B$20),$B$4,INDEX(ALGO!$A$2:$BZ$20001,0,$B$18),$A50))</f>
        <v/>
      </c>
      <c r="G50" s="21">
        <f>IF(OR($A50="",G$29="",G72=0),NA(),SUMIFS(INDEX(ALGO!$A$2:$BZ$20001,0,G$29),INDEX(ALGO!$A$2:$BZ$20001,0,$B$19),$B$1,INDEX(ALGO!$A$2:$BZ$20001,0,$B$20),$B$4,INDEX(ALGO!$A$2:$BZ$20001,0,$B$18),$A50))</f>
        <v/>
      </c>
      <c r="H50" s="21">
        <f>IF(OR($A50="",H$29="",H72=0),NA(),SUMIFS(INDEX(ALGO!$A$2:$BZ$20001,0,H$29),INDEX(ALGO!$A$2:$BZ$20001,0,$B$19),$B$1,INDEX(ALGO!$A$2:$BZ$20001,0,$B$20),$B$4,INDEX(ALGO!$A$2:$BZ$20001,0,$B$18),$A50))</f>
        <v/>
      </c>
      <c r="I50" s="21">
        <f>IF(OR($A50="",I$29="",I72=0),NA(),SUMIFS(INDEX(ALGO!$A$2:$BZ$20001,0,I$29),INDEX(ALGO!$A$2:$BZ$20001,0,$B$19),$B$1,INDEX(ALGO!$A$2:$BZ$20001,0,$B$20),$B$4,INDEX(ALGO!$A$2:$BZ$20001,0,$B$18),$A50))</f>
        <v/>
      </c>
      <c r="J50" s="21">
        <f>IF(OR($A50="",J$29="",J72=0),NA(),SUMIFS(INDEX(ALGO!$A$2:$BZ$20001,0,J$29),INDEX(ALGO!$A$2:$BZ$20001,0,$B$19),$B$1,INDEX(ALGO!$A$2:$BZ$20001,0,$B$20),$B$4,INDEX(ALGO!$A$2:$BZ$20001,0,$B$18),$A50))</f>
        <v/>
      </c>
      <c r="K50" s="21">
        <f>IF(OR($A50="",K$29="",K72=0),NA(),SUMIFS(INDEX(ALGO!$A$2:$BZ$20001,0,K$29),INDEX(ALGO!$A$2:$BZ$20001,0,$B$19),$B$1,INDEX(ALGO!$A$2:$BZ$20001,0,$B$20),$B$4,INDEX(ALGO!$A$2:$BZ$20001,0,$B$18),$A50))</f>
        <v/>
      </c>
      <c r="L50" s="21">
        <f>IF(OR($A50="",L$29="",L72=0),NA(),SUMIFS(INDEX(ALGO!$A$2:$BZ$20001,0,L$29),INDEX(ALGO!$A$2:$BZ$20001,0,$B$19),$B$1,INDEX(ALGO!$A$2:$BZ$20001,0,$B$20),$B$4,INDEX(ALGO!$A$2:$BZ$20001,0,$B$18),$A50))</f>
        <v/>
      </c>
      <c r="M50" s="21">
        <f>IF(OR($A50="",M$29="",M72=0),NA(),SUMIFS(INDEX(ALGO!$A$2:$BZ$20001,0,M$29),INDEX(ALGO!$A$2:$BZ$20001,0,$B$19),$B$1,INDEX(ALGO!$A$2:$BZ$20001,0,$B$20),$B$4,INDEX(ALGO!$A$2:$BZ$20001,0,$B$18),$A50))</f>
        <v/>
      </c>
      <c r="N50" s="21">
        <f>IF(OR($A50="",N$29="",N72=0),NA(),SUMIFS(INDEX(ALGO!$A$2:$BZ$20001,0,N$29),INDEX(ALGO!$A$2:$BZ$20001,0,$B$19),$B$1,INDEX(ALGO!$A$2:$BZ$20001,0,$B$20),$B$4,INDEX(ALGO!$A$2:$BZ$20001,0,$B$18),$A50))</f>
        <v/>
      </c>
      <c r="O50" s="21">
        <f>IF(OR($A50="",O$29="",O72=0),NA(),SUMIFS(INDEX(ALGO!$A$2:$BZ$20001,0,O$29),INDEX(ALGO!$A$2:$BZ$20001,0,$B$19),$B$1,INDEX(ALGO!$A$2:$BZ$20001,0,$B$20),$B$4,INDEX(ALGO!$A$2:$BZ$20001,0,$B$18),$A50))</f>
        <v/>
      </c>
      <c r="P50" s="21">
        <f>IF(OR($A50="",P$29="",P72=0),NA(),SUMIFS(INDEX(ALGO!$A$2:$BZ$20001,0,P$29),INDEX(ALGO!$A$2:$BZ$20001,0,$B$19),$B$1,INDEX(ALGO!$A$2:$BZ$20001,0,$B$20),$B$4,INDEX(ALGO!$A$2:$BZ$20001,0,$B$18),$A50))</f>
        <v/>
      </c>
      <c r="Q50" s="21">
        <f>IF(OR($A50="",Q$29="",Q72=0),NA(),SUMIFS(INDEX(ALGO!$A$2:$BZ$20001,0,Q$29),INDEX(ALGO!$A$2:$BZ$20001,0,$B$19),$B$1,INDEX(ALGO!$A$2:$BZ$20001,0,$B$20),$B$4,INDEX(ALGO!$A$2:$BZ$20001,0,$B$18),$A50))</f>
        <v/>
      </c>
      <c r="R50" s="21">
        <f>IF(OR($A50="",R$29="",R72=0),NA(),SUMIFS(INDEX(ALGO!$A$2:$BZ$20001,0,R$29),INDEX(ALGO!$A$2:$BZ$20001,0,$B$19),$B$1,INDEX(ALGO!$A$2:$BZ$20001,0,$B$20),$B$4,INDEX(ALGO!$A$2:$BZ$20001,0,$B$18),$A50))</f>
        <v/>
      </c>
      <c r="S50" s="21">
        <f>IF(OR($A50="",S$29="",S72=0),NA(),SUMIFS(INDEX(ALGO!$A$2:$BZ$20001,0,S$29),INDEX(ALGO!$A$2:$BZ$20001,0,$B$19),$B$1,INDEX(ALGO!$A$2:$BZ$20001,0,$B$20),$B$4,INDEX(ALGO!$A$2:$BZ$20001,0,$B$18),$A50))</f>
        <v/>
      </c>
      <c r="T50" s="21">
        <f>IF(OR($A50="",T$29="",T72=0),NA(),SUMIFS(INDEX(ALGO!$A$2:$BZ$20001,0,T$29),INDEX(ALGO!$A$2:$BZ$20001,0,$B$19),$B$1,INDEX(ALGO!$A$2:$BZ$20001,0,$B$20),$B$4,INDEX(ALGO!$A$2:$BZ$20001,0,$B$18),$A50))</f>
        <v/>
      </c>
      <c r="U50" s="21">
        <f>IF(OR($A50="",U$29="",U72=0),NA(),SUMIFS(INDEX(ALGO!$A$2:$BZ$20001,0,U$29),INDEX(ALGO!$A$2:$BZ$20001,0,$B$19),$B$1,INDEX(ALGO!$A$2:$BZ$20001,0,$B$20),$B$4,INDEX(ALGO!$A$2:$BZ$20001,0,$B$18),$A50))</f>
        <v/>
      </c>
      <c r="V50" s="21">
        <f>IF(OR($A50="",V$29="",V72=0),NA(),SUMIFS(INDEX(ALGO!$A$2:$BZ$20001,0,V$29),INDEX(ALGO!$A$2:$BZ$20001,0,$B$19),$B$1,INDEX(ALGO!$A$2:$BZ$20001,0,$B$20),$B$4,INDEX(ALGO!$A$2:$BZ$20001,0,$B$18),$A50))</f>
        <v/>
      </c>
      <c r="W50" s="21">
        <f>IF(OR($A50="",W$29="",W72=0),NA(),SUMIFS(INDEX(ALGO!$A$2:$BZ$20001,0,W$29),INDEX(ALGO!$A$2:$BZ$20001,0,$B$19),$B$1,INDEX(ALGO!$A$2:$BZ$20001,0,$B$20),$B$4,INDEX(ALGO!$A$2:$BZ$20001,0,$B$18),$A50))</f>
        <v/>
      </c>
      <c r="X50" s="21">
        <f>IF(OR($A50="",X$29="",X72=0),NA(),SUMIFS(INDEX(ALGO!$A$2:$BZ$20001,0,X$29),INDEX(ALGO!$A$2:$BZ$20001,0,$B$19),$B$1,INDEX(ALGO!$A$2:$BZ$20001,0,$B$20),$B$4,INDEX(ALGO!$A$2:$BZ$20001,0,$B$18),$A50))</f>
        <v/>
      </c>
      <c r="Y50" s="21">
        <f>IF(OR($A50="",Y$29="",Y72=0),NA(),SUMIFS(INDEX(ALGO!$A$2:$BZ$20001,0,Y$29),INDEX(ALGO!$A$2:$BZ$20001,0,$B$19),$B$1,INDEX(ALGO!$A$2:$BZ$20001,0,$B$20),$B$4,INDEX(ALGO!$A$2:$BZ$20001,0,$B$18),$A50))</f>
        <v/>
      </c>
      <c r="Z50" s="21">
        <f>IF(OR($A50="",Z$29="",Z72=0),NA(),SUMIFS(INDEX(ALGO!$A$2:$BZ$20001,0,Z$29),INDEX(ALGO!$A$2:$BZ$20001,0,$B$19),$B$1,INDEX(ALGO!$A$2:$BZ$20001,0,$B$20),$B$4,INDEX(ALGO!$A$2:$BZ$20001,0,$B$18),$A50))</f>
        <v/>
      </c>
      <c r="AA50" s="21">
        <f>IF(OR($A50="",AA$29="",AA72=0),NA(),SUMIFS(INDEX(ALGO!$A$2:$BZ$20001,0,AA$29),INDEX(ALGO!$A$2:$BZ$20001,0,$B$19),$B$1,INDEX(ALGO!$A$2:$BZ$20001,0,$B$20),$B$4,INDEX(ALGO!$A$2:$BZ$20001,0,$B$18),$A50))</f>
        <v/>
      </c>
      <c r="AB50" s="21">
        <f>IF(OR($A50="",AB$29="",AB72=0),NA(),SUMIFS(INDEX(ALGO!$A$2:$BZ$20001,0,AB$29),INDEX(ALGO!$A$2:$BZ$20001,0,$B$19),$B$1,INDEX(ALGO!$A$2:$BZ$20001,0,$B$20),$B$4,INDEX(ALGO!$A$2:$BZ$20001,0,$B$18),$A50))</f>
        <v/>
      </c>
      <c r="AC50" s="21">
        <f>IF(OR($A50="",AC$29="",AC72=0),NA(),SUMIFS(INDEX(ALGO!$A$2:$BZ$20001,0,AC$29),INDEX(ALGO!$A$2:$BZ$20001,0,$B$19),$B$1,INDEX(ALGO!$A$2:$BZ$20001,0,$B$20),$B$4,INDEX(ALGO!$A$2:$BZ$20001,0,$B$18),$A50))</f>
        <v/>
      </c>
      <c r="AD50" s="21">
        <f>IF(OR($A50="",AD$29="",AD72=0),NA(),SUMIFS(INDEX(ALGO!$A$2:$BZ$20001,0,AD$29),INDEX(ALGO!$A$2:$BZ$20001,0,$B$19),$B$1,INDEX(ALGO!$A$2:$BZ$20001,0,$B$20),$B$4,INDEX(ALGO!$A$2:$BZ$20001,0,$B$18),$A50))</f>
        <v/>
      </c>
      <c r="AE50" s="21">
        <f>IF(OR($A50="",AE$29="",AE72=0),NA(),SUMIFS(INDEX(ALGO!$A$2:$BZ$20001,0,AE$29),INDEX(ALGO!$A$2:$BZ$20001,0,$B$19),$B$1,INDEX(ALGO!$A$2:$BZ$20001,0,$B$20),$B$4,INDEX(ALGO!$A$2:$BZ$20001,0,$B$18),$A50))</f>
        <v/>
      </c>
      <c r="AF50" s="21">
        <f>IF(OR($A50="",AF$29="",AF72=0),NA(),SUMIFS(INDEX(ALGO!$A$2:$BZ$20001,0,AF$29),INDEX(ALGO!$A$2:$BZ$20001,0,$B$19),$B$1,INDEX(ALGO!$A$2:$BZ$20001,0,$B$20),$B$4,INDEX(ALGO!$A$2:$BZ$20001,0,$B$18),$A50))</f>
        <v/>
      </c>
      <c r="AG50" s="21">
        <f>IF(OR($A50="",AG$29="",AG72=0),NA(),SUMIFS(INDEX(ALGO!$A$2:$BZ$20001,0,AG$29),INDEX(ALGO!$A$2:$BZ$20001,0,$B$19),$B$1,INDEX(ALGO!$A$2:$BZ$20001,0,$B$20),$B$4,INDEX(ALGO!$A$2:$BZ$20001,0,$B$18),$A50))</f>
        <v/>
      </c>
      <c r="AH50" s="21">
        <f>IF(OR($A50="",AH$29="",AH72=0),NA(),SUMIFS(INDEX(ALGO!$A$2:$BZ$20001,0,AH$29),INDEX(ALGO!$A$2:$BZ$20001,0,$B$19),$B$1,INDEX(ALGO!$A$2:$BZ$20001,0,$B$20),$B$4,INDEX(ALGO!$A$2:$BZ$20001,0,$B$18),$A50))</f>
        <v/>
      </c>
      <c r="AI50" s="21">
        <f>IF(OR($A50="",AI$29="",AI72=0),NA(),SUMIFS(INDEX(ALGO!$A$2:$BZ$20001,0,AI$29),INDEX(ALGO!$A$2:$BZ$20001,0,$B$19),$B$1,INDEX(ALGO!$A$2:$BZ$20001,0,$B$20),$B$4,INDEX(ALGO!$A$2:$BZ$20001,0,$B$18),$A50))</f>
        <v/>
      </c>
      <c r="AJ50" s="21">
        <f>IF(OR($A50="",AJ$29="",AJ72=0),NA(),SUMIFS(INDEX(ALGO!$A$2:$BZ$20001,0,AJ$29),INDEX(ALGO!$A$2:$BZ$20001,0,$B$19),$B$1,INDEX(ALGO!$A$2:$BZ$20001,0,$B$20),$B$4,INDEX(ALGO!$A$2:$BZ$20001,0,$B$18),$A50))</f>
        <v/>
      </c>
      <c r="AK50" s="21">
        <f>IF(OR($A50="",AK$29="",AK72=0),NA(),SUMIFS(INDEX(ALGO!$A$2:$BZ$20001,0,AK$29),INDEX(ALGO!$A$2:$BZ$20001,0,$B$19),$B$1,INDEX(ALGO!$A$2:$BZ$20001,0,$B$20),$B$4,INDEX(ALGO!$A$2:$BZ$20001,0,$B$18),$A50))</f>
        <v/>
      </c>
      <c r="AL50" s="21">
        <f>IF(OR($A50="",AL$29="",AL72=0),NA(),SUMIFS(INDEX(ALGO!$A$2:$BZ$20001,0,AL$29),INDEX(ALGO!$A$2:$BZ$20001,0,$B$19),$B$1,INDEX(ALGO!$A$2:$BZ$20001,0,$B$20),$B$4,INDEX(ALGO!$A$2:$BZ$20001,0,$B$18),$A50))</f>
        <v/>
      </c>
      <c r="AM50" s="21">
        <f>IF(OR($A50="",AM$29="",AM72=0),NA(),SUMIFS(INDEX(ALGO!$A$2:$BZ$20001,0,AM$29),INDEX(ALGO!$A$2:$BZ$20001,0,$B$19),$B$1,INDEX(ALGO!$A$2:$BZ$20001,0,$B$20),$B$4,INDEX(ALGO!$A$2:$BZ$20001,0,$B$18),$A50))</f>
        <v/>
      </c>
    </row>
    <row r="55">
      <c r="A55" s="7" t="inlineStr">
        <is>
          <t>Conteo de celdas con valor (espejo del bloque de arriba)</t>
        </is>
      </c>
    </row>
    <row r="56">
      <c r="D56" s="22">
        <f>IF(D$27="",0,COUNTIFS(INDEX(CONSENSUS!$A$2:$BZ$20001,0,$B$11),$B$1,INDEX(CONSENSUS!$A$2:$BZ$20001,0,$B$12),$B$4,INDEX(CONSENSUS!$A$2:$BZ$20001,0,$B$13),$B$5,INDEX(CONSENSUS!$A$2:$BZ$20001,0,$B$10),$A34,INDEX(CONSENSUS!$A$2:$BZ$20001,0,D$27),"&lt;&gt;"))</f>
        <v/>
      </c>
      <c r="E56" s="22">
        <f>IF(E$27="",0,COUNTIFS(INDEX(CONSENSUS!$A$2:$BZ$20001,0,$B$11),$B$1,INDEX(CONSENSUS!$A$2:$BZ$20001,0,$B$12),$B$4,INDEX(CONSENSUS!$A$2:$BZ$20001,0,$B$13),$B$5,INDEX(CONSENSUS!$A$2:$BZ$20001,0,$B$10),$A34,INDEX(CONSENSUS!$A$2:$BZ$20001,0,E$27),"&lt;&gt;"))</f>
        <v/>
      </c>
      <c r="F56" s="22">
        <f>IF(F$27="",0,COUNTIFS(INDEX(CONSENSUS!$A$2:$BZ$20001,0,$B$11),$B$1,INDEX(CONSENSUS!$A$2:$BZ$20001,0,$B$12),$B$4,INDEX(CONSENSUS!$A$2:$BZ$20001,0,$B$13),$B$5,INDEX(CONSENSUS!$A$2:$BZ$20001,0,$B$10),$A34,INDEX(CONSENSUS!$A$2:$BZ$20001,0,F$27),"&lt;&gt;"))</f>
        <v/>
      </c>
      <c r="G56" s="22">
        <f>IF(G$27="",0,COUNTIFS(INDEX(CONSENSUS!$A$2:$BZ$20001,0,$B$11),$B$1,INDEX(CONSENSUS!$A$2:$BZ$20001,0,$B$12),$B$4,INDEX(CONSENSUS!$A$2:$BZ$20001,0,$B$13),$B$5,INDEX(CONSENSUS!$A$2:$BZ$20001,0,$B$10),$A34,INDEX(CONSENSUS!$A$2:$BZ$20001,0,G$27),"&lt;&gt;"))</f>
        <v/>
      </c>
      <c r="H56" s="22">
        <f>IF(H$27="",0,COUNTIFS(INDEX(CONSENSUS!$A$2:$BZ$20001,0,$B$11),$B$1,INDEX(CONSENSUS!$A$2:$BZ$20001,0,$B$12),$B$4,INDEX(CONSENSUS!$A$2:$BZ$20001,0,$B$13),$B$5,INDEX(CONSENSUS!$A$2:$BZ$20001,0,$B$10),$A34,INDEX(CONSENSUS!$A$2:$BZ$20001,0,H$27),"&lt;&gt;"))</f>
        <v/>
      </c>
      <c r="I56" s="22">
        <f>IF(I$27="",0,COUNTIFS(INDEX(CONSENSUS!$A$2:$BZ$20001,0,$B$11),$B$1,INDEX(CONSENSUS!$A$2:$BZ$20001,0,$B$12),$B$4,INDEX(CONSENSUS!$A$2:$BZ$20001,0,$B$13),$B$5,INDEX(CONSENSUS!$A$2:$BZ$20001,0,$B$10),$A34,INDEX(CONSENSUS!$A$2:$BZ$20001,0,I$27),"&lt;&gt;"))</f>
        <v/>
      </c>
      <c r="J56" s="22">
        <f>IF(J$27="",0,COUNTIFS(INDEX(CONSENSUS!$A$2:$BZ$20001,0,$B$11),$B$1,INDEX(CONSENSUS!$A$2:$BZ$20001,0,$B$12),$B$4,INDEX(CONSENSUS!$A$2:$BZ$20001,0,$B$13),$B$5,INDEX(CONSENSUS!$A$2:$BZ$20001,0,$B$10),$A34,INDEX(CONSENSUS!$A$2:$BZ$20001,0,J$27),"&lt;&gt;"))</f>
        <v/>
      </c>
      <c r="K56" s="22">
        <f>IF(K$27="",0,COUNTIFS(INDEX(CONSENSUS!$A$2:$BZ$20001,0,$B$11),$B$1,INDEX(CONSENSUS!$A$2:$BZ$20001,0,$B$12),$B$4,INDEX(CONSENSUS!$A$2:$BZ$20001,0,$B$13),$B$5,INDEX(CONSENSUS!$A$2:$BZ$20001,0,$B$10),$A34,INDEX(CONSENSUS!$A$2:$BZ$20001,0,K$27),"&lt;&gt;"))</f>
        <v/>
      </c>
      <c r="L56" s="22">
        <f>IF(L$27="",0,COUNTIFS(INDEX(CONSENSUS!$A$2:$BZ$20001,0,$B$11),$B$1,INDEX(CONSENSUS!$A$2:$BZ$20001,0,$B$12),$B$4,INDEX(CONSENSUS!$A$2:$BZ$20001,0,$B$13),$B$5,INDEX(CONSENSUS!$A$2:$BZ$20001,0,$B$10),$A34,INDEX(CONSENSUS!$A$2:$BZ$20001,0,L$27),"&lt;&gt;"))</f>
        <v/>
      </c>
      <c r="M56" s="22">
        <f>IF(M$27="",0,COUNTIFS(INDEX(CONSENSUS!$A$2:$BZ$20001,0,$B$11),$B$1,INDEX(CONSENSUS!$A$2:$BZ$20001,0,$B$12),$B$4,INDEX(CONSENSUS!$A$2:$BZ$20001,0,$B$13),$B$5,INDEX(CONSENSUS!$A$2:$BZ$20001,0,$B$10),$A34,INDEX(CONSENSUS!$A$2:$BZ$20001,0,M$27),"&lt;&gt;"))</f>
        <v/>
      </c>
      <c r="N56" s="22">
        <f>IF(N$27="",0,COUNTIFS(INDEX(CONSENSUS!$A$2:$BZ$20001,0,$B$11),$B$1,INDEX(CONSENSUS!$A$2:$BZ$20001,0,$B$12),$B$4,INDEX(CONSENSUS!$A$2:$BZ$20001,0,$B$13),$B$5,INDEX(CONSENSUS!$A$2:$BZ$20001,0,$B$10),$A34,INDEX(CONSENSUS!$A$2:$BZ$20001,0,N$27),"&lt;&gt;"))</f>
        <v/>
      </c>
      <c r="O56" s="22">
        <f>IF(O$27="",0,COUNTIFS(INDEX(CONSENSUS!$A$2:$BZ$20001,0,$B$11),$B$1,INDEX(CONSENSUS!$A$2:$BZ$20001,0,$B$12),$B$4,INDEX(CONSENSUS!$A$2:$BZ$20001,0,$B$13),$B$5,INDEX(CONSENSUS!$A$2:$BZ$20001,0,$B$10),$A34,INDEX(CONSENSUS!$A$2:$BZ$20001,0,O$27),"&lt;&gt;"))</f>
        <v/>
      </c>
      <c r="P56" s="22">
        <f>IF(P$27="",0,COUNTIFS(INDEX(CONSENSUS!$A$2:$BZ$20001,0,$B$11),$B$1,INDEX(CONSENSUS!$A$2:$BZ$20001,0,$B$12),$B$4,INDEX(CONSENSUS!$A$2:$BZ$20001,0,$B$13),$B$5,INDEX(CONSENSUS!$A$2:$BZ$20001,0,$B$10),$A34,INDEX(CONSENSUS!$A$2:$BZ$20001,0,P$27),"&lt;&gt;"))</f>
        <v/>
      </c>
      <c r="Q56" s="22">
        <f>IF(Q$27="",0,COUNTIFS(INDEX(CONSENSUS!$A$2:$BZ$20001,0,$B$11),$B$1,INDEX(CONSENSUS!$A$2:$BZ$20001,0,$B$12),$B$4,INDEX(CONSENSUS!$A$2:$BZ$20001,0,$B$13),$B$5,INDEX(CONSENSUS!$A$2:$BZ$20001,0,$B$10),$A34,INDEX(CONSENSUS!$A$2:$BZ$20001,0,Q$27),"&lt;&gt;"))</f>
        <v/>
      </c>
      <c r="R56" s="22">
        <f>IF(R$27="",0,COUNTIFS(INDEX(CONSENSUS!$A$2:$BZ$20001,0,$B$11),$B$1,INDEX(CONSENSUS!$A$2:$BZ$20001,0,$B$12),$B$4,INDEX(CONSENSUS!$A$2:$BZ$20001,0,$B$13),$B$5,INDEX(CONSENSUS!$A$2:$BZ$20001,0,$B$10),$A34,INDEX(CONSENSUS!$A$2:$BZ$20001,0,R$27),"&lt;&gt;"))</f>
        <v/>
      </c>
      <c r="S56" s="22">
        <f>IF(S$27="",0,COUNTIFS(INDEX(CONSENSUS!$A$2:$BZ$20001,0,$B$11),$B$1,INDEX(CONSENSUS!$A$2:$BZ$20001,0,$B$12),$B$4,INDEX(CONSENSUS!$A$2:$BZ$20001,0,$B$13),$B$5,INDEX(CONSENSUS!$A$2:$BZ$20001,0,$B$10),$A34,INDEX(CONSENSUS!$A$2:$BZ$20001,0,S$27),"&lt;&gt;"))</f>
        <v/>
      </c>
      <c r="T56" s="22">
        <f>IF(T$27="",0,COUNTIFS(INDEX(CONSENSUS!$A$2:$BZ$20001,0,$B$11),$B$1,INDEX(CONSENSUS!$A$2:$BZ$20001,0,$B$12),$B$4,INDEX(CONSENSUS!$A$2:$BZ$20001,0,$B$13),$B$5,INDEX(CONSENSUS!$A$2:$BZ$20001,0,$B$10),$A34,INDEX(CONSENSUS!$A$2:$BZ$20001,0,T$27),"&lt;&gt;"))</f>
        <v/>
      </c>
      <c r="U56" s="22">
        <f>IF(U$27="",0,COUNTIFS(INDEX(CONSENSUS!$A$2:$BZ$20001,0,$B$11),$B$1,INDEX(CONSENSUS!$A$2:$BZ$20001,0,$B$12),$B$4,INDEX(CONSENSUS!$A$2:$BZ$20001,0,$B$13),$B$5,INDEX(CONSENSUS!$A$2:$BZ$20001,0,$B$10),$A34,INDEX(CONSENSUS!$A$2:$BZ$20001,0,U$27),"&lt;&gt;"))</f>
        <v/>
      </c>
      <c r="V56" s="22">
        <f>IF(V$27="",0,COUNTIFS(INDEX(CONSENSUS!$A$2:$BZ$20001,0,$B$11),$B$1,INDEX(CONSENSUS!$A$2:$BZ$20001,0,$B$12),$B$4,INDEX(CONSENSUS!$A$2:$BZ$20001,0,$B$13),$B$5,INDEX(CONSENSUS!$A$2:$BZ$20001,0,$B$10),$A34,INDEX(CONSENSUS!$A$2:$BZ$20001,0,V$27),"&lt;&gt;"))</f>
        <v/>
      </c>
      <c r="W56" s="22">
        <f>IF(W$27="",0,COUNTIFS(INDEX(CONSENSUS!$A$2:$BZ$20001,0,$B$11),$B$1,INDEX(CONSENSUS!$A$2:$BZ$20001,0,$B$12),$B$4,INDEX(CONSENSUS!$A$2:$BZ$20001,0,$B$13),$B$5,INDEX(CONSENSUS!$A$2:$BZ$20001,0,$B$10),$A34,INDEX(CONSENSUS!$A$2:$BZ$20001,0,W$27),"&lt;&gt;"))</f>
        <v/>
      </c>
      <c r="X56" s="22">
        <f>IF(X$27="",0,COUNTIFS(INDEX(CONSENSUS!$A$2:$BZ$20001,0,$B$11),$B$1,INDEX(CONSENSUS!$A$2:$BZ$20001,0,$B$12),$B$4,INDEX(CONSENSUS!$A$2:$BZ$20001,0,$B$13),$B$5,INDEX(CONSENSUS!$A$2:$BZ$20001,0,$B$10),$A34,INDEX(CONSENSUS!$A$2:$BZ$20001,0,X$27),"&lt;&gt;"))</f>
        <v/>
      </c>
      <c r="Y56" s="22">
        <f>IF(Y$27="",0,COUNTIFS(INDEX(CONSENSUS!$A$2:$BZ$20001,0,$B$11),$B$1,INDEX(CONSENSUS!$A$2:$BZ$20001,0,$B$12),$B$4,INDEX(CONSENSUS!$A$2:$BZ$20001,0,$B$13),$B$5,INDEX(CONSENSUS!$A$2:$BZ$20001,0,$B$10),$A34,INDEX(CONSENSUS!$A$2:$BZ$20001,0,Y$27),"&lt;&gt;"))</f>
        <v/>
      </c>
      <c r="Z56" s="22">
        <f>IF(Z$27="",0,COUNTIFS(INDEX(CONSENSUS!$A$2:$BZ$20001,0,$B$11),$B$1,INDEX(CONSENSUS!$A$2:$BZ$20001,0,$B$12),$B$4,INDEX(CONSENSUS!$A$2:$BZ$20001,0,$B$13),$B$5,INDEX(CONSENSUS!$A$2:$BZ$20001,0,$B$10),$A34,INDEX(CONSENSUS!$A$2:$BZ$20001,0,Z$27),"&lt;&gt;"))</f>
        <v/>
      </c>
      <c r="AA56" s="22">
        <f>IF(AA$27="",0,COUNTIFS(INDEX(CONSENSUS!$A$2:$BZ$20001,0,$B$11),$B$1,INDEX(CONSENSUS!$A$2:$BZ$20001,0,$B$12),$B$4,INDEX(CONSENSUS!$A$2:$BZ$20001,0,$B$13),$B$5,INDEX(CONSENSUS!$A$2:$BZ$20001,0,$B$10),$A34,INDEX(CONSENSUS!$A$2:$BZ$20001,0,AA$27),"&lt;&gt;"))</f>
        <v/>
      </c>
      <c r="AB56" s="22">
        <f>IF(AB$27="",0,COUNTIFS(INDEX(CONSENSUS!$A$2:$BZ$20001,0,$B$11),$B$1,INDEX(CONSENSUS!$A$2:$BZ$20001,0,$B$12),$B$4,INDEX(CONSENSUS!$A$2:$BZ$20001,0,$B$13),$B$5,INDEX(CONSENSUS!$A$2:$BZ$20001,0,$B$10),$A34,INDEX(CONSENSUS!$A$2:$BZ$20001,0,AB$27),"&lt;&gt;"))</f>
        <v/>
      </c>
      <c r="AC56" s="22">
        <f>IF(AC$27="",0,COUNTIFS(INDEX(CONSENSUS!$A$2:$BZ$20001,0,$B$11),$B$1,INDEX(CONSENSUS!$A$2:$BZ$20001,0,$B$12),$B$4,INDEX(CONSENSUS!$A$2:$BZ$20001,0,$B$13),$B$5,INDEX(CONSENSUS!$A$2:$BZ$20001,0,$B$10),$A34,INDEX(CONSENSUS!$A$2:$BZ$20001,0,AC$27),"&lt;&gt;"))</f>
        <v/>
      </c>
      <c r="AD56" s="22">
        <f>IF(AD$27="",0,COUNTIFS(INDEX(CONSENSUS!$A$2:$BZ$20001,0,$B$11),$B$1,INDEX(CONSENSUS!$A$2:$BZ$20001,0,$B$12),$B$4,INDEX(CONSENSUS!$A$2:$BZ$20001,0,$B$13),$B$5,INDEX(CONSENSUS!$A$2:$BZ$20001,0,$B$10),$A34,INDEX(CONSENSUS!$A$2:$BZ$20001,0,AD$27),"&lt;&gt;"))</f>
        <v/>
      </c>
      <c r="AE56" s="22">
        <f>IF(AE$27="",0,COUNTIFS(INDEX(CONSENSUS!$A$2:$BZ$20001,0,$B$11),$B$1,INDEX(CONSENSUS!$A$2:$BZ$20001,0,$B$12),$B$4,INDEX(CONSENSUS!$A$2:$BZ$20001,0,$B$13),$B$5,INDEX(CONSENSUS!$A$2:$BZ$20001,0,$B$10),$A34,INDEX(CONSENSUS!$A$2:$BZ$20001,0,AE$27),"&lt;&gt;"))</f>
        <v/>
      </c>
      <c r="AF56" s="22">
        <f>IF(AF$27="",0,COUNTIFS(INDEX(CONSENSUS!$A$2:$BZ$20001,0,$B$11),$B$1,INDEX(CONSENSUS!$A$2:$BZ$20001,0,$B$12),$B$4,INDEX(CONSENSUS!$A$2:$BZ$20001,0,$B$13),$B$5,INDEX(CONSENSUS!$A$2:$BZ$20001,0,$B$10),$A34,INDEX(CONSENSUS!$A$2:$BZ$20001,0,AF$27),"&lt;&gt;"))</f>
        <v/>
      </c>
      <c r="AG56" s="22">
        <f>IF(AG$27="",0,COUNTIFS(INDEX(CONSENSUS!$A$2:$BZ$20001,0,$B$11),$B$1,INDEX(CONSENSUS!$A$2:$BZ$20001,0,$B$12),$B$4,INDEX(CONSENSUS!$A$2:$BZ$20001,0,$B$13),$B$5,INDEX(CONSENSUS!$A$2:$BZ$20001,0,$B$10),$A34,INDEX(CONSENSUS!$A$2:$BZ$20001,0,AG$27),"&lt;&gt;"))</f>
        <v/>
      </c>
      <c r="AH56" s="22">
        <f>IF(AH$27="",0,COUNTIFS(INDEX(CONSENSUS!$A$2:$BZ$20001,0,$B$11),$B$1,INDEX(CONSENSUS!$A$2:$BZ$20001,0,$B$12),$B$4,INDEX(CONSENSUS!$A$2:$BZ$20001,0,$B$13),$B$5,INDEX(CONSENSUS!$A$2:$BZ$20001,0,$B$10),$A34,INDEX(CONSENSUS!$A$2:$BZ$20001,0,AH$27),"&lt;&gt;"))</f>
        <v/>
      </c>
      <c r="AI56" s="22">
        <f>IF(AI$27="",0,COUNTIFS(INDEX(CONSENSUS!$A$2:$BZ$20001,0,$B$11),$B$1,INDEX(CONSENSUS!$A$2:$BZ$20001,0,$B$12),$B$4,INDEX(CONSENSUS!$A$2:$BZ$20001,0,$B$13),$B$5,INDEX(CONSENSUS!$A$2:$BZ$20001,0,$B$10),$A34,INDEX(CONSENSUS!$A$2:$BZ$20001,0,AI$27),"&lt;&gt;"))</f>
        <v/>
      </c>
      <c r="AJ56" s="22">
        <f>IF(AJ$27="",0,COUNTIFS(INDEX(CONSENSUS!$A$2:$BZ$20001,0,$B$11),$B$1,INDEX(CONSENSUS!$A$2:$BZ$20001,0,$B$12),$B$4,INDEX(CONSENSUS!$A$2:$BZ$20001,0,$B$13),$B$5,INDEX(CONSENSUS!$A$2:$BZ$20001,0,$B$10),$A34,INDEX(CONSENSUS!$A$2:$BZ$20001,0,AJ$27),"&lt;&gt;"))</f>
        <v/>
      </c>
      <c r="AK56" s="22">
        <f>IF(AK$27="",0,COUNTIFS(INDEX(CONSENSUS!$A$2:$BZ$20001,0,$B$11),$B$1,INDEX(CONSENSUS!$A$2:$BZ$20001,0,$B$12),$B$4,INDEX(CONSENSUS!$A$2:$BZ$20001,0,$B$13),$B$5,INDEX(CONSENSUS!$A$2:$BZ$20001,0,$B$10),$A34,INDEX(CONSENSUS!$A$2:$BZ$20001,0,AK$27),"&lt;&gt;"))</f>
        <v/>
      </c>
      <c r="AL56" s="22">
        <f>IF(AL$27="",0,COUNTIFS(INDEX(CONSENSUS!$A$2:$BZ$20001,0,$B$11),$B$1,INDEX(CONSENSUS!$A$2:$BZ$20001,0,$B$12),$B$4,INDEX(CONSENSUS!$A$2:$BZ$20001,0,$B$13),$B$5,INDEX(CONSENSUS!$A$2:$BZ$20001,0,$B$10),$A34,INDEX(CONSENSUS!$A$2:$BZ$20001,0,AL$27),"&lt;&gt;"))</f>
        <v/>
      </c>
      <c r="AM56" s="22">
        <f>IF(AM$27="",0,COUNTIFS(INDEX(CONSENSUS!$A$2:$BZ$20001,0,$B$11),$B$1,INDEX(CONSENSUS!$A$2:$BZ$20001,0,$B$12),$B$4,INDEX(CONSENSUS!$A$2:$BZ$20001,0,$B$13),$B$5,INDEX(CONSENSUS!$A$2:$BZ$20001,0,$B$10),$A34,INDEX(CONSENSUS!$A$2:$BZ$20001,0,AM$27),"&lt;&gt;"))</f>
        <v/>
      </c>
    </row>
    <row r="57">
      <c r="D57" s="22">
        <f>IF(D$27="",0,COUNTIFS(INDEX(CONSENSUS!$A$2:$BZ$20001,0,$B$11),$B$1,INDEX(CONSENSUS!$A$2:$BZ$20001,0,$B$12),$B$4,INDEX(CONSENSUS!$A$2:$BZ$20001,0,$B$13),$B$6,INDEX(CONSENSUS!$A$2:$BZ$20001,0,$B$10),$A35,INDEX(CONSENSUS!$A$2:$BZ$20001,0,D$27),"&lt;&gt;"))</f>
        <v/>
      </c>
      <c r="E57" s="22">
        <f>IF(E$27="",0,COUNTIFS(INDEX(CONSENSUS!$A$2:$BZ$20001,0,$B$11),$B$1,INDEX(CONSENSUS!$A$2:$BZ$20001,0,$B$12),$B$4,INDEX(CONSENSUS!$A$2:$BZ$20001,0,$B$13),$B$6,INDEX(CONSENSUS!$A$2:$BZ$20001,0,$B$10),$A35,INDEX(CONSENSUS!$A$2:$BZ$20001,0,E$27),"&lt;&gt;"))</f>
        <v/>
      </c>
      <c r="F57" s="22">
        <f>IF(F$27="",0,COUNTIFS(INDEX(CONSENSUS!$A$2:$BZ$20001,0,$B$11),$B$1,INDEX(CONSENSUS!$A$2:$BZ$20001,0,$B$12),$B$4,INDEX(CONSENSUS!$A$2:$BZ$20001,0,$B$13),$B$6,INDEX(CONSENSUS!$A$2:$BZ$20001,0,$B$10),$A35,INDEX(CONSENSUS!$A$2:$BZ$20001,0,F$27),"&lt;&gt;"))</f>
        <v/>
      </c>
      <c r="G57" s="22">
        <f>IF(G$27="",0,COUNTIFS(INDEX(CONSENSUS!$A$2:$BZ$20001,0,$B$11),$B$1,INDEX(CONSENSUS!$A$2:$BZ$20001,0,$B$12),$B$4,INDEX(CONSENSUS!$A$2:$BZ$20001,0,$B$13),$B$6,INDEX(CONSENSUS!$A$2:$BZ$20001,0,$B$10),$A35,INDEX(CONSENSUS!$A$2:$BZ$20001,0,G$27),"&lt;&gt;"))</f>
        <v/>
      </c>
      <c r="H57" s="22">
        <f>IF(H$27="",0,COUNTIFS(INDEX(CONSENSUS!$A$2:$BZ$20001,0,$B$11),$B$1,INDEX(CONSENSUS!$A$2:$BZ$20001,0,$B$12),$B$4,INDEX(CONSENSUS!$A$2:$BZ$20001,0,$B$13),$B$6,INDEX(CONSENSUS!$A$2:$BZ$20001,0,$B$10),$A35,INDEX(CONSENSUS!$A$2:$BZ$20001,0,H$27),"&lt;&gt;"))</f>
        <v/>
      </c>
      <c r="I57" s="22">
        <f>IF(I$27="",0,COUNTIFS(INDEX(CONSENSUS!$A$2:$BZ$20001,0,$B$11),$B$1,INDEX(CONSENSUS!$A$2:$BZ$20001,0,$B$12),$B$4,INDEX(CONSENSUS!$A$2:$BZ$20001,0,$B$13),$B$6,INDEX(CONSENSUS!$A$2:$BZ$20001,0,$B$10),$A35,INDEX(CONSENSUS!$A$2:$BZ$20001,0,I$27),"&lt;&gt;"))</f>
        <v/>
      </c>
      <c r="J57" s="22">
        <f>IF(J$27="",0,COUNTIFS(INDEX(CONSENSUS!$A$2:$BZ$20001,0,$B$11),$B$1,INDEX(CONSENSUS!$A$2:$BZ$20001,0,$B$12),$B$4,INDEX(CONSENSUS!$A$2:$BZ$20001,0,$B$13),$B$6,INDEX(CONSENSUS!$A$2:$BZ$20001,0,$B$10),$A35,INDEX(CONSENSUS!$A$2:$BZ$20001,0,J$27),"&lt;&gt;"))</f>
        <v/>
      </c>
      <c r="K57" s="22">
        <f>IF(K$27="",0,COUNTIFS(INDEX(CONSENSUS!$A$2:$BZ$20001,0,$B$11),$B$1,INDEX(CONSENSUS!$A$2:$BZ$20001,0,$B$12),$B$4,INDEX(CONSENSUS!$A$2:$BZ$20001,0,$B$13),$B$6,INDEX(CONSENSUS!$A$2:$BZ$20001,0,$B$10),$A35,INDEX(CONSENSUS!$A$2:$BZ$20001,0,K$27),"&lt;&gt;"))</f>
        <v/>
      </c>
      <c r="L57" s="22">
        <f>IF(L$27="",0,COUNTIFS(INDEX(CONSENSUS!$A$2:$BZ$20001,0,$B$11),$B$1,INDEX(CONSENSUS!$A$2:$BZ$20001,0,$B$12),$B$4,INDEX(CONSENSUS!$A$2:$BZ$20001,0,$B$13),$B$6,INDEX(CONSENSUS!$A$2:$BZ$20001,0,$B$10),$A35,INDEX(CONSENSUS!$A$2:$BZ$20001,0,L$27),"&lt;&gt;"))</f>
        <v/>
      </c>
      <c r="M57" s="22">
        <f>IF(M$27="",0,COUNTIFS(INDEX(CONSENSUS!$A$2:$BZ$20001,0,$B$11),$B$1,INDEX(CONSENSUS!$A$2:$BZ$20001,0,$B$12),$B$4,INDEX(CONSENSUS!$A$2:$BZ$20001,0,$B$13),$B$6,INDEX(CONSENSUS!$A$2:$BZ$20001,0,$B$10),$A35,INDEX(CONSENSUS!$A$2:$BZ$20001,0,M$27),"&lt;&gt;"))</f>
        <v/>
      </c>
      <c r="N57" s="22">
        <f>IF(N$27="",0,COUNTIFS(INDEX(CONSENSUS!$A$2:$BZ$20001,0,$B$11),$B$1,INDEX(CONSENSUS!$A$2:$BZ$20001,0,$B$12),$B$4,INDEX(CONSENSUS!$A$2:$BZ$20001,0,$B$13),$B$6,INDEX(CONSENSUS!$A$2:$BZ$20001,0,$B$10),$A35,INDEX(CONSENSUS!$A$2:$BZ$20001,0,N$27),"&lt;&gt;"))</f>
        <v/>
      </c>
      <c r="O57" s="22">
        <f>IF(O$27="",0,COUNTIFS(INDEX(CONSENSUS!$A$2:$BZ$20001,0,$B$11),$B$1,INDEX(CONSENSUS!$A$2:$BZ$20001,0,$B$12),$B$4,INDEX(CONSENSUS!$A$2:$BZ$20001,0,$B$13),$B$6,INDEX(CONSENSUS!$A$2:$BZ$20001,0,$B$10),$A35,INDEX(CONSENSUS!$A$2:$BZ$20001,0,O$27),"&lt;&gt;"))</f>
        <v/>
      </c>
      <c r="P57" s="22">
        <f>IF(P$27="",0,COUNTIFS(INDEX(CONSENSUS!$A$2:$BZ$20001,0,$B$11),$B$1,INDEX(CONSENSUS!$A$2:$BZ$20001,0,$B$12),$B$4,INDEX(CONSENSUS!$A$2:$BZ$20001,0,$B$13),$B$6,INDEX(CONSENSUS!$A$2:$BZ$20001,0,$B$10),$A35,INDEX(CONSENSUS!$A$2:$BZ$20001,0,P$27),"&lt;&gt;"))</f>
        <v/>
      </c>
      <c r="Q57" s="22">
        <f>IF(Q$27="",0,COUNTIFS(INDEX(CONSENSUS!$A$2:$BZ$20001,0,$B$11),$B$1,INDEX(CONSENSUS!$A$2:$BZ$20001,0,$B$12),$B$4,INDEX(CONSENSUS!$A$2:$BZ$20001,0,$B$13),$B$6,INDEX(CONSENSUS!$A$2:$BZ$20001,0,$B$10),$A35,INDEX(CONSENSUS!$A$2:$BZ$20001,0,Q$27),"&lt;&gt;"))</f>
        <v/>
      </c>
      <c r="R57" s="22">
        <f>IF(R$27="",0,COUNTIFS(INDEX(CONSENSUS!$A$2:$BZ$20001,0,$B$11),$B$1,INDEX(CONSENSUS!$A$2:$BZ$20001,0,$B$12),$B$4,INDEX(CONSENSUS!$A$2:$BZ$20001,0,$B$13),$B$6,INDEX(CONSENSUS!$A$2:$BZ$20001,0,$B$10),$A35,INDEX(CONSENSUS!$A$2:$BZ$20001,0,R$27),"&lt;&gt;"))</f>
        <v/>
      </c>
      <c r="S57" s="22">
        <f>IF(S$27="",0,COUNTIFS(INDEX(CONSENSUS!$A$2:$BZ$20001,0,$B$11),$B$1,INDEX(CONSENSUS!$A$2:$BZ$20001,0,$B$12),$B$4,INDEX(CONSENSUS!$A$2:$BZ$20001,0,$B$13),$B$6,INDEX(CONSENSUS!$A$2:$BZ$20001,0,$B$10),$A35,INDEX(CONSENSUS!$A$2:$BZ$20001,0,S$27),"&lt;&gt;"))</f>
        <v/>
      </c>
      <c r="T57" s="22">
        <f>IF(T$27="",0,COUNTIFS(INDEX(CONSENSUS!$A$2:$BZ$20001,0,$B$11),$B$1,INDEX(CONSENSUS!$A$2:$BZ$20001,0,$B$12),$B$4,INDEX(CONSENSUS!$A$2:$BZ$20001,0,$B$13),$B$6,INDEX(CONSENSUS!$A$2:$BZ$20001,0,$B$10),$A35,INDEX(CONSENSUS!$A$2:$BZ$20001,0,T$27),"&lt;&gt;"))</f>
        <v/>
      </c>
      <c r="U57" s="22">
        <f>IF(U$27="",0,COUNTIFS(INDEX(CONSENSUS!$A$2:$BZ$20001,0,$B$11),$B$1,INDEX(CONSENSUS!$A$2:$BZ$20001,0,$B$12),$B$4,INDEX(CONSENSUS!$A$2:$BZ$20001,0,$B$13),$B$6,INDEX(CONSENSUS!$A$2:$BZ$20001,0,$B$10),$A35,INDEX(CONSENSUS!$A$2:$BZ$20001,0,U$27),"&lt;&gt;"))</f>
        <v/>
      </c>
      <c r="V57" s="22">
        <f>IF(V$27="",0,COUNTIFS(INDEX(CONSENSUS!$A$2:$BZ$20001,0,$B$11),$B$1,INDEX(CONSENSUS!$A$2:$BZ$20001,0,$B$12),$B$4,INDEX(CONSENSUS!$A$2:$BZ$20001,0,$B$13),$B$6,INDEX(CONSENSUS!$A$2:$BZ$20001,0,$B$10),$A35,INDEX(CONSENSUS!$A$2:$BZ$20001,0,V$27),"&lt;&gt;"))</f>
        <v/>
      </c>
      <c r="W57" s="22">
        <f>IF(W$27="",0,COUNTIFS(INDEX(CONSENSUS!$A$2:$BZ$20001,0,$B$11),$B$1,INDEX(CONSENSUS!$A$2:$BZ$20001,0,$B$12),$B$4,INDEX(CONSENSUS!$A$2:$BZ$20001,0,$B$13),$B$6,INDEX(CONSENSUS!$A$2:$BZ$20001,0,$B$10),$A35,INDEX(CONSENSUS!$A$2:$BZ$20001,0,W$27),"&lt;&gt;"))</f>
        <v/>
      </c>
      <c r="X57" s="22">
        <f>IF(X$27="",0,COUNTIFS(INDEX(CONSENSUS!$A$2:$BZ$20001,0,$B$11),$B$1,INDEX(CONSENSUS!$A$2:$BZ$20001,0,$B$12),$B$4,INDEX(CONSENSUS!$A$2:$BZ$20001,0,$B$13),$B$6,INDEX(CONSENSUS!$A$2:$BZ$20001,0,$B$10),$A35,INDEX(CONSENSUS!$A$2:$BZ$20001,0,X$27),"&lt;&gt;"))</f>
        <v/>
      </c>
      <c r="Y57" s="22">
        <f>IF(Y$27="",0,COUNTIFS(INDEX(CONSENSUS!$A$2:$BZ$20001,0,$B$11),$B$1,INDEX(CONSENSUS!$A$2:$BZ$20001,0,$B$12),$B$4,INDEX(CONSENSUS!$A$2:$BZ$20001,0,$B$13),$B$6,INDEX(CONSENSUS!$A$2:$BZ$20001,0,$B$10),$A35,INDEX(CONSENSUS!$A$2:$BZ$20001,0,Y$27),"&lt;&gt;"))</f>
        <v/>
      </c>
      <c r="Z57" s="22">
        <f>IF(Z$27="",0,COUNTIFS(INDEX(CONSENSUS!$A$2:$BZ$20001,0,$B$11),$B$1,INDEX(CONSENSUS!$A$2:$BZ$20001,0,$B$12),$B$4,INDEX(CONSENSUS!$A$2:$BZ$20001,0,$B$13),$B$6,INDEX(CONSENSUS!$A$2:$BZ$20001,0,$B$10),$A35,INDEX(CONSENSUS!$A$2:$BZ$20001,0,Z$27),"&lt;&gt;"))</f>
        <v/>
      </c>
      <c r="AA57" s="22">
        <f>IF(AA$27="",0,COUNTIFS(INDEX(CONSENSUS!$A$2:$BZ$20001,0,$B$11),$B$1,INDEX(CONSENSUS!$A$2:$BZ$20001,0,$B$12),$B$4,INDEX(CONSENSUS!$A$2:$BZ$20001,0,$B$13),$B$6,INDEX(CONSENSUS!$A$2:$BZ$20001,0,$B$10),$A35,INDEX(CONSENSUS!$A$2:$BZ$20001,0,AA$27),"&lt;&gt;"))</f>
        <v/>
      </c>
      <c r="AB57" s="22">
        <f>IF(AB$27="",0,COUNTIFS(INDEX(CONSENSUS!$A$2:$BZ$20001,0,$B$11),$B$1,INDEX(CONSENSUS!$A$2:$BZ$20001,0,$B$12),$B$4,INDEX(CONSENSUS!$A$2:$BZ$20001,0,$B$13),$B$6,INDEX(CONSENSUS!$A$2:$BZ$20001,0,$B$10),$A35,INDEX(CONSENSUS!$A$2:$BZ$20001,0,AB$27),"&lt;&gt;"))</f>
        <v/>
      </c>
      <c r="AC57" s="22">
        <f>IF(AC$27="",0,COUNTIFS(INDEX(CONSENSUS!$A$2:$BZ$20001,0,$B$11),$B$1,INDEX(CONSENSUS!$A$2:$BZ$20001,0,$B$12),$B$4,INDEX(CONSENSUS!$A$2:$BZ$20001,0,$B$13),$B$6,INDEX(CONSENSUS!$A$2:$BZ$20001,0,$B$10),$A35,INDEX(CONSENSUS!$A$2:$BZ$20001,0,AC$27),"&lt;&gt;"))</f>
        <v/>
      </c>
      <c r="AD57" s="22">
        <f>IF(AD$27="",0,COUNTIFS(INDEX(CONSENSUS!$A$2:$BZ$20001,0,$B$11),$B$1,INDEX(CONSENSUS!$A$2:$BZ$20001,0,$B$12),$B$4,INDEX(CONSENSUS!$A$2:$BZ$20001,0,$B$13),$B$6,INDEX(CONSENSUS!$A$2:$BZ$20001,0,$B$10),$A35,INDEX(CONSENSUS!$A$2:$BZ$20001,0,AD$27),"&lt;&gt;"))</f>
        <v/>
      </c>
      <c r="AE57" s="22">
        <f>IF(AE$27="",0,COUNTIFS(INDEX(CONSENSUS!$A$2:$BZ$20001,0,$B$11),$B$1,INDEX(CONSENSUS!$A$2:$BZ$20001,0,$B$12),$B$4,INDEX(CONSENSUS!$A$2:$BZ$20001,0,$B$13),$B$6,INDEX(CONSENSUS!$A$2:$BZ$20001,0,$B$10),$A35,INDEX(CONSENSUS!$A$2:$BZ$20001,0,AE$27),"&lt;&gt;"))</f>
        <v/>
      </c>
      <c r="AF57" s="22">
        <f>IF(AF$27="",0,COUNTIFS(INDEX(CONSENSUS!$A$2:$BZ$20001,0,$B$11),$B$1,INDEX(CONSENSUS!$A$2:$BZ$20001,0,$B$12),$B$4,INDEX(CONSENSUS!$A$2:$BZ$20001,0,$B$13),$B$6,INDEX(CONSENSUS!$A$2:$BZ$20001,0,$B$10),$A35,INDEX(CONSENSUS!$A$2:$BZ$20001,0,AF$27),"&lt;&gt;"))</f>
        <v/>
      </c>
      <c r="AG57" s="22">
        <f>IF(AG$27="",0,COUNTIFS(INDEX(CONSENSUS!$A$2:$BZ$20001,0,$B$11),$B$1,INDEX(CONSENSUS!$A$2:$BZ$20001,0,$B$12),$B$4,INDEX(CONSENSUS!$A$2:$BZ$20001,0,$B$13),$B$6,INDEX(CONSENSUS!$A$2:$BZ$20001,0,$B$10),$A35,INDEX(CONSENSUS!$A$2:$BZ$20001,0,AG$27),"&lt;&gt;"))</f>
        <v/>
      </c>
      <c r="AH57" s="22">
        <f>IF(AH$27="",0,COUNTIFS(INDEX(CONSENSUS!$A$2:$BZ$20001,0,$B$11),$B$1,INDEX(CONSENSUS!$A$2:$BZ$20001,0,$B$12),$B$4,INDEX(CONSENSUS!$A$2:$BZ$20001,0,$B$13),$B$6,INDEX(CONSENSUS!$A$2:$BZ$20001,0,$B$10),$A35,INDEX(CONSENSUS!$A$2:$BZ$20001,0,AH$27),"&lt;&gt;"))</f>
        <v/>
      </c>
      <c r="AI57" s="22">
        <f>IF(AI$27="",0,COUNTIFS(INDEX(CONSENSUS!$A$2:$BZ$20001,0,$B$11),$B$1,INDEX(CONSENSUS!$A$2:$BZ$20001,0,$B$12),$B$4,INDEX(CONSENSUS!$A$2:$BZ$20001,0,$B$13),$B$6,INDEX(CONSENSUS!$A$2:$BZ$20001,0,$B$10),$A35,INDEX(CONSENSUS!$A$2:$BZ$20001,0,AI$27),"&lt;&gt;"))</f>
        <v/>
      </c>
      <c r="AJ57" s="22">
        <f>IF(AJ$27="",0,COUNTIFS(INDEX(CONSENSUS!$A$2:$BZ$20001,0,$B$11),$B$1,INDEX(CONSENSUS!$A$2:$BZ$20001,0,$B$12),$B$4,INDEX(CONSENSUS!$A$2:$BZ$20001,0,$B$13),$B$6,INDEX(CONSENSUS!$A$2:$BZ$20001,0,$B$10),$A35,INDEX(CONSENSUS!$A$2:$BZ$20001,0,AJ$27),"&lt;&gt;"))</f>
        <v/>
      </c>
      <c r="AK57" s="22">
        <f>IF(AK$27="",0,COUNTIFS(INDEX(CONSENSUS!$A$2:$BZ$20001,0,$B$11),$B$1,INDEX(CONSENSUS!$A$2:$BZ$20001,0,$B$12),$B$4,INDEX(CONSENSUS!$A$2:$BZ$20001,0,$B$13),$B$6,INDEX(CONSENSUS!$A$2:$BZ$20001,0,$B$10),$A35,INDEX(CONSENSUS!$A$2:$BZ$20001,0,AK$27),"&lt;&gt;"))</f>
        <v/>
      </c>
      <c r="AL57" s="22">
        <f>IF(AL$27="",0,COUNTIFS(INDEX(CONSENSUS!$A$2:$BZ$20001,0,$B$11),$B$1,INDEX(CONSENSUS!$A$2:$BZ$20001,0,$B$12),$B$4,INDEX(CONSENSUS!$A$2:$BZ$20001,0,$B$13),$B$6,INDEX(CONSENSUS!$A$2:$BZ$20001,0,$B$10),$A35,INDEX(CONSENSUS!$A$2:$BZ$20001,0,AL$27),"&lt;&gt;"))</f>
        <v/>
      </c>
      <c r="AM57" s="22">
        <f>IF(AM$27="",0,COUNTIFS(INDEX(CONSENSUS!$A$2:$BZ$20001,0,$B$11),$B$1,INDEX(CONSENSUS!$A$2:$BZ$20001,0,$B$12),$B$4,INDEX(CONSENSUS!$A$2:$BZ$20001,0,$B$13),$B$6,INDEX(CONSENSUS!$A$2:$BZ$20001,0,$B$10),$A35,INDEX(CONSENSUS!$A$2:$BZ$20001,0,AM$27),"&lt;&gt;"))</f>
        <v/>
      </c>
    </row>
    <row r="58">
      <c r="D58" s="22">
        <f>IF(D$27="",0,COUNTIFS(INDEX(CONSENSUS!$A$2:$BZ$20001,0,$B$11),$B$1,INDEX(CONSENSUS!$A$2:$BZ$20001,0,$B$12),$B$4,INDEX(CONSENSUS!$A$2:$BZ$20001,0,$B$13),$B$5,INDEX(CONSENSUS!$A$2:$BZ$20001,0,$B$10),$A36,INDEX(CONSENSUS!$A$2:$BZ$20001,0,D$27),"&lt;&gt;"))</f>
        <v/>
      </c>
      <c r="E58" s="22">
        <f>IF(E$27="",0,COUNTIFS(INDEX(CONSENSUS!$A$2:$BZ$20001,0,$B$11),$B$1,INDEX(CONSENSUS!$A$2:$BZ$20001,0,$B$12),$B$4,INDEX(CONSENSUS!$A$2:$BZ$20001,0,$B$13),$B$5,INDEX(CONSENSUS!$A$2:$BZ$20001,0,$B$10),$A36,INDEX(CONSENSUS!$A$2:$BZ$20001,0,E$27),"&lt;&gt;"))</f>
        <v/>
      </c>
      <c r="F58" s="22">
        <f>IF(F$27="",0,COUNTIFS(INDEX(CONSENSUS!$A$2:$BZ$20001,0,$B$11),$B$1,INDEX(CONSENSUS!$A$2:$BZ$20001,0,$B$12),$B$4,INDEX(CONSENSUS!$A$2:$BZ$20001,0,$B$13),$B$5,INDEX(CONSENSUS!$A$2:$BZ$20001,0,$B$10),$A36,INDEX(CONSENSUS!$A$2:$BZ$20001,0,F$27),"&lt;&gt;"))</f>
        <v/>
      </c>
      <c r="G58" s="22">
        <f>IF(G$27="",0,COUNTIFS(INDEX(CONSENSUS!$A$2:$BZ$20001,0,$B$11),$B$1,INDEX(CONSENSUS!$A$2:$BZ$20001,0,$B$12),$B$4,INDEX(CONSENSUS!$A$2:$BZ$20001,0,$B$13),$B$5,INDEX(CONSENSUS!$A$2:$BZ$20001,0,$B$10),$A36,INDEX(CONSENSUS!$A$2:$BZ$20001,0,G$27),"&lt;&gt;"))</f>
        <v/>
      </c>
      <c r="H58" s="22">
        <f>IF(H$27="",0,COUNTIFS(INDEX(CONSENSUS!$A$2:$BZ$20001,0,$B$11),$B$1,INDEX(CONSENSUS!$A$2:$BZ$20001,0,$B$12),$B$4,INDEX(CONSENSUS!$A$2:$BZ$20001,0,$B$13),$B$5,INDEX(CONSENSUS!$A$2:$BZ$20001,0,$B$10),$A36,INDEX(CONSENSUS!$A$2:$BZ$20001,0,H$27),"&lt;&gt;"))</f>
        <v/>
      </c>
      <c r="I58" s="22">
        <f>IF(I$27="",0,COUNTIFS(INDEX(CONSENSUS!$A$2:$BZ$20001,0,$B$11),$B$1,INDEX(CONSENSUS!$A$2:$BZ$20001,0,$B$12),$B$4,INDEX(CONSENSUS!$A$2:$BZ$20001,0,$B$13),$B$5,INDEX(CONSENSUS!$A$2:$BZ$20001,0,$B$10),$A36,INDEX(CONSENSUS!$A$2:$BZ$20001,0,I$27),"&lt;&gt;"))</f>
        <v/>
      </c>
      <c r="J58" s="22">
        <f>IF(J$27="",0,COUNTIFS(INDEX(CONSENSUS!$A$2:$BZ$20001,0,$B$11),$B$1,INDEX(CONSENSUS!$A$2:$BZ$20001,0,$B$12),$B$4,INDEX(CONSENSUS!$A$2:$BZ$20001,0,$B$13),$B$5,INDEX(CONSENSUS!$A$2:$BZ$20001,0,$B$10),$A36,INDEX(CONSENSUS!$A$2:$BZ$20001,0,J$27),"&lt;&gt;"))</f>
        <v/>
      </c>
      <c r="K58" s="22">
        <f>IF(K$27="",0,COUNTIFS(INDEX(CONSENSUS!$A$2:$BZ$20001,0,$B$11),$B$1,INDEX(CONSENSUS!$A$2:$BZ$20001,0,$B$12),$B$4,INDEX(CONSENSUS!$A$2:$BZ$20001,0,$B$13),$B$5,INDEX(CONSENSUS!$A$2:$BZ$20001,0,$B$10),$A36,INDEX(CONSENSUS!$A$2:$BZ$20001,0,K$27),"&lt;&gt;"))</f>
        <v/>
      </c>
      <c r="L58" s="22">
        <f>IF(L$27="",0,COUNTIFS(INDEX(CONSENSUS!$A$2:$BZ$20001,0,$B$11),$B$1,INDEX(CONSENSUS!$A$2:$BZ$20001,0,$B$12),$B$4,INDEX(CONSENSUS!$A$2:$BZ$20001,0,$B$13),$B$5,INDEX(CONSENSUS!$A$2:$BZ$20001,0,$B$10),$A36,INDEX(CONSENSUS!$A$2:$BZ$20001,0,L$27),"&lt;&gt;"))</f>
        <v/>
      </c>
      <c r="M58" s="22">
        <f>IF(M$27="",0,COUNTIFS(INDEX(CONSENSUS!$A$2:$BZ$20001,0,$B$11),$B$1,INDEX(CONSENSUS!$A$2:$BZ$20001,0,$B$12),$B$4,INDEX(CONSENSUS!$A$2:$BZ$20001,0,$B$13),$B$5,INDEX(CONSENSUS!$A$2:$BZ$20001,0,$B$10),$A36,INDEX(CONSENSUS!$A$2:$BZ$20001,0,M$27),"&lt;&gt;"))</f>
        <v/>
      </c>
      <c r="N58" s="22">
        <f>IF(N$27="",0,COUNTIFS(INDEX(CONSENSUS!$A$2:$BZ$20001,0,$B$11),$B$1,INDEX(CONSENSUS!$A$2:$BZ$20001,0,$B$12),$B$4,INDEX(CONSENSUS!$A$2:$BZ$20001,0,$B$13),$B$5,INDEX(CONSENSUS!$A$2:$BZ$20001,0,$B$10),$A36,INDEX(CONSENSUS!$A$2:$BZ$20001,0,N$27),"&lt;&gt;"))</f>
        <v/>
      </c>
      <c r="O58" s="22">
        <f>IF(O$27="",0,COUNTIFS(INDEX(CONSENSUS!$A$2:$BZ$20001,0,$B$11),$B$1,INDEX(CONSENSUS!$A$2:$BZ$20001,0,$B$12),$B$4,INDEX(CONSENSUS!$A$2:$BZ$20001,0,$B$13),$B$5,INDEX(CONSENSUS!$A$2:$BZ$20001,0,$B$10),$A36,INDEX(CONSENSUS!$A$2:$BZ$20001,0,O$27),"&lt;&gt;"))</f>
        <v/>
      </c>
      <c r="P58" s="22">
        <f>IF(P$27="",0,COUNTIFS(INDEX(CONSENSUS!$A$2:$BZ$20001,0,$B$11),$B$1,INDEX(CONSENSUS!$A$2:$BZ$20001,0,$B$12),$B$4,INDEX(CONSENSUS!$A$2:$BZ$20001,0,$B$13),$B$5,INDEX(CONSENSUS!$A$2:$BZ$20001,0,$B$10),$A36,INDEX(CONSENSUS!$A$2:$BZ$20001,0,P$27),"&lt;&gt;"))</f>
        <v/>
      </c>
      <c r="Q58" s="22">
        <f>IF(Q$27="",0,COUNTIFS(INDEX(CONSENSUS!$A$2:$BZ$20001,0,$B$11),$B$1,INDEX(CONSENSUS!$A$2:$BZ$20001,0,$B$12),$B$4,INDEX(CONSENSUS!$A$2:$BZ$20001,0,$B$13),$B$5,INDEX(CONSENSUS!$A$2:$BZ$20001,0,$B$10),$A36,INDEX(CONSENSUS!$A$2:$BZ$20001,0,Q$27),"&lt;&gt;"))</f>
        <v/>
      </c>
      <c r="R58" s="22">
        <f>IF(R$27="",0,COUNTIFS(INDEX(CONSENSUS!$A$2:$BZ$20001,0,$B$11),$B$1,INDEX(CONSENSUS!$A$2:$BZ$20001,0,$B$12),$B$4,INDEX(CONSENSUS!$A$2:$BZ$20001,0,$B$13),$B$5,INDEX(CONSENSUS!$A$2:$BZ$20001,0,$B$10),$A36,INDEX(CONSENSUS!$A$2:$BZ$20001,0,R$27),"&lt;&gt;"))</f>
        <v/>
      </c>
      <c r="S58" s="22">
        <f>IF(S$27="",0,COUNTIFS(INDEX(CONSENSUS!$A$2:$BZ$20001,0,$B$11),$B$1,INDEX(CONSENSUS!$A$2:$BZ$20001,0,$B$12),$B$4,INDEX(CONSENSUS!$A$2:$BZ$20001,0,$B$13),$B$5,INDEX(CONSENSUS!$A$2:$BZ$20001,0,$B$10),$A36,INDEX(CONSENSUS!$A$2:$BZ$20001,0,S$27),"&lt;&gt;"))</f>
        <v/>
      </c>
      <c r="T58" s="22">
        <f>IF(T$27="",0,COUNTIFS(INDEX(CONSENSUS!$A$2:$BZ$20001,0,$B$11),$B$1,INDEX(CONSENSUS!$A$2:$BZ$20001,0,$B$12),$B$4,INDEX(CONSENSUS!$A$2:$BZ$20001,0,$B$13),$B$5,INDEX(CONSENSUS!$A$2:$BZ$20001,0,$B$10),$A36,INDEX(CONSENSUS!$A$2:$BZ$20001,0,T$27),"&lt;&gt;"))</f>
        <v/>
      </c>
      <c r="U58" s="22">
        <f>IF(U$27="",0,COUNTIFS(INDEX(CONSENSUS!$A$2:$BZ$20001,0,$B$11),$B$1,INDEX(CONSENSUS!$A$2:$BZ$20001,0,$B$12),$B$4,INDEX(CONSENSUS!$A$2:$BZ$20001,0,$B$13),$B$5,INDEX(CONSENSUS!$A$2:$BZ$20001,0,$B$10),$A36,INDEX(CONSENSUS!$A$2:$BZ$20001,0,U$27),"&lt;&gt;"))</f>
        <v/>
      </c>
      <c r="V58" s="22">
        <f>IF(V$27="",0,COUNTIFS(INDEX(CONSENSUS!$A$2:$BZ$20001,0,$B$11),$B$1,INDEX(CONSENSUS!$A$2:$BZ$20001,0,$B$12),$B$4,INDEX(CONSENSUS!$A$2:$BZ$20001,0,$B$13),$B$5,INDEX(CONSENSUS!$A$2:$BZ$20001,0,$B$10),$A36,INDEX(CONSENSUS!$A$2:$BZ$20001,0,V$27),"&lt;&gt;"))</f>
        <v/>
      </c>
      <c r="W58" s="22">
        <f>IF(W$27="",0,COUNTIFS(INDEX(CONSENSUS!$A$2:$BZ$20001,0,$B$11),$B$1,INDEX(CONSENSUS!$A$2:$BZ$20001,0,$B$12),$B$4,INDEX(CONSENSUS!$A$2:$BZ$20001,0,$B$13),$B$5,INDEX(CONSENSUS!$A$2:$BZ$20001,0,$B$10),$A36,INDEX(CONSENSUS!$A$2:$BZ$20001,0,W$27),"&lt;&gt;"))</f>
        <v/>
      </c>
      <c r="X58" s="22">
        <f>IF(X$27="",0,COUNTIFS(INDEX(CONSENSUS!$A$2:$BZ$20001,0,$B$11),$B$1,INDEX(CONSENSUS!$A$2:$BZ$20001,0,$B$12),$B$4,INDEX(CONSENSUS!$A$2:$BZ$20001,0,$B$13),$B$5,INDEX(CONSENSUS!$A$2:$BZ$20001,0,$B$10),$A36,INDEX(CONSENSUS!$A$2:$BZ$20001,0,X$27),"&lt;&gt;"))</f>
        <v/>
      </c>
      <c r="Y58" s="22">
        <f>IF(Y$27="",0,COUNTIFS(INDEX(CONSENSUS!$A$2:$BZ$20001,0,$B$11),$B$1,INDEX(CONSENSUS!$A$2:$BZ$20001,0,$B$12),$B$4,INDEX(CONSENSUS!$A$2:$BZ$20001,0,$B$13),$B$5,INDEX(CONSENSUS!$A$2:$BZ$20001,0,$B$10),$A36,INDEX(CONSENSUS!$A$2:$BZ$20001,0,Y$27),"&lt;&gt;"))</f>
        <v/>
      </c>
      <c r="Z58" s="22">
        <f>IF(Z$27="",0,COUNTIFS(INDEX(CONSENSUS!$A$2:$BZ$20001,0,$B$11),$B$1,INDEX(CONSENSUS!$A$2:$BZ$20001,0,$B$12),$B$4,INDEX(CONSENSUS!$A$2:$BZ$20001,0,$B$13),$B$5,INDEX(CONSENSUS!$A$2:$BZ$20001,0,$B$10),$A36,INDEX(CONSENSUS!$A$2:$BZ$20001,0,Z$27),"&lt;&gt;"))</f>
        <v/>
      </c>
      <c r="AA58" s="22">
        <f>IF(AA$27="",0,COUNTIFS(INDEX(CONSENSUS!$A$2:$BZ$20001,0,$B$11),$B$1,INDEX(CONSENSUS!$A$2:$BZ$20001,0,$B$12),$B$4,INDEX(CONSENSUS!$A$2:$BZ$20001,0,$B$13),$B$5,INDEX(CONSENSUS!$A$2:$BZ$20001,0,$B$10),$A36,INDEX(CONSENSUS!$A$2:$BZ$20001,0,AA$27),"&lt;&gt;"))</f>
        <v/>
      </c>
      <c r="AB58" s="22">
        <f>IF(AB$27="",0,COUNTIFS(INDEX(CONSENSUS!$A$2:$BZ$20001,0,$B$11),$B$1,INDEX(CONSENSUS!$A$2:$BZ$20001,0,$B$12),$B$4,INDEX(CONSENSUS!$A$2:$BZ$20001,0,$B$13),$B$5,INDEX(CONSENSUS!$A$2:$BZ$20001,0,$B$10),$A36,INDEX(CONSENSUS!$A$2:$BZ$20001,0,AB$27),"&lt;&gt;"))</f>
        <v/>
      </c>
      <c r="AC58" s="22">
        <f>IF(AC$27="",0,COUNTIFS(INDEX(CONSENSUS!$A$2:$BZ$20001,0,$B$11),$B$1,INDEX(CONSENSUS!$A$2:$BZ$20001,0,$B$12),$B$4,INDEX(CONSENSUS!$A$2:$BZ$20001,0,$B$13),$B$5,INDEX(CONSENSUS!$A$2:$BZ$20001,0,$B$10),$A36,INDEX(CONSENSUS!$A$2:$BZ$20001,0,AC$27),"&lt;&gt;"))</f>
        <v/>
      </c>
      <c r="AD58" s="22">
        <f>IF(AD$27="",0,COUNTIFS(INDEX(CONSENSUS!$A$2:$BZ$20001,0,$B$11),$B$1,INDEX(CONSENSUS!$A$2:$BZ$20001,0,$B$12),$B$4,INDEX(CONSENSUS!$A$2:$BZ$20001,0,$B$13),$B$5,INDEX(CONSENSUS!$A$2:$BZ$20001,0,$B$10),$A36,INDEX(CONSENSUS!$A$2:$BZ$20001,0,AD$27),"&lt;&gt;"))</f>
        <v/>
      </c>
      <c r="AE58" s="22">
        <f>IF(AE$27="",0,COUNTIFS(INDEX(CONSENSUS!$A$2:$BZ$20001,0,$B$11),$B$1,INDEX(CONSENSUS!$A$2:$BZ$20001,0,$B$12),$B$4,INDEX(CONSENSUS!$A$2:$BZ$20001,0,$B$13),$B$5,INDEX(CONSENSUS!$A$2:$BZ$20001,0,$B$10),$A36,INDEX(CONSENSUS!$A$2:$BZ$20001,0,AE$27),"&lt;&gt;"))</f>
        <v/>
      </c>
      <c r="AF58" s="22">
        <f>IF(AF$27="",0,COUNTIFS(INDEX(CONSENSUS!$A$2:$BZ$20001,0,$B$11),$B$1,INDEX(CONSENSUS!$A$2:$BZ$20001,0,$B$12),$B$4,INDEX(CONSENSUS!$A$2:$BZ$20001,0,$B$13),$B$5,INDEX(CONSENSUS!$A$2:$BZ$20001,0,$B$10),$A36,INDEX(CONSENSUS!$A$2:$BZ$20001,0,AF$27),"&lt;&gt;"))</f>
        <v/>
      </c>
      <c r="AG58" s="22">
        <f>IF(AG$27="",0,COUNTIFS(INDEX(CONSENSUS!$A$2:$BZ$20001,0,$B$11),$B$1,INDEX(CONSENSUS!$A$2:$BZ$20001,0,$B$12),$B$4,INDEX(CONSENSUS!$A$2:$BZ$20001,0,$B$13),$B$5,INDEX(CONSENSUS!$A$2:$BZ$20001,0,$B$10),$A36,INDEX(CONSENSUS!$A$2:$BZ$20001,0,AG$27),"&lt;&gt;"))</f>
        <v/>
      </c>
      <c r="AH58" s="22">
        <f>IF(AH$27="",0,COUNTIFS(INDEX(CONSENSUS!$A$2:$BZ$20001,0,$B$11),$B$1,INDEX(CONSENSUS!$A$2:$BZ$20001,0,$B$12),$B$4,INDEX(CONSENSUS!$A$2:$BZ$20001,0,$B$13),$B$5,INDEX(CONSENSUS!$A$2:$BZ$20001,0,$B$10),$A36,INDEX(CONSENSUS!$A$2:$BZ$20001,0,AH$27),"&lt;&gt;"))</f>
        <v/>
      </c>
      <c r="AI58" s="22">
        <f>IF(AI$27="",0,COUNTIFS(INDEX(CONSENSUS!$A$2:$BZ$20001,0,$B$11),$B$1,INDEX(CONSENSUS!$A$2:$BZ$20001,0,$B$12),$B$4,INDEX(CONSENSUS!$A$2:$BZ$20001,0,$B$13),$B$5,INDEX(CONSENSUS!$A$2:$BZ$20001,0,$B$10),$A36,INDEX(CONSENSUS!$A$2:$BZ$20001,0,AI$27),"&lt;&gt;"))</f>
        <v/>
      </c>
      <c r="AJ58" s="22">
        <f>IF(AJ$27="",0,COUNTIFS(INDEX(CONSENSUS!$A$2:$BZ$20001,0,$B$11),$B$1,INDEX(CONSENSUS!$A$2:$BZ$20001,0,$B$12),$B$4,INDEX(CONSENSUS!$A$2:$BZ$20001,0,$B$13),$B$5,INDEX(CONSENSUS!$A$2:$BZ$20001,0,$B$10),$A36,INDEX(CONSENSUS!$A$2:$BZ$20001,0,AJ$27),"&lt;&gt;"))</f>
        <v/>
      </c>
      <c r="AK58" s="22">
        <f>IF(AK$27="",0,COUNTIFS(INDEX(CONSENSUS!$A$2:$BZ$20001,0,$B$11),$B$1,INDEX(CONSENSUS!$A$2:$BZ$20001,0,$B$12),$B$4,INDEX(CONSENSUS!$A$2:$BZ$20001,0,$B$13),$B$5,INDEX(CONSENSUS!$A$2:$BZ$20001,0,$B$10),$A36,INDEX(CONSENSUS!$A$2:$BZ$20001,0,AK$27),"&lt;&gt;"))</f>
        <v/>
      </c>
      <c r="AL58" s="22">
        <f>IF(AL$27="",0,COUNTIFS(INDEX(CONSENSUS!$A$2:$BZ$20001,0,$B$11),$B$1,INDEX(CONSENSUS!$A$2:$BZ$20001,0,$B$12),$B$4,INDEX(CONSENSUS!$A$2:$BZ$20001,0,$B$13),$B$5,INDEX(CONSENSUS!$A$2:$BZ$20001,0,$B$10),$A36,INDEX(CONSENSUS!$A$2:$BZ$20001,0,AL$27),"&lt;&gt;"))</f>
        <v/>
      </c>
      <c r="AM58" s="22">
        <f>IF(AM$27="",0,COUNTIFS(INDEX(CONSENSUS!$A$2:$BZ$20001,0,$B$11),$B$1,INDEX(CONSENSUS!$A$2:$BZ$20001,0,$B$12),$B$4,INDEX(CONSENSUS!$A$2:$BZ$20001,0,$B$13),$B$5,INDEX(CONSENSUS!$A$2:$BZ$20001,0,$B$10),$A36,INDEX(CONSENSUS!$A$2:$BZ$20001,0,AM$27),"&lt;&gt;"))</f>
        <v/>
      </c>
    </row>
    <row r="59">
      <c r="D59" s="22">
        <f>IF(D$27="",0,COUNTIFS(INDEX(CONSENSUS!$A$2:$BZ$20001,0,$B$11),$B$1,INDEX(CONSENSUS!$A$2:$BZ$20001,0,$B$12),$B$4,INDEX(CONSENSUS!$A$2:$BZ$20001,0,$B$13),$B$5,INDEX(CONSENSUS!$A$2:$BZ$20001,0,$B$10),$A37,INDEX(CONSENSUS!$A$2:$BZ$20001,0,D$27),"&lt;&gt;"))</f>
        <v/>
      </c>
      <c r="E59" s="22">
        <f>IF(E$27="",0,COUNTIFS(INDEX(CONSENSUS!$A$2:$BZ$20001,0,$B$11),$B$1,INDEX(CONSENSUS!$A$2:$BZ$20001,0,$B$12),$B$4,INDEX(CONSENSUS!$A$2:$BZ$20001,0,$B$13),$B$5,INDEX(CONSENSUS!$A$2:$BZ$20001,0,$B$10),$A37,INDEX(CONSENSUS!$A$2:$BZ$20001,0,E$27),"&lt;&gt;"))</f>
        <v/>
      </c>
      <c r="F59" s="22">
        <f>IF(F$27="",0,COUNTIFS(INDEX(CONSENSUS!$A$2:$BZ$20001,0,$B$11),$B$1,INDEX(CONSENSUS!$A$2:$BZ$20001,0,$B$12),$B$4,INDEX(CONSENSUS!$A$2:$BZ$20001,0,$B$13),$B$5,INDEX(CONSENSUS!$A$2:$BZ$20001,0,$B$10),$A37,INDEX(CONSENSUS!$A$2:$BZ$20001,0,F$27),"&lt;&gt;"))</f>
        <v/>
      </c>
      <c r="G59" s="22">
        <f>IF(G$27="",0,COUNTIFS(INDEX(CONSENSUS!$A$2:$BZ$20001,0,$B$11),$B$1,INDEX(CONSENSUS!$A$2:$BZ$20001,0,$B$12),$B$4,INDEX(CONSENSUS!$A$2:$BZ$20001,0,$B$13),$B$5,INDEX(CONSENSUS!$A$2:$BZ$20001,0,$B$10),$A37,INDEX(CONSENSUS!$A$2:$BZ$20001,0,G$27),"&lt;&gt;"))</f>
        <v/>
      </c>
      <c r="H59" s="22">
        <f>IF(H$27="",0,COUNTIFS(INDEX(CONSENSUS!$A$2:$BZ$20001,0,$B$11),$B$1,INDEX(CONSENSUS!$A$2:$BZ$20001,0,$B$12),$B$4,INDEX(CONSENSUS!$A$2:$BZ$20001,0,$B$13),$B$5,INDEX(CONSENSUS!$A$2:$BZ$20001,0,$B$10),$A37,INDEX(CONSENSUS!$A$2:$BZ$20001,0,H$27),"&lt;&gt;"))</f>
        <v/>
      </c>
      <c r="I59" s="22">
        <f>IF(I$27="",0,COUNTIFS(INDEX(CONSENSUS!$A$2:$BZ$20001,0,$B$11),$B$1,INDEX(CONSENSUS!$A$2:$BZ$20001,0,$B$12),$B$4,INDEX(CONSENSUS!$A$2:$BZ$20001,0,$B$13),$B$5,INDEX(CONSENSUS!$A$2:$BZ$20001,0,$B$10),$A37,INDEX(CONSENSUS!$A$2:$BZ$20001,0,I$27),"&lt;&gt;"))</f>
        <v/>
      </c>
      <c r="J59" s="22">
        <f>IF(J$27="",0,COUNTIFS(INDEX(CONSENSUS!$A$2:$BZ$20001,0,$B$11),$B$1,INDEX(CONSENSUS!$A$2:$BZ$20001,0,$B$12),$B$4,INDEX(CONSENSUS!$A$2:$BZ$20001,0,$B$13),$B$5,INDEX(CONSENSUS!$A$2:$BZ$20001,0,$B$10),$A37,INDEX(CONSENSUS!$A$2:$BZ$20001,0,J$27),"&lt;&gt;"))</f>
        <v/>
      </c>
      <c r="K59" s="22">
        <f>IF(K$27="",0,COUNTIFS(INDEX(CONSENSUS!$A$2:$BZ$20001,0,$B$11),$B$1,INDEX(CONSENSUS!$A$2:$BZ$20001,0,$B$12),$B$4,INDEX(CONSENSUS!$A$2:$BZ$20001,0,$B$13),$B$5,INDEX(CONSENSUS!$A$2:$BZ$20001,0,$B$10),$A37,INDEX(CONSENSUS!$A$2:$BZ$20001,0,K$27),"&lt;&gt;"))</f>
        <v/>
      </c>
      <c r="L59" s="22">
        <f>IF(L$27="",0,COUNTIFS(INDEX(CONSENSUS!$A$2:$BZ$20001,0,$B$11),$B$1,INDEX(CONSENSUS!$A$2:$BZ$20001,0,$B$12),$B$4,INDEX(CONSENSUS!$A$2:$BZ$20001,0,$B$13),$B$5,INDEX(CONSENSUS!$A$2:$BZ$20001,0,$B$10),$A37,INDEX(CONSENSUS!$A$2:$BZ$20001,0,L$27),"&lt;&gt;"))</f>
        <v/>
      </c>
      <c r="M59" s="22">
        <f>IF(M$27="",0,COUNTIFS(INDEX(CONSENSUS!$A$2:$BZ$20001,0,$B$11),$B$1,INDEX(CONSENSUS!$A$2:$BZ$20001,0,$B$12),$B$4,INDEX(CONSENSUS!$A$2:$BZ$20001,0,$B$13),$B$5,INDEX(CONSENSUS!$A$2:$BZ$20001,0,$B$10),$A37,INDEX(CONSENSUS!$A$2:$BZ$20001,0,M$27),"&lt;&gt;"))</f>
        <v/>
      </c>
      <c r="N59" s="22">
        <f>IF(N$27="",0,COUNTIFS(INDEX(CONSENSUS!$A$2:$BZ$20001,0,$B$11),$B$1,INDEX(CONSENSUS!$A$2:$BZ$20001,0,$B$12),$B$4,INDEX(CONSENSUS!$A$2:$BZ$20001,0,$B$13),$B$5,INDEX(CONSENSUS!$A$2:$BZ$20001,0,$B$10),$A37,INDEX(CONSENSUS!$A$2:$BZ$20001,0,N$27),"&lt;&gt;"))</f>
        <v/>
      </c>
      <c r="O59" s="22">
        <f>IF(O$27="",0,COUNTIFS(INDEX(CONSENSUS!$A$2:$BZ$20001,0,$B$11),$B$1,INDEX(CONSENSUS!$A$2:$BZ$20001,0,$B$12),$B$4,INDEX(CONSENSUS!$A$2:$BZ$20001,0,$B$13),$B$5,INDEX(CONSENSUS!$A$2:$BZ$20001,0,$B$10),$A37,INDEX(CONSENSUS!$A$2:$BZ$20001,0,O$27),"&lt;&gt;"))</f>
        <v/>
      </c>
      <c r="P59" s="22">
        <f>IF(P$27="",0,COUNTIFS(INDEX(CONSENSUS!$A$2:$BZ$20001,0,$B$11),$B$1,INDEX(CONSENSUS!$A$2:$BZ$20001,0,$B$12),$B$4,INDEX(CONSENSUS!$A$2:$BZ$20001,0,$B$13),$B$5,INDEX(CONSENSUS!$A$2:$BZ$20001,0,$B$10),$A37,INDEX(CONSENSUS!$A$2:$BZ$20001,0,P$27),"&lt;&gt;"))</f>
        <v/>
      </c>
      <c r="Q59" s="22">
        <f>IF(Q$27="",0,COUNTIFS(INDEX(CONSENSUS!$A$2:$BZ$20001,0,$B$11),$B$1,INDEX(CONSENSUS!$A$2:$BZ$20001,0,$B$12),$B$4,INDEX(CONSENSUS!$A$2:$BZ$20001,0,$B$13),$B$5,INDEX(CONSENSUS!$A$2:$BZ$20001,0,$B$10),$A37,INDEX(CONSENSUS!$A$2:$BZ$20001,0,Q$27),"&lt;&gt;"))</f>
        <v/>
      </c>
      <c r="R59" s="22">
        <f>IF(R$27="",0,COUNTIFS(INDEX(CONSENSUS!$A$2:$BZ$20001,0,$B$11),$B$1,INDEX(CONSENSUS!$A$2:$BZ$20001,0,$B$12),$B$4,INDEX(CONSENSUS!$A$2:$BZ$20001,0,$B$13),$B$5,INDEX(CONSENSUS!$A$2:$BZ$20001,0,$B$10),$A37,INDEX(CONSENSUS!$A$2:$BZ$20001,0,R$27),"&lt;&gt;"))</f>
        <v/>
      </c>
      <c r="S59" s="22">
        <f>IF(S$27="",0,COUNTIFS(INDEX(CONSENSUS!$A$2:$BZ$20001,0,$B$11),$B$1,INDEX(CONSENSUS!$A$2:$BZ$20001,0,$B$12),$B$4,INDEX(CONSENSUS!$A$2:$BZ$20001,0,$B$13),$B$5,INDEX(CONSENSUS!$A$2:$BZ$20001,0,$B$10),$A37,INDEX(CONSENSUS!$A$2:$BZ$20001,0,S$27),"&lt;&gt;"))</f>
        <v/>
      </c>
      <c r="T59" s="22">
        <f>IF(T$27="",0,COUNTIFS(INDEX(CONSENSUS!$A$2:$BZ$20001,0,$B$11),$B$1,INDEX(CONSENSUS!$A$2:$BZ$20001,0,$B$12),$B$4,INDEX(CONSENSUS!$A$2:$BZ$20001,0,$B$13),$B$5,INDEX(CONSENSUS!$A$2:$BZ$20001,0,$B$10),$A37,INDEX(CONSENSUS!$A$2:$BZ$20001,0,T$27),"&lt;&gt;"))</f>
        <v/>
      </c>
      <c r="U59" s="22">
        <f>IF(U$27="",0,COUNTIFS(INDEX(CONSENSUS!$A$2:$BZ$20001,0,$B$11),$B$1,INDEX(CONSENSUS!$A$2:$BZ$20001,0,$B$12),$B$4,INDEX(CONSENSUS!$A$2:$BZ$20001,0,$B$13),$B$5,INDEX(CONSENSUS!$A$2:$BZ$20001,0,$B$10),$A37,INDEX(CONSENSUS!$A$2:$BZ$20001,0,U$27),"&lt;&gt;"))</f>
        <v/>
      </c>
      <c r="V59" s="22">
        <f>IF(V$27="",0,COUNTIFS(INDEX(CONSENSUS!$A$2:$BZ$20001,0,$B$11),$B$1,INDEX(CONSENSUS!$A$2:$BZ$20001,0,$B$12),$B$4,INDEX(CONSENSUS!$A$2:$BZ$20001,0,$B$13),$B$5,INDEX(CONSENSUS!$A$2:$BZ$20001,0,$B$10),$A37,INDEX(CONSENSUS!$A$2:$BZ$20001,0,V$27),"&lt;&gt;"))</f>
        <v/>
      </c>
      <c r="W59" s="22">
        <f>IF(W$27="",0,COUNTIFS(INDEX(CONSENSUS!$A$2:$BZ$20001,0,$B$11),$B$1,INDEX(CONSENSUS!$A$2:$BZ$20001,0,$B$12),$B$4,INDEX(CONSENSUS!$A$2:$BZ$20001,0,$B$13),$B$5,INDEX(CONSENSUS!$A$2:$BZ$20001,0,$B$10),$A37,INDEX(CONSENSUS!$A$2:$BZ$20001,0,W$27),"&lt;&gt;"))</f>
        <v/>
      </c>
      <c r="X59" s="22">
        <f>IF(X$27="",0,COUNTIFS(INDEX(CONSENSUS!$A$2:$BZ$20001,0,$B$11),$B$1,INDEX(CONSENSUS!$A$2:$BZ$20001,0,$B$12),$B$4,INDEX(CONSENSUS!$A$2:$BZ$20001,0,$B$13),$B$5,INDEX(CONSENSUS!$A$2:$BZ$20001,0,$B$10),$A37,INDEX(CONSENSUS!$A$2:$BZ$20001,0,X$27),"&lt;&gt;"))</f>
        <v/>
      </c>
      <c r="Y59" s="22">
        <f>IF(Y$27="",0,COUNTIFS(INDEX(CONSENSUS!$A$2:$BZ$20001,0,$B$11),$B$1,INDEX(CONSENSUS!$A$2:$BZ$20001,0,$B$12),$B$4,INDEX(CONSENSUS!$A$2:$BZ$20001,0,$B$13),$B$5,INDEX(CONSENSUS!$A$2:$BZ$20001,0,$B$10),$A37,INDEX(CONSENSUS!$A$2:$BZ$20001,0,Y$27),"&lt;&gt;"))</f>
        <v/>
      </c>
      <c r="Z59" s="22">
        <f>IF(Z$27="",0,COUNTIFS(INDEX(CONSENSUS!$A$2:$BZ$20001,0,$B$11),$B$1,INDEX(CONSENSUS!$A$2:$BZ$20001,0,$B$12),$B$4,INDEX(CONSENSUS!$A$2:$BZ$20001,0,$B$13),$B$5,INDEX(CONSENSUS!$A$2:$BZ$20001,0,$B$10),$A37,INDEX(CONSENSUS!$A$2:$BZ$20001,0,Z$27),"&lt;&gt;"))</f>
        <v/>
      </c>
      <c r="AA59" s="22">
        <f>IF(AA$27="",0,COUNTIFS(INDEX(CONSENSUS!$A$2:$BZ$20001,0,$B$11),$B$1,INDEX(CONSENSUS!$A$2:$BZ$20001,0,$B$12),$B$4,INDEX(CONSENSUS!$A$2:$BZ$20001,0,$B$13),$B$5,INDEX(CONSENSUS!$A$2:$BZ$20001,0,$B$10),$A37,INDEX(CONSENSUS!$A$2:$BZ$20001,0,AA$27),"&lt;&gt;"))</f>
        <v/>
      </c>
      <c r="AB59" s="22">
        <f>IF(AB$27="",0,COUNTIFS(INDEX(CONSENSUS!$A$2:$BZ$20001,0,$B$11),$B$1,INDEX(CONSENSUS!$A$2:$BZ$20001,0,$B$12),$B$4,INDEX(CONSENSUS!$A$2:$BZ$20001,0,$B$13),$B$5,INDEX(CONSENSUS!$A$2:$BZ$20001,0,$B$10),$A37,INDEX(CONSENSUS!$A$2:$BZ$20001,0,AB$27),"&lt;&gt;"))</f>
        <v/>
      </c>
      <c r="AC59" s="22">
        <f>IF(AC$27="",0,COUNTIFS(INDEX(CONSENSUS!$A$2:$BZ$20001,0,$B$11),$B$1,INDEX(CONSENSUS!$A$2:$BZ$20001,0,$B$12),$B$4,INDEX(CONSENSUS!$A$2:$BZ$20001,0,$B$13),$B$5,INDEX(CONSENSUS!$A$2:$BZ$20001,0,$B$10),$A37,INDEX(CONSENSUS!$A$2:$BZ$20001,0,AC$27),"&lt;&gt;"))</f>
        <v/>
      </c>
      <c r="AD59" s="22">
        <f>IF(AD$27="",0,COUNTIFS(INDEX(CONSENSUS!$A$2:$BZ$20001,0,$B$11),$B$1,INDEX(CONSENSUS!$A$2:$BZ$20001,0,$B$12),$B$4,INDEX(CONSENSUS!$A$2:$BZ$20001,0,$B$13),$B$5,INDEX(CONSENSUS!$A$2:$BZ$20001,0,$B$10),$A37,INDEX(CONSENSUS!$A$2:$BZ$20001,0,AD$27),"&lt;&gt;"))</f>
        <v/>
      </c>
      <c r="AE59" s="22">
        <f>IF(AE$27="",0,COUNTIFS(INDEX(CONSENSUS!$A$2:$BZ$20001,0,$B$11),$B$1,INDEX(CONSENSUS!$A$2:$BZ$20001,0,$B$12),$B$4,INDEX(CONSENSUS!$A$2:$BZ$20001,0,$B$13),$B$5,INDEX(CONSENSUS!$A$2:$BZ$20001,0,$B$10),$A37,INDEX(CONSENSUS!$A$2:$BZ$20001,0,AE$27),"&lt;&gt;"))</f>
        <v/>
      </c>
      <c r="AF59" s="22">
        <f>IF(AF$27="",0,COUNTIFS(INDEX(CONSENSUS!$A$2:$BZ$20001,0,$B$11),$B$1,INDEX(CONSENSUS!$A$2:$BZ$20001,0,$B$12),$B$4,INDEX(CONSENSUS!$A$2:$BZ$20001,0,$B$13),$B$5,INDEX(CONSENSUS!$A$2:$BZ$20001,0,$B$10),$A37,INDEX(CONSENSUS!$A$2:$BZ$20001,0,AF$27),"&lt;&gt;"))</f>
        <v/>
      </c>
      <c r="AG59" s="22">
        <f>IF(AG$27="",0,COUNTIFS(INDEX(CONSENSUS!$A$2:$BZ$20001,0,$B$11),$B$1,INDEX(CONSENSUS!$A$2:$BZ$20001,0,$B$12),$B$4,INDEX(CONSENSUS!$A$2:$BZ$20001,0,$B$13),$B$5,INDEX(CONSENSUS!$A$2:$BZ$20001,0,$B$10),$A37,INDEX(CONSENSUS!$A$2:$BZ$20001,0,AG$27),"&lt;&gt;"))</f>
        <v/>
      </c>
      <c r="AH59" s="22">
        <f>IF(AH$27="",0,COUNTIFS(INDEX(CONSENSUS!$A$2:$BZ$20001,0,$B$11),$B$1,INDEX(CONSENSUS!$A$2:$BZ$20001,0,$B$12),$B$4,INDEX(CONSENSUS!$A$2:$BZ$20001,0,$B$13),$B$5,INDEX(CONSENSUS!$A$2:$BZ$20001,0,$B$10),$A37,INDEX(CONSENSUS!$A$2:$BZ$20001,0,AH$27),"&lt;&gt;"))</f>
        <v/>
      </c>
      <c r="AI59" s="22">
        <f>IF(AI$27="",0,COUNTIFS(INDEX(CONSENSUS!$A$2:$BZ$20001,0,$B$11),$B$1,INDEX(CONSENSUS!$A$2:$BZ$20001,0,$B$12),$B$4,INDEX(CONSENSUS!$A$2:$BZ$20001,0,$B$13),$B$5,INDEX(CONSENSUS!$A$2:$BZ$20001,0,$B$10),$A37,INDEX(CONSENSUS!$A$2:$BZ$20001,0,AI$27),"&lt;&gt;"))</f>
        <v/>
      </c>
      <c r="AJ59" s="22">
        <f>IF(AJ$27="",0,COUNTIFS(INDEX(CONSENSUS!$A$2:$BZ$20001,0,$B$11),$B$1,INDEX(CONSENSUS!$A$2:$BZ$20001,0,$B$12),$B$4,INDEX(CONSENSUS!$A$2:$BZ$20001,0,$B$13),$B$5,INDEX(CONSENSUS!$A$2:$BZ$20001,0,$B$10),$A37,INDEX(CONSENSUS!$A$2:$BZ$20001,0,AJ$27),"&lt;&gt;"))</f>
        <v/>
      </c>
      <c r="AK59" s="22">
        <f>IF(AK$27="",0,COUNTIFS(INDEX(CONSENSUS!$A$2:$BZ$20001,0,$B$11),$B$1,INDEX(CONSENSUS!$A$2:$BZ$20001,0,$B$12),$B$4,INDEX(CONSENSUS!$A$2:$BZ$20001,0,$B$13),$B$5,INDEX(CONSENSUS!$A$2:$BZ$20001,0,$B$10),$A37,INDEX(CONSENSUS!$A$2:$BZ$20001,0,AK$27),"&lt;&gt;"))</f>
        <v/>
      </c>
      <c r="AL59" s="22">
        <f>IF(AL$27="",0,COUNTIFS(INDEX(CONSENSUS!$A$2:$BZ$20001,0,$B$11),$B$1,INDEX(CONSENSUS!$A$2:$BZ$20001,0,$B$12),$B$4,INDEX(CONSENSUS!$A$2:$BZ$20001,0,$B$13),$B$5,INDEX(CONSENSUS!$A$2:$BZ$20001,0,$B$10),$A37,INDEX(CONSENSUS!$A$2:$BZ$20001,0,AL$27),"&lt;&gt;"))</f>
        <v/>
      </c>
      <c r="AM59" s="22">
        <f>IF(AM$27="",0,COUNTIFS(INDEX(CONSENSUS!$A$2:$BZ$20001,0,$B$11),$B$1,INDEX(CONSENSUS!$A$2:$BZ$20001,0,$B$12),$B$4,INDEX(CONSENSUS!$A$2:$BZ$20001,0,$B$13),$B$5,INDEX(CONSENSUS!$A$2:$BZ$20001,0,$B$10),$A37,INDEX(CONSENSUS!$A$2:$BZ$20001,0,AM$27),"&lt;&gt;"))</f>
        <v/>
      </c>
    </row>
    <row r="60">
      <c r="D60" s="22">
        <f>IF(D$28="",0,COUNTIFS(INDEX(BESTFIT!$A$2:$BZ$20001,0,$B$15),$B$1,INDEX(BESTFIT!$A$2:$BZ$20001,0,$B$16),$B$4,INDEX(BESTFIT!$A$2:$BZ$20001,0,$B$14),$A38,INDEX(BESTFIT!$A$2:$BZ$20001,0,D$28),"&lt;&gt;"))</f>
        <v/>
      </c>
      <c r="E60" s="22">
        <f>IF(E$28="",0,COUNTIFS(INDEX(BESTFIT!$A$2:$BZ$20001,0,$B$15),$B$1,INDEX(BESTFIT!$A$2:$BZ$20001,0,$B$16),$B$4,INDEX(BESTFIT!$A$2:$BZ$20001,0,$B$14),$A38,INDEX(BESTFIT!$A$2:$BZ$20001,0,E$28),"&lt;&gt;"))</f>
        <v/>
      </c>
      <c r="F60" s="22">
        <f>IF(F$28="",0,COUNTIFS(INDEX(BESTFIT!$A$2:$BZ$20001,0,$B$15),$B$1,INDEX(BESTFIT!$A$2:$BZ$20001,0,$B$16),$B$4,INDEX(BESTFIT!$A$2:$BZ$20001,0,$B$14),$A38,INDEX(BESTFIT!$A$2:$BZ$20001,0,F$28),"&lt;&gt;"))</f>
        <v/>
      </c>
      <c r="G60" s="22">
        <f>IF(G$28="",0,COUNTIFS(INDEX(BESTFIT!$A$2:$BZ$20001,0,$B$15),$B$1,INDEX(BESTFIT!$A$2:$BZ$20001,0,$B$16),$B$4,INDEX(BESTFIT!$A$2:$BZ$20001,0,$B$14),$A38,INDEX(BESTFIT!$A$2:$BZ$20001,0,G$28),"&lt;&gt;"))</f>
        <v/>
      </c>
      <c r="H60" s="22">
        <f>IF(H$28="",0,COUNTIFS(INDEX(BESTFIT!$A$2:$BZ$20001,0,$B$15),$B$1,INDEX(BESTFIT!$A$2:$BZ$20001,0,$B$16),$B$4,INDEX(BESTFIT!$A$2:$BZ$20001,0,$B$14),$A38,INDEX(BESTFIT!$A$2:$BZ$20001,0,H$28),"&lt;&gt;"))</f>
        <v/>
      </c>
      <c r="I60" s="22">
        <f>IF(I$28="",0,COUNTIFS(INDEX(BESTFIT!$A$2:$BZ$20001,0,$B$15),$B$1,INDEX(BESTFIT!$A$2:$BZ$20001,0,$B$16),$B$4,INDEX(BESTFIT!$A$2:$BZ$20001,0,$B$14),$A38,INDEX(BESTFIT!$A$2:$BZ$20001,0,I$28),"&lt;&gt;"))</f>
        <v/>
      </c>
      <c r="J60" s="22">
        <f>IF(J$28="",0,COUNTIFS(INDEX(BESTFIT!$A$2:$BZ$20001,0,$B$15),$B$1,INDEX(BESTFIT!$A$2:$BZ$20001,0,$B$16),$B$4,INDEX(BESTFIT!$A$2:$BZ$20001,0,$B$14),$A38,INDEX(BESTFIT!$A$2:$BZ$20001,0,J$28),"&lt;&gt;"))</f>
        <v/>
      </c>
      <c r="K60" s="22">
        <f>IF(K$28="",0,COUNTIFS(INDEX(BESTFIT!$A$2:$BZ$20001,0,$B$15),$B$1,INDEX(BESTFIT!$A$2:$BZ$20001,0,$B$16),$B$4,INDEX(BESTFIT!$A$2:$BZ$20001,0,$B$14),$A38,INDEX(BESTFIT!$A$2:$BZ$20001,0,K$28),"&lt;&gt;"))</f>
        <v/>
      </c>
      <c r="L60" s="22">
        <f>IF(L$28="",0,COUNTIFS(INDEX(BESTFIT!$A$2:$BZ$20001,0,$B$15),$B$1,INDEX(BESTFIT!$A$2:$BZ$20001,0,$B$16),$B$4,INDEX(BESTFIT!$A$2:$BZ$20001,0,$B$14),$A38,INDEX(BESTFIT!$A$2:$BZ$20001,0,L$28),"&lt;&gt;"))</f>
        <v/>
      </c>
      <c r="M60" s="22">
        <f>IF(M$28="",0,COUNTIFS(INDEX(BESTFIT!$A$2:$BZ$20001,0,$B$15),$B$1,INDEX(BESTFIT!$A$2:$BZ$20001,0,$B$16),$B$4,INDEX(BESTFIT!$A$2:$BZ$20001,0,$B$14),$A38,INDEX(BESTFIT!$A$2:$BZ$20001,0,M$28),"&lt;&gt;"))</f>
        <v/>
      </c>
      <c r="N60" s="22">
        <f>IF(N$28="",0,COUNTIFS(INDEX(BESTFIT!$A$2:$BZ$20001,0,$B$15),$B$1,INDEX(BESTFIT!$A$2:$BZ$20001,0,$B$16),$B$4,INDEX(BESTFIT!$A$2:$BZ$20001,0,$B$14),$A38,INDEX(BESTFIT!$A$2:$BZ$20001,0,N$28),"&lt;&gt;"))</f>
        <v/>
      </c>
      <c r="O60" s="22">
        <f>IF(O$28="",0,COUNTIFS(INDEX(BESTFIT!$A$2:$BZ$20001,0,$B$15),$B$1,INDEX(BESTFIT!$A$2:$BZ$20001,0,$B$16),$B$4,INDEX(BESTFIT!$A$2:$BZ$20001,0,$B$14),$A38,INDEX(BESTFIT!$A$2:$BZ$20001,0,O$28),"&lt;&gt;"))</f>
        <v/>
      </c>
      <c r="P60" s="22">
        <f>IF(P$28="",0,COUNTIFS(INDEX(BESTFIT!$A$2:$BZ$20001,0,$B$15),$B$1,INDEX(BESTFIT!$A$2:$BZ$20001,0,$B$16),$B$4,INDEX(BESTFIT!$A$2:$BZ$20001,0,$B$14),$A38,INDEX(BESTFIT!$A$2:$BZ$20001,0,P$28),"&lt;&gt;"))</f>
        <v/>
      </c>
      <c r="Q60" s="22">
        <f>IF(Q$28="",0,COUNTIFS(INDEX(BESTFIT!$A$2:$BZ$20001,0,$B$15),$B$1,INDEX(BESTFIT!$A$2:$BZ$20001,0,$B$16),$B$4,INDEX(BESTFIT!$A$2:$BZ$20001,0,$B$14),$A38,INDEX(BESTFIT!$A$2:$BZ$20001,0,Q$28),"&lt;&gt;"))</f>
        <v/>
      </c>
      <c r="R60" s="22">
        <f>IF(R$28="",0,COUNTIFS(INDEX(BESTFIT!$A$2:$BZ$20001,0,$B$15),$B$1,INDEX(BESTFIT!$A$2:$BZ$20001,0,$B$16),$B$4,INDEX(BESTFIT!$A$2:$BZ$20001,0,$B$14),$A38,INDEX(BESTFIT!$A$2:$BZ$20001,0,R$28),"&lt;&gt;"))</f>
        <v/>
      </c>
      <c r="S60" s="22">
        <f>IF(S$28="",0,COUNTIFS(INDEX(BESTFIT!$A$2:$BZ$20001,0,$B$15),$B$1,INDEX(BESTFIT!$A$2:$BZ$20001,0,$B$16),$B$4,INDEX(BESTFIT!$A$2:$BZ$20001,0,$B$14),$A38,INDEX(BESTFIT!$A$2:$BZ$20001,0,S$28),"&lt;&gt;"))</f>
        <v/>
      </c>
      <c r="T60" s="22">
        <f>IF(T$28="",0,COUNTIFS(INDEX(BESTFIT!$A$2:$BZ$20001,0,$B$15),$B$1,INDEX(BESTFIT!$A$2:$BZ$20001,0,$B$16),$B$4,INDEX(BESTFIT!$A$2:$BZ$20001,0,$B$14),$A38,INDEX(BESTFIT!$A$2:$BZ$20001,0,T$28),"&lt;&gt;"))</f>
        <v/>
      </c>
      <c r="U60" s="22">
        <f>IF(U$28="",0,COUNTIFS(INDEX(BESTFIT!$A$2:$BZ$20001,0,$B$15),$B$1,INDEX(BESTFIT!$A$2:$BZ$20001,0,$B$16),$B$4,INDEX(BESTFIT!$A$2:$BZ$20001,0,$B$14),$A38,INDEX(BESTFIT!$A$2:$BZ$20001,0,U$28),"&lt;&gt;"))</f>
        <v/>
      </c>
      <c r="V60" s="22">
        <f>IF(V$28="",0,COUNTIFS(INDEX(BESTFIT!$A$2:$BZ$20001,0,$B$15),$B$1,INDEX(BESTFIT!$A$2:$BZ$20001,0,$B$16),$B$4,INDEX(BESTFIT!$A$2:$BZ$20001,0,$B$14),$A38,INDEX(BESTFIT!$A$2:$BZ$20001,0,V$28),"&lt;&gt;"))</f>
        <v/>
      </c>
      <c r="W60" s="22">
        <f>IF(W$28="",0,COUNTIFS(INDEX(BESTFIT!$A$2:$BZ$20001,0,$B$15),$B$1,INDEX(BESTFIT!$A$2:$BZ$20001,0,$B$16),$B$4,INDEX(BESTFIT!$A$2:$BZ$20001,0,$B$14),$A38,INDEX(BESTFIT!$A$2:$BZ$20001,0,W$28),"&lt;&gt;"))</f>
        <v/>
      </c>
      <c r="X60" s="22">
        <f>IF(X$28="",0,COUNTIFS(INDEX(BESTFIT!$A$2:$BZ$20001,0,$B$15),$B$1,INDEX(BESTFIT!$A$2:$BZ$20001,0,$B$16),$B$4,INDEX(BESTFIT!$A$2:$BZ$20001,0,$B$14),$A38,INDEX(BESTFIT!$A$2:$BZ$20001,0,X$28),"&lt;&gt;"))</f>
        <v/>
      </c>
      <c r="Y60" s="22">
        <f>IF(Y$28="",0,COUNTIFS(INDEX(BESTFIT!$A$2:$BZ$20001,0,$B$15),$B$1,INDEX(BESTFIT!$A$2:$BZ$20001,0,$B$16),$B$4,INDEX(BESTFIT!$A$2:$BZ$20001,0,$B$14),$A38,INDEX(BESTFIT!$A$2:$BZ$20001,0,Y$28),"&lt;&gt;"))</f>
        <v/>
      </c>
      <c r="Z60" s="22">
        <f>IF(Z$28="",0,COUNTIFS(INDEX(BESTFIT!$A$2:$BZ$20001,0,$B$15),$B$1,INDEX(BESTFIT!$A$2:$BZ$20001,0,$B$16),$B$4,INDEX(BESTFIT!$A$2:$BZ$20001,0,$B$14),$A38,INDEX(BESTFIT!$A$2:$BZ$20001,0,Z$28),"&lt;&gt;"))</f>
        <v/>
      </c>
      <c r="AA60" s="22">
        <f>IF(AA$28="",0,COUNTIFS(INDEX(BESTFIT!$A$2:$BZ$20001,0,$B$15),$B$1,INDEX(BESTFIT!$A$2:$BZ$20001,0,$B$16),$B$4,INDEX(BESTFIT!$A$2:$BZ$20001,0,$B$14),$A38,INDEX(BESTFIT!$A$2:$BZ$20001,0,AA$28),"&lt;&gt;"))</f>
        <v/>
      </c>
      <c r="AB60" s="22">
        <f>IF(AB$28="",0,COUNTIFS(INDEX(BESTFIT!$A$2:$BZ$20001,0,$B$15),$B$1,INDEX(BESTFIT!$A$2:$BZ$20001,0,$B$16),$B$4,INDEX(BESTFIT!$A$2:$BZ$20001,0,$B$14),$A38,INDEX(BESTFIT!$A$2:$BZ$20001,0,AB$28),"&lt;&gt;"))</f>
        <v/>
      </c>
      <c r="AC60" s="22">
        <f>IF(AC$28="",0,COUNTIFS(INDEX(BESTFIT!$A$2:$BZ$20001,0,$B$15),$B$1,INDEX(BESTFIT!$A$2:$BZ$20001,0,$B$16),$B$4,INDEX(BESTFIT!$A$2:$BZ$20001,0,$B$14),$A38,INDEX(BESTFIT!$A$2:$BZ$20001,0,AC$28),"&lt;&gt;"))</f>
        <v/>
      </c>
      <c r="AD60" s="22">
        <f>IF(AD$28="",0,COUNTIFS(INDEX(BESTFIT!$A$2:$BZ$20001,0,$B$15),$B$1,INDEX(BESTFIT!$A$2:$BZ$20001,0,$B$16),$B$4,INDEX(BESTFIT!$A$2:$BZ$20001,0,$B$14),$A38,INDEX(BESTFIT!$A$2:$BZ$20001,0,AD$28),"&lt;&gt;"))</f>
        <v/>
      </c>
      <c r="AE60" s="22">
        <f>IF(AE$28="",0,COUNTIFS(INDEX(BESTFIT!$A$2:$BZ$20001,0,$B$15),$B$1,INDEX(BESTFIT!$A$2:$BZ$20001,0,$B$16),$B$4,INDEX(BESTFIT!$A$2:$BZ$20001,0,$B$14),$A38,INDEX(BESTFIT!$A$2:$BZ$20001,0,AE$28),"&lt;&gt;"))</f>
        <v/>
      </c>
      <c r="AF60" s="22">
        <f>IF(AF$28="",0,COUNTIFS(INDEX(BESTFIT!$A$2:$BZ$20001,0,$B$15),$B$1,INDEX(BESTFIT!$A$2:$BZ$20001,0,$B$16),$B$4,INDEX(BESTFIT!$A$2:$BZ$20001,0,$B$14),$A38,INDEX(BESTFIT!$A$2:$BZ$20001,0,AF$28),"&lt;&gt;"))</f>
        <v/>
      </c>
      <c r="AG60" s="22">
        <f>IF(AG$28="",0,COUNTIFS(INDEX(BESTFIT!$A$2:$BZ$20001,0,$B$15),$B$1,INDEX(BESTFIT!$A$2:$BZ$20001,0,$B$16),$B$4,INDEX(BESTFIT!$A$2:$BZ$20001,0,$B$14),$A38,INDEX(BESTFIT!$A$2:$BZ$20001,0,AG$28),"&lt;&gt;"))</f>
        <v/>
      </c>
      <c r="AH60" s="22">
        <f>IF(AH$28="",0,COUNTIFS(INDEX(BESTFIT!$A$2:$BZ$20001,0,$B$15),$B$1,INDEX(BESTFIT!$A$2:$BZ$20001,0,$B$16),$B$4,INDEX(BESTFIT!$A$2:$BZ$20001,0,$B$14),$A38,INDEX(BESTFIT!$A$2:$BZ$20001,0,AH$28),"&lt;&gt;"))</f>
        <v/>
      </c>
      <c r="AI60" s="22">
        <f>IF(AI$28="",0,COUNTIFS(INDEX(BESTFIT!$A$2:$BZ$20001,0,$B$15),$B$1,INDEX(BESTFIT!$A$2:$BZ$20001,0,$B$16),$B$4,INDEX(BESTFIT!$A$2:$BZ$20001,0,$B$14),$A38,INDEX(BESTFIT!$A$2:$BZ$20001,0,AI$28),"&lt;&gt;"))</f>
        <v/>
      </c>
      <c r="AJ60" s="22">
        <f>IF(AJ$28="",0,COUNTIFS(INDEX(BESTFIT!$A$2:$BZ$20001,0,$B$15),$B$1,INDEX(BESTFIT!$A$2:$BZ$20001,0,$B$16),$B$4,INDEX(BESTFIT!$A$2:$BZ$20001,0,$B$14),$A38,INDEX(BESTFIT!$A$2:$BZ$20001,0,AJ$28),"&lt;&gt;"))</f>
        <v/>
      </c>
      <c r="AK60" s="22">
        <f>IF(AK$28="",0,COUNTIFS(INDEX(BESTFIT!$A$2:$BZ$20001,0,$B$15),$B$1,INDEX(BESTFIT!$A$2:$BZ$20001,0,$B$16),$B$4,INDEX(BESTFIT!$A$2:$BZ$20001,0,$B$14),$A38,INDEX(BESTFIT!$A$2:$BZ$20001,0,AK$28),"&lt;&gt;"))</f>
        <v/>
      </c>
      <c r="AL60" s="22">
        <f>IF(AL$28="",0,COUNTIFS(INDEX(BESTFIT!$A$2:$BZ$20001,0,$B$15),$B$1,INDEX(BESTFIT!$A$2:$BZ$20001,0,$B$16),$B$4,INDEX(BESTFIT!$A$2:$BZ$20001,0,$B$14),$A38,INDEX(BESTFIT!$A$2:$BZ$20001,0,AL$28),"&lt;&gt;"))</f>
        <v/>
      </c>
      <c r="AM60" s="22">
        <f>IF(AM$28="",0,COUNTIFS(INDEX(BESTFIT!$A$2:$BZ$20001,0,$B$15),$B$1,INDEX(BESTFIT!$A$2:$BZ$20001,0,$B$16),$B$4,INDEX(BESTFIT!$A$2:$BZ$20001,0,$B$14),$A38,INDEX(BESTFIT!$A$2:$BZ$20001,0,AM$28),"&lt;&gt;"))</f>
        <v/>
      </c>
    </row>
    <row r="61">
      <c r="D61" s="22">
        <f>IF(D$28="",0,COUNTIFS(INDEX(BESTFIT!$A$2:$BZ$20001,0,$B$15),$B$1,INDEX(BESTFIT!$A$2:$BZ$20001,0,$B$16),$B$4,INDEX(BESTFIT!$A$2:$BZ$20001,0,$B$14),$A39,INDEX(BESTFIT!$A$2:$BZ$20001,0,D$28),"&lt;&gt;"))</f>
        <v/>
      </c>
      <c r="E61" s="22">
        <f>IF(E$28="",0,COUNTIFS(INDEX(BESTFIT!$A$2:$BZ$20001,0,$B$15),$B$1,INDEX(BESTFIT!$A$2:$BZ$20001,0,$B$16),$B$4,INDEX(BESTFIT!$A$2:$BZ$20001,0,$B$14),$A39,INDEX(BESTFIT!$A$2:$BZ$20001,0,E$28),"&lt;&gt;"))</f>
        <v/>
      </c>
      <c r="F61" s="22">
        <f>IF(F$28="",0,COUNTIFS(INDEX(BESTFIT!$A$2:$BZ$20001,0,$B$15),$B$1,INDEX(BESTFIT!$A$2:$BZ$20001,0,$B$16),$B$4,INDEX(BESTFIT!$A$2:$BZ$20001,0,$B$14),$A39,INDEX(BESTFIT!$A$2:$BZ$20001,0,F$28),"&lt;&gt;"))</f>
        <v/>
      </c>
      <c r="G61" s="22">
        <f>IF(G$28="",0,COUNTIFS(INDEX(BESTFIT!$A$2:$BZ$20001,0,$B$15),$B$1,INDEX(BESTFIT!$A$2:$BZ$20001,0,$B$16),$B$4,INDEX(BESTFIT!$A$2:$BZ$20001,0,$B$14),$A39,INDEX(BESTFIT!$A$2:$BZ$20001,0,G$28),"&lt;&gt;"))</f>
        <v/>
      </c>
      <c r="H61" s="22">
        <f>IF(H$28="",0,COUNTIFS(INDEX(BESTFIT!$A$2:$BZ$20001,0,$B$15),$B$1,INDEX(BESTFIT!$A$2:$BZ$20001,0,$B$16),$B$4,INDEX(BESTFIT!$A$2:$BZ$20001,0,$B$14),$A39,INDEX(BESTFIT!$A$2:$BZ$20001,0,H$28),"&lt;&gt;"))</f>
        <v/>
      </c>
      <c r="I61" s="22">
        <f>IF(I$28="",0,COUNTIFS(INDEX(BESTFIT!$A$2:$BZ$20001,0,$B$15),$B$1,INDEX(BESTFIT!$A$2:$BZ$20001,0,$B$16),$B$4,INDEX(BESTFIT!$A$2:$BZ$20001,0,$B$14),$A39,INDEX(BESTFIT!$A$2:$BZ$20001,0,I$28),"&lt;&gt;"))</f>
        <v/>
      </c>
      <c r="J61" s="22">
        <f>IF(J$28="",0,COUNTIFS(INDEX(BESTFIT!$A$2:$BZ$20001,0,$B$15),$B$1,INDEX(BESTFIT!$A$2:$BZ$20001,0,$B$16),$B$4,INDEX(BESTFIT!$A$2:$BZ$20001,0,$B$14),$A39,INDEX(BESTFIT!$A$2:$BZ$20001,0,J$28),"&lt;&gt;"))</f>
        <v/>
      </c>
      <c r="K61" s="22">
        <f>IF(K$28="",0,COUNTIFS(INDEX(BESTFIT!$A$2:$BZ$20001,0,$B$15),$B$1,INDEX(BESTFIT!$A$2:$BZ$20001,0,$B$16),$B$4,INDEX(BESTFIT!$A$2:$BZ$20001,0,$B$14),$A39,INDEX(BESTFIT!$A$2:$BZ$20001,0,K$28),"&lt;&gt;"))</f>
        <v/>
      </c>
      <c r="L61" s="22">
        <f>IF(L$28="",0,COUNTIFS(INDEX(BESTFIT!$A$2:$BZ$20001,0,$B$15),$B$1,INDEX(BESTFIT!$A$2:$BZ$20001,0,$B$16),$B$4,INDEX(BESTFIT!$A$2:$BZ$20001,0,$B$14),$A39,INDEX(BESTFIT!$A$2:$BZ$20001,0,L$28),"&lt;&gt;"))</f>
        <v/>
      </c>
      <c r="M61" s="22">
        <f>IF(M$28="",0,COUNTIFS(INDEX(BESTFIT!$A$2:$BZ$20001,0,$B$15),$B$1,INDEX(BESTFIT!$A$2:$BZ$20001,0,$B$16),$B$4,INDEX(BESTFIT!$A$2:$BZ$20001,0,$B$14),$A39,INDEX(BESTFIT!$A$2:$BZ$20001,0,M$28),"&lt;&gt;"))</f>
        <v/>
      </c>
      <c r="N61" s="22">
        <f>IF(N$28="",0,COUNTIFS(INDEX(BESTFIT!$A$2:$BZ$20001,0,$B$15),$B$1,INDEX(BESTFIT!$A$2:$BZ$20001,0,$B$16),$B$4,INDEX(BESTFIT!$A$2:$BZ$20001,0,$B$14),$A39,INDEX(BESTFIT!$A$2:$BZ$20001,0,N$28),"&lt;&gt;"))</f>
        <v/>
      </c>
      <c r="O61" s="22">
        <f>IF(O$28="",0,COUNTIFS(INDEX(BESTFIT!$A$2:$BZ$20001,0,$B$15),$B$1,INDEX(BESTFIT!$A$2:$BZ$20001,0,$B$16),$B$4,INDEX(BESTFIT!$A$2:$BZ$20001,0,$B$14),$A39,INDEX(BESTFIT!$A$2:$BZ$20001,0,O$28),"&lt;&gt;"))</f>
        <v/>
      </c>
      <c r="P61" s="22">
        <f>IF(P$28="",0,COUNTIFS(INDEX(BESTFIT!$A$2:$BZ$20001,0,$B$15),$B$1,INDEX(BESTFIT!$A$2:$BZ$20001,0,$B$16),$B$4,INDEX(BESTFIT!$A$2:$BZ$20001,0,$B$14),$A39,INDEX(BESTFIT!$A$2:$BZ$20001,0,P$28),"&lt;&gt;"))</f>
        <v/>
      </c>
      <c r="Q61" s="22">
        <f>IF(Q$28="",0,COUNTIFS(INDEX(BESTFIT!$A$2:$BZ$20001,0,$B$15),$B$1,INDEX(BESTFIT!$A$2:$BZ$20001,0,$B$16),$B$4,INDEX(BESTFIT!$A$2:$BZ$20001,0,$B$14),$A39,INDEX(BESTFIT!$A$2:$BZ$20001,0,Q$28),"&lt;&gt;"))</f>
        <v/>
      </c>
      <c r="R61" s="22">
        <f>IF(R$28="",0,COUNTIFS(INDEX(BESTFIT!$A$2:$BZ$20001,0,$B$15),$B$1,INDEX(BESTFIT!$A$2:$BZ$20001,0,$B$16),$B$4,INDEX(BESTFIT!$A$2:$BZ$20001,0,$B$14),$A39,INDEX(BESTFIT!$A$2:$BZ$20001,0,R$28),"&lt;&gt;"))</f>
        <v/>
      </c>
      <c r="S61" s="22">
        <f>IF(S$28="",0,COUNTIFS(INDEX(BESTFIT!$A$2:$BZ$20001,0,$B$15),$B$1,INDEX(BESTFIT!$A$2:$BZ$20001,0,$B$16),$B$4,INDEX(BESTFIT!$A$2:$BZ$20001,0,$B$14),$A39,INDEX(BESTFIT!$A$2:$BZ$20001,0,S$28),"&lt;&gt;"))</f>
        <v/>
      </c>
      <c r="T61" s="22">
        <f>IF(T$28="",0,COUNTIFS(INDEX(BESTFIT!$A$2:$BZ$20001,0,$B$15),$B$1,INDEX(BESTFIT!$A$2:$BZ$20001,0,$B$16),$B$4,INDEX(BESTFIT!$A$2:$BZ$20001,0,$B$14),$A39,INDEX(BESTFIT!$A$2:$BZ$20001,0,T$28),"&lt;&gt;"))</f>
        <v/>
      </c>
      <c r="U61" s="22">
        <f>IF(U$28="",0,COUNTIFS(INDEX(BESTFIT!$A$2:$BZ$20001,0,$B$15),$B$1,INDEX(BESTFIT!$A$2:$BZ$20001,0,$B$16),$B$4,INDEX(BESTFIT!$A$2:$BZ$20001,0,$B$14),$A39,INDEX(BESTFIT!$A$2:$BZ$20001,0,U$28),"&lt;&gt;"))</f>
        <v/>
      </c>
      <c r="V61" s="22">
        <f>IF(V$28="",0,COUNTIFS(INDEX(BESTFIT!$A$2:$BZ$20001,0,$B$15),$B$1,INDEX(BESTFIT!$A$2:$BZ$20001,0,$B$16),$B$4,INDEX(BESTFIT!$A$2:$BZ$20001,0,$B$14),$A39,INDEX(BESTFIT!$A$2:$BZ$20001,0,V$28),"&lt;&gt;"))</f>
        <v/>
      </c>
      <c r="W61" s="22">
        <f>IF(W$28="",0,COUNTIFS(INDEX(BESTFIT!$A$2:$BZ$20001,0,$B$15),$B$1,INDEX(BESTFIT!$A$2:$BZ$20001,0,$B$16),$B$4,INDEX(BESTFIT!$A$2:$BZ$20001,0,$B$14),$A39,INDEX(BESTFIT!$A$2:$BZ$20001,0,W$28),"&lt;&gt;"))</f>
        <v/>
      </c>
      <c r="X61" s="22">
        <f>IF(X$28="",0,COUNTIFS(INDEX(BESTFIT!$A$2:$BZ$20001,0,$B$15),$B$1,INDEX(BESTFIT!$A$2:$BZ$20001,0,$B$16),$B$4,INDEX(BESTFIT!$A$2:$BZ$20001,0,$B$14),$A39,INDEX(BESTFIT!$A$2:$BZ$20001,0,X$28),"&lt;&gt;"))</f>
        <v/>
      </c>
      <c r="Y61" s="22">
        <f>IF(Y$28="",0,COUNTIFS(INDEX(BESTFIT!$A$2:$BZ$20001,0,$B$15),$B$1,INDEX(BESTFIT!$A$2:$BZ$20001,0,$B$16),$B$4,INDEX(BESTFIT!$A$2:$BZ$20001,0,$B$14),$A39,INDEX(BESTFIT!$A$2:$BZ$20001,0,Y$28),"&lt;&gt;"))</f>
        <v/>
      </c>
      <c r="Z61" s="22">
        <f>IF(Z$28="",0,COUNTIFS(INDEX(BESTFIT!$A$2:$BZ$20001,0,$B$15),$B$1,INDEX(BESTFIT!$A$2:$BZ$20001,0,$B$16),$B$4,INDEX(BESTFIT!$A$2:$BZ$20001,0,$B$14),$A39,INDEX(BESTFIT!$A$2:$BZ$20001,0,Z$28),"&lt;&gt;"))</f>
        <v/>
      </c>
      <c r="AA61" s="22">
        <f>IF(AA$28="",0,COUNTIFS(INDEX(BESTFIT!$A$2:$BZ$20001,0,$B$15),$B$1,INDEX(BESTFIT!$A$2:$BZ$20001,0,$B$16),$B$4,INDEX(BESTFIT!$A$2:$BZ$20001,0,$B$14),$A39,INDEX(BESTFIT!$A$2:$BZ$20001,0,AA$28),"&lt;&gt;"))</f>
        <v/>
      </c>
      <c r="AB61" s="22">
        <f>IF(AB$28="",0,COUNTIFS(INDEX(BESTFIT!$A$2:$BZ$20001,0,$B$15),$B$1,INDEX(BESTFIT!$A$2:$BZ$20001,0,$B$16),$B$4,INDEX(BESTFIT!$A$2:$BZ$20001,0,$B$14),$A39,INDEX(BESTFIT!$A$2:$BZ$20001,0,AB$28),"&lt;&gt;"))</f>
        <v/>
      </c>
      <c r="AC61" s="22">
        <f>IF(AC$28="",0,COUNTIFS(INDEX(BESTFIT!$A$2:$BZ$20001,0,$B$15),$B$1,INDEX(BESTFIT!$A$2:$BZ$20001,0,$B$16),$B$4,INDEX(BESTFIT!$A$2:$BZ$20001,0,$B$14),$A39,INDEX(BESTFIT!$A$2:$BZ$20001,0,AC$28),"&lt;&gt;"))</f>
        <v/>
      </c>
      <c r="AD61" s="22">
        <f>IF(AD$28="",0,COUNTIFS(INDEX(BESTFIT!$A$2:$BZ$20001,0,$B$15),$B$1,INDEX(BESTFIT!$A$2:$BZ$20001,0,$B$16),$B$4,INDEX(BESTFIT!$A$2:$BZ$20001,0,$B$14),$A39,INDEX(BESTFIT!$A$2:$BZ$20001,0,AD$28),"&lt;&gt;"))</f>
        <v/>
      </c>
      <c r="AE61" s="22">
        <f>IF(AE$28="",0,COUNTIFS(INDEX(BESTFIT!$A$2:$BZ$20001,0,$B$15),$B$1,INDEX(BESTFIT!$A$2:$BZ$20001,0,$B$16),$B$4,INDEX(BESTFIT!$A$2:$BZ$20001,0,$B$14),$A39,INDEX(BESTFIT!$A$2:$BZ$20001,0,AE$28),"&lt;&gt;"))</f>
        <v/>
      </c>
      <c r="AF61" s="22">
        <f>IF(AF$28="",0,COUNTIFS(INDEX(BESTFIT!$A$2:$BZ$20001,0,$B$15),$B$1,INDEX(BESTFIT!$A$2:$BZ$20001,0,$B$16),$B$4,INDEX(BESTFIT!$A$2:$BZ$20001,0,$B$14),$A39,INDEX(BESTFIT!$A$2:$BZ$20001,0,AF$28),"&lt;&gt;"))</f>
        <v/>
      </c>
      <c r="AG61" s="22">
        <f>IF(AG$28="",0,COUNTIFS(INDEX(BESTFIT!$A$2:$BZ$20001,0,$B$15),$B$1,INDEX(BESTFIT!$A$2:$BZ$20001,0,$B$16),$B$4,INDEX(BESTFIT!$A$2:$BZ$20001,0,$B$14),$A39,INDEX(BESTFIT!$A$2:$BZ$20001,0,AG$28),"&lt;&gt;"))</f>
        <v/>
      </c>
      <c r="AH61" s="22">
        <f>IF(AH$28="",0,COUNTIFS(INDEX(BESTFIT!$A$2:$BZ$20001,0,$B$15),$B$1,INDEX(BESTFIT!$A$2:$BZ$20001,0,$B$16),$B$4,INDEX(BESTFIT!$A$2:$BZ$20001,0,$B$14),$A39,INDEX(BESTFIT!$A$2:$BZ$20001,0,AH$28),"&lt;&gt;"))</f>
        <v/>
      </c>
      <c r="AI61" s="22">
        <f>IF(AI$28="",0,COUNTIFS(INDEX(BESTFIT!$A$2:$BZ$20001,0,$B$15),$B$1,INDEX(BESTFIT!$A$2:$BZ$20001,0,$B$16),$B$4,INDEX(BESTFIT!$A$2:$BZ$20001,0,$B$14),$A39,INDEX(BESTFIT!$A$2:$BZ$20001,0,AI$28),"&lt;&gt;"))</f>
        <v/>
      </c>
      <c r="AJ61" s="22">
        <f>IF(AJ$28="",0,COUNTIFS(INDEX(BESTFIT!$A$2:$BZ$20001,0,$B$15),$B$1,INDEX(BESTFIT!$A$2:$BZ$20001,0,$B$16),$B$4,INDEX(BESTFIT!$A$2:$BZ$20001,0,$B$14),$A39,INDEX(BESTFIT!$A$2:$BZ$20001,0,AJ$28),"&lt;&gt;"))</f>
        <v/>
      </c>
      <c r="AK61" s="22">
        <f>IF(AK$28="",0,COUNTIFS(INDEX(BESTFIT!$A$2:$BZ$20001,0,$B$15),$B$1,INDEX(BESTFIT!$A$2:$BZ$20001,0,$B$16),$B$4,INDEX(BESTFIT!$A$2:$BZ$20001,0,$B$14),$A39,INDEX(BESTFIT!$A$2:$BZ$20001,0,AK$28),"&lt;&gt;"))</f>
        <v/>
      </c>
      <c r="AL61" s="22">
        <f>IF(AL$28="",0,COUNTIFS(INDEX(BESTFIT!$A$2:$BZ$20001,0,$B$15),$B$1,INDEX(BESTFIT!$A$2:$BZ$20001,0,$B$16),$B$4,INDEX(BESTFIT!$A$2:$BZ$20001,0,$B$14),$A39,INDEX(BESTFIT!$A$2:$BZ$20001,0,AL$28),"&lt;&gt;"))</f>
        <v/>
      </c>
      <c r="AM61" s="22">
        <f>IF(AM$28="",0,COUNTIFS(INDEX(BESTFIT!$A$2:$BZ$20001,0,$B$15),$B$1,INDEX(BESTFIT!$A$2:$BZ$20001,0,$B$16),$B$4,INDEX(BESTFIT!$A$2:$BZ$20001,0,$B$14),$A39,INDEX(BESTFIT!$A$2:$BZ$20001,0,AM$28),"&lt;&gt;"))</f>
        <v/>
      </c>
    </row>
    <row r="62">
      <c r="D62" s="22">
        <f>IF(D$28="",0,COUNTIFS(INDEX(BESTFIT!$A$2:$BZ$20001,0,$B$15),$B$1,INDEX(BESTFIT!$A$2:$BZ$20001,0,$B$16),$B$4,INDEX(BESTFIT!$A$2:$BZ$20001,0,$B$14),$A40,INDEX(BESTFIT!$A$2:$BZ$20001,0,D$28),"&lt;&gt;"))</f>
        <v/>
      </c>
      <c r="E62" s="22">
        <f>IF(E$28="",0,COUNTIFS(INDEX(BESTFIT!$A$2:$BZ$20001,0,$B$15),$B$1,INDEX(BESTFIT!$A$2:$BZ$20001,0,$B$16),$B$4,INDEX(BESTFIT!$A$2:$BZ$20001,0,$B$14),$A40,INDEX(BESTFIT!$A$2:$BZ$20001,0,E$28),"&lt;&gt;"))</f>
        <v/>
      </c>
      <c r="F62" s="22">
        <f>IF(F$28="",0,COUNTIFS(INDEX(BESTFIT!$A$2:$BZ$20001,0,$B$15),$B$1,INDEX(BESTFIT!$A$2:$BZ$20001,0,$B$16),$B$4,INDEX(BESTFIT!$A$2:$BZ$20001,0,$B$14),$A40,INDEX(BESTFIT!$A$2:$BZ$20001,0,F$28),"&lt;&gt;"))</f>
        <v/>
      </c>
      <c r="G62" s="22">
        <f>IF(G$28="",0,COUNTIFS(INDEX(BESTFIT!$A$2:$BZ$20001,0,$B$15),$B$1,INDEX(BESTFIT!$A$2:$BZ$20001,0,$B$16),$B$4,INDEX(BESTFIT!$A$2:$BZ$20001,0,$B$14),$A40,INDEX(BESTFIT!$A$2:$BZ$20001,0,G$28),"&lt;&gt;"))</f>
        <v/>
      </c>
      <c r="H62" s="22">
        <f>IF(H$28="",0,COUNTIFS(INDEX(BESTFIT!$A$2:$BZ$20001,0,$B$15),$B$1,INDEX(BESTFIT!$A$2:$BZ$20001,0,$B$16),$B$4,INDEX(BESTFIT!$A$2:$BZ$20001,0,$B$14),$A40,INDEX(BESTFIT!$A$2:$BZ$20001,0,H$28),"&lt;&gt;"))</f>
        <v/>
      </c>
      <c r="I62" s="22">
        <f>IF(I$28="",0,COUNTIFS(INDEX(BESTFIT!$A$2:$BZ$20001,0,$B$15),$B$1,INDEX(BESTFIT!$A$2:$BZ$20001,0,$B$16),$B$4,INDEX(BESTFIT!$A$2:$BZ$20001,0,$B$14),$A40,INDEX(BESTFIT!$A$2:$BZ$20001,0,I$28),"&lt;&gt;"))</f>
        <v/>
      </c>
      <c r="J62" s="22">
        <f>IF(J$28="",0,COUNTIFS(INDEX(BESTFIT!$A$2:$BZ$20001,0,$B$15),$B$1,INDEX(BESTFIT!$A$2:$BZ$20001,0,$B$16),$B$4,INDEX(BESTFIT!$A$2:$BZ$20001,0,$B$14),$A40,INDEX(BESTFIT!$A$2:$BZ$20001,0,J$28),"&lt;&gt;"))</f>
        <v/>
      </c>
      <c r="K62" s="22">
        <f>IF(K$28="",0,COUNTIFS(INDEX(BESTFIT!$A$2:$BZ$20001,0,$B$15),$B$1,INDEX(BESTFIT!$A$2:$BZ$20001,0,$B$16),$B$4,INDEX(BESTFIT!$A$2:$BZ$20001,0,$B$14),$A40,INDEX(BESTFIT!$A$2:$BZ$20001,0,K$28),"&lt;&gt;"))</f>
        <v/>
      </c>
      <c r="L62" s="22">
        <f>IF(L$28="",0,COUNTIFS(INDEX(BESTFIT!$A$2:$BZ$20001,0,$B$15),$B$1,INDEX(BESTFIT!$A$2:$BZ$20001,0,$B$16),$B$4,INDEX(BESTFIT!$A$2:$BZ$20001,0,$B$14),$A40,INDEX(BESTFIT!$A$2:$BZ$20001,0,L$28),"&lt;&gt;"))</f>
        <v/>
      </c>
      <c r="M62" s="22">
        <f>IF(M$28="",0,COUNTIFS(INDEX(BESTFIT!$A$2:$BZ$20001,0,$B$15),$B$1,INDEX(BESTFIT!$A$2:$BZ$20001,0,$B$16),$B$4,INDEX(BESTFIT!$A$2:$BZ$20001,0,$B$14),$A40,INDEX(BESTFIT!$A$2:$BZ$20001,0,M$28),"&lt;&gt;"))</f>
        <v/>
      </c>
      <c r="N62" s="22">
        <f>IF(N$28="",0,COUNTIFS(INDEX(BESTFIT!$A$2:$BZ$20001,0,$B$15),$B$1,INDEX(BESTFIT!$A$2:$BZ$20001,0,$B$16),$B$4,INDEX(BESTFIT!$A$2:$BZ$20001,0,$B$14),$A40,INDEX(BESTFIT!$A$2:$BZ$20001,0,N$28),"&lt;&gt;"))</f>
        <v/>
      </c>
      <c r="O62" s="22">
        <f>IF(O$28="",0,COUNTIFS(INDEX(BESTFIT!$A$2:$BZ$20001,0,$B$15),$B$1,INDEX(BESTFIT!$A$2:$BZ$20001,0,$B$16),$B$4,INDEX(BESTFIT!$A$2:$BZ$20001,0,$B$14),$A40,INDEX(BESTFIT!$A$2:$BZ$20001,0,O$28),"&lt;&gt;"))</f>
        <v/>
      </c>
      <c r="P62" s="22">
        <f>IF(P$28="",0,COUNTIFS(INDEX(BESTFIT!$A$2:$BZ$20001,0,$B$15),$B$1,INDEX(BESTFIT!$A$2:$BZ$20001,0,$B$16),$B$4,INDEX(BESTFIT!$A$2:$BZ$20001,0,$B$14),$A40,INDEX(BESTFIT!$A$2:$BZ$20001,0,P$28),"&lt;&gt;"))</f>
        <v/>
      </c>
      <c r="Q62" s="22">
        <f>IF(Q$28="",0,COUNTIFS(INDEX(BESTFIT!$A$2:$BZ$20001,0,$B$15),$B$1,INDEX(BESTFIT!$A$2:$BZ$20001,0,$B$16),$B$4,INDEX(BESTFIT!$A$2:$BZ$20001,0,$B$14),$A40,INDEX(BESTFIT!$A$2:$BZ$20001,0,Q$28),"&lt;&gt;"))</f>
        <v/>
      </c>
      <c r="R62" s="22">
        <f>IF(R$28="",0,COUNTIFS(INDEX(BESTFIT!$A$2:$BZ$20001,0,$B$15),$B$1,INDEX(BESTFIT!$A$2:$BZ$20001,0,$B$16),$B$4,INDEX(BESTFIT!$A$2:$BZ$20001,0,$B$14),$A40,INDEX(BESTFIT!$A$2:$BZ$20001,0,R$28),"&lt;&gt;"))</f>
        <v/>
      </c>
      <c r="S62" s="22">
        <f>IF(S$28="",0,COUNTIFS(INDEX(BESTFIT!$A$2:$BZ$20001,0,$B$15),$B$1,INDEX(BESTFIT!$A$2:$BZ$20001,0,$B$16),$B$4,INDEX(BESTFIT!$A$2:$BZ$20001,0,$B$14),$A40,INDEX(BESTFIT!$A$2:$BZ$20001,0,S$28),"&lt;&gt;"))</f>
        <v/>
      </c>
      <c r="T62" s="22">
        <f>IF(T$28="",0,COUNTIFS(INDEX(BESTFIT!$A$2:$BZ$20001,0,$B$15),$B$1,INDEX(BESTFIT!$A$2:$BZ$20001,0,$B$16),$B$4,INDEX(BESTFIT!$A$2:$BZ$20001,0,$B$14),$A40,INDEX(BESTFIT!$A$2:$BZ$20001,0,T$28),"&lt;&gt;"))</f>
        <v/>
      </c>
      <c r="U62" s="22">
        <f>IF(U$28="",0,COUNTIFS(INDEX(BESTFIT!$A$2:$BZ$20001,0,$B$15),$B$1,INDEX(BESTFIT!$A$2:$BZ$20001,0,$B$16),$B$4,INDEX(BESTFIT!$A$2:$BZ$20001,0,$B$14),$A40,INDEX(BESTFIT!$A$2:$BZ$20001,0,U$28),"&lt;&gt;"))</f>
        <v/>
      </c>
      <c r="V62" s="22">
        <f>IF(V$28="",0,COUNTIFS(INDEX(BESTFIT!$A$2:$BZ$20001,0,$B$15),$B$1,INDEX(BESTFIT!$A$2:$BZ$20001,0,$B$16),$B$4,INDEX(BESTFIT!$A$2:$BZ$20001,0,$B$14),$A40,INDEX(BESTFIT!$A$2:$BZ$20001,0,V$28),"&lt;&gt;"))</f>
        <v/>
      </c>
      <c r="W62" s="22">
        <f>IF(W$28="",0,COUNTIFS(INDEX(BESTFIT!$A$2:$BZ$20001,0,$B$15),$B$1,INDEX(BESTFIT!$A$2:$BZ$20001,0,$B$16),$B$4,INDEX(BESTFIT!$A$2:$BZ$20001,0,$B$14),$A40,INDEX(BESTFIT!$A$2:$BZ$20001,0,W$28),"&lt;&gt;"))</f>
        <v/>
      </c>
      <c r="X62" s="22">
        <f>IF(X$28="",0,COUNTIFS(INDEX(BESTFIT!$A$2:$BZ$20001,0,$B$15),$B$1,INDEX(BESTFIT!$A$2:$BZ$20001,0,$B$16),$B$4,INDEX(BESTFIT!$A$2:$BZ$20001,0,$B$14),$A40,INDEX(BESTFIT!$A$2:$BZ$20001,0,X$28),"&lt;&gt;"))</f>
        <v/>
      </c>
      <c r="Y62" s="22">
        <f>IF(Y$28="",0,COUNTIFS(INDEX(BESTFIT!$A$2:$BZ$20001,0,$B$15),$B$1,INDEX(BESTFIT!$A$2:$BZ$20001,0,$B$16),$B$4,INDEX(BESTFIT!$A$2:$BZ$20001,0,$B$14),$A40,INDEX(BESTFIT!$A$2:$BZ$20001,0,Y$28),"&lt;&gt;"))</f>
        <v/>
      </c>
      <c r="Z62" s="22">
        <f>IF(Z$28="",0,COUNTIFS(INDEX(BESTFIT!$A$2:$BZ$20001,0,$B$15),$B$1,INDEX(BESTFIT!$A$2:$BZ$20001,0,$B$16),$B$4,INDEX(BESTFIT!$A$2:$BZ$20001,0,$B$14),$A40,INDEX(BESTFIT!$A$2:$BZ$20001,0,Z$28),"&lt;&gt;"))</f>
        <v/>
      </c>
      <c r="AA62" s="22">
        <f>IF(AA$28="",0,COUNTIFS(INDEX(BESTFIT!$A$2:$BZ$20001,0,$B$15),$B$1,INDEX(BESTFIT!$A$2:$BZ$20001,0,$B$16),$B$4,INDEX(BESTFIT!$A$2:$BZ$20001,0,$B$14),$A40,INDEX(BESTFIT!$A$2:$BZ$20001,0,AA$28),"&lt;&gt;"))</f>
        <v/>
      </c>
      <c r="AB62" s="22">
        <f>IF(AB$28="",0,COUNTIFS(INDEX(BESTFIT!$A$2:$BZ$20001,0,$B$15),$B$1,INDEX(BESTFIT!$A$2:$BZ$20001,0,$B$16),$B$4,INDEX(BESTFIT!$A$2:$BZ$20001,0,$B$14),$A40,INDEX(BESTFIT!$A$2:$BZ$20001,0,AB$28),"&lt;&gt;"))</f>
        <v/>
      </c>
      <c r="AC62" s="22">
        <f>IF(AC$28="",0,COUNTIFS(INDEX(BESTFIT!$A$2:$BZ$20001,0,$B$15),$B$1,INDEX(BESTFIT!$A$2:$BZ$20001,0,$B$16),$B$4,INDEX(BESTFIT!$A$2:$BZ$20001,0,$B$14),$A40,INDEX(BESTFIT!$A$2:$BZ$20001,0,AC$28),"&lt;&gt;"))</f>
        <v/>
      </c>
      <c r="AD62" s="22">
        <f>IF(AD$28="",0,COUNTIFS(INDEX(BESTFIT!$A$2:$BZ$20001,0,$B$15),$B$1,INDEX(BESTFIT!$A$2:$BZ$20001,0,$B$16),$B$4,INDEX(BESTFIT!$A$2:$BZ$20001,0,$B$14),$A40,INDEX(BESTFIT!$A$2:$BZ$20001,0,AD$28),"&lt;&gt;"))</f>
        <v/>
      </c>
      <c r="AE62" s="22">
        <f>IF(AE$28="",0,COUNTIFS(INDEX(BESTFIT!$A$2:$BZ$20001,0,$B$15),$B$1,INDEX(BESTFIT!$A$2:$BZ$20001,0,$B$16),$B$4,INDEX(BESTFIT!$A$2:$BZ$20001,0,$B$14),$A40,INDEX(BESTFIT!$A$2:$BZ$20001,0,AE$28),"&lt;&gt;"))</f>
        <v/>
      </c>
      <c r="AF62" s="22">
        <f>IF(AF$28="",0,COUNTIFS(INDEX(BESTFIT!$A$2:$BZ$20001,0,$B$15),$B$1,INDEX(BESTFIT!$A$2:$BZ$20001,0,$B$16),$B$4,INDEX(BESTFIT!$A$2:$BZ$20001,0,$B$14),$A40,INDEX(BESTFIT!$A$2:$BZ$20001,0,AF$28),"&lt;&gt;"))</f>
        <v/>
      </c>
      <c r="AG62" s="22">
        <f>IF(AG$28="",0,COUNTIFS(INDEX(BESTFIT!$A$2:$BZ$20001,0,$B$15),$B$1,INDEX(BESTFIT!$A$2:$BZ$20001,0,$B$16),$B$4,INDEX(BESTFIT!$A$2:$BZ$20001,0,$B$14),$A40,INDEX(BESTFIT!$A$2:$BZ$20001,0,AG$28),"&lt;&gt;"))</f>
        <v/>
      </c>
      <c r="AH62" s="22">
        <f>IF(AH$28="",0,COUNTIFS(INDEX(BESTFIT!$A$2:$BZ$20001,0,$B$15),$B$1,INDEX(BESTFIT!$A$2:$BZ$20001,0,$B$16),$B$4,INDEX(BESTFIT!$A$2:$BZ$20001,0,$B$14),$A40,INDEX(BESTFIT!$A$2:$BZ$20001,0,AH$28),"&lt;&gt;"))</f>
        <v/>
      </c>
      <c r="AI62" s="22">
        <f>IF(AI$28="",0,COUNTIFS(INDEX(BESTFIT!$A$2:$BZ$20001,0,$B$15),$B$1,INDEX(BESTFIT!$A$2:$BZ$20001,0,$B$16),$B$4,INDEX(BESTFIT!$A$2:$BZ$20001,0,$B$14),$A40,INDEX(BESTFIT!$A$2:$BZ$20001,0,AI$28),"&lt;&gt;"))</f>
        <v/>
      </c>
      <c r="AJ62" s="22">
        <f>IF(AJ$28="",0,COUNTIFS(INDEX(BESTFIT!$A$2:$BZ$20001,0,$B$15),$B$1,INDEX(BESTFIT!$A$2:$BZ$20001,0,$B$16),$B$4,INDEX(BESTFIT!$A$2:$BZ$20001,0,$B$14),$A40,INDEX(BESTFIT!$A$2:$BZ$20001,0,AJ$28),"&lt;&gt;"))</f>
        <v/>
      </c>
      <c r="AK62" s="22">
        <f>IF(AK$28="",0,COUNTIFS(INDEX(BESTFIT!$A$2:$BZ$20001,0,$B$15),$B$1,INDEX(BESTFIT!$A$2:$BZ$20001,0,$B$16),$B$4,INDEX(BESTFIT!$A$2:$BZ$20001,0,$B$14),$A40,INDEX(BESTFIT!$A$2:$BZ$20001,0,AK$28),"&lt;&gt;"))</f>
        <v/>
      </c>
      <c r="AL62" s="22">
        <f>IF(AL$28="",0,COUNTIFS(INDEX(BESTFIT!$A$2:$BZ$20001,0,$B$15),$B$1,INDEX(BESTFIT!$A$2:$BZ$20001,0,$B$16),$B$4,INDEX(BESTFIT!$A$2:$BZ$20001,0,$B$14),$A40,INDEX(BESTFIT!$A$2:$BZ$20001,0,AL$28),"&lt;&gt;"))</f>
        <v/>
      </c>
      <c r="AM62" s="22">
        <f>IF(AM$28="",0,COUNTIFS(INDEX(BESTFIT!$A$2:$BZ$20001,0,$B$15),$B$1,INDEX(BESTFIT!$A$2:$BZ$20001,0,$B$16),$B$4,INDEX(BESTFIT!$A$2:$BZ$20001,0,$B$14),$A40,INDEX(BESTFIT!$A$2:$BZ$20001,0,AM$28),"&lt;&gt;"))</f>
        <v/>
      </c>
    </row>
    <row r="63">
      <c r="D63" s="22">
        <f>IF(OR($A41="",D$29=""),0,COUNTIFS(INDEX(ALGO!$A$2:$BZ$20001,0,$B$19),$B$1,INDEX(ALGO!$A$2:$BZ$20001,0,$B$20),$B$4,INDEX(ALGO!$A$2:$BZ$20001,0,$B$18),$A41,INDEX(ALGO!$A$2:$BZ$20001,0,D$29),"&lt;&gt;"))</f>
        <v/>
      </c>
      <c r="E63" s="22">
        <f>IF(OR($A41="",E$29=""),0,COUNTIFS(INDEX(ALGO!$A$2:$BZ$20001,0,$B$19),$B$1,INDEX(ALGO!$A$2:$BZ$20001,0,$B$20),$B$4,INDEX(ALGO!$A$2:$BZ$20001,0,$B$18),$A41,INDEX(ALGO!$A$2:$BZ$20001,0,E$29),"&lt;&gt;"))</f>
        <v/>
      </c>
      <c r="F63" s="22">
        <f>IF(OR($A41="",F$29=""),0,COUNTIFS(INDEX(ALGO!$A$2:$BZ$20001,0,$B$19),$B$1,INDEX(ALGO!$A$2:$BZ$20001,0,$B$20),$B$4,INDEX(ALGO!$A$2:$BZ$20001,0,$B$18),$A41,INDEX(ALGO!$A$2:$BZ$20001,0,F$29),"&lt;&gt;"))</f>
        <v/>
      </c>
      <c r="G63" s="22">
        <f>IF(OR($A41="",G$29=""),0,COUNTIFS(INDEX(ALGO!$A$2:$BZ$20001,0,$B$19),$B$1,INDEX(ALGO!$A$2:$BZ$20001,0,$B$20),$B$4,INDEX(ALGO!$A$2:$BZ$20001,0,$B$18),$A41,INDEX(ALGO!$A$2:$BZ$20001,0,G$29),"&lt;&gt;"))</f>
        <v/>
      </c>
      <c r="H63" s="22">
        <f>IF(OR($A41="",H$29=""),0,COUNTIFS(INDEX(ALGO!$A$2:$BZ$20001,0,$B$19),$B$1,INDEX(ALGO!$A$2:$BZ$20001,0,$B$20),$B$4,INDEX(ALGO!$A$2:$BZ$20001,0,$B$18),$A41,INDEX(ALGO!$A$2:$BZ$20001,0,H$29),"&lt;&gt;"))</f>
        <v/>
      </c>
      <c r="I63" s="22">
        <f>IF(OR($A41="",I$29=""),0,COUNTIFS(INDEX(ALGO!$A$2:$BZ$20001,0,$B$19),$B$1,INDEX(ALGO!$A$2:$BZ$20001,0,$B$20),$B$4,INDEX(ALGO!$A$2:$BZ$20001,0,$B$18),$A41,INDEX(ALGO!$A$2:$BZ$20001,0,I$29),"&lt;&gt;"))</f>
        <v/>
      </c>
      <c r="J63" s="22">
        <f>IF(OR($A41="",J$29=""),0,COUNTIFS(INDEX(ALGO!$A$2:$BZ$20001,0,$B$19),$B$1,INDEX(ALGO!$A$2:$BZ$20001,0,$B$20),$B$4,INDEX(ALGO!$A$2:$BZ$20001,0,$B$18),$A41,INDEX(ALGO!$A$2:$BZ$20001,0,J$29),"&lt;&gt;"))</f>
        <v/>
      </c>
      <c r="K63" s="22">
        <f>IF(OR($A41="",K$29=""),0,COUNTIFS(INDEX(ALGO!$A$2:$BZ$20001,0,$B$19),$B$1,INDEX(ALGO!$A$2:$BZ$20001,0,$B$20),$B$4,INDEX(ALGO!$A$2:$BZ$20001,0,$B$18),$A41,INDEX(ALGO!$A$2:$BZ$20001,0,K$29),"&lt;&gt;"))</f>
        <v/>
      </c>
      <c r="L63" s="22">
        <f>IF(OR($A41="",L$29=""),0,COUNTIFS(INDEX(ALGO!$A$2:$BZ$20001,0,$B$19),$B$1,INDEX(ALGO!$A$2:$BZ$20001,0,$B$20),$B$4,INDEX(ALGO!$A$2:$BZ$20001,0,$B$18),$A41,INDEX(ALGO!$A$2:$BZ$20001,0,L$29),"&lt;&gt;"))</f>
        <v/>
      </c>
      <c r="M63" s="22">
        <f>IF(OR($A41="",M$29=""),0,COUNTIFS(INDEX(ALGO!$A$2:$BZ$20001,0,$B$19),$B$1,INDEX(ALGO!$A$2:$BZ$20001,0,$B$20),$B$4,INDEX(ALGO!$A$2:$BZ$20001,0,$B$18),$A41,INDEX(ALGO!$A$2:$BZ$20001,0,M$29),"&lt;&gt;"))</f>
        <v/>
      </c>
      <c r="N63" s="22">
        <f>IF(OR($A41="",N$29=""),0,COUNTIFS(INDEX(ALGO!$A$2:$BZ$20001,0,$B$19),$B$1,INDEX(ALGO!$A$2:$BZ$20001,0,$B$20),$B$4,INDEX(ALGO!$A$2:$BZ$20001,0,$B$18),$A41,INDEX(ALGO!$A$2:$BZ$20001,0,N$29),"&lt;&gt;"))</f>
        <v/>
      </c>
      <c r="O63" s="22">
        <f>IF(OR($A41="",O$29=""),0,COUNTIFS(INDEX(ALGO!$A$2:$BZ$20001,0,$B$19),$B$1,INDEX(ALGO!$A$2:$BZ$20001,0,$B$20),$B$4,INDEX(ALGO!$A$2:$BZ$20001,0,$B$18),$A41,INDEX(ALGO!$A$2:$BZ$20001,0,O$29),"&lt;&gt;"))</f>
        <v/>
      </c>
      <c r="P63" s="22">
        <f>IF(OR($A41="",P$29=""),0,COUNTIFS(INDEX(ALGO!$A$2:$BZ$20001,0,$B$19),$B$1,INDEX(ALGO!$A$2:$BZ$20001,0,$B$20),$B$4,INDEX(ALGO!$A$2:$BZ$20001,0,$B$18),$A41,INDEX(ALGO!$A$2:$BZ$20001,0,P$29),"&lt;&gt;"))</f>
        <v/>
      </c>
      <c r="Q63" s="22">
        <f>IF(OR($A41="",Q$29=""),0,COUNTIFS(INDEX(ALGO!$A$2:$BZ$20001,0,$B$19),$B$1,INDEX(ALGO!$A$2:$BZ$20001,0,$B$20),$B$4,INDEX(ALGO!$A$2:$BZ$20001,0,$B$18),$A41,INDEX(ALGO!$A$2:$BZ$20001,0,Q$29),"&lt;&gt;"))</f>
        <v/>
      </c>
      <c r="R63" s="22">
        <f>IF(OR($A41="",R$29=""),0,COUNTIFS(INDEX(ALGO!$A$2:$BZ$20001,0,$B$19),$B$1,INDEX(ALGO!$A$2:$BZ$20001,0,$B$20),$B$4,INDEX(ALGO!$A$2:$BZ$20001,0,$B$18),$A41,INDEX(ALGO!$A$2:$BZ$20001,0,R$29),"&lt;&gt;"))</f>
        <v/>
      </c>
      <c r="S63" s="22">
        <f>IF(OR($A41="",S$29=""),0,COUNTIFS(INDEX(ALGO!$A$2:$BZ$20001,0,$B$19),$B$1,INDEX(ALGO!$A$2:$BZ$20001,0,$B$20),$B$4,INDEX(ALGO!$A$2:$BZ$20001,0,$B$18),$A41,INDEX(ALGO!$A$2:$BZ$20001,0,S$29),"&lt;&gt;"))</f>
        <v/>
      </c>
      <c r="T63" s="22">
        <f>IF(OR($A41="",T$29=""),0,COUNTIFS(INDEX(ALGO!$A$2:$BZ$20001,0,$B$19),$B$1,INDEX(ALGO!$A$2:$BZ$20001,0,$B$20),$B$4,INDEX(ALGO!$A$2:$BZ$20001,0,$B$18),$A41,INDEX(ALGO!$A$2:$BZ$20001,0,T$29),"&lt;&gt;"))</f>
        <v/>
      </c>
      <c r="U63" s="22">
        <f>IF(OR($A41="",U$29=""),0,COUNTIFS(INDEX(ALGO!$A$2:$BZ$20001,0,$B$19),$B$1,INDEX(ALGO!$A$2:$BZ$20001,0,$B$20),$B$4,INDEX(ALGO!$A$2:$BZ$20001,0,$B$18),$A41,INDEX(ALGO!$A$2:$BZ$20001,0,U$29),"&lt;&gt;"))</f>
        <v/>
      </c>
      <c r="V63" s="22">
        <f>IF(OR($A41="",V$29=""),0,COUNTIFS(INDEX(ALGO!$A$2:$BZ$20001,0,$B$19),$B$1,INDEX(ALGO!$A$2:$BZ$20001,0,$B$20),$B$4,INDEX(ALGO!$A$2:$BZ$20001,0,$B$18),$A41,INDEX(ALGO!$A$2:$BZ$20001,0,V$29),"&lt;&gt;"))</f>
        <v/>
      </c>
      <c r="W63" s="22">
        <f>IF(OR($A41="",W$29=""),0,COUNTIFS(INDEX(ALGO!$A$2:$BZ$20001,0,$B$19),$B$1,INDEX(ALGO!$A$2:$BZ$20001,0,$B$20),$B$4,INDEX(ALGO!$A$2:$BZ$20001,0,$B$18),$A41,INDEX(ALGO!$A$2:$BZ$20001,0,W$29),"&lt;&gt;"))</f>
        <v/>
      </c>
      <c r="X63" s="22">
        <f>IF(OR($A41="",X$29=""),0,COUNTIFS(INDEX(ALGO!$A$2:$BZ$20001,0,$B$19),$B$1,INDEX(ALGO!$A$2:$BZ$20001,0,$B$20),$B$4,INDEX(ALGO!$A$2:$BZ$20001,0,$B$18),$A41,INDEX(ALGO!$A$2:$BZ$20001,0,X$29),"&lt;&gt;"))</f>
        <v/>
      </c>
      <c r="Y63" s="22">
        <f>IF(OR($A41="",Y$29=""),0,COUNTIFS(INDEX(ALGO!$A$2:$BZ$20001,0,$B$19),$B$1,INDEX(ALGO!$A$2:$BZ$20001,0,$B$20),$B$4,INDEX(ALGO!$A$2:$BZ$20001,0,$B$18),$A41,INDEX(ALGO!$A$2:$BZ$20001,0,Y$29),"&lt;&gt;"))</f>
        <v/>
      </c>
      <c r="Z63" s="22">
        <f>IF(OR($A41="",Z$29=""),0,COUNTIFS(INDEX(ALGO!$A$2:$BZ$20001,0,$B$19),$B$1,INDEX(ALGO!$A$2:$BZ$20001,0,$B$20),$B$4,INDEX(ALGO!$A$2:$BZ$20001,0,$B$18),$A41,INDEX(ALGO!$A$2:$BZ$20001,0,Z$29),"&lt;&gt;"))</f>
        <v/>
      </c>
      <c r="AA63" s="22">
        <f>IF(OR($A41="",AA$29=""),0,COUNTIFS(INDEX(ALGO!$A$2:$BZ$20001,0,$B$19),$B$1,INDEX(ALGO!$A$2:$BZ$20001,0,$B$20),$B$4,INDEX(ALGO!$A$2:$BZ$20001,0,$B$18),$A41,INDEX(ALGO!$A$2:$BZ$20001,0,AA$29),"&lt;&gt;"))</f>
        <v/>
      </c>
      <c r="AB63" s="22">
        <f>IF(OR($A41="",AB$29=""),0,COUNTIFS(INDEX(ALGO!$A$2:$BZ$20001,0,$B$19),$B$1,INDEX(ALGO!$A$2:$BZ$20001,0,$B$20),$B$4,INDEX(ALGO!$A$2:$BZ$20001,0,$B$18),$A41,INDEX(ALGO!$A$2:$BZ$20001,0,AB$29),"&lt;&gt;"))</f>
        <v/>
      </c>
      <c r="AC63" s="22">
        <f>IF(OR($A41="",AC$29=""),0,COUNTIFS(INDEX(ALGO!$A$2:$BZ$20001,0,$B$19),$B$1,INDEX(ALGO!$A$2:$BZ$20001,0,$B$20),$B$4,INDEX(ALGO!$A$2:$BZ$20001,0,$B$18),$A41,INDEX(ALGO!$A$2:$BZ$20001,0,AC$29),"&lt;&gt;"))</f>
        <v/>
      </c>
      <c r="AD63" s="22">
        <f>IF(OR($A41="",AD$29=""),0,COUNTIFS(INDEX(ALGO!$A$2:$BZ$20001,0,$B$19),$B$1,INDEX(ALGO!$A$2:$BZ$20001,0,$B$20),$B$4,INDEX(ALGO!$A$2:$BZ$20001,0,$B$18),$A41,INDEX(ALGO!$A$2:$BZ$20001,0,AD$29),"&lt;&gt;"))</f>
        <v/>
      </c>
      <c r="AE63" s="22">
        <f>IF(OR($A41="",AE$29=""),0,COUNTIFS(INDEX(ALGO!$A$2:$BZ$20001,0,$B$19),$B$1,INDEX(ALGO!$A$2:$BZ$20001,0,$B$20),$B$4,INDEX(ALGO!$A$2:$BZ$20001,0,$B$18),$A41,INDEX(ALGO!$A$2:$BZ$20001,0,AE$29),"&lt;&gt;"))</f>
        <v/>
      </c>
      <c r="AF63" s="22">
        <f>IF(OR($A41="",AF$29=""),0,COUNTIFS(INDEX(ALGO!$A$2:$BZ$20001,0,$B$19),$B$1,INDEX(ALGO!$A$2:$BZ$20001,0,$B$20),$B$4,INDEX(ALGO!$A$2:$BZ$20001,0,$B$18),$A41,INDEX(ALGO!$A$2:$BZ$20001,0,AF$29),"&lt;&gt;"))</f>
        <v/>
      </c>
      <c r="AG63" s="22">
        <f>IF(OR($A41="",AG$29=""),0,COUNTIFS(INDEX(ALGO!$A$2:$BZ$20001,0,$B$19),$B$1,INDEX(ALGO!$A$2:$BZ$20001,0,$B$20),$B$4,INDEX(ALGO!$A$2:$BZ$20001,0,$B$18),$A41,INDEX(ALGO!$A$2:$BZ$20001,0,AG$29),"&lt;&gt;"))</f>
        <v/>
      </c>
      <c r="AH63" s="22">
        <f>IF(OR($A41="",AH$29=""),0,COUNTIFS(INDEX(ALGO!$A$2:$BZ$20001,0,$B$19),$B$1,INDEX(ALGO!$A$2:$BZ$20001,0,$B$20),$B$4,INDEX(ALGO!$A$2:$BZ$20001,0,$B$18),$A41,INDEX(ALGO!$A$2:$BZ$20001,0,AH$29),"&lt;&gt;"))</f>
        <v/>
      </c>
      <c r="AI63" s="22">
        <f>IF(OR($A41="",AI$29=""),0,COUNTIFS(INDEX(ALGO!$A$2:$BZ$20001,0,$B$19),$B$1,INDEX(ALGO!$A$2:$BZ$20001,0,$B$20),$B$4,INDEX(ALGO!$A$2:$BZ$20001,0,$B$18),$A41,INDEX(ALGO!$A$2:$BZ$20001,0,AI$29),"&lt;&gt;"))</f>
        <v/>
      </c>
      <c r="AJ63" s="22">
        <f>IF(OR($A41="",AJ$29=""),0,COUNTIFS(INDEX(ALGO!$A$2:$BZ$20001,0,$B$19),$B$1,INDEX(ALGO!$A$2:$BZ$20001,0,$B$20),$B$4,INDEX(ALGO!$A$2:$BZ$20001,0,$B$18),$A41,INDEX(ALGO!$A$2:$BZ$20001,0,AJ$29),"&lt;&gt;"))</f>
        <v/>
      </c>
      <c r="AK63" s="22">
        <f>IF(OR($A41="",AK$29=""),0,COUNTIFS(INDEX(ALGO!$A$2:$BZ$20001,0,$B$19),$B$1,INDEX(ALGO!$A$2:$BZ$20001,0,$B$20),$B$4,INDEX(ALGO!$A$2:$BZ$20001,0,$B$18),$A41,INDEX(ALGO!$A$2:$BZ$20001,0,AK$29),"&lt;&gt;"))</f>
        <v/>
      </c>
      <c r="AL63" s="22">
        <f>IF(OR($A41="",AL$29=""),0,COUNTIFS(INDEX(ALGO!$A$2:$BZ$20001,0,$B$19),$B$1,INDEX(ALGO!$A$2:$BZ$20001,0,$B$20),$B$4,INDEX(ALGO!$A$2:$BZ$20001,0,$B$18),$A41,INDEX(ALGO!$A$2:$BZ$20001,0,AL$29),"&lt;&gt;"))</f>
        <v/>
      </c>
      <c r="AM63" s="22">
        <f>IF(OR($A41="",AM$29=""),0,COUNTIFS(INDEX(ALGO!$A$2:$BZ$20001,0,$B$19),$B$1,INDEX(ALGO!$A$2:$BZ$20001,0,$B$20),$B$4,INDEX(ALGO!$A$2:$BZ$20001,0,$B$18),$A41,INDEX(ALGO!$A$2:$BZ$20001,0,AM$29),"&lt;&gt;"))</f>
        <v/>
      </c>
    </row>
    <row r="64">
      <c r="D64" s="22">
        <f>IF(OR($A42="",D$29=""),0,COUNTIFS(INDEX(ALGO!$A$2:$BZ$20001,0,$B$19),$B$1,INDEX(ALGO!$A$2:$BZ$20001,0,$B$20),$B$4,INDEX(ALGO!$A$2:$BZ$20001,0,$B$18),$A42,INDEX(ALGO!$A$2:$BZ$20001,0,D$29),"&lt;&gt;"))</f>
        <v/>
      </c>
      <c r="E64" s="22">
        <f>IF(OR($A42="",E$29=""),0,COUNTIFS(INDEX(ALGO!$A$2:$BZ$20001,0,$B$19),$B$1,INDEX(ALGO!$A$2:$BZ$20001,0,$B$20),$B$4,INDEX(ALGO!$A$2:$BZ$20001,0,$B$18),$A42,INDEX(ALGO!$A$2:$BZ$20001,0,E$29),"&lt;&gt;"))</f>
        <v/>
      </c>
      <c r="F64" s="22">
        <f>IF(OR($A42="",F$29=""),0,COUNTIFS(INDEX(ALGO!$A$2:$BZ$20001,0,$B$19),$B$1,INDEX(ALGO!$A$2:$BZ$20001,0,$B$20),$B$4,INDEX(ALGO!$A$2:$BZ$20001,0,$B$18),$A42,INDEX(ALGO!$A$2:$BZ$20001,0,F$29),"&lt;&gt;"))</f>
        <v/>
      </c>
      <c r="G64" s="22">
        <f>IF(OR($A42="",G$29=""),0,COUNTIFS(INDEX(ALGO!$A$2:$BZ$20001,0,$B$19),$B$1,INDEX(ALGO!$A$2:$BZ$20001,0,$B$20),$B$4,INDEX(ALGO!$A$2:$BZ$20001,0,$B$18),$A42,INDEX(ALGO!$A$2:$BZ$20001,0,G$29),"&lt;&gt;"))</f>
        <v/>
      </c>
      <c r="H64" s="22">
        <f>IF(OR($A42="",H$29=""),0,COUNTIFS(INDEX(ALGO!$A$2:$BZ$20001,0,$B$19),$B$1,INDEX(ALGO!$A$2:$BZ$20001,0,$B$20),$B$4,INDEX(ALGO!$A$2:$BZ$20001,0,$B$18),$A42,INDEX(ALGO!$A$2:$BZ$20001,0,H$29),"&lt;&gt;"))</f>
        <v/>
      </c>
      <c r="I64" s="22">
        <f>IF(OR($A42="",I$29=""),0,COUNTIFS(INDEX(ALGO!$A$2:$BZ$20001,0,$B$19),$B$1,INDEX(ALGO!$A$2:$BZ$20001,0,$B$20),$B$4,INDEX(ALGO!$A$2:$BZ$20001,0,$B$18),$A42,INDEX(ALGO!$A$2:$BZ$20001,0,I$29),"&lt;&gt;"))</f>
        <v/>
      </c>
      <c r="J64" s="22">
        <f>IF(OR($A42="",J$29=""),0,COUNTIFS(INDEX(ALGO!$A$2:$BZ$20001,0,$B$19),$B$1,INDEX(ALGO!$A$2:$BZ$20001,0,$B$20),$B$4,INDEX(ALGO!$A$2:$BZ$20001,0,$B$18),$A42,INDEX(ALGO!$A$2:$BZ$20001,0,J$29),"&lt;&gt;"))</f>
        <v/>
      </c>
      <c r="K64" s="22">
        <f>IF(OR($A42="",K$29=""),0,COUNTIFS(INDEX(ALGO!$A$2:$BZ$20001,0,$B$19),$B$1,INDEX(ALGO!$A$2:$BZ$20001,0,$B$20),$B$4,INDEX(ALGO!$A$2:$BZ$20001,0,$B$18),$A42,INDEX(ALGO!$A$2:$BZ$20001,0,K$29),"&lt;&gt;"))</f>
        <v/>
      </c>
      <c r="L64" s="22">
        <f>IF(OR($A42="",L$29=""),0,COUNTIFS(INDEX(ALGO!$A$2:$BZ$20001,0,$B$19),$B$1,INDEX(ALGO!$A$2:$BZ$20001,0,$B$20),$B$4,INDEX(ALGO!$A$2:$BZ$20001,0,$B$18),$A42,INDEX(ALGO!$A$2:$BZ$20001,0,L$29),"&lt;&gt;"))</f>
        <v/>
      </c>
      <c r="M64" s="22">
        <f>IF(OR($A42="",M$29=""),0,COUNTIFS(INDEX(ALGO!$A$2:$BZ$20001,0,$B$19),$B$1,INDEX(ALGO!$A$2:$BZ$20001,0,$B$20),$B$4,INDEX(ALGO!$A$2:$BZ$20001,0,$B$18),$A42,INDEX(ALGO!$A$2:$BZ$20001,0,M$29),"&lt;&gt;"))</f>
        <v/>
      </c>
      <c r="N64" s="22">
        <f>IF(OR($A42="",N$29=""),0,COUNTIFS(INDEX(ALGO!$A$2:$BZ$20001,0,$B$19),$B$1,INDEX(ALGO!$A$2:$BZ$20001,0,$B$20),$B$4,INDEX(ALGO!$A$2:$BZ$20001,0,$B$18),$A42,INDEX(ALGO!$A$2:$BZ$20001,0,N$29),"&lt;&gt;"))</f>
        <v/>
      </c>
      <c r="O64" s="22">
        <f>IF(OR($A42="",O$29=""),0,COUNTIFS(INDEX(ALGO!$A$2:$BZ$20001,0,$B$19),$B$1,INDEX(ALGO!$A$2:$BZ$20001,0,$B$20),$B$4,INDEX(ALGO!$A$2:$BZ$20001,0,$B$18),$A42,INDEX(ALGO!$A$2:$BZ$20001,0,O$29),"&lt;&gt;"))</f>
        <v/>
      </c>
      <c r="P64" s="22">
        <f>IF(OR($A42="",P$29=""),0,COUNTIFS(INDEX(ALGO!$A$2:$BZ$20001,0,$B$19),$B$1,INDEX(ALGO!$A$2:$BZ$20001,0,$B$20),$B$4,INDEX(ALGO!$A$2:$BZ$20001,0,$B$18),$A42,INDEX(ALGO!$A$2:$BZ$20001,0,P$29),"&lt;&gt;"))</f>
        <v/>
      </c>
      <c r="Q64" s="22">
        <f>IF(OR($A42="",Q$29=""),0,COUNTIFS(INDEX(ALGO!$A$2:$BZ$20001,0,$B$19),$B$1,INDEX(ALGO!$A$2:$BZ$20001,0,$B$20),$B$4,INDEX(ALGO!$A$2:$BZ$20001,0,$B$18),$A42,INDEX(ALGO!$A$2:$BZ$20001,0,Q$29),"&lt;&gt;"))</f>
        <v/>
      </c>
      <c r="R64" s="22">
        <f>IF(OR($A42="",R$29=""),0,COUNTIFS(INDEX(ALGO!$A$2:$BZ$20001,0,$B$19),$B$1,INDEX(ALGO!$A$2:$BZ$20001,0,$B$20),$B$4,INDEX(ALGO!$A$2:$BZ$20001,0,$B$18),$A42,INDEX(ALGO!$A$2:$BZ$20001,0,R$29),"&lt;&gt;"))</f>
        <v/>
      </c>
      <c r="S64" s="22">
        <f>IF(OR($A42="",S$29=""),0,COUNTIFS(INDEX(ALGO!$A$2:$BZ$20001,0,$B$19),$B$1,INDEX(ALGO!$A$2:$BZ$20001,0,$B$20),$B$4,INDEX(ALGO!$A$2:$BZ$20001,0,$B$18),$A42,INDEX(ALGO!$A$2:$BZ$20001,0,S$29),"&lt;&gt;"))</f>
        <v/>
      </c>
      <c r="T64" s="22">
        <f>IF(OR($A42="",T$29=""),0,COUNTIFS(INDEX(ALGO!$A$2:$BZ$20001,0,$B$19),$B$1,INDEX(ALGO!$A$2:$BZ$20001,0,$B$20),$B$4,INDEX(ALGO!$A$2:$BZ$20001,0,$B$18),$A42,INDEX(ALGO!$A$2:$BZ$20001,0,T$29),"&lt;&gt;"))</f>
        <v/>
      </c>
      <c r="U64" s="22">
        <f>IF(OR($A42="",U$29=""),0,COUNTIFS(INDEX(ALGO!$A$2:$BZ$20001,0,$B$19),$B$1,INDEX(ALGO!$A$2:$BZ$20001,0,$B$20),$B$4,INDEX(ALGO!$A$2:$BZ$20001,0,$B$18),$A42,INDEX(ALGO!$A$2:$BZ$20001,0,U$29),"&lt;&gt;"))</f>
        <v/>
      </c>
      <c r="V64" s="22">
        <f>IF(OR($A42="",V$29=""),0,COUNTIFS(INDEX(ALGO!$A$2:$BZ$20001,0,$B$19),$B$1,INDEX(ALGO!$A$2:$BZ$20001,0,$B$20),$B$4,INDEX(ALGO!$A$2:$BZ$20001,0,$B$18),$A42,INDEX(ALGO!$A$2:$BZ$20001,0,V$29),"&lt;&gt;"))</f>
        <v/>
      </c>
      <c r="W64" s="22">
        <f>IF(OR($A42="",W$29=""),0,COUNTIFS(INDEX(ALGO!$A$2:$BZ$20001,0,$B$19),$B$1,INDEX(ALGO!$A$2:$BZ$20001,0,$B$20),$B$4,INDEX(ALGO!$A$2:$BZ$20001,0,$B$18),$A42,INDEX(ALGO!$A$2:$BZ$20001,0,W$29),"&lt;&gt;"))</f>
        <v/>
      </c>
      <c r="X64" s="22">
        <f>IF(OR($A42="",X$29=""),0,COUNTIFS(INDEX(ALGO!$A$2:$BZ$20001,0,$B$19),$B$1,INDEX(ALGO!$A$2:$BZ$20001,0,$B$20),$B$4,INDEX(ALGO!$A$2:$BZ$20001,0,$B$18),$A42,INDEX(ALGO!$A$2:$BZ$20001,0,X$29),"&lt;&gt;"))</f>
        <v/>
      </c>
      <c r="Y64" s="22">
        <f>IF(OR($A42="",Y$29=""),0,COUNTIFS(INDEX(ALGO!$A$2:$BZ$20001,0,$B$19),$B$1,INDEX(ALGO!$A$2:$BZ$20001,0,$B$20),$B$4,INDEX(ALGO!$A$2:$BZ$20001,0,$B$18),$A42,INDEX(ALGO!$A$2:$BZ$20001,0,Y$29),"&lt;&gt;"))</f>
        <v/>
      </c>
      <c r="Z64" s="22">
        <f>IF(OR($A42="",Z$29=""),0,COUNTIFS(INDEX(ALGO!$A$2:$BZ$20001,0,$B$19),$B$1,INDEX(ALGO!$A$2:$BZ$20001,0,$B$20),$B$4,INDEX(ALGO!$A$2:$BZ$20001,0,$B$18),$A42,INDEX(ALGO!$A$2:$BZ$20001,0,Z$29),"&lt;&gt;"))</f>
        <v/>
      </c>
      <c r="AA64" s="22">
        <f>IF(OR($A42="",AA$29=""),0,COUNTIFS(INDEX(ALGO!$A$2:$BZ$20001,0,$B$19),$B$1,INDEX(ALGO!$A$2:$BZ$20001,0,$B$20),$B$4,INDEX(ALGO!$A$2:$BZ$20001,0,$B$18),$A42,INDEX(ALGO!$A$2:$BZ$20001,0,AA$29),"&lt;&gt;"))</f>
        <v/>
      </c>
      <c r="AB64" s="22">
        <f>IF(OR($A42="",AB$29=""),0,COUNTIFS(INDEX(ALGO!$A$2:$BZ$20001,0,$B$19),$B$1,INDEX(ALGO!$A$2:$BZ$20001,0,$B$20),$B$4,INDEX(ALGO!$A$2:$BZ$20001,0,$B$18),$A42,INDEX(ALGO!$A$2:$BZ$20001,0,AB$29),"&lt;&gt;"))</f>
        <v/>
      </c>
      <c r="AC64" s="22">
        <f>IF(OR($A42="",AC$29=""),0,COUNTIFS(INDEX(ALGO!$A$2:$BZ$20001,0,$B$19),$B$1,INDEX(ALGO!$A$2:$BZ$20001,0,$B$20),$B$4,INDEX(ALGO!$A$2:$BZ$20001,0,$B$18),$A42,INDEX(ALGO!$A$2:$BZ$20001,0,AC$29),"&lt;&gt;"))</f>
        <v/>
      </c>
      <c r="AD64" s="22">
        <f>IF(OR($A42="",AD$29=""),0,COUNTIFS(INDEX(ALGO!$A$2:$BZ$20001,0,$B$19),$B$1,INDEX(ALGO!$A$2:$BZ$20001,0,$B$20),$B$4,INDEX(ALGO!$A$2:$BZ$20001,0,$B$18),$A42,INDEX(ALGO!$A$2:$BZ$20001,0,AD$29),"&lt;&gt;"))</f>
        <v/>
      </c>
      <c r="AE64" s="22">
        <f>IF(OR($A42="",AE$29=""),0,COUNTIFS(INDEX(ALGO!$A$2:$BZ$20001,0,$B$19),$B$1,INDEX(ALGO!$A$2:$BZ$20001,0,$B$20),$B$4,INDEX(ALGO!$A$2:$BZ$20001,0,$B$18),$A42,INDEX(ALGO!$A$2:$BZ$20001,0,AE$29),"&lt;&gt;"))</f>
        <v/>
      </c>
      <c r="AF64" s="22">
        <f>IF(OR($A42="",AF$29=""),0,COUNTIFS(INDEX(ALGO!$A$2:$BZ$20001,0,$B$19),$B$1,INDEX(ALGO!$A$2:$BZ$20001,0,$B$20),$B$4,INDEX(ALGO!$A$2:$BZ$20001,0,$B$18),$A42,INDEX(ALGO!$A$2:$BZ$20001,0,AF$29),"&lt;&gt;"))</f>
        <v/>
      </c>
      <c r="AG64" s="22">
        <f>IF(OR($A42="",AG$29=""),0,COUNTIFS(INDEX(ALGO!$A$2:$BZ$20001,0,$B$19),$B$1,INDEX(ALGO!$A$2:$BZ$20001,0,$B$20),$B$4,INDEX(ALGO!$A$2:$BZ$20001,0,$B$18),$A42,INDEX(ALGO!$A$2:$BZ$20001,0,AG$29),"&lt;&gt;"))</f>
        <v/>
      </c>
      <c r="AH64" s="22">
        <f>IF(OR($A42="",AH$29=""),0,COUNTIFS(INDEX(ALGO!$A$2:$BZ$20001,0,$B$19),$B$1,INDEX(ALGO!$A$2:$BZ$20001,0,$B$20),$B$4,INDEX(ALGO!$A$2:$BZ$20001,0,$B$18),$A42,INDEX(ALGO!$A$2:$BZ$20001,0,AH$29),"&lt;&gt;"))</f>
        <v/>
      </c>
      <c r="AI64" s="22">
        <f>IF(OR($A42="",AI$29=""),0,COUNTIFS(INDEX(ALGO!$A$2:$BZ$20001,0,$B$19),$B$1,INDEX(ALGO!$A$2:$BZ$20001,0,$B$20),$B$4,INDEX(ALGO!$A$2:$BZ$20001,0,$B$18),$A42,INDEX(ALGO!$A$2:$BZ$20001,0,AI$29),"&lt;&gt;"))</f>
        <v/>
      </c>
      <c r="AJ64" s="22">
        <f>IF(OR($A42="",AJ$29=""),0,COUNTIFS(INDEX(ALGO!$A$2:$BZ$20001,0,$B$19),$B$1,INDEX(ALGO!$A$2:$BZ$20001,0,$B$20),$B$4,INDEX(ALGO!$A$2:$BZ$20001,0,$B$18),$A42,INDEX(ALGO!$A$2:$BZ$20001,0,AJ$29),"&lt;&gt;"))</f>
        <v/>
      </c>
      <c r="AK64" s="22">
        <f>IF(OR($A42="",AK$29=""),0,COUNTIFS(INDEX(ALGO!$A$2:$BZ$20001,0,$B$19),$B$1,INDEX(ALGO!$A$2:$BZ$20001,0,$B$20),$B$4,INDEX(ALGO!$A$2:$BZ$20001,0,$B$18),$A42,INDEX(ALGO!$A$2:$BZ$20001,0,AK$29),"&lt;&gt;"))</f>
        <v/>
      </c>
      <c r="AL64" s="22">
        <f>IF(OR($A42="",AL$29=""),0,COUNTIFS(INDEX(ALGO!$A$2:$BZ$20001,0,$B$19),$B$1,INDEX(ALGO!$A$2:$BZ$20001,0,$B$20),$B$4,INDEX(ALGO!$A$2:$BZ$20001,0,$B$18),$A42,INDEX(ALGO!$A$2:$BZ$20001,0,AL$29),"&lt;&gt;"))</f>
        <v/>
      </c>
      <c r="AM64" s="22">
        <f>IF(OR($A42="",AM$29=""),0,COUNTIFS(INDEX(ALGO!$A$2:$BZ$20001,0,$B$19),$B$1,INDEX(ALGO!$A$2:$BZ$20001,0,$B$20),$B$4,INDEX(ALGO!$A$2:$BZ$20001,0,$B$18),$A42,INDEX(ALGO!$A$2:$BZ$20001,0,AM$29),"&lt;&gt;"))</f>
        <v/>
      </c>
    </row>
    <row r="65">
      <c r="D65" s="22">
        <f>IF(OR($A43="",D$29=""),0,COUNTIFS(INDEX(ALGO!$A$2:$BZ$20001,0,$B$19),$B$1,INDEX(ALGO!$A$2:$BZ$20001,0,$B$20),$B$4,INDEX(ALGO!$A$2:$BZ$20001,0,$B$18),$A43,INDEX(ALGO!$A$2:$BZ$20001,0,D$29),"&lt;&gt;"))</f>
        <v/>
      </c>
      <c r="E65" s="22">
        <f>IF(OR($A43="",E$29=""),0,COUNTIFS(INDEX(ALGO!$A$2:$BZ$20001,0,$B$19),$B$1,INDEX(ALGO!$A$2:$BZ$20001,0,$B$20),$B$4,INDEX(ALGO!$A$2:$BZ$20001,0,$B$18),$A43,INDEX(ALGO!$A$2:$BZ$20001,0,E$29),"&lt;&gt;"))</f>
        <v/>
      </c>
      <c r="F65" s="22">
        <f>IF(OR($A43="",F$29=""),0,COUNTIFS(INDEX(ALGO!$A$2:$BZ$20001,0,$B$19),$B$1,INDEX(ALGO!$A$2:$BZ$20001,0,$B$20),$B$4,INDEX(ALGO!$A$2:$BZ$20001,0,$B$18),$A43,INDEX(ALGO!$A$2:$BZ$20001,0,F$29),"&lt;&gt;"))</f>
        <v/>
      </c>
      <c r="G65" s="22">
        <f>IF(OR($A43="",G$29=""),0,COUNTIFS(INDEX(ALGO!$A$2:$BZ$20001,0,$B$19),$B$1,INDEX(ALGO!$A$2:$BZ$20001,0,$B$20),$B$4,INDEX(ALGO!$A$2:$BZ$20001,0,$B$18),$A43,INDEX(ALGO!$A$2:$BZ$20001,0,G$29),"&lt;&gt;"))</f>
        <v/>
      </c>
      <c r="H65" s="22">
        <f>IF(OR($A43="",H$29=""),0,COUNTIFS(INDEX(ALGO!$A$2:$BZ$20001,0,$B$19),$B$1,INDEX(ALGO!$A$2:$BZ$20001,0,$B$20),$B$4,INDEX(ALGO!$A$2:$BZ$20001,0,$B$18),$A43,INDEX(ALGO!$A$2:$BZ$20001,0,H$29),"&lt;&gt;"))</f>
        <v/>
      </c>
      <c r="I65" s="22">
        <f>IF(OR($A43="",I$29=""),0,COUNTIFS(INDEX(ALGO!$A$2:$BZ$20001,0,$B$19),$B$1,INDEX(ALGO!$A$2:$BZ$20001,0,$B$20),$B$4,INDEX(ALGO!$A$2:$BZ$20001,0,$B$18),$A43,INDEX(ALGO!$A$2:$BZ$20001,0,I$29),"&lt;&gt;"))</f>
        <v/>
      </c>
      <c r="J65" s="22">
        <f>IF(OR($A43="",J$29=""),0,COUNTIFS(INDEX(ALGO!$A$2:$BZ$20001,0,$B$19),$B$1,INDEX(ALGO!$A$2:$BZ$20001,0,$B$20),$B$4,INDEX(ALGO!$A$2:$BZ$20001,0,$B$18),$A43,INDEX(ALGO!$A$2:$BZ$20001,0,J$29),"&lt;&gt;"))</f>
        <v/>
      </c>
      <c r="K65" s="22">
        <f>IF(OR($A43="",K$29=""),0,COUNTIFS(INDEX(ALGO!$A$2:$BZ$20001,0,$B$19),$B$1,INDEX(ALGO!$A$2:$BZ$20001,0,$B$20),$B$4,INDEX(ALGO!$A$2:$BZ$20001,0,$B$18),$A43,INDEX(ALGO!$A$2:$BZ$20001,0,K$29),"&lt;&gt;"))</f>
        <v/>
      </c>
      <c r="L65" s="22">
        <f>IF(OR($A43="",L$29=""),0,COUNTIFS(INDEX(ALGO!$A$2:$BZ$20001,0,$B$19),$B$1,INDEX(ALGO!$A$2:$BZ$20001,0,$B$20),$B$4,INDEX(ALGO!$A$2:$BZ$20001,0,$B$18),$A43,INDEX(ALGO!$A$2:$BZ$20001,0,L$29),"&lt;&gt;"))</f>
        <v/>
      </c>
      <c r="M65" s="22">
        <f>IF(OR($A43="",M$29=""),0,COUNTIFS(INDEX(ALGO!$A$2:$BZ$20001,0,$B$19),$B$1,INDEX(ALGO!$A$2:$BZ$20001,0,$B$20),$B$4,INDEX(ALGO!$A$2:$BZ$20001,0,$B$18),$A43,INDEX(ALGO!$A$2:$BZ$20001,0,M$29),"&lt;&gt;"))</f>
        <v/>
      </c>
      <c r="N65" s="22">
        <f>IF(OR($A43="",N$29=""),0,COUNTIFS(INDEX(ALGO!$A$2:$BZ$20001,0,$B$19),$B$1,INDEX(ALGO!$A$2:$BZ$20001,0,$B$20),$B$4,INDEX(ALGO!$A$2:$BZ$20001,0,$B$18),$A43,INDEX(ALGO!$A$2:$BZ$20001,0,N$29),"&lt;&gt;"))</f>
        <v/>
      </c>
      <c r="O65" s="22">
        <f>IF(OR($A43="",O$29=""),0,COUNTIFS(INDEX(ALGO!$A$2:$BZ$20001,0,$B$19),$B$1,INDEX(ALGO!$A$2:$BZ$20001,0,$B$20),$B$4,INDEX(ALGO!$A$2:$BZ$20001,0,$B$18),$A43,INDEX(ALGO!$A$2:$BZ$20001,0,O$29),"&lt;&gt;"))</f>
        <v/>
      </c>
      <c r="P65" s="22">
        <f>IF(OR($A43="",P$29=""),0,COUNTIFS(INDEX(ALGO!$A$2:$BZ$20001,0,$B$19),$B$1,INDEX(ALGO!$A$2:$BZ$20001,0,$B$20),$B$4,INDEX(ALGO!$A$2:$BZ$20001,0,$B$18),$A43,INDEX(ALGO!$A$2:$BZ$20001,0,P$29),"&lt;&gt;"))</f>
        <v/>
      </c>
      <c r="Q65" s="22">
        <f>IF(OR($A43="",Q$29=""),0,COUNTIFS(INDEX(ALGO!$A$2:$BZ$20001,0,$B$19),$B$1,INDEX(ALGO!$A$2:$BZ$20001,0,$B$20),$B$4,INDEX(ALGO!$A$2:$BZ$20001,0,$B$18),$A43,INDEX(ALGO!$A$2:$BZ$20001,0,Q$29),"&lt;&gt;"))</f>
        <v/>
      </c>
      <c r="R65" s="22">
        <f>IF(OR($A43="",R$29=""),0,COUNTIFS(INDEX(ALGO!$A$2:$BZ$20001,0,$B$19),$B$1,INDEX(ALGO!$A$2:$BZ$20001,0,$B$20),$B$4,INDEX(ALGO!$A$2:$BZ$20001,0,$B$18),$A43,INDEX(ALGO!$A$2:$BZ$20001,0,R$29),"&lt;&gt;"))</f>
        <v/>
      </c>
      <c r="S65" s="22">
        <f>IF(OR($A43="",S$29=""),0,COUNTIFS(INDEX(ALGO!$A$2:$BZ$20001,0,$B$19),$B$1,INDEX(ALGO!$A$2:$BZ$20001,0,$B$20),$B$4,INDEX(ALGO!$A$2:$BZ$20001,0,$B$18),$A43,INDEX(ALGO!$A$2:$BZ$20001,0,S$29),"&lt;&gt;"))</f>
        <v/>
      </c>
      <c r="T65" s="22">
        <f>IF(OR($A43="",T$29=""),0,COUNTIFS(INDEX(ALGO!$A$2:$BZ$20001,0,$B$19),$B$1,INDEX(ALGO!$A$2:$BZ$20001,0,$B$20),$B$4,INDEX(ALGO!$A$2:$BZ$20001,0,$B$18),$A43,INDEX(ALGO!$A$2:$BZ$20001,0,T$29),"&lt;&gt;"))</f>
        <v/>
      </c>
      <c r="U65" s="22">
        <f>IF(OR($A43="",U$29=""),0,COUNTIFS(INDEX(ALGO!$A$2:$BZ$20001,0,$B$19),$B$1,INDEX(ALGO!$A$2:$BZ$20001,0,$B$20),$B$4,INDEX(ALGO!$A$2:$BZ$20001,0,$B$18),$A43,INDEX(ALGO!$A$2:$BZ$20001,0,U$29),"&lt;&gt;"))</f>
        <v/>
      </c>
      <c r="V65" s="22">
        <f>IF(OR($A43="",V$29=""),0,COUNTIFS(INDEX(ALGO!$A$2:$BZ$20001,0,$B$19),$B$1,INDEX(ALGO!$A$2:$BZ$20001,0,$B$20),$B$4,INDEX(ALGO!$A$2:$BZ$20001,0,$B$18),$A43,INDEX(ALGO!$A$2:$BZ$20001,0,V$29),"&lt;&gt;"))</f>
        <v/>
      </c>
      <c r="W65" s="22">
        <f>IF(OR($A43="",W$29=""),0,COUNTIFS(INDEX(ALGO!$A$2:$BZ$20001,0,$B$19),$B$1,INDEX(ALGO!$A$2:$BZ$20001,0,$B$20),$B$4,INDEX(ALGO!$A$2:$BZ$20001,0,$B$18),$A43,INDEX(ALGO!$A$2:$BZ$20001,0,W$29),"&lt;&gt;"))</f>
        <v/>
      </c>
      <c r="X65" s="22">
        <f>IF(OR($A43="",X$29=""),0,COUNTIFS(INDEX(ALGO!$A$2:$BZ$20001,0,$B$19),$B$1,INDEX(ALGO!$A$2:$BZ$20001,0,$B$20),$B$4,INDEX(ALGO!$A$2:$BZ$20001,0,$B$18),$A43,INDEX(ALGO!$A$2:$BZ$20001,0,X$29),"&lt;&gt;"))</f>
        <v/>
      </c>
      <c r="Y65" s="22">
        <f>IF(OR($A43="",Y$29=""),0,COUNTIFS(INDEX(ALGO!$A$2:$BZ$20001,0,$B$19),$B$1,INDEX(ALGO!$A$2:$BZ$20001,0,$B$20),$B$4,INDEX(ALGO!$A$2:$BZ$20001,0,$B$18),$A43,INDEX(ALGO!$A$2:$BZ$20001,0,Y$29),"&lt;&gt;"))</f>
        <v/>
      </c>
      <c r="Z65" s="22">
        <f>IF(OR($A43="",Z$29=""),0,COUNTIFS(INDEX(ALGO!$A$2:$BZ$20001,0,$B$19),$B$1,INDEX(ALGO!$A$2:$BZ$20001,0,$B$20),$B$4,INDEX(ALGO!$A$2:$BZ$20001,0,$B$18),$A43,INDEX(ALGO!$A$2:$BZ$20001,0,Z$29),"&lt;&gt;"))</f>
        <v/>
      </c>
      <c r="AA65" s="22">
        <f>IF(OR($A43="",AA$29=""),0,COUNTIFS(INDEX(ALGO!$A$2:$BZ$20001,0,$B$19),$B$1,INDEX(ALGO!$A$2:$BZ$20001,0,$B$20),$B$4,INDEX(ALGO!$A$2:$BZ$20001,0,$B$18),$A43,INDEX(ALGO!$A$2:$BZ$20001,0,AA$29),"&lt;&gt;"))</f>
        <v/>
      </c>
      <c r="AB65" s="22">
        <f>IF(OR($A43="",AB$29=""),0,COUNTIFS(INDEX(ALGO!$A$2:$BZ$20001,0,$B$19),$B$1,INDEX(ALGO!$A$2:$BZ$20001,0,$B$20),$B$4,INDEX(ALGO!$A$2:$BZ$20001,0,$B$18),$A43,INDEX(ALGO!$A$2:$BZ$20001,0,AB$29),"&lt;&gt;"))</f>
        <v/>
      </c>
      <c r="AC65" s="22">
        <f>IF(OR($A43="",AC$29=""),0,COUNTIFS(INDEX(ALGO!$A$2:$BZ$20001,0,$B$19),$B$1,INDEX(ALGO!$A$2:$BZ$20001,0,$B$20),$B$4,INDEX(ALGO!$A$2:$BZ$20001,0,$B$18),$A43,INDEX(ALGO!$A$2:$BZ$20001,0,AC$29),"&lt;&gt;"))</f>
        <v/>
      </c>
      <c r="AD65" s="22">
        <f>IF(OR($A43="",AD$29=""),0,COUNTIFS(INDEX(ALGO!$A$2:$BZ$20001,0,$B$19),$B$1,INDEX(ALGO!$A$2:$BZ$20001,0,$B$20),$B$4,INDEX(ALGO!$A$2:$BZ$20001,0,$B$18),$A43,INDEX(ALGO!$A$2:$BZ$20001,0,AD$29),"&lt;&gt;"))</f>
        <v/>
      </c>
      <c r="AE65" s="22">
        <f>IF(OR($A43="",AE$29=""),0,COUNTIFS(INDEX(ALGO!$A$2:$BZ$20001,0,$B$19),$B$1,INDEX(ALGO!$A$2:$BZ$20001,0,$B$20),$B$4,INDEX(ALGO!$A$2:$BZ$20001,0,$B$18),$A43,INDEX(ALGO!$A$2:$BZ$20001,0,AE$29),"&lt;&gt;"))</f>
        <v/>
      </c>
      <c r="AF65" s="22">
        <f>IF(OR($A43="",AF$29=""),0,COUNTIFS(INDEX(ALGO!$A$2:$BZ$20001,0,$B$19),$B$1,INDEX(ALGO!$A$2:$BZ$20001,0,$B$20),$B$4,INDEX(ALGO!$A$2:$BZ$20001,0,$B$18),$A43,INDEX(ALGO!$A$2:$BZ$20001,0,AF$29),"&lt;&gt;"))</f>
        <v/>
      </c>
      <c r="AG65" s="22">
        <f>IF(OR($A43="",AG$29=""),0,COUNTIFS(INDEX(ALGO!$A$2:$BZ$20001,0,$B$19),$B$1,INDEX(ALGO!$A$2:$BZ$20001,0,$B$20),$B$4,INDEX(ALGO!$A$2:$BZ$20001,0,$B$18),$A43,INDEX(ALGO!$A$2:$BZ$20001,0,AG$29),"&lt;&gt;"))</f>
        <v/>
      </c>
      <c r="AH65" s="22">
        <f>IF(OR($A43="",AH$29=""),0,COUNTIFS(INDEX(ALGO!$A$2:$BZ$20001,0,$B$19),$B$1,INDEX(ALGO!$A$2:$BZ$20001,0,$B$20),$B$4,INDEX(ALGO!$A$2:$BZ$20001,0,$B$18),$A43,INDEX(ALGO!$A$2:$BZ$20001,0,AH$29),"&lt;&gt;"))</f>
        <v/>
      </c>
      <c r="AI65" s="22">
        <f>IF(OR($A43="",AI$29=""),0,COUNTIFS(INDEX(ALGO!$A$2:$BZ$20001,0,$B$19),$B$1,INDEX(ALGO!$A$2:$BZ$20001,0,$B$20),$B$4,INDEX(ALGO!$A$2:$BZ$20001,0,$B$18),$A43,INDEX(ALGO!$A$2:$BZ$20001,0,AI$29),"&lt;&gt;"))</f>
        <v/>
      </c>
      <c r="AJ65" s="22">
        <f>IF(OR($A43="",AJ$29=""),0,COUNTIFS(INDEX(ALGO!$A$2:$BZ$20001,0,$B$19),$B$1,INDEX(ALGO!$A$2:$BZ$20001,0,$B$20),$B$4,INDEX(ALGO!$A$2:$BZ$20001,0,$B$18),$A43,INDEX(ALGO!$A$2:$BZ$20001,0,AJ$29),"&lt;&gt;"))</f>
        <v/>
      </c>
      <c r="AK65" s="22">
        <f>IF(OR($A43="",AK$29=""),0,COUNTIFS(INDEX(ALGO!$A$2:$BZ$20001,0,$B$19),$B$1,INDEX(ALGO!$A$2:$BZ$20001,0,$B$20),$B$4,INDEX(ALGO!$A$2:$BZ$20001,0,$B$18),$A43,INDEX(ALGO!$A$2:$BZ$20001,0,AK$29),"&lt;&gt;"))</f>
        <v/>
      </c>
      <c r="AL65" s="22">
        <f>IF(OR($A43="",AL$29=""),0,COUNTIFS(INDEX(ALGO!$A$2:$BZ$20001,0,$B$19),$B$1,INDEX(ALGO!$A$2:$BZ$20001,0,$B$20),$B$4,INDEX(ALGO!$A$2:$BZ$20001,0,$B$18),$A43,INDEX(ALGO!$A$2:$BZ$20001,0,AL$29),"&lt;&gt;"))</f>
        <v/>
      </c>
      <c r="AM65" s="22">
        <f>IF(OR($A43="",AM$29=""),0,COUNTIFS(INDEX(ALGO!$A$2:$BZ$20001,0,$B$19),$B$1,INDEX(ALGO!$A$2:$BZ$20001,0,$B$20),$B$4,INDEX(ALGO!$A$2:$BZ$20001,0,$B$18),$A43,INDEX(ALGO!$A$2:$BZ$20001,0,AM$29),"&lt;&gt;"))</f>
        <v/>
      </c>
    </row>
    <row r="66">
      <c r="D66" s="22">
        <f>IF(OR($A44="",D$29=""),0,COUNTIFS(INDEX(ALGO!$A$2:$BZ$20001,0,$B$19),$B$1,INDEX(ALGO!$A$2:$BZ$20001,0,$B$20),$B$4,INDEX(ALGO!$A$2:$BZ$20001,0,$B$18),$A44,INDEX(ALGO!$A$2:$BZ$20001,0,D$29),"&lt;&gt;"))</f>
        <v/>
      </c>
      <c r="E66" s="22">
        <f>IF(OR($A44="",E$29=""),0,COUNTIFS(INDEX(ALGO!$A$2:$BZ$20001,0,$B$19),$B$1,INDEX(ALGO!$A$2:$BZ$20001,0,$B$20),$B$4,INDEX(ALGO!$A$2:$BZ$20001,0,$B$18),$A44,INDEX(ALGO!$A$2:$BZ$20001,0,E$29),"&lt;&gt;"))</f>
        <v/>
      </c>
      <c r="F66" s="22">
        <f>IF(OR($A44="",F$29=""),0,COUNTIFS(INDEX(ALGO!$A$2:$BZ$20001,0,$B$19),$B$1,INDEX(ALGO!$A$2:$BZ$20001,0,$B$20),$B$4,INDEX(ALGO!$A$2:$BZ$20001,0,$B$18),$A44,INDEX(ALGO!$A$2:$BZ$20001,0,F$29),"&lt;&gt;"))</f>
        <v/>
      </c>
      <c r="G66" s="22">
        <f>IF(OR($A44="",G$29=""),0,COUNTIFS(INDEX(ALGO!$A$2:$BZ$20001,0,$B$19),$B$1,INDEX(ALGO!$A$2:$BZ$20001,0,$B$20),$B$4,INDEX(ALGO!$A$2:$BZ$20001,0,$B$18),$A44,INDEX(ALGO!$A$2:$BZ$20001,0,G$29),"&lt;&gt;"))</f>
        <v/>
      </c>
      <c r="H66" s="22">
        <f>IF(OR($A44="",H$29=""),0,COUNTIFS(INDEX(ALGO!$A$2:$BZ$20001,0,$B$19),$B$1,INDEX(ALGO!$A$2:$BZ$20001,0,$B$20),$B$4,INDEX(ALGO!$A$2:$BZ$20001,0,$B$18),$A44,INDEX(ALGO!$A$2:$BZ$20001,0,H$29),"&lt;&gt;"))</f>
        <v/>
      </c>
      <c r="I66" s="22">
        <f>IF(OR($A44="",I$29=""),0,COUNTIFS(INDEX(ALGO!$A$2:$BZ$20001,0,$B$19),$B$1,INDEX(ALGO!$A$2:$BZ$20001,0,$B$20),$B$4,INDEX(ALGO!$A$2:$BZ$20001,0,$B$18),$A44,INDEX(ALGO!$A$2:$BZ$20001,0,I$29),"&lt;&gt;"))</f>
        <v/>
      </c>
      <c r="J66" s="22">
        <f>IF(OR($A44="",J$29=""),0,COUNTIFS(INDEX(ALGO!$A$2:$BZ$20001,0,$B$19),$B$1,INDEX(ALGO!$A$2:$BZ$20001,0,$B$20),$B$4,INDEX(ALGO!$A$2:$BZ$20001,0,$B$18),$A44,INDEX(ALGO!$A$2:$BZ$20001,0,J$29),"&lt;&gt;"))</f>
        <v/>
      </c>
      <c r="K66" s="22">
        <f>IF(OR($A44="",K$29=""),0,COUNTIFS(INDEX(ALGO!$A$2:$BZ$20001,0,$B$19),$B$1,INDEX(ALGO!$A$2:$BZ$20001,0,$B$20),$B$4,INDEX(ALGO!$A$2:$BZ$20001,0,$B$18),$A44,INDEX(ALGO!$A$2:$BZ$20001,0,K$29),"&lt;&gt;"))</f>
        <v/>
      </c>
      <c r="L66" s="22">
        <f>IF(OR($A44="",L$29=""),0,COUNTIFS(INDEX(ALGO!$A$2:$BZ$20001,0,$B$19),$B$1,INDEX(ALGO!$A$2:$BZ$20001,0,$B$20),$B$4,INDEX(ALGO!$A$2:$BZ$20001,0,$B$18),$A44,INDEX(ALGO!$A$2:$BZ$20001,0,L$29),"&lt;&gt;"))</f>
        <v/>
      </c>
      <c r="M66" s="22">
        <f>IF(OR($A44="",M$29=""),0,COUNTIFS(INDEX(ALGO!$A$2:$BZ$20001,0,$B$19),$B$1,INDEX(ALGO!$A$2:$BZ$20001,0,$B$20),$B$4,INDEX(ALGO!$A$2:$BZ$20001,0,$B$18),$A44,INDEX(ALGO!$A$2:$BZ$20001,0,M$29),"&lt;&gt;"))</f>
        <v/>
      </c>
      <c r="N66" s="22">
        <f>IF(OR($A44="",N$29=""),0,COUNTIFS(INDEX(ALGO!$A$2:$BZ$20001,0,$B$19),$B$1,INDEX(ALGO!$A$2:$BZ$20001,0,$B$20),$B$4,INDEX(ALGO!$A$2:$BZ$20001,0,$B$18),$A44,INDEX(ALGO!$A$2:$BZ$20001,0,N$29),"&lt;&gt;"))</f>
        <v/>
      </c>
      <c r="O66" s="22">
        <f>IF(OR($A44="",O$29=""),0,COUNTIFS(INDEX(ALGO!$A$2:$BZ$20001,0,$B$19),$B$1,INDEX(ALGO!$A$2:$BZ$20001,0,$B$20),$B$4,INDEX(ALGO!$A$2:$BZ$20001,0,$B$18),$A44,INDEX(ALGO!$A$2:$BZ$20001,0,O$29),"&lt;&gt;"))</f>
        <v/>
      </c>
      <c r="P66" s="22">
        <f>IF(OR($A44="",P$29=""),0,COUNTIFS(INDEX(ALGO!$A$2:$BZ$20001,0,$B$19),$B$1,INDEX(ALGO!$A$2:$BZ$20001,0,$B$20),$B$4,INDEX(ALGO!$A$2:$BZ$20001,0,$B$18),$A44,INDEX(ALGO!$A$2:$BZ$20001,0,P$29),"&lt;&gt;"))</f>
        <v/>
      </c>
      <c r="Q66" s="22">
        <f>IF(OR($A44="",Q$29=""),0,COUNTIFS(INDEX(ALGO!$A$2:$BZ$20001,0,$B$19),$B$1,INDEX(ALGO!$A$2:$BZ$20001,0,$B$20),$B$4,INDEX(ALGO!$A$2:$BZ$20001,0,$B$18),$A44,INDEX(ALGO!$A$2:$BZ$20001,0,Q$29),"&lt;&gt;"))</f>
        <v/>
      </c>
      <c r="R66" s="22">
        <f>IF(OR($A44="",R$29=""),0,COUNTIFS(INDEX(ALGO!$A$2:$BZ$20001,0,$B$19),$B$1,INDEX(ALGO!$A$2:$BZ$20001,0,$B$20),$B$4,INDEX(ALGO!$A$2:$BZ$20001,0,$B$18),$A44,INDEX(ALGO!$A$2:$BZ$20001,0,R$29),"&lt;&gt;"))</f>
        <v/>
      </c>
      <c r="S66" s="22">
        <f>IF(OR($A44="",S$29=""),0,COUNTIFS(INDEX(ALGO!$A$2:$BZ$20001,0,$B$19),$B$1,INDEX(ALGO!$A$2:$BZ$20001,0,$B$20),$B$4,INDEX(ALGO!$A$2:$BZ$20001,0,$B$18),$A44,INDEX(ALGO!$A$2:$BZ$20001,0,S$29),"&lt;&gt;"))</f>
        <v/>
      </c>
      <c r="T66" s="22">
        <f>IF(OR($A44="",T$29=""),0,COUNTIFS(INDEX(ALGO!$A$2:$BZ$20001,0,$B$19),$B$1,INDEX(ALGO!$A$2:$BZ$20001,0,$B$20),$B$4,INDEX(ALGO!$A$2:$BZ$20001,0,$B$18),$A44,INDEX(ALGO!$A$2:$BZ$20001,0,T$29),"&lt;&gt;"))</f>
        <v/>
      </c>
      <c r="U66" s="22">
        <f>IF(OR($A44="",U$29=""),0,COUNTIFS(INDEX(ALGO!$A$2:$BZ$20001,0,$B$19),$B$1,INDEX(ALGO!$A$2:$BZ$20001,0,$B$20),$B$4,INDEX(ALGO!$A$2:$BZ$20001,0,$B$18),$A44,INDEX(ALGO!$A$2:$BZ$20001,0,U$29),"&lt;&gt;"))</f>
        <v/>
      </c>
      <c r="V66" s="22">
        <f>IF(OR($A44="",V$29=""),0,COUNTIFS(INDEX(ALGO!$A$2:$BZ$20001,0,$B$19),$B$1,INDEX(ALGO!$A$2:$BZ$20001,0,$B$20),$B$4,INDEX(ALGO!$A$2:$BZ$20001,0,$B$18),$A44,INDEX(ALGO!$A$2:$BZ$20001,0,V$29),"&lt;&gt;"))</f>
        <v/>
      </c>
      <c r="W66" s="22">
        <f>IF(OR($A44="",W$29=""),0,COUNTIFS(INDEX(ALGO!$A$2:$BZ$20001,0,$B$19),$B$1,INDEX(ALGO!$A$2:$BZ$20001,0,$B$20),$B$4,INDEX(ALGO!$A$2:$BZ$20001,0,$B$18),$A44,INDEX(ALGO!$A$2:$BZ$20001,0,W$29),"&lt;&gt;"))</f>
        <v/>
      </c>
      <c r="X66" s="22">
        <f>IF(OR($A44="",X$29=""),0,COUNTIFS(INDEX(ALGO!$A$2:$BZ$20001,0,$B$19),$B$1,INDEX(ALGO!$A$2:$BZ$20001,0,$B$20),$B$4,INDEX(ALGO!$A$2:$BZ$20001,0,$B$18),$A44,INDEX(ALGO!$A$2:$BZ$20001,0,X$29),"&lt;&gt;"))</f>
        <v/>
      </c>
      <c r="Y66" s="22">
        <f>IF(OR($A44="",Y$29=""),0,COUNTIFS(INDEX(ALGO!$A$2:$BZ$20001,0,$B$19),$B$1,INDEX(ALGO!$A$2:$BZ$20001,0,$B$20),$B$4,INDEX(ALGO!$A$2:$BZ$20001,0,$B$18),$A44,INDEX(ALGO!$A$2:$BZ$20001,0,Y$29),"&lt;&gt;"))</f>
        <v/>
      </c>
      <c r="Z66" s="22">
        <f>IF(OR($A44="",Z$29=""),0,COUNTIFS(INDEX(ALGO!$A$2:$BZ$20001,0,$B$19),$B$1,INDEX(ALGO!$A$2:$BZ$20001,0,$B$20),$B$4,INDEX(ALGO!$A$2:$BZ$20001,0,$B$18),$A44,INDEX(ALGO!$A$2:$BZ$20001,0,Z$29),"&lt;&gt;"))</f>
        <v/>
      </c>
      <c r="AA66" s="22">
        <f>IF(OR($A44="",AA$29=""),0,COUNTIFS(INDEX(ALGO!$A$2:$BZ$20001,0,$B$19),$B$1,INDEX(ALGO!$A$2:$BZ$20001,0,$B$20),$B$4,INDEX(ALGO!$A$2:$BZ$20001,0,$B$18),$A44,INDEX(ALGO!$A$2:$BZ$20001,0,AA$29),"&lt;&gt;"))</f>
        <v/>
      </c>
      <c r="AB66" s="22">
        <f>IF(OR($A44="",AB$29=""),0,COUNTIFS(INDEX(ALGO!$A$2:$BZ$20001,0,$B$19),$B$1,INDEX(ALGO!$A$2:$BZ$20001,0,$B$20),$B$4,INDEX(ALGO!$A$2:$BZ$20001,0,$B$18),$A44,INDEX(ALGO!$A$2:$BZ$20001,0,AB$29),"&lt;&gt;"))</f>
        <v/>
      </c>
      <c r="AC66" s="22">
        <f>IF(OR($A44="",AC$29=""),0,COUNTIFS(INDEX(ALGO!$A$2:$BZ$20001,0,$B$19),$B$1,INDEX(ALGO!$A$2:$BZ$20001,0,$B$20),$B$4,INDEX(ALGO!$A$2:$BZ$20001,0,$B$18),$A44,INDEX(ALGO!$A$2:$BZ$20001,0,AC$29),"&lt;&gt;"))</f>
        <v/>
      </c>
      <c r="AD66" s="22">
        <f>IF(OR($A44="",AD$29=""),0,COUNTIFS(INDEX(ALGO!$A$2:$BZ$20001,0,$B$19),$B$1,INDEX(ALGO!$A$2:$BZ$20001,0,$B$20),$B$4,INDEX(ALGO!$A$2:$BZ$20001,0,$B$18),$A44,INDEX(ALGO!$A$2:$BZ$20001,0,AD$29),"&lt;&gt;"))</f>
        <v/>
      </c>
      <c r="AE66" s="22">
        <f>IF(OR($A44="",AE$29=""),0,COUNTIFS(INDEX(ALGO!$A$2:$BZ$20001,0,$B$19),$B$1,INDEX(ALGO!$A$2:$BZ$20001,0,$B$20),$B$4,INDEX(ALGO!$A$2:$BZ$20001,0,$B$18),$A44,INDEX(ALGO!$A$2:$BZ$20001,0,AE$29),"&lt;&gt;"))</f>
        <v/>
      </c>
      <c r="AF66" s="22">
        <f>IF(OR($A44="",AF$29=""),0,COUNTIFS(INDEX(ALGO!$A$2:$BZ$20001,0,$B$19),$B$1,INDEX(ALGO!$A$2:$BZ$20001,0,$B$20),$B$4,INDEX(ALGO!$A$2:$BZ$20001,0,$B$18),$A44,INDEX(ALGO!$A$2:$BZ$20001,0,AF$29),"&lt;&gt;"))</f>
        <v/>
      </c>
      <c r="AG66" s="22">
        <f>IF(OR($A44="",AG$29=""),0,COUNTIFS(INDEX(ALGO!$A$2:$BZ$20001,0,$B$19),$B$1,INDEX(ALGO!$A$2:$BZ$20001,0,$B$20),$B$4,INDEX(ALGO!$A$2:$BZ$20001,0,$B$18),$A44,INDEX(ALGO!$A$2:$BZ$20001,0,AG$29),"&lt;&gt;"))</f>
        <v/>
      </c>
      <c r="AH66" s="22">
        <f>IF(OR($A44="",AH$29=""),0,COUNTIFS(INDEX(ALGO!$A$2:$BZ$20001,0,$B$19),$B$1,INDEX(ALGO!$A$2:$BZ$20001,0,$B$20),$B$4,INDEX(ALGO!$A$2:$BZ$20001,0,$B$18),$A44,INDEX(ALGO!$A$2:$BZ$20001,0,AH$29),"&lt;&gt;"))</f>
        <v/>
      </c>
      <c r="AI66" s="22">
        <f>IF(OR($A44="",AI$29=""),0,COUNTIFS(INDEX(ALGO!$A$2:$BZ$20001,0,$B$19),$B$1,INDEX(ALGO!$A$2:$BZ$20001,0,$B$20),$B$4,INDEX(ALGO!$A$2:$BZ$20001,0,$B$18),$A44,INDEX(ALGO!$A$2:$BZ$20001,0,AI$29),"&lt;&gt;"))</f>
        <v/>
      </c>
      <c r="AJ66" s="22">
        <f>IF(OR($A44="",AJ$29=""),0,COUNTIFS(INDEX(ALGO!$A$2:$BZ$20001,0,$B$19),$B$1,INDEX(ALGO!$A$2:$BZ$20001,0,$B$20),$B$4,INDEX(ALGO!$A$2:$BZ$20001,0,$B$18),$A44,INDEX(ALGO!$A$2:$BZ$20001,0,AJ$29),"&lt;&gt;"))</f>
        <v/>
      </c>
      <c r="AK66" s="22">
        <f>IF(OR($A44="",AK$29=""),0,COUNTIFS(INDEX(ALGO!$A$2:$BZ$20001,0,$B$19),$B$1,INDEX(ALGO!$A$2:$BZ$20001,0,$B$20),$B$4,INDEX(ALGO!$A$2:$BZ$20001,0,$B$18),$A44,INDEX(ALGO!$A$2:$BZ$20001,0,AK$29),"&lt;&gt;"))</f>
        <v/>
      </c>
      <c r="AL66" s="22">
        <f>IF(OR($A44="",AL$29=""),0,COUNTIFS(INDEX(ALGO!$A$2:$BZ$20001,0,$B$19),$B$1,INDEX(ALGO!$A$2:$BZ$20001,0,$B$20),$B$4,INDEX(ALGO!$A$2:$BZ$20001,0,$B$18),$A44,INDEX(ALGO!$A$2:$BZ$20001,0,AL$29),"&lt;&gt;"))</f>
        <v/>
      </c>
      <c r="AM66" s="22">
        <f>IF(OR($A44="",AM$29=""),0,COUNTIFS(INDEX(ALGO!$A$2:$BZ$20001,0,$B$19),$B$1,INDEX(ALGO!$A$2:$BZ$20001,0,$B$20),$B$4,INDEX(ALGO!$A$2:$BZ$20001,0,$B$18),$A44,INDEX(ALGO!$A$2:$BZ$20001,0,AM$29),"&lt;&gt;"))</f>
        <v/>
      </c>
    </row>
    <row r="67">
      <c r="D67" s="22">
        <f>IF(OR($A45="",D$29=""),0,COUNTIFS(INDEX(ALGO!$A$2:$BZ$20001,0,$B$19),$B$1,INDEX(ALGO!$A$2:$BZ$20001,0,$B$20),$B$4,INDEX(ALGO!$A$2:$BZ$20001,0,$B$18),$A45,INDEX(ALGO!$A$2:$BZ$20001,0,D$29),"&lt;&gt;"))</f>
        <v/>
      </c>
      <c r="E67" s="22">
        <f>IF(OR($A45="",E$29=""),0,COUNTIFS(INDEX(ALGO!$A$2:$BZ$20001,0,$B$19),$B$1,INDEX(ALGO!$A$2:$BZ$20001,0,$B$20),$B$4,INDEX(ALGO!$A$2:$BZ$20001,0,$B$18),$A45,INDEX(ALGO!$A$2:$BZ$20001,0,E$29),"&lt;&gt;"))</f>
        <v/>
      </c>
      <c r="F67" s="22">
        <f>IF(OR($A45="",F$29=""),0,COUNTIFS(INDEX(ALGO!$A$2:$BZ$20001,0,$B$19),$B$1,INDEX(ALGO!$A$2:$BZ$20001,0,$B$20),$B$4,INDEX(ALGO!$A$2:$BZ$20001,0,$B$18),$A45,INDEX(ALGO!$A$2:$BZ$20001,0,F$29),"&lt;&gt;"))</f>
        <v/>
      </c>
      <c r="G67" s="22">
        <f>IF(OR($A45="",G$29=""),0,COUNTIFS(INDEX(ALGO!$A$2:$BZ$20001,0,$B$19),$B$1,INDEX(ALGO!$A$2:$BZ$20001,0,$B$20),$B$4,INDEX(ALGO!$A$2:$BZ$20001,0,$B$18),$A45,INDEX(ALGO!$A$2:$BZ$20001,0,G$29),"&lt;&gt;"))</f>
        <v/>
      </c>
      <c r="H67" s="22">
        <f>IF(OR($A45="",H$29=""),0,COUNTIFS(INDEX(ALGO!$A$2:$BZ$20001,0,$B$19),$B$1,INDEX(ALGO!$A$2:$BZ$20001,0,$B$20),$B$4,INDEX(ALGO!$A$2:$BZ$20001,0,$B$18),$A45,INDEX(ALGO!$A$2:$BZ$20001,0,H$29),"&lt;&gt;"))</f>
        <v/>
      </c>
      <c r="I67" s="22">
        <f>IF(OR($A45="",I$29=""),0,COUNTIFS(INDEX(ALGO!$A$2:$BZ$20001,0,$B$19),$B$1,INDEX(ALGO!$A$2:$BZ$20001,0,$B$20),$B$4,INDEX(ALGO!$A$2:$BZ$20001,0,$B$18),$A45,INDEX(ALGO!$A$2:$BZ$20001,0,I$29),"&lt;&gt;"))</f>
        <v/>
      </c>
      <c r="J67" s="22">
        <f>IF(OR($A45="",J$29=""),0,COUNTIFS(INDEX(ALGO!$A$2:$BZ$20001,0,$B$19),$B$1,INDEX(ALGO!$A$2:$BZ$20001,0,$B$20),$B$4,INDEX(ALGO!$A$2:$BZ$20001,0,$B$18),$A45,INDEX(ALGO!$A$2:$BZ$20001,0,J$29),"&lt;&gt;"))</f>
        <v/>
      </c>
      <c r="K67" s="22">
        <f>IF(OR($A45="",K$29=""),0,COUNTIFS(INDEX(ALGO!$A$2:$BZ$20001,0,$B$19),$B$1,INDEX(ALGO!$A$2:$BZ$20001,0,$B$20),$B$4,INDEX(ALGO!$A$2:$BZ$20001,0,$B$18),$A45,INDEX(ALGO!$A$2:$BZ$20001,0,K$29),"&lt;&gt;"))</f>
        <v/>
      </c>
      <c r="L67" s="22">
        <f>IF(OR($A45="",L$29=""),0,COUNTIFS(INDEX(ALGO!$A$2:$BZ$20001,0,$B$19),$B$1,INDEX(ALGO!$A$2:$BZ$20001,0,$B$20),$B$4,INDEX(ALGO!$A$2:$BZ$20001,0,$B$18),$A45,INDEX(ALGO!$A$2:$BZ$20001,0,L$29),"&lt;&gt;"))</f>
        <v/>
      </c>
      <c r="M67" s="22">
        <f>IF(OR($A45="",M$29=""),0,COUNTIFS(INDEX(ALGO!$A$2:$BZ$20001,0,$B$19),$B$1,INDEX(ALGO!$A$2:$BZ$20001,0,$B$20),$B$4,INDEX(ALGO!$A$2:$BZ$20001,0,$B$18),$A45,INDEX(ALGO!$A$2:$BZ$20001,0,M$29),"&lt;&gt;"))</f>
        <v/>
      </c>
      <c r="N67" s="22">
        <f>IF(OR($A45="",N$29=""),0,COUNTIFS(INDEX(ALGO!$A$2:$BZ$20001,0,$B$19),$B$1,INDEX(ALGO!$A$2:$BZ$20001,0,$B$20),$B$4,INDEX(ALGO!$A$2:$BZ$20001,0,$B$18),$A45,INDEX(ALGO!$A$2:$BZ$20001,0,N$29),"&lt;&gt;"))</f>
        <v/>
      </c>
      <c r="O67" s="22">
        <f>IF(OR($A45="",O$29=""),0,COUNTIFS(INDEX(ALGO!$A$2:$BZ$20001,0,$B$19),$B$1,INDEX(ALGO!$A$2:$BZ$20001,0,$B$20),$B$4,INDEX(ALGO!$A$2:$BZ$20001,0,$B$18),$A45,INDEX(ALGO!$A$2:$BZ$20001,0,O$29),"&lt;&gt;"))</f>
        <v/>
      </c>
      <c r="P67" s="22">
        <f>IF(OR($A45="",P$29=""),0,COUNTIFS(INDEX(ALGO!$A$2:$BZ$20001,0,$B$19),$B$1,INDEX(ALGO!$A$2:$BZ$20001,0,$B$20),$B$4,INDEX(ALGO!$A$2:$BZ$20001,0,$B$18),$A45,INDEX(ALGO!$A$2:$BZ$20001,0,P$29),"&lt;&gt;"))</f>
        <v/>
      </c>
      <c r="Q67" s="22">
        <f>IF(OR($A45="",Q$29=""),0,COUNTIFS(INDEX(ALGO!$A$2:$BZ$20001,0,$B$19),$B$1,INDEX(ALGO!$A$2:$BZ$20001,0,$B$20),$B$4,INDEX(ALGO!$A$2:$BZ$20001,0,$B$18),$A45,INDEX(ALGO!$A$2:$BZ$20001,0,Q$29),"&lt;&gt;"))</f>
        <v/>
      </c>
      <c r="R67" s="22">
        <f>IF(OR($A45="",R$29=""),0,COUNTIFS(INDEX(ALGO!$A$2:$BZ$20001,0,$B$19),$B$1,INDEX(ALGO!$A$2:$BZ$20001,0,$B$20),$B$4,INDEX(ALGO!$A$2:$BZ$20001,0,$B$18),$A45,INDEX(ALGO!$A$2:$BZ$20001,0,R$29),"&lt;&gt;"))</f>
        <v/>
      </c>
      <c r="S67" s="22">
        <f>IF(OR($A45="",S$29=""),0,COUNTIFS(INDEX(ALGO!$A$2:$BZ$20001,0,$B$19),$B$1,INDEX(ALGO!$A$2:$BZ$20001,0,$B$20),$B$4,INDEX(ALGO!$A$2:$BZ$20001,0,$B$18),$A45,INDEX(ALGO!$A$2:$BZ$20001,0,S$29),"&lt;&gt;"))</f>
        <v/>
      </c>
      <c r="T67" s="22">
        <f>IF(OR($A45="",T$29=""),0,COUNTIFS(INDEX(ALGO!$A$2:$BZ$20001,0,$B$19),$B$1,INDEX(ALGO!$A$2:$BZ$20001,0,$B$20),$B$4,INDEX(ALGO!$A$2:$BZ$20001,0,$B$18),$A45,INDEX(ALGO!$A$2:$BZ$20001,0,T$29),"&lt;&gt;"))</f>
        <v/>
      </c>
      <c r="U67" s="22">
        <f>IF(OR($A45="",U$29=""),0,COUNTIFS(INDEX(ALGO!$A$2:$BZ$20001,0,$B$19),$B$1,INDEX(ALGO!$A$2:$BZ$20001,0,$B$20),$B$4,INDEX(ALGO!$A$2:$BZ$20001,0,$B$18),$A45,INDEX(ALGO!$A$2:$BZ$20001,0,U$29),"&lt;&gt;"))</f>
        <v/>
      </c>
      <c r="V67" s="22">
        <f>IF(OR($A45="",V$29=""),0,COUNTIFS(INDEX(ALGO!$A$2:$BZ$20001,0,$B$19),$B$1,INDEX(ALGO!$A$2:$BZ$20001,0,$B$20),$B$4,INDEX(ALGO!$A$2:$BZ$20001,0,$B$18),$A45,INDEX(ALGO!$A$2:$BZ$20001,0,V$29),"&lt;&gt;"))</f>
        <v/>
      </c>
      <c r="W67" s="22">
        <f>IF(OR($A45="",W$29=""),0,COUNTIFS(INDEX(ALGO!$A$2:$BZ$20001,0,$B$19),$B$1,INDEX(ALGO!$A$2:$BZ$20001,0,$B$20),$B$4,INDEX(ALGO!$A$2:$BZ$20001,0,$B$18),$A45,INDEX(ALGO!$A$2:$BZ$20001,0,W$29),"&lt;&gt;"))</f>
        <v/>
      </c>
      <c r="X67" s="22">
        <f>IF(OR($A45="",X$29=""),0,COUNTIFS(INDEX(ALGO!$A$2:$BZ$20001,0,$B$19),$B$1,INDEX(ALGO!$A$2:$BZ$20001,0,$B$20),$B$4,INDEX(ALGO!$A$2:$BZ$20001,0,$B$18),$A45,INDEX(ALGO!$A$2:$BZ$20001,0,X$29),"&lt;&gt;"))</f>
        <v/>
      </c>
      <c r="Y67" s="22">
        <f>IF(OR($A45="",Y$29=""),0,COUNTIFS(INDEX(ALGO!$A$2:$BZ$20001,0,$B$19),$B$1,INDEX(ALGO!$A$2:$BZ$20001,0,$B$20),$B$4,INDEX(ALGO!$A$2:$BZ$20001,0,$B$18),$A45,INDEX(ALGO!$A$2:$BZ$20001,0,Y$29),"&lt;&gt;"))</f>
        <v/>
      </c>
      <c r="Z67" s="22">
        <f>IF(OR($A45="",Z$29=""),0,COUNTIFS(INDEX(ALGO!$A$2:$BZ$20001,0,$B$19),$B$1,INDEX(ALGO!$A$2:$BZ$20001,0,$B$20),$B$4,INDEX(ALGO!$A$2:$BZ$20001,0,$B$18),$A45,INDEX(ALGO!$A$2:$BZ$20001,0,Z$29),"&lt;&gt;"))</f>
        <v/>
      </c>
      <c r="AA67" s="22">
        <f>IF(OR($A45="",AA$29=""),0,COUNTIFS(INDEX(ALGO!$A$2:$BZ$20001,0,$B$19),$B$1,INDEX(ALGO!$A$2:$BZ$20001,0,$B$20),$B$4,INDEX(ALGO!$A$2:$BZ$20001,0,$B$18),$A45,INDEX(ALGO!$A$2:$BZ$20001,0,AA$29),"&lt;&gt;"))</f>
        <v/>
      </c>
      <c r="AB67" s="22">
        <f>IF(OR($A45="",AB$29=""),0,COUNTIFS(INDEX(ALGO!$A$2:$BZ$20001,0,$B$19),$B$1,INDEX(ALGO!$A$2:$BZ$20001,0,$B$20),$B$4,INDEX(ALGO!$A$2:$BZ$20001,0,$B$18),$A45,INDEX(ALGO!$A$2:$BZ$20001,0,AB$29),"&lt;&gt;"))</f>
        <v/>
      </c>
      <c r="AC67" s="22">
        <f>IF(OR($A45="",AC$29=""),0,COUNTIFS(INDEX(ALGO!$A$2:$BZ$20001,0,$B$19),$B$1,INDEX(ALGO!$A$2:$BZ$20001,0,$B$20),$B$4,INDEX(ALGO!$A$2:$BZ$20001,0,$B$18),$A45,INDEX(ALGO!$A$2:$BZ$20001,0,AC$29),"&lt;&gt;"))</f>
        <v/>
      </c>
      <c r="AD67" s="22">
        <f>IF(OR($A45="",AD$29=""),0,COUNTIFS(INDEX(ALGO!$A$2:$BZ$20001,0,$B$19),$B$1,INDEX(ALGO!$A$2:$BZ$20001,0,$B$20),$B$4,INDEX(ALGO!$A$2:$BZ$20001,0,$B$18),$A45,INDEX(ALGO!$A$2:$BZ$20001,0,AD$29),"&lt;&gt;"))</f>
        <v/>
      </c>
      <c r="AE67" s="22">
        <f>IF(OR($A45="",AE$29=""),0,COUNTIFS(INDEX(ALGO!$A$2:$BZ$20001,0,$B$19),$B$1,INDEX(ALGO!$A$2:$BZ$20001,0,$B$20),$B$4,INDEX(ALGO!$A$2:$BZ$20001,0,$B$18),$A45,INDEX(ALGO!$A$2:$BZ$20001,0,AE$29),"&lt;&gt;"))</f>
        <v/>
      </c>
      <c r="AF67" s="22">
        <f>IF(OR($A45="",AF$29=""),0,COUNTIFS(INDEX(ALGO!$A$2:$BZ$20001,0,$B$19),$B$1,INDEX(ALGO!$A$2:$BZ$20001,0,$B$20),$B$4,INDEX(ALGO!$A$2:$BZ$20001,0,$B$18),$A45,INDEX(ALGO!$A$2:$BZ$20001,0,AF$29),"&lt;&gt;"))</f>
        <v/>
      </c>
      <c r="AG67" s="22">
        <f>IF(OR($A45="",AG$29=""),0,COUNTIFS(INDEX(ALGO!$A$2:$BZ$20001,0,$B$19),$B$1,INDEX(ALGO!$A$2:$BZ$20001,0,$B$20),$B$4,INDEX(ALGO!$A$2:$BZ$20001,0,$B$18),$A45,INDEX(ALGO!$A$2:$BZ$20001,0,AG$29),"&lt;&gt;"))</f>
        <v/>
      </c>
      <c r="AH67" s="22">
        <f>IF(OR($A45="",AH$29=""),0,COUNTIFS(INDEX(ALGO!$A$2:$BZ$20001,0,$B$19),$B$1,INDEX(ALGO!$A$2:$BZ$20001,0,$B$20),$B$4,INDEX(ALGO!$A$2:$BZ$20001,0,$B$18),$A45,INDEX(ALGO!$A$2:$BZ$20001,0,AH$29),"&lt;&gt;"))</f>
        <v/>
      </c>
      <c r="AI67" s="22">
        <f>IF(OR($A45="",AI$29=""),0,COUNTIFS(INDEX(ALGO!$A$2:$BZ$20001,0,$B$19),$B$1,INDEX(ALGO!$A$2:$BZ$20001,0,$B$20),$B$4,INDEX(ALGO!$A$2:$BZ$20001,0,$B$18),$A45,INDEX(ALGO!$A$2:$BZ$20001,0,AI$29),"&lt;&gt;"))</f>
        <v/>
      </c>
      <c r="AJ67" s="22">
        <f>IF(OR($A45="",AJ$29=""),0,COUNTIFS(INDEX(ALGO!$A$2:$BZ$20001,0,$B$19),$B$1,INDEX(ALGO!$A$2:$BZ$20001,0,$B$20),$B$4,INDEX(ALGO!$A$2:$BZ$20001,0,$B$18),$A45,INDEX(ALGO!$A$2:$BZ$20001,0,AJ$29),"&lt;&gt;"))</f>
        <v/>
      </c>
      <c r="AK67" s="22">
        <f>IF(OR($A45="",AK$29=""),0,COUNTIFS(INDEX(ALGO!$A$2:$BZ$20001,0,$B$19),$B$1,INDEX(ALGO!$A$2:$BZ$20001,0,$B$20),$B$4,INDEX(ALGO!$A$2:$BZ$20001,0,$B$18),$A45,INDEX(ALGO!$A$2:$BZ$20001,0,AK$29),"&lt;&gt;"))</f>
        <v/>
      </c>
      <c r="AL67" s="22">
        <f>IF(OR($A45="",AL$29=""),0,COUNTIFS(INDEX(ALGO!$A$2:$BZ$20001,0,$B$19),$B$1,INDEX(ALGO!$A$2:$BZ$20001,0,$B$20),$B$4,INDEX(ALGO!$A$2:$BZ$20001,0,$B$18),$A45,INDEX(ALGO!$A$2:$BZ$20001,0,AL$29),"&lt;&gt;"))</f>
        <v/>
      </c>
      <c r="AM67" s="22">
        <f>IF(OR($A45="",AM$29=""),0,COUNTIFS(INDEX(ALGO!$A$2:$BZ$20001,0,$B$19),$B$1,INDEX(ALGO!$A$2:$BZ$20001,0,$B$20),$B$4,INDEX(ALGO!$A$2:$BZ$20001,0,$B$18),$A45,INDEX(ALGO!$A$2:$BZ$20001,0,AM$29),"&lt;&gt;"))</f>
        <v/>
      </c>
    </row>
    <row r="68">
      <c r="D68" s="22">
        <f>IF(OR($A46="",D$29=""),0,COUNTIFS(INDEX(ALGO!$A$2:$BZ$20001,0,$B$19),$B$1,INDEX(ALGO!$A$2:$BZ$20001,0,$B$20),$B$4,INDEX(ALGO!$A$2:$BZ$20001,0,$B$18),$A46,INDEX(ALGO!$A$2:$BZ$20001,0,D$29),"&lt;&gt;"))</f>
        <v/>
      </c>
      <c r="E68" s="22">
        <f>IF(OR($A46="",E$29=""),0,COUNTIFS(INDEX(ALGO!$A$2:$BZ$20001,0,$B$19),$B$1,INDEX(ALGO!$A$2:$BZ$20001,0,$B$20),$B$4,INDEX(ALGO!$A$2:$BZ$20001,0,$B$18),$A46,INDEX(ALGO!$A$2:$BZ$20001,0,E$29),"&lt;&gt;"))</f>
        <v/>
      </c>
      <c r="F68" s="22">
        <f>IF(OR($A46="",F$29=""),0,COUNTIFS(INDEX(ALGO!$A$2:$BZ$20001,0,$B$19),$B$1,INDEX(ALGO!$A$2:$BZ$20001,0,$B$20),$B$4,INDEX(ALGO!$A$2:$BZ$20001,0,$B$18),$A46,INDEX(ALGO!$A$2:$BZ$20001,0,F$29),"&lt;&gt;"))</f>
        <v/>
      </c>
      <c r="G68" s="22">
        <f>IF(OR($A46="",G$29=""),0,COUNTIFS(INDEX(ALGO!$A$2:$BZ$20001,0,$B$19),$B$1,INDEX(ALGO!$A$2:$BZ$20001,0,$B$20),$B$4,INDEX(ALGO!$A$2:$BZ$20001,0,$B$18),$A46,INDEX(ALGO!$A$2:$BZ$20001,0,G$29),"&lt;&gt;"))</f>
        <v/>
      </c>
      <c r="H68" s="22">
        <f>IF(OR($A46="",H$29=""),0,COUNTIFS(INDEX(ALGO!$A$2:$BZ$20001,0,$B$19),$B$1,INDEX(ALGO!$A$2:$BZ$20001,0,$B$20),$B$4,INDEX(ALGO!$A$2:$BZ$20001,0,$B$18),$A46,INDEX(ALGO!$A$2:$BZ$20001,0,H$29),"&lt;&gt;"))</f>
        <v/>
      </c>
      <c r="I68" s="22">
        <f>IF(OR($A46="",I$29=""),0,COUNTIFS(INDEX(ALGO!$A$2:$BZ$20001,0,$B$19),$B$1,INDEX(ALGO!$A$2:$BZ$20001,0,$B$20),$B$4,INDEX(ALGO!$A$2:$BZ$20001,0,$B$18),$A46,INDEX(ALGO!$A$2:$BZ$20001,0,I$29),"&lt;&gt;"))</f>
        <v/>
      </c>
      <c r="J68" s="22">
        <f>IF(OR($A46="",J$29=""),0,COUNTIFS(INDEX(ALGO!$A$2:$BZ$20001,0,$B$19),$B$1,INDEX(ALGO!$A$2:$BZ$20001,0,$B$20),$B$4,INDEX(ALGO!$A$2:$BZ$20001,0,$B$18),$A46,INDEX(ALGO!$A$2:$BZ$20001,0,J$29),"&lt;&gt;"))</f>
        <v/>
      </c>
      <c r="K68" s="22">
        <f>IF(OR($A46="",K$29=""),0,COUNTIFS(INDEX(ALGO!$A$2:$BZ$20001,0,$B$19),$B$1,INDEX(ALGO!$A$2:$BZ$20001,0,$B$20),$B$4,INDEX(ALGO!$A$2:$BZ$20001,0,$B$18),$A46,INDEX(ALGO!$A$2:$BZ$20001,0,K$29),"&lt;&gt;"))</f>
        <v/>
      </c>
      <c r="L68" s="22">
        <f>IF(OR($A46="",L$29=""),0,COUNTIFS(INDEX(ALGO!$A$2:$BZ$20001,0,$B$19),$B$1,INDEX(ALGO!$A$2:$BZ$20001,0,$B$20),$B$4,INDEX(ALGO!$A$2:$BZ$20001,0,$B$18),$A46,INDEX(ALGO!$A$2:$BZ$20001,0,L$29),"&lt;&gt;"))</f>
        <v/>
      </c>
      <c r="M68" s="22">
        <f>IF(OR($A46="",M$29=""),0,COUNTIFS(INDEX(ALGO!$A$2:$BZ$20001,0,$B$19),$B$1,INDEX(ALGO!$A$2:$BZ$20001,0,$B$20),$B$4,INDEX(ALGO!$A$2:$BZ$20001,0,$B$18),$A46,INDEX(ALGO!$A$2:$BZ$20001,0,M$29),"&lt;&gt;"))</f>
        <v/>
      </c>
      <c r="N68" s="22">
        <f>IF(OR($A46="",N$29=""),0,COUNTIFS(INDEX(ALGO!$A$2:$BZ$20001,0,$B$19),$B$1,INDEX(ALGO!$A$2:$BZ$20001,0,$B$20),$B$4,INDEX(ALGO!$A$2:$BZ$20001,0,$B$18),$A46,INDEX(ALGO!$A$2:$BZ$20001,0,N$29),"&lt;&gt;"))</f>
        <v/>
      </c>
      <c r="O68" s="22">
        <f>IF(OR($A46="",O$29=""),0,COUNTIFS(INDEX(ALGO!$A$2:$BZ$20001,0,$B$19),$B$1,INDEX(ALGO!$A$2:$BZ$20001,0,$B$20),$B$4,INDEX(ALGO!$A$2:$BZ$20001,0,$B$18),$A46,INDEX(ALGO!$A$2:$BZ$20001,0,O$29),"&lt;&gt;"))</f>
        <v/>
      </c>
      <c r="P68" s="22">
        <f>IF(OR($A46="",P$29=""),0,COUNTIFS(INDEX(ALGO!$A$2:$BZ$20001,0,$B$19),$B$1,INDEX(ALGO!$A$2:$BZ$20001,0,$B$20),$B$4,INDEX(ALGO!$A$2:$BZ$20001,0,$B$18),$A46,INDEX(ALGO!$A$2:$BZ$20001,0,P$29),"&lt;&gt;"))</f>
        <v/>
      </c>
      <c r="Q68" s="22">
        <f>IF(OR($A46="",Q$29=""),0,COUNTIFS(INDEX(ALGO!$A$2:$BZ$20001,0,$B$19),$B$1,INDEX(ALGO!$A$2:$BZ$20001,0,$B$20),$B$4,INDEX(ALGO!$A$2:$BZ$20001,0,$B$18),$A46,INDEX(ALGO!$A$2:$BZ$20001,0,Q$29),"&lt;&gt;"))</f>
        <v/>
      </c>
      <c r="R68" s="22">
        <f>IF(OR($A46="",R$29=""),0,COUNTIFS(INDEX(ALGO!$A$2:$BZ$20001,0,$B$19),$B$1,INDEX(ALGO!$A$2:$BZ$20001,0,$B$20),$B$4,INDEX(ALGO!$A$2:$BZ$20001,0,$B$18),$A46,INDEX(ALGO!$A$2:$BZ$20001,0,R$29),"&lt;&gt;"))</f>
        <v/>
      </c>
      <c r="S68" s="22">
        <f>IF(OR($A46="",S$29=""),0,COUNTIFS(INDEX(ALGO!$A$2:$BZ$20001,0,$B$19),$B$1,INDEX(ALGO!$A$2:$BZ$20001,0,$B$20),$B$4,INDEX(ALGO!$A$2:$BZ$20001,0,$B$18),$A46,INDEX(ALGO!$A$2:$BZ$20001,0,S$29),"&lt;&gt;"))</f>
        <v/>
      </c>
      <c r="T68" s="22">
        <f>IF(OR($A46="",T$29=""),0,COUNTIFS(INDEX(ALGO!$A$2:$BZ$20001,0,$B$19),$B$1,INDEX(ALGO!$A$2:$BZ$20001,0,$B$20),$B$4,INDEX(ALGO!$A$2:$BZ$20001,0,$B$18),$A46,INDEX(ALGO!$A$2:$BZ$20001,0,T$29),"&lt;&gt;"))</f>
        <v/>
      </c>
      <c r="U68" s="22">
        <f>IF(OR($A46="",U$29=""),0,COUNTIFS(INDEX(ALGO!$A$2:$BZ$20001,0,$B$19),$B$1,INDEX(ALGO!$A$2:$BZ$20001,0,$B$20),$B$4,INDEX(ALGO!$A$2:$BZ$20001,0,$B$18),$A46,INDEX(ALGO!$A$2:$BZ$20001,0,U$29),"&lt;&gt;"))</f>
        <v/>
      </c>
      <c r="V68" s="22">
        <f>IF(OR($A46="",V$29=""),0,COUNTIFS(INDEX(ALGO!$A$2:$BZ$20001,0,$B$19),$B$1,INDEX(ALGO!$A$2:$BZ$20001,0,$B$20),$B$4,INDEX(ALGO!$A$2:$BZ$20001,0,$B$18),$A46,INDEX(ALGO!$A$2:$BZ$20001,0,V$29),"&lt;&gt;"))</f>
        <v/>
      </c>
      <c r="W68" s="22">
        <f>IF(OR($A46="",W$29=""),0,COUNTIFS(INDEX(ALGO!$A$2:$BZ$20001,0,$B$19),$B$1,INDEX(ALGO!$A$2:$BZ$20001,0,$B$20),$B$4,INDEX(ALGO!$A$2:$BZ$20001,0,$B$18),$A46,INDEX(ALGO!$A$2:$BZ$20001,0,W$29),"&lt;&gt;"))</f>
        <v/>
      </c>
      <c r="X68" s="22">
        <f>IF(OR($A46="",X$29=""),0,COUNTIFS(INDEX(ALGO!$A$2:$BZ$20001,0,$B$19),$B$1,INDEX(ALGO!$A$2:$BZ$20001,0,$B$20),$B$4,INDEX(ALGO!$A$2:$BZ$20001,0,$B$18),$A46,INDEX(ALGO!$A$2:$BZ$20001,0,X$29),"&lt;&gt;"))</f>
        <v/>
      </c>
      <c r="Y68" s="22">
        <f>IF(OR($A46="",Y$29=""),0,COUNTIFS(INDEX(ALGO!$A$2:$BZ$20001,0,$B$19),$B$1,INDEX(ALGO!$A$2:$BZ$20001,0,$B$20),$B$4,INDEX(ALGO!$A$2:$BZ$20001,0,$B$18),$A46,INDEX(ALGO!$A$2:$BZ$20001,0,Y$29),"&lt;&gt;"))</f>
        <v/>
      </c>
      <c r="Z68" s="22">
        <f>IF(OR($A46="",Z$29=""),0,COUNTIFS(INDEX(ALGO!$A$2:$BZ$20001,0,$B$19),$B$1,INDEX(ALGO!$A$2:$BZ$20001,0,$B$20),$B$4,INDEX(ALGO!$A$2:$BZ$20001,0,$B$18),$A46,INDEX(ALGO!$A$2:$BZ$20001,0,Z$29),"&lt;&gt;"))</f>
        <v/>
      </c>
      <c r="AA68" s="22">
        <f>IF(OR($A46="",AA$29=""),0,COUNTIFS(INDEX(ALGO!$A$2:$BZ$20001,0,$B$19),$B$1,INDEX(ALGO!$A$2:$BZ$20001,0,$B$20),$B$4,INDEX(ALGO!$A$2:$BZ$20001,0,$B$18),$A46,INDEX(ALGO!$A$2:$BZ$20001,0,AA$29),"&lt;&gt;"))</f>
        <v/>
      </c>
      <c r="AB68" s="22">
        <f>IF(OR($A46="",AB$29=""),0,COUNTIFS(INDEX(ALGO!$A$2:$BZ$20001,0,$B$19),$B$1,INDEX(ALGO!$A$2:$BZ$20001,0,$B$20),$B$4,INDEX(ALGO!$A$2:$BZ$20001,0,$B$18),$A46,INDEX(ALGO!$A$2:$BZ$20001,0,AB$29),"&lt;&gt;"))</f>
        <v/>
      </c>
      <c r="AC68" s="22">
        <f>IF(OR($A46="",AC$29=""),0,COUNTIFS(INDEX(ALGO!$A$2:$BZ$20001,0,$B$19),$B$1,INDEX(ALGO!$A$2:$BZ$20001,0,$B$20),$B$4,INDEX(ALGO!$A$2:$BZ$20001,0,$B$18),$A46,INDEX(ALGO!$A$2:$BZ$20001,0,AC$29),"&lt;&gt;"))</f>
        <v/>
      </c>
      <c r="AD68" s="22">
        <f>IF(OR($A46="",AD$29=""),0,COUNTIFS(INDEX(ALGO!$A$2:$BZ$20001,0,$B$19),$B$1,INDEX(ALGO!$A$2:$BZ$20001,0,$B$20),$B$4,INDEX(ALGO!$A$2:$BZ$20001,0,$B$18),$A46,INDEX(ALGO!$A$2:$BZ$20001,0,AD$29),"&lt;&gt;"))</f>
        <v/>
      </c>
      <c r="AE68" s="22">
        <f>IF(OR($A46="",AE$29=""),0,COUNTIFS(INDEX(ALGO!$A$2:$BZ$20001,0,$B$19),$B$1,INDEX(ALGO!$A$2:$BZ$20001,0,$B$20),$B$4,INDEX(ALGO!$A$2:$BZ$20001,0,$B$18),$A46,INDEX(ALGO!$A$2:$BZ$20001,0,AE$29),"&lt;&gt;"))</f>
        <v/>
      </c>
      <c r="AF68" s="22">
        <f>IF(OR($A46="",AF$29=""),0,COUNTIFS(INDEX(ALGO!$A$2:$BZ$20001,0,$B$19),$B$1,INDEX(ALGO!$A$2:$BZ$20001,0,$B$20),$B$4,INDEX(ALGO!$A$2:$BZ$20001,0,$B$18),$A46,INDEX(ALGO!$A$2:$BZ$20001,0,AF$29),"&lt;&gt;"))</f>
        <v/>
      </c>
      <c r="AG68" s="22">
        <f>IF(OR($A46="",AG$29=""),0,COUNTIFS(INDEX(ALGO!$A$2:$BZ$20001,0,$B$19),$B$1,INDEX(ALGO!$A$2:$BZ$20001,0,$B$20),$B$4,INDEX(ALGO!$A$2:$BZ$20001,0,$B$18),$A46,INDEX(ALGO!$A$2:$BZ$20001,0,AG$29),"&lt;&gt;"))</f>
        <v/>
      </c>
      <c r="AH68" s="22">
        <f>IF(OR($A46="",AH$29=""),0,COUNTIFS(INDEX(ALGO!$A$2:$BZ$20001,0,$B$19),$B$1,INDEX(ALGO!$A$2:$BZ$20001,0,$B$20),$B$4,INDEX(ALGO!$A$2:$BZ$20001,0,$B$18),$A46,INDEX(ALGO!$A$2:$BZ$20001,0,AH$29),"&lt;&gt;"))</f>
        <v/>
      </c>
      <c r="AI68" s="22">
        <f>IF(OR($A46="",AI$29=""),0,COUNTIFS(INDEX(ALGO!$A$2:$BZ$20001,0,$B$19),$B$1,INDEX(ALGO!$A$2:$BZ$20001,0,$B$20),$B$4,INDEX(ALGO!$A$2:$BZ$20001,0,$B$18),$A46,INDEX(ALGO!$A$2:$BZ$20001,0,AI$29),"&lt;&gt;"))</f>
        <v/>
      </c>
      <c r="AJ68" s="22">
        <f>IF(OR($A46="",AJ$29=""),0,COUNTIFS(INDEX(ALGO!$A$2:$BZ$20001,0,$B$19),$B$1,INDEX(ALGO!$A$2:$BZ$20001,0,$B$20),$B$4,INDEX(ALGO!$A$2:$BZ$20001,0,$B$18),$A46,INDEX(ALGO!$A$2:$BZ$20001,0,AJ$29),"&lt;&gt;"))</f>
        <v/>
      </c>
      <c r="AK68" s="22">
        <f>IF(OR($A46="",AK$29=""),0,COUNTIFS(INDEX(ALGO!$A$2:$BZ$20001,0,$B$19),$B$1,INDEX(ALGO!$A$2:$BZ$20001,0,$B$20),$B$4,INDEX(ALGO!$A$2:$BZ$20001,0,$B$18),$A46,INDEX(ALGO!$A$2:$BZ$20001,0,AK$29),"&lt;&gt;"))</f>
        <v/>
      </c>
      <c r="AL68" s="22">
        <f>IF(OR($A46="",AL$29=""),0,COUNTIFS(INDEX(ALGO!$A$2:$BZ$20001,0,$B$19),$B$1,INDEX(ALGO!$A$2:$BZ$20001,0,$B$20),$B$4,INDEX(ALGO!$A$2:$BZ$20001,0,$B$18),$A46,INDEX(ALGO!$A$2:$BZ$20001,0,AL$29),"&lt;&gt;"))</f>
        <v/>
      </c>
      <c r="AM68" s="22">
        <f>IF(OR($A46="",AM$29=""),0,COUNTIFS(INDEX(ALGO!$A$2:$BZ$20001,0,$B$19),$B$1,INDEX(ALGO!$A$2:$BZ$20001,0,$B$20),$B$4,INDEX(ALGO!$A$2:$BZ$20001,0,$B$18),$A46,INDEX(ALGO!$A$2:$BZ$20001,0,AM$29),"&lt;&gt;"))</f>
        <v/>
      </c>
    </row>
    <row r="69">
      <c r="D69" s="22">
        <f>IF(OR($A47="",D$29=""),0,COUNTIFS(INDEX(ALGO!$A$2:$BZ$20001,0,$B$19),$B$1,INDEX(ALGO!$A$2:$BZ$20001,0,$B$20),$B$4,INDEX(ALGO!$A$2:$BZ$20001,0,$B$18),$A47,INDEX(ALGO!$A$2:$BZ$20001,0,D$29),"&lt;&gt;"))</f>
        <v/>
      </c>
      <c r="E69" s="22">
        <f>IF(OR($A47="",E$29=""),0,COUNTIFS(INDEX(ALGO!$A$2:$BZ$20001,0,$B$19),$B$1,INDEX(ALGO!$A$2:$BZ$20001,0,$B$20),$B$4,INDEX(ALGO!$A$2:$BZ$20001,0,$B$18),$A47,INDEX(ALGO!$A$2:$BZ$20001,0,E$29),"&lt;&gt;"))</f>
        <v/>
      </c>
      <c r="F69" s="22">
        <f>IF(OR($A47="",F$29=""),0,COUNTIFS(INDEX(ALGO!$A$2:$BZ$20001,0,$B$19),$B$1,INDEX(ALGO!$A$2:$BZ$20001,0,$B$20),$B$4,INDEX(ALGO!$A$2:$BZ$20001,0,$B$18),$A47,INDEX(ALGO!$A$2:$BZ$20001,0,F$29),"&lt;&gt;"))</f>
        <v/>
      </c>
      <c r="G69" s="22">
        <f>IF(OR($A47="",G$29=""),0,COUNTIFS(INDEX(ALGO!$A$2:$BZ$20001,0,$B$19),$B$1,INDEX(ALGO!$A$2:$BZ$20001,0,$B$20),$B$4,INDEX(ALGO!$A$2:$BZ$20001,0,$B$18),$A47,INDEX(ALGO!$A$2:$BZ$20001,0,G$29),"&lt;&gt;"))</f>
        <v/>
      </c>
      <c r="H69" s="22">
        <f>IF(OR($A47="",H$29=""),0,COUNTIFS(INDEX(ALGO!$A$2:$BZ$20001,0,$B$19),$B$1,INDEX(ALGO!$A$2:$BZ$20001,0,$B$20),$B$4,INDEX(ALGO!$A$2:$BZ$20001,0,$B$18),$A47,INDEX(ALGO!$A$2:$BZ$20001,0,H$29),"&lt;&gt;"))</f>
        <v/>
      </c>
      <c r="I69" s="22">
        <f>IF(OR($A47="",I$29=""),0,COUNTIFS(INDEX(ALGO!$A$2:$BZ$20001,0,$B$19),$B$1,INDEX(ALGO!$A$2:$BZ$20001,0,$B$20),$B$4,INDEX(ALGO!$A$2:$BZ$20001,0,$B$18),$A47,INDEX(ALGO!$A$2:$BZ$20001,0,I$29),"&lt;&gt;"))</f>
        <v/>
      </c>
      <c r="J69" s="22">
        <f>IF(OR($A47="",J$29=""),0,COUNTIFS(INDEX(ALGO!$A$2:$BZ$20001,0,$B$19),$B$1,INDEX(ALGO!$A$2:$BZ$20001,0,$B$20),$B$4,INDEX(ALGO!$A$2:$BZ$20001,0,$B$18),$A47,INDEX(ALGO!$A$2:$BZ$20001,0,J$29),"&lt;&gt;"))</f>
        <v/>
      </c>
      <c r="K69" s="22">
        <f>IF(OR($A47="",K$29=""),0,COUNTIFS(INDEX(ALGO!$A$2:$BZ$20001,0,$B$19),$B$1,INDEX(ALGO!$A$2:$BZ$20001,0,$B$20),$B$4,INDEX(ALGO!$A$2:$BZ$20001,0,$B$18),$A47,INDEX(ALGO!$A$2:$BZ$20001,0,K$29),"&lt;&gt;"))</f>
        <v/>
      </c>
      <c r="L69" s="22">
        <f>IF(OR($A47="",L$29=""),0,COUNTIFS(INDEX(ALGO!$A$2:$BZ$20001,0,$B$19),$B$1,INDEX(ALGO!$A$2:$BZ$20001,0,$B$20),$B$4,INDEX(ALGO!$A$2:$BZ$20001,0,$B$18),$A47,INDEX(ALGO!$A$2:$BZ$20001,0,L$29),"&lt;&gt;"))</f>
        <v/>
      </c>
      <c r="M69" s="22">
        <f>IF(OR($A47="",M$29=""),0,COUNTIFS(INDEX(ALGO!$A$2:$BZ$20001,0,$B$19),$B$1,INDEX(ALGO!$A$2:$BZ$20001,0,$B$20),$B$4,INDEX(ALGO!$A$2:$BZ$20001,0,$B$18),$A47,INDEX(ALGO!$A$2:$BZ$20001,0,M$29),"&lt;&gt;"))</f>
        <v/>
      </c>
      <c r="N69" s="22">
        <f>IF(OR($A47="",N$29=""),0,COUNTIFS(INDEX(ALGO!$A$2:$BZ$20001,0,$B$19),$B$1,INDEX(ALGO!$A$2:$BZ$20001,0,$B$20),$B$4,INDEX(ALGO!$A$2:$BZ$20001,0,$B$18),$A47,INDEX(ALGO!$A$2:$BZ$20001,0,N$29),"&lt;&gt;"))</f>
        <v/>
      </c>
      <c r="O69" s="22">
        <f>IF(OR($A47="",O$29=""),0,COUNTIFS(INDEX(ALGO!$A$2:$BZ$20001,0,$B$19),$B$1,INDEX(ALGO!$A$2:$BZ$20001,0,$B$20),$B$4,INDEX(ALGO!$A$2:$BZ$20001,0,$B$18),$A47,INDEX(ALGO!$A$2:$BZ$20001,0,O$29),"&lt;&gt;"))</f>
        <v/>
      </c>
      <c r="P69" s="22">
        <f>IF(OR($A47="",P$29=""),0,COUNTIFS(INDEX(ALGO!$A$2:$BZ$20001,0,$B$19),$B$1,INDEX(ALGO!$A$2:$BZ$20001,0,$B$20),$B$4,INDEX(ALGO!$A$2:$BZ$20001,0,$B$18),$A47,INDEX(ALGO!$A$2:$BZ$20001,0,P$29),"&lt;&gt;"))</f>
        <v/>
      </c>
      <c r="Q69" s="22">
        <f>IF(OR($A47="",Q$29=""),0,COUNTIFS(INDEX(ALGO!$A$2:$BZ$20001,0,$B$19),$B$1,INDEX(ALGO!$A$2:$BZ$20001,0,$B$20),$B$4,INDEX(ALGO!$A$2:$BZ$20001,0,$B$18),$A47,INDEX(ALGO!$A$2:$BZ$20001,0,Q$29),"&lt;&gt;"))</f>
        <v/>
      </c>
      <c r="R69" s="22">
        <f>IF(OR($A47="",R$29=""),0,COUNTIFS(INDEX(ALGO!$A$2:$BZ$20001,0,$B$19),$B$1,INDEX(ALGO!$A$2:$BZ$20001,0,$B$20),$B$4,INDEX(ALGO!$A$2:$BZ$20001,0,$B$18),$A47,INDEX(ALGO!$A$2:$BZ$20001,0,R$29),"&lt;&gt;"))</f>
        <v/>
      </c>
      <c r="S69" s="22">
        <f>IF(OR($A47="",S$29=""),0,COUNTIFS(INDEX(ALGO!$A$2:$BZ$20001,0,$B$19),$B$1,INDEX(ALGO!$A$2:$BZ$20001,0,$B$20),$B$4,INDEX(ALGO!$A$2:$BZ$20001,0,$B$18),$A47,INDEX(ALGO!$A$2:$BZ$20001,0,S$29),"&lt;&gt;"))</f>
        <v/>
      </c>
      <c r="T69" s="22">
        <f>IF(OR($A47="",T$29=""),0,COUNTIFS(INDEX(ALGO!$A$2:$BZ$20001,0,$B$19),$B$1,INDEX(ALGO!$A$2:$BZ$20001,0,$B$20),$B$4,INDEX(ALGO!$A$2:$BZ$20001,0,$B$18),$A47,INDEX(ALGO!$A$2:$BZ$20001,0,T$29),"&lt;&gt;"))</f>
        <v/>
      </c>
      <c r="U69" s="22">
        <f>IF(OR($A47="",U$29=""),0,COUNTIFS(INDEX(ALGO!$A$2:$BZ$20001,0,$B$19),$B$1,INDEX(ALGO!$A$2:$BZ$20001,0,$B$20),$B$4,INDEX(ALGO!$A$2:$BZ$20001,0,$B$18),$A47,INDEX(ALGO!$A$2:$BZ$20001,0,U$29),"&lt;&gt;"))</f>
        <v/>
      </c>
      <c r="V69" s="22">
        <f>IF(OR($A47="",V$29=""),0,COUNTIFS(INDEX(ALGO!$A$2:$BZ$20001,0,$B$19),$B$1,INDEX(ALGO!$A$2:$BZ$20001,0,$B$20),$B$4,INDEX(ALGO!$A$2:$BZ$20001,0,$B$18),$A47,INDEX(ALGO!$A$2:$BZ$20001,0,V$29),"&lt;&gt;"))</f>
        <v/>
      </c>
      <c r="W69" s="22">
        <f>IF(OR($A47="",W$29=""),0,COUNTIFS(INDEX(ALGO!$A$2:$BZ$20001,0,$B$19),$B$1,INDEX(ALGO!$A$2:$BZ$20001,0,$B$20),$B$4,INDEX(ALGO!$A$2:$BZ$20001,0,$B$18),$A47,INDEX(ALGO!$A$2:$BZ$20001,0,W$29),"&lt;&gt;"))</f>
        <v/>
      </c>
      <c r="X69" s="22">
        <f>IF(OR($A47="",X$29=""),0,COUNTIFS(INDEX(ALGO!$A$2:$BZ$20001,0,$B$19),$B$1,INDEX(ALGO!$A$2:$BZ$20001,0,$B$20),$B$4,INDEX(ALGO!$A$2:$BZ$20001,0,$B$18),$A47,INDEX(ALGO!$A$2:$BZ$20001,0,X$29),"&lt;&gt;"))</f>
        <v/>
      </c>
      <c r="Y69" s="22">
        <f>IF(OR($A47="",Y$29=""),0,COUNTIFS(INDEX(ALGO!$A$2:$BZ$20001,0,$B$19),$B$1,INDEX(ALGO!$A$2:$BZ$20001,0,$B$20),$B$4,INDEX(ALGO!$A$2:$BZ$20001,0,$B$18),$A47,INDEX(ALGO!$A$2:$BZ$20001,0,Y$29),"&lt;&gt;"))</f>
        <v/>
      </c>
      <c r="Z69" s="22">
        <f>IF(OR($A47="",Z$29=""),0,COUNTIFS(INDEX(ALGO!$A$2:$BZ$20001,0,$B$19),$B$1,INDEX(ALGO!$A$2:$BZ$20001,0,$B$20),$B$4,INDEX(ALGO!$A$2:$BZ$20001,0,$B$18),$A47,INDEX(ALGO!$A$2:$BZ$20001,0,Z$29),"&lt;&gt;"))</f>
        <v/>
      </c>
      <c r="AA69" s="22">
        <f>IF(OR($A47="",AA$29=""),0,COUNTIFS(INDEX(ALGO!$A$2:$BZ$20001,0,$B$19),$B$1,INDEX(ALGO!$A$2:$BZ$20001,0,$B$20),$B$4,INDEX(ALGO!$A$2:$BZ$20001,0,$B$18),$A47,INDEX(ALGO!$A$2:$BZ$20001,0,AA$29),"&lt;&gt;"))</f>
        <v/>
      </c>
      <c r="AB69" s="22">
        <f>IF(OR($A47="",AB$29=""),0,COUNTIFS(INDEX(ALGO!$A$2:$BZ$20001,0,$B$19),$B$1,INDEX(ALGO!$A$2:$BZ$20001,0,$B$20),$B$4,INDEX(ALGO!$A$2:$BZ$20001,0,$B$18),$A47,INDEX(ALGO!$A$2:$BZ$20001,0,AB$29),"&lt;&gt;"))</f>
        <v/>
      </c>
      <c r="AC69" s="22">
        <f>IF(OR($A47="",AC$29=""),0,COUNTIFS(INDEX(ALGO!$A$2:$BZ$20001,0,$B$19),$B$1,INDEX(ALGO!$A$2:$BZ$20001,0,$B$20),$B$4,INDEX(ALGO!$A$2:$BZ$20001,0,$B$18),$A47,INDEX(ALGO!$A$2:$BZ$20001,0,AC$29),"&lt;&gt;"))</f>
        <v/>
      </c>
      <c r="AD69" s="22">
        <f>IF(OR($A47="",AD$29=""),0,COUNTIFS(INDEX(ALGO!$A$2:$BZ$20001,0,$B$19),$B$1,INDEX(ALGO!$A$2:$BZ$20001,0,$B$20),$B$4,INDEX(ALGO!$A$2:$BZ$20001,0,$B$18),$A47,INDEX(ALGO!$A$2:$BZ$20001,0,AD$29),"&lt;&gt;"))</f>
        <v/>
      </c>
      <c r="AE69" s="22">
        <f>IF(OR($A47="",AE$29=""),0,COUNTIFS(INDEX(ALGO!$A$2:$BZ$20001,0,$B$19),$B$1,INDEX(ALGO!$A$2:$BZ$20001,0,$B$20),$B$4,INDEX(ALGO!$A$2:$BZ$20001,0,$B$18),$A47,INDEX(ALGO!$A$2:$BZ$20001,0,AE$29),"&lt;&gt;"))</f>
        <v/>
      </c>
      <c r="AF69" s="22">
        <f>IF(OR($A47="",AF$29=""),0,COUNTIFS(INDEX(ALGO!$A$2:$BZ$20001,0,$B$19),$B$1,INDEX(ALGO!$A$2:$BZ$20001,0,$B$20),$B$4,INDEX(ALGO!$A$2:$BZ$20001,0,$B$18),$A47,INDEX(ALGO!$A$2:$BZ$20001,0,AF$29),"&lt;&gt;"))</f>
        <v/>
      </c>
      <c r="AG69" s="22">
        <f>IF(OR($A47="",AG$29=""),0,COUNTIFS(INDEX(ALGO!$A$2:$BZ$20001,0,$B$19),$B$1,INDEX(ALGO!$A$2:$BZ$20001,0,$B$20),$B$4,INDEX(ALGO!$A$2:$BZ$20001,0,$B$18),$A47,INDEX(ALGO!$A$2:$BZ$20001,0,AG$29),"&lt;&gt;"))</f>
        <v/>
      </c>
      <c r="AH69" s="22">
        <f>IF(OR($A47="",AH$29=""),0,COUNTIFS(INDEX(ALGO!$A$2:$BZ$20001,0,$B$19),$B$1,INDEX(ALGO!$A$2:$BZ$20001,0,$B$20),$B$4,INDEX(ALGO!$A$2:$BZ$20001,0,$B$18),$A47,INDEX(ALGO!$A$2:$BZ$20001,0,AH$29),"&lt;&gt;"))</f>
        <v/>
      </c>
      <c r="AI69" s="22">
        <f>IF(OR($A47="",AI$29=""),0,COUNTIFS(INDEX(ALGO!$A$2:$BZ$20001,0,$B$19),$B$1,INDEX(ALGO!$A$2:$BZ$20001,0,$B$20),$B$4,INDEX(ALGO!$A$2:$BZ$20001,0,$B$18),$A47,INDEX(ALGO!$A$2:$BZ$20001,0,AI$29),"&lt;&gt;"))</f>
        <v/>
      </c>
      <c r="AJ69" s="22">
        <f>IF(OR($A47="",AJ$29=""),0,COUNTIFS(INDEX(ALGO!$A$2:$BZ$20001,0,$B$19),$B$1,INDEX(ALGO!$A$2:$BZ$20001,0,$B$20),$B$4,INDEX(ALGO!$A$2:$BZ$20001,0,$B$18),$A47,INDEX(ALGO!$A$2:$BZ$20001,0,AJ$29),"&lt;&gt;"))</f>
        <v/>
      </c>
      <c r="AK69" s="22">
        <f>IF(OR($A47="",AK$29=""),0,COUNTIFS(INDEX(ALGO!$A$2:$BZ$20001,0,$B$19),$B$1,INDEX(ALGO!$A$2:$BZ$20001,0,$B$20),$B$4,INDEX(ALGO!$A$2:$BZ$20001,0,$B$18),$A47,INDEX(ALGO!$A$2:$BZ$20001,0,AK$29),"&lt;&gt;"))</f>
        <v/>
      </c>
      <c r="AL69" s="22">
        <f>IF(OR($A47="",AL$29=""),0,COUNTIFS(INDEX(ALGO!$A$2:$BZ$20001,0,$B$19),$B$1,INDEX(ALGO!$A$2:$BZ$20001,0,$B$20),$B$4,INDEX(ALGO!$A$2:$BZ$20001,0,$B$18),$A47,INDEX(ALGO!$A$2:$BZ$20001,0,AL$29),"&lt;&gt;"))</f>
        <v/>
      </c>
      <c r="AM69" s="22">
        <f>IF(OR($A47="",AM$29=""),0,COUNTIFS(INDEX(ALGO!$A$2:$BZ$20001,0,$B$19),$B$1,INDEX(ALGO!$A$2:$BZ$20001,0,$B$20),$B$4,INDEX(ALGO!$A$2:$BZ$20001,0,$B$18),$A47,INDEX(ALGO!$A$2:$BZ$20001,0,AM$29),"&lt;&gt;"))</f>
        <v/>
      </c>
    </row>
    <row r="70">
      <c r="D70" s="22">
        <f>IF(OR($A48="",D$29=""),0,COUNTIFS(INDEX(ALGO!$A$2:$BZ$20001,0,$B$19),$B$1,INDEX(ALGO!$A$2:$BZ$20001,0,$B$20),$B$4,INDEX(ALGO!$A$2:$BZ$20001,0,$B$18),$A48,INDEX(ALGO!$A$2:$BZ$20001,0,D$29),"&lt;&gt;"))</f>
        <v/>
      </c>
      <c r="E70" s="22">
        <f>IF(OR($A48="",E$29=""),0,COUNTIFS(INDEX(ALGO!$A$2:$BZ$20001,0,$B$19),$B$1,INDEX(ALGO!$A$2:$BZ$20001,0,$B$20),$B$4,INDEX(ALGO!$A$2:$BZ$20001,0,$B$18),$A48,INDEX(ALGO!$A$2:$BZ$20001,0,E$29),"&lt;&gt;"))</f>
        <v/>
      </c>
      <c r="F70" s="22">
        <f>IF(OR($A48="",F$29=""),0,COUNTIFS(INDEX(ALGO!$A$2:$BZ$20001,0,$B$19),$B$1,INDEX(ALGO!$A$2:$BZ$20001,0,$B$20),$B$4,INDEX(ALGO!$A$2:$BZ$20001,0,$B$18),$A48,INDEX(ALGO!$A$2:$BZ$20001,0,F$29),"&lt;&gt;"))</f>
        <v/>
      </c>
      <c r="G70" s="22">
        <f>IF(OR($A48="",G$29=""),0,COUNTIFS(INDEX(ALGO!$A$2:$BZ$20001,0,$B$19),$B$1,INDEX(ALGO!$A$2:$BZ$20001,0,$B$20),$B$4,INDEX(ALGO!$A$2:$BZ$20001,0,$B$18),$A48,INDEX(ALGO!$A$2:$BZ$20001,0,G$29),"&lt;&gt;"))</f>
        <v/>
      </c>
      <c r="H70" s="22">
        <f>IF(OR($A48="",H$29=""),0,COUNTIFS(INDEX(ALGO!$A$2:$BZ$20001,0,$B$19),$B$1,INDEX(ALGO!$A$2:$BZ$20001,0,$B$20),$B$4,INDEX(ALGO!$A$2:$BZ$20001,0,$B$18),$A48,INDEX(ALGO!$A$2:$BZ$20001,0,H$29),"&lt;&gt;"))</f>
        <v/>
      </c>
      <c r="I70" s="22">
        <f>IF(OR($A48="",I$29=""),0,COUNTIFS(INDEX(ALGO!$A$2:$BZ$20001,0,$B$19),$B$1,INDEX(ALGO!$A$2:$BZ$20001,0,$B$20),$B$4,INDEX(ALGO!$A$2:$BZ$20001,0,$B$18),$A48,INDEX(ALGO!$A$2:$BZ$20001,0,I$29),"&lt;&gt;"))</f>
        <v/>
      </c>
      <c r="J70" s="22">
        <f>IF(OR($A48="",J$29=""),0,COUNTIFS(INDEX(ALGO!$A$2:$BZ$20001,0,$B$19),$B$1,INDEX(ALGO!$A$2:$BZ$20001,0,$B$20),$B$4,INDEX(ALGO!$A$2:$BZ$20001,0,$B$18),$A48,INDEX(ALGO!$A$2:$BZ$20001,0,J$29),"&lt;&gt;"))</f>
        <v/>
      </c>
      <c r="K70" s="22">
        <f>IF(OR($A48="",K$29=""),0,COUNTIFS(INDEX(ALGO!$A$2:$BZ$20001,0,$B$19),$B$1,INDEX(ALGO!$A$2:$BZ$20001,0,$B$20),$B$4,INDEX(ALGO!$A$2:$BZ$20001,0,$B$18),$A48,INDEX(ALGO!$A$2:$BZ$20001,0,K$29),"&lt;&gt;"))</f>
        <v/>
      </c>
      <c r="L70" s="22">
        <f>IF(OR($A48="",L$29=""),0,COUNTIFS(INDEX(ALGO!$A$2:$BZ$20001,0,$B$19),$B$1,INDEX(ALGO!$A$2:$BZ$20001,0,$B$20),$B$4,INDEX(ALGO!$A$2:$BZ$20001,0,$B$18),$A48,INDEX(ALGO!$A$2:$BZ$20001,0,L$29),"&lt;&gt;"))</f>
        <v/>
      </c>
      <c r="M70" s="22">
        <f>IF(OR($A48="",M$29=""),0,COUNTIFS(INDEX(ALGO!$A$2:$BZ$20001,0,$B$19),$B$1,INDEX(ALGO!$A$2:$BZ$20001,0,$B$20),$B$4,INDEX(ALGO!$A$2:$BZ$20001,0,$B$18),$A48,INDEX(ALGO!$A$2:$BZ$20001,0,M$29),"&lt;&gt;"))</f>
        <v/>
      </c>
      <c r="N70" s="22">
        <f>IF(OR($A48="",N$29=""),0,COUNTIFS(INDEX(ALGO!$A$2:$BZ$20001,0,$B$19),$B$1,INDEX(ALGO!$A$2:$BZ$20001,0,$B$20),$B$4,INDEX(ALGO!$A$2:$BZ$20001,0,$B$18),$A48,INDEX(ALGO!$A$2:$BZ$20001,0,N$29),"&lt;&gt;"))</f>
        <v/>
      </c>
      <c r="O70" s="22">
        <f>IF(OR($A48="",O$29=""),0,COUNTIFS(INDEX(ALGO!$A$2:$BZ$20001,0,$B$19),$B$1,INDEX(ALGO!$A$2:$BZ$20001,0,$B$20),$B$4,INDEX(ALGO!$A$2:$BZ$20001,0,$B$18),$A48,INDEX(ALGO!$A$2:$BZ$20001,0,O$29),"&lt;&gt;"))</f>
        <v/>
      </c>
      <c r="P70" s="22">
        <f>IF(OR($A48="",P$29=""),0,COUNTIFS(INDEX(ALGO!$A$2:$BZ$20001,0,$B$19),$B$1,INDEX(ALGO!$A$2:$BZ$20001,0,$B$20),$B$4,INDEX(ALGO!$A$2:$BZ$20001,0,$B$18),$A48,INDEX(ALGO!$A$2:$BZ$20001,0,P$29),"&lt;&gt;"))</f>
        <v/>
      </c>
      <c r="Q70" s="22">
        <f>IF(OR($A48="",Q$29=""),0,COUNTIFS(INDEX(ALGO!$A$2:$BZ$20001,0,$B$19),$B$1,INDEX(ALGO!$A$2:$BZ$20001,0,$B$20),$B$4,INDEX(ALGO!$A$2:$BZ$20001,0,$B$18),$A48,INDEX(ALGO!$A$2:$BZ$20001,0,Q$29),"&lt;&gt;"))</f>
        <v/>
      </c>
      <c r="R70" s="22">
        <f>IF(OR($A48="",R$29=""),0,COUNTIFS(INDEX(ALGO!$A$2:$BZ$20001,0,$B$19),$B$1,INDEX(ALGO!$A$2:$BZ$20001,0,$B$20),$B$4,INDEX(ALGO!$A$2:$BZ$20001,0,$B$18),$A48,INDEX(ALGO!$A$2:$BZ$20001,0,R$29),"&lt;&gt;"))</f>
        <v/>
      </c>
      <c r="S70" s="22">
        <f>IF(OR($A48="",S$29=""),0,COUNTIFS(INDEX(ALGO!$A$2:$BZ$20001,0,$B$19),$B$1,INDEX(ALGO!$A$2:$BZ$20001,0,$B$20),$B$4,INDEX(ALGO!$A$2:$BZ$20001,0,$B$18),$A48,INDEX(ALGO!$A$2:$BZ$20001,0,S$29),"&lt;&gt;"))</f>
        <v/>
      </c>
      <c r="T70" s="22">
        <f>IF(OR($A48="",T$29=""),0,COUNTIFS(INDEX(ALGO!$A$2:$BZ$20001,0,$B$19),$B$1,INDEX(ALGO!$A$2:$BZ$20001,0,$B$20),$B$4,INDEX(ALGO!$A$2:$BZ$20001,0,$B$18),$A48,INDEX(ALGO!$A$2:$BZ$20001,0,T$29),"&lt;&gt;"))</f>
        <v/>
      </c>
      <c r="U70" s="22">
        <f>IF(OR($A48="",U$29=""),0,COUNTIFS(INDEX(ALGO!$A$2:$BZ$20001,0,$B$19),$B$1,INDEX(ALGO!$A$2:$BZ$20001,0,$B$20),$B$4,INDEX(ALGO!$A$2:$BZ$20001,0,$B$18),$A48,INDEX(ALGO!$A$2:$BZ$20001,0,U$29),"&lt;&gt;"))</f>
        <v/>
      </c>
      <c r="V70" s="22">
        <f>IF(OR($A48="",V$29=""),0,COUNTIFS(INDEX(ALGO!$A$2:$BZ$20001,0,$B$19),$B$1,INDEX(ALGO!$A$2:$BZ$20001,0,$B$20),$B$4,INDEX(ALGO!$A$2:$BZ$20001,0,$B$18),$A48,INDEX(ALGO!$A$2:$BZ$20001,0,V$29),"&lt;&gt;"))</f>
        <v/>
      </c>
      <c r="W70" s="22">
        <f>IF(OR($A48="",W$29=""),0,COUNTIFS(INDEX(ALGO!$A$2:$BZ$20001,0,$B$19),$B$1,INDEX(ALGO!$A$2:$BZ$20001,0,$B$20),$B$4,INDEX(ALGO!$A$2:$BZ$20001,0,$B$18),$A48,INDEX(ALGO!$A$2:$BZ$20001,0,W$29),"&lt;&gt;"))</f>
        <v/>
      </c>
      <c r="X70" s="22">
        <f>IF(OR($A48="",X$29=""),0,COUNTIFS(INDEX(ALGO!$A$2:$BZ$20001,0,$B$19),$B$1,INDEX(ALGO!$A$2:$BZ$20001,0,$B$20),$B$4,INDEX(ALGO!$A$2:$BZ$20001,0,$B$18),$A48,INDEX(ALGO!$A$2:$BZ$20001,0,X$29),"&lt;&gt;"))</f>
        <v/>
      </c>
      <c r="Y70" s="22">
        <f>IF(OR($A48="",Y$29=""),0,COUNTIFS(INDEX(ALGO!$A$2:$BZ$20001,0,$B$19),$B$1,INDEX(ALGO!$A$2:$BZ$20001,0,$B$20),$B$4,INDEX(ALGO!$A$2:$BZ$20001,0,$B$18),$A48,INDEX(ALGO!$A$2:$BZ$20001,0,Y$29),"&lt;&gt;"))</f>
        <v/>
      </c>
      <c r="Z70" s="22">
        <f>IF(OR($A48="",Z$29=""),0,COUNTIFS(INDEX(ALGO!$A$2:$BZ$20001,0,$B$19),$B$1,INDEX(ALGO!$A$2:$BZ$20001,0,$B$20),$B$4,INDEX(ALGO!$A$2:$BZ$20001,0,$B$18),$A48,INDEX(ALGO!$A$2:$BZ$20001,0,Z$29),"&lt;&gt;"))</f>
        <v/>
      </c>
      <c r="AA70" s="22">
        <f>IF(OR($A48="",AA$29=""),0,COUNTIFS(INDEX(ALGO!$A$2:$BZ$20001,0,$B$19),$B$1,INDEX(ALGO!$A$2:$BZ$20001,0,$B$20),$B$4,INDEX(ALGO!$A$2:$BZ$20001,0,$B$18),$A48,INDEX(ALGO!$A$2:$BZ$20001,0,AA$29),"&lt;&gt;"))</f>
        <v/>
      </c>
      <c r="AB70" s="22">
        <f>IF(OR($A48="",AB$29=""),0,COUNTIFS(INDEX(ALGO!$A$2:$BZ$20001,0,$B$19),$B$1,INDEX(ALGO!$A$2:$BZ$20001,0,$B$20),$B$4,INDEX(ALGO!$A$2:$BZ$20001,0,$B$18),$A48,INDEX(ALGO!$A$2:$BZ$20001,0,AB$29),"&lt;&gt;"))</f>
        <v/>
      </c>
      <c r="AC70" s="22">
        <f>IF(OR($A48="",AC$29=""),0,COUNTIFS(INDEX(ALGO!$A$2:$BZ$20001,0,$B$19),$B$1,INDEX(ALGO!$A$2:$BZ$20001,0,$B$20),$B$4,INDEX(ALGO!$A$2:$BZ$20001,0,$B$18),$A48,INDEX(ALGO!$A$2:$BZ$20001,0,AC$29),"&lt;&gt;"))</f>
        <v/>
      </c>
      <c r="AD70" s="22">
        <f>IF(OR($A48="",AD$29=""),0,COUNTIFS(INDEX(ALGO!$A$2:$BZ$20001,0,$B$19),$B$1,INDEX(ALGO!$A$2:$BZ$20001,0,$B$20),$B$4,INDEX(ALGO!$A$2:$BZ$20001,0,$B$18),$A48,INDEX(ALGO!$A$2:$BZ$20001,0,AD$29),"&lt;&gt;"))</f>
        <v/>
      </c>
      <c r="AE70" s="22">
        <f>IF(OR($A48="",AE$29=""),0,COUNTIFS(INDEX(ALGO!$A$2:$BZ$20001,0,$B$19),$B$1,INDEX(ALGO!$A$2:$BZ$20001,0,$B$20),$B$4,INDEX(ALGO!$A$2:$BZ$20001,0,$B$18),$A48,INDEX(ALGO!$A$2:$BZ$20001,0,AE$29),"&lt;&gt;"))</f>
        <v/>
      </c>
      <c r="AF70" s="22">
        <f>IF(OR($A48="",AF$29=""),0,COUNTIFS(INDEX(ALGO!$A$2:$BZ$20001,0,$B$19),$B$1,INDEX(ALGO!$A$2:$BZ$20001,0,$B$20),$B$4,INDEX(ALGO!$A$2:$BZ$20001,0,$B$18),$A48,INDEX(ALGO!$A$2:$BZ$20001,0,AF$29),"&lt;&gt;"))</f>
        <v/>
      </c>
      <c r="AG70" s="22">
        <f>IF(OR($A48="",AG$29=""),0,COUNTIFS(INDEX(ALGO!$A$2:$BZ$20001,0,$B$19),$B$1,INDEX(ALGO!$A$2:$BZ$20001,0,$B$20),$B$4,INDEX(ALGO!$A$2:$BZ$20001,0,$B$18),$A48,INDEX(ALGO!$A$2:$BZ$20001,0,AG$29),"&lt;&gt;"))</f>
        <v/>
      </c>
      <c r="AH70" s="22">
        <f>IF(OR($A48="",AH$29=""),0,COUNTIFS(INDEX(ALGO!$A$2:$BZ$20001,0,$B$19),$B$1,INDEX(ALGO!$A$2:$BZ$20001,0,$B$20),$B$4,INDEX(ALGO!$A$2:$BZ$20001,0,$B$18),$A48,INDEX(ALGO!$A$2:$BZ$20001,0,AH$29),"&lt;&gt;"))</f>
        <v/>
      </c>
      <c r="AI70" s="22">
        <f>IF(OR($A48="",AI$29=""),0,COUNTIFS(INDEX(ALGO!$A$2:$BZ$20001,0,$B$19),$B$1,INDEX(ALGO!$A$2:$BZ$20001,0,$B$20),$B$4,INDEX(ALGO!$A$2:$BZ$20001,0,$B$18),$A48,INDEX(ALGO!$A$2:$BZ$20001,0,AI$29),"&lt;&gt;"))</f>
        <v/>
      </c>
      <c r="AJ70" s="22">
        <f>IF(OR($A48="",AJ$29=""),0,COUNTIFS(INDEX(ALGO!$A$2:$BZ$20001,0,$B$19),$B$1,INDEX(ALGO!$A$2:$BZ$20001,0,$B$20),$B$4,INDEX(ALGO!$A$2:$BZ$20001,0,$B$18),$A48,INDEX(ALGO!$A$2:$BZ$20001,0,AJ$29),"&lt;&gt;"))</f>
        <v/>
      </c>
      <c r="AK70" s="22">
        <f>IF(OR($A48="",AK$29=""),0,COUNTIFS(INDEX(ALGO!$A$2:$BZ$20001,0,$B$19),$B$1,INDEX(ALGO!$A$2:$BZ$20001,0,$B$20),$B$4,INDEX(ALGO!$A$2:$BZ$20001,0,$B$18),$A48,INDEX(ALGO!$A$2:$BZ$20001,0,AK$29),"&lt;&gt;"))</f>
        <v/>
      </c>
      <c r="AL70" s="22">
        <f>IF(OR($A48="",AL$29=""),0,COUNTIFS(INDEX(ALGO!$A$2:$BZ$20001,0,$B$19),$B$1,INDEX(ALGO!$A$2:$BZ$20001,0,$B$20),$B$4,INDEX(ALGO!$A$2:$BZ$20001,0,$B$18),$A48,INDEX(ALGO!$A$2:$BZ$20001,0,AL$29),"&lt;&gt;"))</f>
        <v/>
      </c>
      <c r="AM70" s="22">
        <f>IF(OR($A48="",AM$29=""),0,COUNTIFS(INDEX(ALGO!$A$2:$BZ$20001,0,$B$19),$B$1,INDEX(ALGO!$A$2:$BZ$20001,0,$B$20),$B$4,INDEX(ALGO!$A$2:$BZ$20001,0,$B$18),$A48,INDEX(ALGO!$A$2:$BZ$20001,0,AM$29),"&lt;&gt;"))</f>
        <v/>
      </c>
    </row>
    <row r="71">
      <c r="D71" s="22">
        <f>IF(OR($A49="",D$29=""),0,COUNTIFS(INDEX(ALGO!$A$2:$BZ$20001,0,$B$19),$B$1,INDEX(ALGO!$A$2:$BZ$20001,0,$B$20),$B$4,INDEX(ALGO!$A$2:$BZ$20001,0,$B$18),$A49,INDEX(ALGO!$A$2:$BZ$20001,0,D$29),"&lt;&gt;"))</f>
        <v/>
      </c>
      <c r="E71" s="22">
        <f>IF(OR($A49="",E$29=""),0,COUNTIFS(INDEX(ALGO!$A$2:$BZ$20001,0,$B$19),$B$1,INDEX(ALGO!$A$2:$BZ$20001,0,$B$20),$B$4,INDEX(ALGO!$A$2:$BZ$20001,0,$B$18),$A49,INDEX(ALGO!$A$2:$BZ$20001,0,E$29),"&lt;&gt;"))</f>
        <v/>
      </c>
      <c r="F71" s="22">
        <f>IF(OR($A49="",F$29=""),0,COUNTIFS(INDEX(ALGO!$A$2:$BZ$20001,0,$B$19),$B$1,INDEX(ALGO!$A$2:$BZ$20001,0,$B$20),$B$4,INDEX(ALGO!$A$2:$BZ$20001,0,$B$18),$A49,INDEX(ALGO!$A$2:$BZ$20001,0,F$29),"&lt;&gt;"))</f>
        <v/>
      </c>
      <c r="G71" s="22">
        <f>IF(OR($A49="",G$29=""),0,COUNTIFS(INDEX(ALGO!$A$2:$BZ$20001,0,$B$19),$B$1,INDEX(ALGO!$A$2:$BZ$20001,0,$B$20),$B$4,INDEX(ALGO!$A$2:$BZ$20001,0,$B$18),$A49,INDEX(ALGO!$A$2:$BZ$20001,0,G$29),"&lt;&gt;"))</f>
        <v/>
      </c>
      <c r="H71" s="22">
        <f>IF(OR($A49="",H$29=""),0,COUNTIFS(INDEX(ALGO!$A$2:$BZ$20001,0,$B$19),$B$1,INDEX(ALGO!$A$2:$BZ$20001,0,$B$20),$B$4,INDEX(ALGO!$A$2:$BZ$20001,0,$B$18),$A49,INDEX(ALGO!$A$2:$BZ$20001,0,H$29),"&lt;&gt;"))</f>
        <v/>
      </c>
      <c r="I71" s="22">
        <f>IF(OR($A49="",I$29=""),0,COUNTIFS(INDEX(ALGO!$A$2:$BZ$20001,0,$B$19),$B$1,INDEX(ALGO!$A$2:$BZ$20001,0,$B$20),$B$4,INDEX(ALGO!$A$2:$BZ$20001,0,$B$18),$A49,INDEX(ALGO!$A$2:$BZ$20001,0,I$29),"&lt;&gt;"))</f>
        <v/>
      </c>
      <c r="J71" s="22">
        <f>IF(OR($A49="",J$29=""),0,COUNTIFS(INDEX(ALGO!$A$2:$BZ$20001,0,$B$19),$B$1,INDEX(ALGO!$A$2:$BZ$20001,0,$B$20),$B$4,INDEX(ALGO!$A$2:$BZ$20001,0,$B$18),$A49,INDEX(ALGO!$A$2:$BZ$20001,0,J$29),"&lt;&gt;"))</f>
        <v/>
      </c>
      <c r="K71" s="22">
        <f>IF(OR($A49="",K$29=""),0,COUNTIFS(INDEX(ALGO!$A$2:$BZ$20001,0,$B$19),$B$1,INDEX(ALGO!$A$2:$BZ$20001,0,$B$20),$B$4,INDEX(ALGO!$A$2:$BZ$20001,0,$B$18),$A49,INDEX(ALGO!$A$2:$BZ$20001,0,K$29),"&lt;&gt;"))</f>
        <v/>
      </c>
      <c r="L71" s="22">
        <f>IF(OR($A49="",L$29=""),0,COUNTIFS(INDEX(ALGO!$A$2:$BZ$20001,0,$B$19),$B$1,INDEX(ALGO!$A$2:$BZ$20001,0,$B$20),$B$4,INDEX(ALGO!$A$2:$BZ$20001,0,$B$18),$A49,INDEX(ALGO!$A$2:$BZ$20001,0,L$29),"&lt;&gt;"))</f>
        <v/>
      </c>
      <c r="M71" s="22">
        <f>IF(OR($A49="",M$29=""),0,COUNTIFS(INDEX(ALGO!$A$2:$BZ$20001,0,$B$19),$B$1,INDEX(ALGO!$A$2:$BZ$20001,0,$B$20),$B$4,INDEX(ALGO!$A$2:$BZ$20001,0,$B$18),$A49,INDEX(ALGO!$A$2:$BZ$20001,0,M$29),"&lt;&gt;"))</f>
        <v/>
      </c>
      <c r="N71" s="22">
        <f>IF(OR($A49="",N$29=""),0,COUNTIFS(INDEX(ALGO!$A$2:$BZ$20001,0,$B$19),$B$1,INDEX(ALGO!$A$2:$BZ$20001,0,$B$20),$B$4,INDEX(ALGO!$A$2:$BZ$20001,0,$B$18),$A49,INDEX(ALGO!$A$2:$BZ$20001,0,N$29),"&lt;&gt;"))</f>
        <v/>
      </c>
      <c r="O71" s="22">
        <f>IF(OR($A49="",O$29=""),0,COUNTIFS(INDEX(ALGO!$A$2:$BZ$20001,0,$B$19),$B$1,INDEX(ALGO!$A$2:$BZ$20001,0,$B$20),$B$4,INDEX(ALGO!$A$2:$BZ$20001,0,$B$18),$A49,INDEX(ALGO!$A$2:$BZ$20001,0,O$29),"&lt;&gt;"))</f>
        <v/>
      </c>
      <c r="P71" s="22">
        <f>IF(OR($A49="",P$29=""),0,COUNTIFS(INDEX(ALGO!$A$2:$BZ$20001,0,$B$19),$B$1,INDEX(ALGO!$A$2:$BZ$20001,0,$B$20),$B$4,INDEX(ALGO!$A$2:$BZ$20001,0,$B$18),$A49,INDEX(ALGO!$A$2:$BZ$20001,0,P$29),"&lt;&gt;"))</f>
        <v/>
      </c>
      <c r="Q71" s="22">
        <f>IF(OR($A49="",Q$29=""),0,COUNTIFS(INDEX(ALGO!$A$2:$BZ$20001,0,$B$19),$B$1,INDEX(ALGO!$A$2:$BZ$20001,0,$B$20),$B$4,INDEX(ALGO!$A$2:$BZ$20001,0,$B$18),$A49,INDEX(ALGO!$A$2:$BZ$20001,0,Q$29),"&lt;&gt;"))</f>
        <v/>
      </c>
      <c r="R71" s="22">
        <f>IF(OR($A49="",R$29=""),0,COUNTIFS(INDEX(ALGO!$A$2:$BZ$20001,0,$B$19),$B$1,INDEX(ALGO!$A$2:$BZ$20001,0,$B$20),$B$4,INDEX(ALGO!$A$2:$BZ$20001,0,$B$18),$A49,INDEX(ALGO!$A$2:$BZ$20001,0,R$29),"&lt;&gt;"))</f>
        <v/>
      </c>
      <c r="S71" s="22">
        <f>IF(OR($A49="",S$29=""),0,COUNTIFS(INDEX(ALGO!$A$2:$BZ$20001,0,$B$19),$B$1,INDEX(ALGO!$A$2:$BZ$20001,0,$B$20),$B$4,INDEX(ALGO!$A$2:$BZ$20001,0,$B$18),$A49,INDEX(ALGO!$A$2:$BZ$20001,0,S$29),"&lt;&gt;"))</f>
        <v/>
      </c>
      <c r="T71" s="22">
        <f>IF(OR($A49="",T$29=""),0,COUNTIFS(INDEX(ALGO!$A$2:$BZ$20001,0,$B$19),$B$1,INDEX(ALGO!$A$2:$BZ$20001,0,$B$20),$B$4,INDEX(ALGO!$A$2:$BZ$20001,0,$B$18),$A49,INDEX(ALGO!$A$2:$BZ$20001,0,T$29),"&lt;&gt;"))</f>
        <v/>
      </c>
      <c r="U71" s="22">
        <f>IF(OR($A49="",U$29=""),0,COUNTIFS(INDEX(ALGO!$A$2:$BZ$20001,0,$B$19),$B$1,INDEX(ALGO!$A$2:$BZ$20001,0,$B$20),$B$4,INDEX(ALGO!$A$2:$BZ$20001,0,$B$18),$A49,INDEX(ALGO!$A$2:$BZ$20001,0,U$29),"&lt;&gt;"))</f>
        <v/>
      </c>
      <c r="V71" s="22">
        <f>IF(OR($A49="",V$29=""),0,COUNTIFS(INDEX(ALGO!$A$2:$BZ$20001,0,$B$19),$B$1,INDEX(ALGO!$A$2:$BZ$20001,0,$B$20),$B$4,INDEX(ALGO!$A$2:$BZ$20001,0,$B$18),$A49,INDEX(ALGO!$A$2:$BZ$20001,0,V$29),"&lt;&gt;"))</f>
        <v/>
      </c>
      <c r="W71" s="22">
        <f>IF(OR($A49="",W$29=""),0,COUNTIFS(INDEX(ALGO!$A$2:$BZ$20001,0,$B$19),$B$1,INDEX(ALGO!$A$2:$BZ$20001,0,$B$20),$B$4,INDEX(ALGO!$A$2:$BZ$20001,0,$B$18),$A49,INDEX(ALGO!$A$2:$BZ$20001,0,W$29),"&lt;&gt;"))</f>
        <v/>
      </c>
      <c r="X71" s="22">
        <f>IF(OR($A49="",X$29=""),0,COUNTIFS(INDEX(ALGO!$A$2:$BZ$20001,0,$B$19),$B$1,INDEX(ALGO!$A$2:$BZ$20001,0,$B$20),$B$4,INDEX(ALGO!$A$2:$BZ$20001,0,$B$18),$A49,INDEX(ALGO!$A$2:$BZ$20001,0,X$29),"&lt;&gt;"))</f>
        <v/>
      </c>
      <c r="Y71" s="22">
        <f>IF(OR($A49="",Y$29=""),0,COUNTIFS(INDEX(ALGO!$A$2:$BZ$20001,0,$B$19),$B$1,INDEX(ALGO!$A$2:$BZ$20001,0,$B$20),$B$4,INDEX(ALGO!$A$2:$BZ$20001,0,$B$18),$A49,INDEX(ALGO!$A$2:$BZ$20001,0,Y$29),"&lt;&gt;"))</f>
        <v/>
      </c>
      <c r="Z71" s="22">
        <f>IF(OR($A49="",Z$29=""),0,COUNTIFS(INDEX(ALGO!$A$2:$BZ$20001,0,$B$19),$B$1,INDEX(ALGO!$A$2:$BZ$20001,0,$B$20),$B$4,INDEX(ALGO!$A$2:$BZ$20001,0,$B$18),$A49,INDEX(ALGO!$A$2:$BZ$20001,0,Z$29),"&lt;&gt;"))</f>
        <v/>
      </c>
      <c r="AA71" s="22">
        <f>IF(OR($A49="",AA$29=""),0,COUNTIFS(INDEX(ALGO!$A$2:$BZ$20001,0,$B$19),$B$1,INDEX(ALGO!$A$2:$BZ$20001,0,$B$20),$B$4,INDEX(ALGO!$A$2:$BZ$20001,0,$B$18),$A49,INDEX(ALGO!$A$2:$BZ$20001,0,AA$29),"&lt;&gt;"))</f>
        <v/>
      </c>
      <c r="AB71" s="22">
        <f>IF(OR($A49="",AB$29=""),0,COUNTIFS(INDEX(ALGO!$A$2:$BZ$20001,0,$B$19),$B$1,INDEX(ALGO!$A$2:$BZ$20001,0,$B$20),$B$4,INDEX(ALGO!$A$2:$BZ$20001,0,$B$18),$A49,INDEX(ALGO!$A$2:$BZ$20001,0,AB$29),"&lt;&gt;"))</f>
        <v/>
      </c>
      <c r="AC71" s="22">
        <f>IF(OR($A49="",AC$29=""),0,COUNTIFS(INDEX(ALGO!$A$2:$BZ$20001,0,$B$19),$B$1,INDEX(ALGO!$A$2:$BZ$20001,0,$B$20),$B$4,INDEX(ALGO!$A$2:$BZ$20001,0,$B$18),$A49,INDEX(ALGO!$A$2:$BZ$20001,0,AC$29),"&lt;&gt;"))</f>
        <v/>
      </c>
      <c r="AD71" s="22">
        <f>IF(OR($A49="",AD$29=""),0,COUNTIFS(INDEX(ALGO!$A$2:$BZ$20001,0,$B$19),$B$1,INDEX(ALGO!$A$2:$BZ$20001,0,$B$20),$B$4,INDEX(ALGO!$A$2:$BZ$20001,0,$B$18),$A49,INDEX(ALGO!$A$2:$BZ$20001,0,AD$29),"&lt;&gt;"))</f>
        <v/>
      </c>
      <c r="AE71" s="22">
        <f>IF(OR($A49="",AE$29=""),0,COUNTIFS(INDEX(ALGO!$A$2:$BZ$20001,0,$B$19),$B$1,INDEX(ALGO!$A$2:$BZ$20001,0,$B$20),$B$4,INDEX(ALGO!$A$2:$BZ$20001,0,$B$18),$A49,INDEX(ALGO!$A$2:$BZ$20001,0,AE$29),"&lt;&gt;"))</f>
        <v/>
      </c>
      <c r="AF71" s="22">
        <f>IF(OR($A49="",AF$29=""),0,COUNTIFS(INDEX(ALGO!$A$2:$BZ$20001,0,$B$19),$B$1,INDEX(ALGO!$A$2:$BZ$20001,0,$B$20),$B$4,INDEX(ALGO!$A$2:$BZ$20001,0,$B$18),$A49,INDEX(ALGO!$A$2:$BZ$20001,0,AF$29),"&lt;&gt;"))</f>
        <v/>
      </c>
      <c r="AG71" s="22">
        <f>IF(OR($A49="",AG$29=""),0,COUNTIFS(INDEX(ALGO!$A$2:$BZ$20001,0,$B$19),$B$1,INDEX(ALGO!$A$2:$BZ$20001,0,$B$20),$B$4,INDEX(ALGO!$A$2:$BZ$20001,0,$B$18),$A49,INDEX(ALGO!$A$2:$BZ$20001,0,AG$29),"&lt;&gt;"))</f>
        <v/>
      </c>
      <c r="AH71" s="22">
        <f>IF(OR($A49="",AH$29=""),0,COUNTIFS(INDEX(ALGO!$A$2:$BZ$20001,0,$B$19),$B$1,INDEX(ALGO!$A$2:$BZ$20001,0,$B$20),$B$4,INDEX(ALGO!$A$2:$BZ$20001,0,$B$18),$A49,INDEX(ALGO!$A$2:$BZ$20001,0,AH$29),"&lt;&gt;"))</f>
        <v/>
      </c>
      <c r="AI71" s="22">
        <f>IF(OR($A49="",AI$29=""),0,COUNTIFS(INDEX(ALGO!$A$2:$BZ$20001,0,$B$19),$B$1,INDEX(ALGO!$A$2:$BZ$20001,0,$B$20),$B$4,INDEX(ALGO!$A$2:$BZ$20001,0,$B$18),$A49,INDEX(ALGO!$A$2:$BZ$20001,0,AI$29),"&lt;&gt;"))</f>
        <v/>
      </c>
      <c r="AJ71" s="22">
        <f>IF(OR($A49="",AJ$29=""),0,COUNTIFS(INDEX(ALGO!$A$2:$BZ$20001,0,$B$19),$B$1,INDEX(ALGO!$A$2:$BZ$20001,0,$B$20),$B$4,INDEX(ALGO!$A$2:$BZ$20001,0,$B$18),$A49,INDEX(ALGO!$A$2:$BZ$20001,0,AJ$29),"&lt;&gt;"))</f>
        <v/>
      </c>
      <c r="AK71" s="22">
        <f>IF(OR($A49="",AK$29=""),0,COUNTIFS(INDEX(ALGO!$A$2:$BZ$20001,0,$B$19),$B$1,INDEX(ALGO!$A$2:$BZ$20001,0,$B$20),$B$4,INDEX(ALGO!$A$2:$BZ$20001,0,$B$18),$A49,INDEX(ALGO!$A$2:$BZ$20001,0,AK$29),"&lt;&gt;"))</f>
        <v/>
      </c>
      <c r="AL71" s="22">
        <f>IF(OR($A49="",AL$29=""),0,COUNTIFS(INDEX(ALGO!$A$2:$BZ$20001,0,$B$19),$B$1,INDEX(ALGO!$A$2:$BZ$20001,0,$B$20),$B$4,INDEX(ALGO!$A$2:$BZ$20001,0,$B$18),$A49,INDEX(ALGO!$A$2:$BZ$20001,0,AL$29),"&lt;&gt;"))</f>
        <v/>
      </c>
      <c r="AM71" s="22">
        <f>IF(OR($A49="",AM$29=""),0,COUNTIFS(INDEX(ALGO!$A$2:$BZ$20001,0,$B$19),$B$1,INDEX(ALGO!$A$2:$BZ$20001,0,$B$20),$B$4,INDEX(ALGO!$A$2:$BZ$20001,0,$B$18),$A49,INDEX(ALGO!$A$2:$BZ$20001,0,AM$29),"&lt;&gt;"))</f>
        <v/>
      </c>
    </row>
    <row r="72">
      <c r="D72" s="22">
        <f>IF(OR($A50="",D$29=""),0,COUNTIFS(INDEX(ALGO!$A$2:$BZ$20001,0,$B$19),$B$1,INDEX(ALGO!$A$2:$BZ$20001,0,$B$20),$B$4,INDEX(ALGO!$A$2:$BZ$20001,0,$B$18),$A50,INDEX(ALGO!$A$2:$BZ$20001,0,D$29),"&lt;&gt;"))</f>
        <v/>
      </c>
      <c r="E72" s="22">
        <f>IF(OR($A50="",E$29=""),0,COUNTIFS(INDEX(ALGO!$A$2:$BZ$20001,0,$B$19),$B$1,INDEX(ALGO!$A$2:$BZ$20001,0,$B$20),$B$4,INDEX(ALGO!$A$2:$BZ$20001,0,$B$18),$A50,INDEX(ALGO!$A$2:$BZ$20001,0,E$29),"&lt;&gt;"))</f>
        <v/>
      </c>
      <c r="F72" s="22">
        <f>IF(OR($A50="",F$29=""),0,COUNTIFS(INDEX(ALGO!$A$2:$BZ$20001,0,$B$19),$B$1,INDEX(ALGO!$A$2:$BZ$20001,0,$B$20),$B$4,INDEX(ALGO!$A$2:$BZ$20001,0,$B$18),$A50,INDEX(ALGO!$A$2:$BZ$20001,0,F$29),"&lt;&gt;"))</f>
        <v/>
      </c>
      <c r="G72" s="22">
        <f>IF(OR($A50="",G$29=""),0,COUNTIFS(INDEX(ALGO!$A$2:$BZ$20001,0,$B$19),$B$1,INDEX(ALGO!$A$2:$BZ$20001,0,$B$20),$B$4,INDEX(ALGO!$A$2:$BZ$20001,0,$B$18),$A50,INDEX(ALGO!$A$2:$BZ$20001,0,G$29),"&lt;&gt;"))</f>
        <v/>
      </c>
      <c r="H72" s="22">
        <f>IF(OR($A50="",H$29=""),0,COUNTIFS(INDEX(ALGO!$A$2:$BZ$20001,0,$B$19),$B$1,INDEX(ALGO!$A$2:$BZ$20001,0,$B$20),$B$4,INDEX(ALGO!$A$2:$BZ$20001,0,$B$18),$A50,INDEX(ALGO!$A$2:$BZ$20001,0,H$29),"&lt;&gt;"))</f>
        <v/>
      </c>
      <c r="I72" s="22">
        <f>IF(OR($A50="",I$29=""),0,COUNTIFS(INDEX(ALGO!$A$2:$BZ$20001,0,$B$19),$B$1,INDEX(ALGO!$A$2:$BZ$20001,0,$B$20),$B$4,INDEX(ALGO!$A$2:$BZ$20001,0,$B$18),$A50,INDEX(ALGO!$A$2:$BZ$20001,0,I$29),"&lt;&gt;"))</f>
        <v/>
      </c>
      <c r="J72" s="22">
        <f>IF(OR($A50="",J$29=""),0,COUNTIFS(INDEX(ALGO!$A$2:$BZ$20001,0,$B$19),$B$1,INDEX(ALGO!$A$2:$BZ$20001,0,$B$20),$B$4,INDEX(ALGO!$A$2:$BZ$20001,0,$B$18),$A50,INDEX(ALGO!$A$2:$BZ$20001,0,J$29),"&lt;&gt;"))</f>
        <v/>
      </c>
      <c r="K72" s="22">
        <f>IF(OR($A50="",K$29=""),0,COUNTIFS(INDEX(ALGO!$A$2:$BZ$20001,0,$B$19),$B$1,INDEX(ALGO!$A$2:$BZ$20001,0,$B$20),$B$4,INDEX(ALGO!$A$2:$BZ$20001,0,$B$18),$A50,INDEX(ALGO!$A$2:$BZ$20001,0,K$29),"&lt;&gt;"))</f>
        <v/>
      </c>
      <c r="L72" s="22">
        <f>IF(OR($A50="",L$29=""),0,COUNTIFS(INDEX(ALGO!$A$2:$BZ$20001,0,$B$19),$B$1,INDEX(ALGO!$A$2:$BZ$20001,0,$B$20),$B$4,INDEX(ALGO!$A$2:$BZ$20001,0,$B$18),$A50,INDEX(ALGO!$A$2:$BZ$20001,0,L$29),"&lt;&gt;"))</f>
        <v/>
      </c>
      <c r="M72" s="22">
        <f>IF(OR($A50="",M$29=""),0,COUNTIFS(INDEX(ALGO!$A$2:$BZ$20001,0,$B$19),$B$1,INDEX(ALGO!$A$2:$BZ$20001,0,$B$20),$B$4,INDEX(ALGO!$A$2:$BZ$20001,0,$B$18),$A50,INDEX(ALGO!$A$2:$BZ$20001,0,M$29),"&lt;&gt;"))</f>
        <v/>
      </c>
      <c r="N72" s="22">
        <f>IF(OR($A50="",N$29=""),0,COUNTIFS(INDEX(ALGO!$A$2:$BZ$20001,0,$B$19),$B$1,INDEX(ALGO!$A$2:$BZ$20001,0,$B$20),$B$4,INDEX(ALGO!$A$2:$BZ$20001,0,$B$18),$A50,INDEX(ALGO!$A$2:$BZ$20001,0,N$29),"&lt;&gt;"))</f>
        <v/>
      </c>
      <c r="O72" s="22">
        <f>IF(OR($A50="",O$29=""),0,COUNTIFS(INDEX(ALGO!$A$2:$BZ$20001,0,$B$19),$B$1,INDEX(ALGO!$A$2:$BZ$20001,0,$B$20),$B$4,INDEX(ALGO!$A$2:$BZ$20001,0,$B$18),$A50,INDEX(ALGO!$A$2:$BZ$20001,0,O$29),"&lt;&gt;"))</f>
        <v/>
      </c>
      <c r="P72" s="22">
        <f>IF(OR($A50="",P$29=""),0,COUNTIFS(INDEX(ALGO!$A$2:$BZ$20001,0,$B$19),$B$1,INDEX(ALGO!$A$2:$BZ$20001,0,$B$20),$B$4,INDEX(ALGO!$A$2:$BZ$20001,0,$B$18),$A50,INDEX(ALGO!$A$2:$BZ$20001,0,P$29),"&lt;&gt;"))</f>
        <v/>
      </c>
      <c r="Q72" s="22">
        <f>IF(OR($A50="",Q$29=""),0,COUNTIFS(INDEX(ALGO!$A$2:$BZ$20001,0,$B$19),$B$1,INDEX(ALGO!$A$2:$BZ$20001,0,$B$20),$B$4,INDEX(ALGO!$A$2:$BZ$20001,0,$B$18),$A50,INDEX(ALGO!$A$2:$BZ$20001,0,Q$29),"&lt;&gt;"))</f>
        <v/>
      </c>
      <c r="R72" s="22">
        <f>IF(OR($A50="",R$29=""),0,COUNTIFS(INDEX(ALGO!$A$2:$BZ$20001,0,$B$19),$B$1,INDEX(ALGO!$A$2:$BZ$20001,0,$B$20),$B$4,INDEX(ALGO!$A$2:$BZ$20001,0,$B$18),$A50,INDEX(ALGO!$A$2:$BZ$20001,0,R$29),"&lt;&gt;"))</f>
        <v/>
      </c>
      <c r="S72" s="22">
        <f>IF(OR($A50="",S$29=""),0,COUNTIFS(INDEX(ALGO!$A$2:$BZ$20001,0,$B$19),$B$1,INDEX(ALGO!$A$2:$BZ$20001,0,$B$20),$B$4,INDEX(ALGO!$A$2:$BZ$20001,0,$B$18),$A50,INDEX(ALGO!$A$2:$BZ$20001,0,S$29),"&lt;&gt;"))</f>
        <v/>
      </c>
      <c r="T72" s="22">
        <f>IF(OR($A50="",T$29=""),0,COUNTIFS(INDEX(ALGO!$A$2:$BZ$20001,0,$B$19),$B$1,INDEX(ALGO!$A$2:$BZ$20001,0,$B$20),$B$4,INDEX(ALGO!$A$2:$BZ$20001,0,$B$18),$A50,INDEX(ALGO!$A$2:$BZ$20001,0,T$29),"&lt;&gt;"))</f>
        <v/>
      </c>
      <c r="U72" s="22">
        <f>IF(OR($A50="",U$29=""),0,COUNTIFS(INDEX(ALGO!$A$2:$BZ$20001,0,$B$19),$B$1,INDEX(ALGO!$A$2:$BZ$20001,0,$B$20),$B$4,INDEX(ALGO!$A$2:$BZ$20001,0,$B$18),$A50,INDEX(ALGO!$A$2:$BZ$20001,0,U$29),"&lt;&gt;"))</f>
        <v/>
      </c>
      <c r="V72" s="22">
        <f>IF(OR($A50="",V$29=""),0,COUNTIFS(INDEX(ALGO!$A$2:$BZ$20001,0,$B$19),$B$1,INDEX(ALGO!$A$2:$BZ$20001,0,$B$20),$B$4,INDEX(ALGO!$A$2:$BZ$20001,0,$B$18),$A50,INDEX(ALGO!$A$2:$BZ$20001,0,V$29),"&lt;&gt;"))</f>
        <v/>
      </c>
      <c r="W72" s="22">
        <f>IF(OR($A50="",W$29=""),0,COUNTIFS(INDEX(ALGO!$A$2:$BZ$20001,0,$B$19),$B$1,INDEX(ALGO!$A$2:$BZ$20001,0,$B$20),$B$4,INDEX(ALGO!$A$2:$BZ$20001,0,$B$18),$A50,INDEX(ALGO!$A$2:$BZ$20001,0,W$29),"&lt;&gt;"))</f>
        <v/>
      </c>
      <c r="X72" s="22">
        <f>IF(OR($A50="",X$29=""),0,COUNTIFS(INDEX(ALGO!$A$2:$BZ$20001,0,$B$19),$B$1,INDEX(ALGO!$A$2:$BZ$20001,0,$B$20),$B$4,INDEX(ALGO!$A$2:$BZ$20001,0,$B$18),$A50,INDEX(ALGO!$A$2:$BZ$20001,0,X$29),"&lt;&gt;"))</f>
        <v/>
      </c>
      <c r="Y72" s="22">
        <f>IF(OR($A50="",Y$29=""),0,COUNTIFS(INDEX(ALGO!$A$2:$BZ$20001,0,$B$19),$B$1,INDEX(ALGO!$A$2:$BZ$20001,0,$B$20),$B$4,INDEX(ALGO!$A$2:$BZ$20001,0,$B$18),$A50,INDEX(ALGO!$A$2:$BZ$20001,0,Y$29),"&lt;&gt;"))</f>
        <v/>
      </c>
      <c r="Z72" s="22">
        <f>IF(OR($A50="",Z$29=""),0,COUNTIFS(INDEX(ALGO!$A$2:$BZ$20001,0,$B$19),$B$1,INDEX(ALGO!$A$2:$BZ$20001,0,$B$20),$B$4,INDEX(ALGO!$A$2:$BZ$20001,0,$B$18),$A50,INDEX(ALGO!$A$2:$BZ$20001,0,Z$29),"&lt;&gt;"))</f>
        <v/>
      </c>
      <c r="AA72" s="22">
        <f>IF(OR($A50="",AA$29=""),0,COUNTIFS(INDEX(ALGO!$A$2:$BZ$20001,0,$B$19),$B$1,INDEX(ALGO!$A$2:$BZ$20001,0,$B$20),$B$4,INDEX(ALGO!$A$2:$BZ$20001,0,$B$18),$A50,INDEX(ALGO!$A$2:$BZ$20001,0,AA$29),"&lt;&gt;"))</f>
        <v/>
      </c>
      <c r="AB72" s="22">
        <f>IF(OR($A50="",AB$29=""),0,COUNTIFS(INDEX(ALGO!$A$2:$BZ$20001,0,$B$19),$B$1,INDEX(ALGO!$A$2:$BZ$20001,0,$B$20),$B$4,INDEX(ALGO!$A$2:$BZ$20001,0,$B$18),$A50,INDEX(ALGO!$A$2:$BZ$20001,0,AB$29),"&lt;&gt;"))</f>
        <v/>
      </c>
      <c r="AC72" s="22">
        <f>IF(OR($A50="",AC$29=""),0,COUNTIFS(INDEX(ALGO!$A$2:$BZ$20001,0,$B$19),$B$1,INDEX(ALGO!$A$2:$BZ$20001,0,$B$20),$B$4,INDEX(ALGO!$A$2:$BZ$20001,0,$B$18),$A50,INDEX(ALGO!$A$2:$BZ$20001,0,AC$29),"&lt;&gt;"))</f>
        <v/>
      </c>
      <c r="AD72" s="22">
        <f>IF(OR($A50="",AD$29=""),0,COUNTIFS(INDEX(ALGO!$A$2:$BZ$20001,0,$B$19),$B$1,INDEX(ALGO!$A$2:$BZ$20001,0,$B$20),$B$4,INDEX(ALGO!$A$2:$BZ$20001,0,$B$18),$A50,INDEX(ALGO!$A$2:$BZ$20001,0,AD$29),"&lt;&gt;"))</f>
        <v/>
      </c>
      <c r="AE72" s="22">
        <f>IF(OR($A50="",AE$29=""),0,COUNTIFS(INDEX(ALGO!$A$2:$BZ$20001,0,$B$19),$B$1,INDEX(ALGO!$A$2:$BZ$20001,0,$B$20),$B$4,INDEX(ALGO!$A$2:$BZ$20001,0,$B$18),$A50,INDEX(ALGO!$A$2:$BZ$20001,0,AE$29),"&lt;&gt;"))</f>
        <v/>
      </c>
      <c r="AF72" s="22">
        <f>IF(OR($A50="",AF$29=""),0,COUNTIFS(INDEX(ALGO!$A$2:$BZ$20001,0,$B$19),$B$1,INDEX(ALGO!$A$2:$BZ$20001,0,$B$20),$B$4,INDEX(ALGO!$A$2:$BZ$20001,0,$B$18),$A50,INDEX(ALGO!$A$2:$BZ$20001,0,AF$29),"&lt;&gt;"))</f>
        <v/>
      </c>
      <c r="AG72" s="22">
        <f>IF(OR($A50="",AG$29=""),0,COUNTIFS(INDEX(ALGO!$A$2:$BZ$20001,0,$B$19),$B$1,INDEX(ALGO!$A$2:$BZ$20001,0,$B$20),$B$4,INDEX(ALGO!$A$2:$BZ$20001,0,$B$18),$A50,INDEX(ALGO!$A$2:$BZ$20001,0,AG$29),"&lt;&gt;"))</f>
        <v/>
      </c>
      <c r="AH72" s="22">
        <f>IF(OR($A50="",AH$29=""),0,COUNTIFS(INDEX(ALGO!$A$2:$BZ$20001,0,$B$19),$B$1,INDEX(ALGO!$A$2:$BZ$20001,0,$B$20),$B$4,INDEX(ALGO!$A$2:$BZ$20001,0,$B$18),$A50,INDEX(ALGO!$A$2:$BZ$20001,0,AH$29),"&lt;&gt;"))</f>
        <v/>
      </c>
      <c r="AI72" s="22">
        <f>IF(OR($A50="",AI$29=""),0,COUNTIFS(INDEX(ALGO!$A$2:$BZ$20001,0,$B$19),$B$1,INDEX(ALGO!$A$2:$BZ$20001,0,$B$20),$B$4,INDEX(ALGO!$A$2:$BZ$20001,0,$B$18),$A50,INDEX(ALGO!$A$2:$BZ$20001,0,AI$29),"&lt;&gt;"))</f>
        <v/>
      </c>
      <c r="AJ72" s="22">
        <f>IF(OR($A50="",AJ$29=""),0,COUNTIFS(INDEX(ALGO!$A$2:$BZ$20001,0,$B$19),$B$1,INDEX(ALGO!$A$2:$BZ$20001,0,$B$20),$B$4,INDEX(ALGO!$A$2:$BZ$20001,0,$B$18),$A50,INDEX(ALGO!$A$2:$BZ$20001,0,AJ$29),"&lt;&gt;"))</f>
        <v/>
      </c>
      <c r="AK72" s="22">
        <f>IF(OR($A50="",AK$29=""),0,COUNTIFS(INDEX(ALGO!$A$2:$BZ$20001,0,$B$19),$B$1,INDEX(ALGO!$A$2:$BZ$20001,0,$B$20),$B$4,INDEX(ALGO!$A$2:$BZ$20001,0,$B$18),$A50,INDEX(ALGO!$A$2:$BZ$20001,0,AK$29),"&lt;&gt;"))</f>
        <v/>
      </c>
      <c r="AL72" s="22">
        <f>IF(OR($A50="",AL$29=""),0,COUNTIFS(INDEX(ALGO!$A$2:$BZ$20001,0,$B$19),$B$1,INDEX(ALGO!$A$2:$BZ$20001,0,$B$20),$B$4,INDEX(ALGO!$A$2:$BZ$20001,0,$B$18),$A50,INDEX(ALGO!$A$2:$BZ$20001,0,AL$29),"&lt;&gt;"))</f>
        <v/>
      </c>
      <c r="AM72" s="22">
        <f>IF(OR($A50="",AM$29=""),0,COUNTIFS(INDEX(ALGO!$A$2:$BZ$20001,0,$B$19),$B$1,INDEX(ALGO!$A$2:$BZ$20001,0,$B$20),$B$4,INDEX(ALGO!$A$2:$BZ$20001,0,$B$18),$A50,INDEX(ALGO!$A$2:$BZ$20001,0,AM$29),"&lt;&gt;"))</f>
        <v/>
      </c>
    </row>
    <row r="75">
      <c r="A75" s="3" t="inlineStr">
        <is>
          <t>ALGO 1er item</t>
        </is>
      </c>
      <c r="B75" s="19">
        <f>INDEX(ALGO!$A$1:$BZ$20001,2,$B$19)</f>
        <v/>
      </c>
    </row>
    <row r="76">
      <c r="A76" s="3" t="inlineStr">
        <is>
          <t>ALGO 1er account</t>
        </is>
      </c>
      <c r="B76" s="19">
        <f>INDEX(ALGO!$A$1:$BZ$20001,2,$B$20)</f>
        <v/>
      </c>
    </row>
    <row r="77">
      <c r="A77" s="3" t="inlineStr">
        <is>
          <t>ALGO capas/interseccion</t>
        </is>
      </c>
      <c r="B77" s="19">
        <f>COUNTIFS(INDEX(ALGO!$A$2:$BZ$20001,0,$B$19),$B$75,INDEX(ALGO!$A$2:$BZ$20001,0,$B$20),$B$76)</f>
        <v/>
      </c>
    </row>
    <row r="79">
      <c r="A79" s="7" t="inlineStr">
        <is>
          <t>#</t>
        </is>
      </c>
      <c r="B79" s="7" t="inlineStr">
        <is>
          <t>Capa de ALGO</t>
        </is>
      </c>
      <c r="C79" s="7" t="inlineStr">
        <is>
          <t>excluida</t>
        </is>
      </c>
      <c r="D79" s="7" t="inlineStr">
        <is>
          <t>celdas con valor</t>
        </is>
      </c>
      <c r="E79" s="7" t="inlineStr">
        <is>
          <t>orden activo</t>
        </is>
      </c>
    </row>
    <row r="80">
      <c r="A80" s="20" t="n">
        <v>1</v>
      </c>
      <c r="B80" s="20">
        <f>IF($A80&gt;$B$77,"",IFERROR(INDEX(ALGO!$A$1:$BZ$20001,1+$A80,$B$18),""))</f>
        <v/>
      </c>
      <c r="C80" s="20">
        <f>IF($B80="",1,IF(COUNTIF($A$200:$A$202,$B80)&gt;0,1,0))</f>
        <v/>
      </c>
      <c r="D80" s="20">
        <f>IF($C80=1,0,SUM($H80:$AQ80))</f>
        <v/>
      </c>
      <c r="E80" s="20">
        <f>IF($D80&gt;0,1,0)</f>
        <v/>
      </c>
      <c r="H80" s="22">
        <f>IF(OR($C80=1,D$29=""),0,COUNTIFS(INDEX(ALGO!$A$2:$BZ$20001,0,$B$19),$B$1,INDEX(ALGO!$A$2:$BZ$20001,0,$B$20),"*",INDEX(ALGO!$A$2:$BZ$20001,0,$B$18),$B80,INDEX(ALGO!$A$2:$BZ$20001,0,D$29),"&lt;&gt;"))</f>
        <v/>
      </c>
      <c r="I80" s="22">
        <f>IF(OR($C80=1,E$29=""),0,COUNTIFS(INDEX(ALGO!$A$2:$BZ$20001,0,$B$19),$B$1,INDEX(ALGO!$A$2:$BZ$20001,0,$B$20),"*",INDEX(ALGO!$A$2:$BZ$20001,0,$B$18),$B80,INDEX(ALGO!$A$2:$BZ$20001,0,E$29),"&lt;&gt;"))</f>
        <v/>
      </c>
      <c r="J80" s="22">
        <f>IF(OR($C80=1,F$29=""),0,COUNTIFS(INDEX(ALGO!$A$2:$BZ$20001,0,$B$19),$B$1,INDEX(ALGO!$A$2:$BZ$20001,0,$B$20),"*",INDEX(ALGO!$A$2:$BZ$20001,0,$B$18),$B80,INDEX(ALGO!$A$2:$BZ$20001,0,F$29),"&lt;&gt;"))</f>
        <v/>
      </c>
      <c r="K80" s="22">
        <f>IF(OR($C80=1,G$29=""),0,COUNTIFS(INDEX(ALGO!$A$2:$BZ$20001,0,$B$19),$B$1,INDEX(ALGO!$A$2:$BZ$20001,0,$B$20),"*",INDEX(ALGO!$A$2:$BZ$20001,0,$B$18),$B80,INDEX(ALGO!$A$2:$BZ$20001,0,G$29),"&lt;&gt;"))</f>
        <v/>
      </c>
      <c r="L80" s="22">
        <f>IF(OR($C80=1,H$29=""),0,COUNTIFS(INDEX(ALGO!$A$2:$BZ$20001,0,$B$19),$B$1,INDEX(ALGO!$A$2:$BZ$20001,0,$B$20),"*",INDEX(ALGO!$A$2:$BZ$20001,0,$B$18),$B80,INDEX(ALGO!$A$2:$BZ$20001,0,H$29),"&lt;&gt;"))</f>
        <v/>
      </c>
      <c r="M80" s="22">
        <f>IF(OR($C80=1,I$29=""),0,COUNTIFS(INDEX(ALGO!$A$2:$BZ$20001,0,$B$19),$B$1,INDEX(ALGO!$A$2:$BZ$20001,0,$B$20),"*",INDEX(ALGO!$A$2:$BZ$20001,0,$B$18),$B80,INDEX(ALGO!$A$2:$BZ$20001,0,I$29),"&lt;&gt;"))</f>
        <v/>
      </c>
      <c r="N80" s="22">
        <f>IF(OR($C80=1,J$29=""),0,COUNTIFS(INDEX(ALGO!$A$2:$BZ$20001,0,$B$19),$B$1,INDEX(ALGO!$A$2:$BZ$20001,0,$B$20),"*",INDEX(ALGO!$A$2:$BZ$20001,0,$B$18),$B80,INDEX(ALGO!$A$2:$BZ$20001,0,J$29),"&lt;&gt;"))</f>
        <v/>
      </c>
      <c r="O80" s="22">
        <f>IF(OR($C80=1,K$29=""),0,COUNTIFS(INDEX(ALGO!$A$2:$BZ$20001,0,$B$19),$B$1,INDEX(ALGO!$A$2:$BZ$20001,0,$B$20),"*",INDEX(ALGO!$A$2:$BZ$20001,0,$B$18),$B80,INDEX(ALGO!$A$2:$BZ$20001,0,K$29),"&lt;&gt;"))</f>
        <v/>
      </c>
      <c r="P80" s="22">
        <f>IF(OR($C80=1,L$29=""),0,COUNTIFS(INDEX(ALGO!$A$2:$BZ$20001,0,$B$19),$B$1,INDEX(ALGO!$A$2:$BZ$20001,0,$B$20),"*",INDEX(ALGO!$A$2:$BZ$20001,0,$B$18),$B80,INDEX(ALGO!$A$2:$BZ$20001,0,L$29),"&lt;&gt;"))</f>
        <v/>
      </c>
      <c r="Q80" s="22">
        <f>IF(OR($C80=1,M$29=""),0,COUNTIFS(INDEX(ALGO!$A$2:$BZ$20001,0,$B$19),$B$1,INDEX(ALGO!$A$2:$BZ$20001,0,$B$20),"*",INDEX(ALGO!$A$2:$BZ$20001,0,$B$18),$B80,INDEX(ALGO!$A$2:$BZ$20001,0,M$29),"&lt;&gt;"))</f>
        <v/>
      </c>
      <c r="R80" s="22">
        <f>IF(OR($C80=1,N$29=""),0,COUNTIFS(INDEX(ALGO!$A$2:$BZ$20001,0,$B$19),$B$1,INDEX(ALGO!$A$2:$BZ$20001,0,$B$20),"*",INDEX(ALGO!$A$2:$BZ$20001,0,$B$18),$B80,INDEX(ALGO!$A$2:$BZ$20001,0,N$29),"&lt;&gt;"))</f>
        <v/>
      </c>
      <c r="S80" s="22">
        <f>IF(OR($C80=1,O$29=""),0,COUNTIFS(INDEX(ALGO!$A$2:$BZ$20001,0,$B$19),$B$1,INDEX(ALGO!$A$2:$BZ$20001,0,$B$20),"*",INDEX(ALGO!$A$2:$BZ$20001,0,$B$18),$B80,INDEX(ALGO!$A$2:$BZ$20001,0,O$29),"&lt;&gt;"))</f>
        <v/>
      </c>
      <c r="T80" s="22">
        <f>IF(OR($C80=1,P$29=""),0,COUNTIFS(INDEX(ALGO!$A$2:$BZ$20001,0,$B$19),$B$1,INDEX(ALGO!$A$2:$BZ$20001,0,$B$20),"*",INDEX(ALGO!$A$2:$BZ$20001,0,$B$18),$B80,INDEX(ALGO!$A$2:$BZ$20001,0,P$29),"&lt;&gt;"))</f>
        <v/>
      </c>
      <c r="U80" s="22">
        <f>IF(OR($C80=1,Q$29=""),0,COUNTIFS(INDEX(ALGO!$A$2:$BZ$20001,0,$B$19),$B$1,INDEX(ALGO!$A$2:$BZ$20001,0,$B$20),"*",INDEX(ALGO!$A$2:$BZ$20001,0,$B$18),$B80,INDEX(ALGO!$A$2:$BZ$20001,0,Q$29),"&lt;&gt;"))</f>
        <v/>
      </c>
      <c r="V80" s="22">
        <f>IF(OR($C80=1,R$29=""),0,COUNTIFS(INDEX(ALGO!$A$2:$BZ$20001,0,$B$19),$B$1,INDEX(ALGO!$A$2:$BZ$20001,0,$B$20),"*",INDEX(ALGO!$A$2:$BZ$20001,0,$B$18),$B80,INDEX(ALGO!$A$2:$BZ$20001,0,R$29),"&lt;&gt;"))</f>
        <v/>
      </c>
      <c r="W80" s="22">
        <f>IF(OR($C80=1,S$29=""),0,COUNTIFS(INDEX(ALGO!$A$2:$BZ$20001,0,$B$19),$B$1,INDEX(ALGO!$A$2:$BZ$20001,0,$B$20),"*",INDEX(ALGO!$A$2:$BZ$20001,0,$B$18),$B80,INDEX(ALGO!$A$2:$BZ$20001,0,S$29),"&lt;&gt;"))</f>
        <v/>
      </c>
      <c r="X80" s="22">
        <f>IF(OR($C80=1,T$29=""),0,COUNTIFS(INDEX(ALGO!$A$2:$BZ$20001,0,$B$19),$B$1,INDEX(ALGO!$A$2:$BZ$20001,0,$B$20),"*",INDEX(ALGO!$A$2:$BZ$20001,0,$B$18),$B80,INDEX(ALGO!$A$2:$BZ$20001,0,T$29),"&lt;&gt;"))</f>
        <v/>
      </c>
      <c r="Y80" s="22">
        <f>IF(OR($C80=1,U$29=""),0,COUNTIFS(INDEX(ALGO!$A$2:$BZ$20001,0,$B$19),$B$1,INDEX(ALGO!$A$2:$BZ$20001,0,$B$20),"*",INDEX(ALGO!$A$2:$BZ$20001,0,$B$18),$B80,INDEX(ALGO!$A$2:$BZ$20001,0,U$29),"&lt;&gt;"))</f>
        <v/>
      </c>
      <c r="Z80" s="22">
        <f>IF(OR($C80=1,V$29=""),0,COUNTIFS(INDEX(ALGO!$A$2:$BZ$20001,0,$B$19),$B$1,INDEX(ALGO!$A$2:$BZ$20001,0,$B$20),"*",INDEX(ALGO!$A$2:$BZ$20001,0,$B$18),$B80,INDEX(ALGO!$A$2:$BZ$20001,0,V$29),"&lt;&gt;"))</f>
        <v/>
      </c>
      <c r="AA80" s="22">
        <f>IF(OR($C80=1,W$29=""),0,COUNTIFS(INDEX(ALGO!$A$2:$BZ$20001,0,$B$19),$B$1,INDEX(ALGO!$A$2:$BZ$20001,0,$B$20),"*",INDEX(ALGO!$A$2:$BZ$20001,0,$B$18),$B80,INDEX(ALGO!$A$2:$BZ$20001,0,W$29),"&lt;&gt;"))</f>
        <v/>
      </c>
      <c r="AB80" s="22">
        <f>IF(OR($C80=1,X$29=""),0,COUNTIFS(INDEX(ALGO!$A$2:$BZ$20001,0,$B$19),$B$1,INDEX(ALGO!$A$2:$BZ$20001,0,$B$20),"*",INDEX(ALGO!$A$2:$BZ$20001,0,$B$18),$B80,INDEX(ALGO!$A$2:$BZ$20001,0,X$29),"&lt;&gt;"))</f>
        <v/>
      </c>
      <c r="AC80" s="22">
        <f>IF(OR($C80=1,Y$29=""),0,COUNTIFS(INDEX(ALGO!$A$2:$BZ$20001,0,$B$19),$B$1,INDEX(ALGO!$A$2:$BZ$20001,0,$B$20),"*",INDEX(ALGO!$A$2:$BZ$20001,0,$B$18),$B80,INDEX(ALGO!$A$2:$BZ$20001,0,Y$29),"&lt;&gt;"))</f>
        <v/>
      </c>
      <c r="AD80" s="22">
        <f>IF(OR($C80=1,Z$29=""),0,COUNTIFS(INDEX(ALGO!$A$2:$BZ$20001,0,$B$19),$B$1,INDEX(ALGO!$A$2:$BZ$20001,0,$B$20),"*",INDEX(ALGO!$A$2:$BZ$20001,0,$B$18),$B80,INDEX(ALGO!$A$2:$BZ$20001,0,Z$29),"&lt;&gt;"))</f>
        <v/>
      </c>
      <c r="AE80" s="22">
        <f>IF(OR($C80=1,AA$29=""),0,COUNTIFS(INDEX(ALGO!$A$2:$BZ$20001,0,$B$19),$B$1,INDEX(ALGO!$A$2:$BZ$20001,0,$B$20),"*",INDEX(ALGO!$A$2:$BZ$20001,0,$B$18),$B80,INDEX(ALGO!$A$2:$BZ$20001,0,AA$29),"&lt;&gt;"))</f>
        <v/>
      </c>
      <c r="AF80" s="22">
        <f>IF(OR($C80=1,AB$29=""),0,COUNTIFS(INDEX(ALGO!$A$2:$BZ$20001,0,$B$19),$B$1,INDEX(ALGO!$A$2:$BZ$20001,0,$B$20),"*",INDEX(ALGO!$A$2:$BZ$20001,0,$B$18),$B80,INDEX(ALGO!$A$2:$BZ$20001,0,AB$29),"&lt;&gt;"))</f>
        <v/>
      </c>
      <c r="AG80" s="22">
        <f>IF(OR($C80=1,AC$29=""),0,COUNTIFS(INDEX(ALGO!$A$2:$BZ$20001,0,$B$19),$B$1,INDEX(ALGO!$A$2:$BZ$20001,0,$B$20),"*",INDEX(ALGO!$A$2:$BZ$20001,0,$B$18),$B80,INDEX(ALGO!$A$2:$BZ$20001,0,AC$29),"&lt;&gt;"))</f>
        <v/>
      </c>
      <c r="AH80" s="22">
        <f>IF(OR($C80=1,AD$29=""),0,COUNTIFS(INDEX(ALGO!$A$2:$BZ$20001,0,$B$19),$B$1,INDEX(ALGO!$A$2:$BZ$20001,0,$B$20),"*",INDEX(ALGO!$A$2:$BZ$20001,0,$B$18),$B80,INDEX(ALGO!$A$2:$BZ$20001,0,AD$29),"&lt;&gt;"))</f>
        <v/>
      </c>
      <c r="AI80" s="22">
        <f>IF(OR($C80=1,AE$29=""),0,COUNTIFS(INDEX(ALGO!$A$2:$BZ$20001,0,$B$19),$B$1,INDEX(ALGO!$A$2:$BZ$20001,0,$B$20),"*",INDEX(ALGO!$A$2:$BZ$20001,0,$B$18),$B80,INDEX(ALGO!$A$2:$BZ$20001,0,AE$29),"&lt;&gt;"))</f>
        <v/>
      </c>
      <c r="AJ80" s="22">
        <f>IF(OR($C80=1,AF$29=""),0,COUNTIFS(INDEX(ALGO!$A$2:$BZ$20001,0,$B$19),$B$1,INDEX(ALGO!$A$2:$BZ$20001,0,$B$20),"*",INDEX(ALGO!$A$2:$BZ$20001,0,$B$18),$B80,INDEX(ALGO!$A$2:$BZ$20001,0,AF$29),"&lt;&gt;"))</f>
        <v/>
      </c>
      <c r="AK80" s="22">
        <f>IF(OR($C80=1,AG$29=""),0,COUNTIFS(INDEX(ALGO!$A$2:$BZ$20001,0,$B$19),$B$1,INDEX(ALGO!$A$2:$BZ$20001,0,$B$20),"*",INDEX(ALGO!$A$2:$BZ$20001,0,$B$18),$B80,INDEX(ALGO!$A$2:$BZ$20001,0,AG$29),"&lt;&gt;"))</f>
        <v/>
      </c>
      <c r="AL80" s="22">
        <f>IF(OR($C80=1,AH$29=""),0,COUNTIFS(INDEX(ALGO!$A$2:$BZ$20001,0,$B$19),$B$1,INDEX(ALGO!$A$2:$BZ$20001,0,$B$20),"*",INDEX(ALGO!$A$2:$BZ$20001,0,$B$18),$B80,INDEX(ALGO!$A$2:$BZ$20001,0,AH$29),"&lt;&gt;"))</f>
        <v/>
      </c>
      <c r="AM80" s="22">
        <f>IF(OR($C80=1,AI$29=""),0,COUNTIFS(INDEX(ALGO!$A$2:$BZ$20001,0,$B$19),$B$1,INDEX(ALGO!$A$2:$BZ$20001,0,$B$20),"*",INDEX(ALGO!$A$2:$BZ$20001,0,$B$18),$B80,INDEX(ALGO!$A$2:$BZ$20001,0,AI$29),"&lt;&gt;"))</f>
        <v/>
      </c>
      <c r="AN80" s="22">
        <f>IF(OR($C80=1,AJ$29=""),0,COUNTIFS(INDEX(ALGO!$A$2:$BZ$20001,0,$B$19),$B$1,INDEX(ALGO!$A$2:$BZ$20001,0,$B$20),"*",INDEX(ALGO!$A$2:$BZ$20001,0,$B$18),$B80,INDEX(ALGO!$A$2:$BZ$20001,0,AJ$29),"&lt;&gt;"))</f>
        <v/>
      </c>
      <c r="AO80" s="22">
        <f>IF(OR($C80=1,AK$29=""),0,COUNTIFS(INDEX(ALGO!$A$2:$BZ$20001,0,$B$19),$B$1,INDEX(ALGO!$A$2:$BZ$20001,0,$B$20),"*",INDEX(ALGO!$A$2:$BZ$20001,0,$B$18),$B80,INDEX(ALGO!$A$2:$BZ$20001,0,AK$29),"&lt;&gt;"))</f>
        <v/>
      </c>
      <c r="AP80" s="22">
        <f>IF(OR($C80=1,AL$29=""),0,COUNTIFS(INDEX(ALGO!$A$2:$BZ$20001,0,$B$19),$B$1,INDEX(ALGO!$A$2:$BZ$20001,0,$B$20),"*",INDEX(ALGO!$A$2:$BZ$20001,0,$B$18),$B80,INDEX(ALGO!$A$2:$BZ$20001,0,AL$29),"&lt;&gt;"))</f>
        <v/>
      </c>
      <c r="AQ80" s="22">
        <f>IF(OR($C80=1,AM$29=""),0,COUNTIFS(INDEX(ALGO!$A$2:$BZ$20001,0,$B$19),$B$1,INDEX(ALGO!$A$2:$BZ$20001,0,$B$20),"*",INDEX(ALGO!$A$2:$BZ$20001,0,$B$18),$B80,INDEX(ALGO!$A$2:$BZ$20001,0,AM$29),"&lt;&gt;"))</f>
        <v/>
      </c>
    </row>
    <row r="81">
      <c r="A81" s="20" t="n">
        <v>2</v>
      </c>
      <c r="B81" s="20">
        <f>IF($A81&gt;$B$77,"",IFERROR(INDEX(ALGO!$A$1:$BZ$20001,1+$A81,$B$18),""))</f>
        <v/>
      </c>
      <c r="C81" s="20">
        <f>IF($B81="",1,IF(COUNTIF($A$200:$A$202,$B81)&gt;0,1,0))</f>
        <v/>
      </c>
      <c r="D81" s="20">
        <f>IF($C81=1,0,SUM($H81:$AQ81))</f>
        <v/>
      </c>
      <c r="E81" s="20">
        <f>$E80+IF($D81&gt;0,1,0)</f>
        <v/>
      </c>
      <c r="H81" s="22">
        <f>IF(OR($C81=1,D$29=""),0,COUNTIFS(INDEX(ALGO!$A$2:$BZ$20001,0,$B$19),$B$1,INDEX(ALGO!$A$2:$BZ$20001,0,$B$20),"*",INDEX(ALGO!$A$2:$BZ$20001,0,$B$18),$B81,INDEX(ALGO!$A$2:$BZ$20001,0,D$29),"&lt;&gt;"))</f>
        <v/>
      </c>
      <c r="I81" s="22">
        <f>IF(OR($C81=1,E$29=""),0,COUNTIFS(INDEX(ALGO!$A$2:$BZ$20001,0,$B$19),$B$1,INDEX(ALGO!$A$2:$BZ$20001,0,$B$20),"*",INDEX(ALGO!$A$2:$BZ$20001,0,$B$18),$B81,INDEX(ALGO!$A$2:$BZ$20001,0,E$29),"&lt;&gt;"))</f>
        <v/>
      </c>
      <c r="J81" s="22">
        <f>IF(OR($C81=1,F$29=""),0,COUNTIFS(INDEX(ALGO!$A$2:$BZ$20001,0,$B$19),$B$1,INDEX(ALGO!$A$2:$BZ$20001,0,$B$20),"*",INDEX(ALGO!$A$2:$BZ$20001,0,$B$18),$B81,INDEX(ALGO!$A$2:$BZ$20001,0,F$29),"&lt;&gt;"))</f>
        <v/>
      </c>
      <c r="K81" s="22">
        <f>IF(OR($C81=1,G$29=""),0,COUNTIFS(INDEX(ALGO!$A$2:$BZ$20001,0,$B$19),$B$1,INDEX(ALGO!$A$2:$BZ$20001,0,$B$20),"*",INDEX(ALGO!$A$2:$BZ$20001,0,$B$18),$B81,INDEX(ALGO!$A$2:$BZ$20001,0,G$29),"&lt;&gt;"))</f>
        <v/>
      </c>
      <c r="L81" s="22">
        <f>IF(OR($C81=1,H$29=""),0,COUNTIFS(INDEX(ALGO!$A$2:$BZ$20001,0,$B$19),$B$1,INDEX(ALGO!$A$2:$BZ$20001,0,$B$20),"*",INDEX(ALGO!$A$2:$BZ$20001,0,$B$18),$B81,INDEX(ALGO!$A$2:$BZ$20001,0,H$29),"&lt;&gt;"))</f>
        <v/>
      </c>
      <c r="M81" s="22">
        <f>IF(OR($C81=1,I$29=""),0,COUNTIFS(INDEX(ALGO!$A$2:$BZ$20001,0,$B$19),$B$1,INDEX(ALGO!$A$2:$BZ$20001,0,$B$20),"*",INDEX(ALGO!$A$2:$BZ$20001,0,$B$18),$B81,INDEX(ALGO!$A$2:$BZ$20001,0,I$29),"&lt;&gt;"))</f>
        <v/>
      </c>
      <c r="N81" s="22">
        <f>IF(OR($C81=1,J$29=""),0,COUNTIFS(INDEX(ALGO!$A$2:$BZ$20001,0,$B$19),$B$1,INDEX(ALGO!$A$2:$BZ$20001,0,$B$20),"*",INDEX(ALGO!$A$2:$BZ$20001,0,$B$18),$B81,INDEX(ALGO!$A$2:$BZ$20001,0,J$29),"&lt;&gt;"))</f>
        <v/>
      </c>
      <c r="O81" s="22">
        <f>IF(OR($C81=1,K$29=""),0,COUNTIFS(INDEX(ALGO!$A$2:$BZ$20001,0,$B$19),$B$1,INDEX(ALGO!$A$2:$BZ$20001,0,$B$20),"*",INDEX(ALGO!$A$2:$BZ$20001,0,$B$18),$B81,INDEX(ALGO!$A$2:$BZ$20001,0,K$29),"&lt;&gt;"))</f>
        <v/>
      </c>
      <c r="P81" s="22">
        <f>IF(OR($C81=1,L$29=""),0,COUNTIFS(INDEX(ALGO!$A$2:$BZ$20001,0,$B$19),$B$1,INDEX(ALGO!$A$2:$BZ$20001,0,$B$20),"*",INDEX(ALGO!$A$2:$BZ$20001,0,$B$18),$B81,INDEX(ALGO!$A$2:$BZ$20001,0,L$29),"&lt;&gt;"))</f>
        <v/>
      </c>
      <c r="Q81" s="22">
        <f>IF(OR($C81=1,M$29=""),0,COUNTIFS(INDEX(ALGO!$A$2:$BZ$20001,0,$B$19),$B$1,INDEX(ALGO!$A$2:$BZ$20001,0,$B$20),"*",INDEX(ALGO!$A$2:$BZ$20001,0,$B$18),$B81,INDEX(ALGO!$A$2:$BZ$20001,0,M$29),"&lt;&gt;"))</f>
        <v/>
      </c>
      <c r="R81" s="22">
        <f>IF(OR($C81=1,N$29=""),0,COUNTIFS(INDEX(ALGO!$A$2:$BZ$20001,0,$B$19),$B$1,INDEX(ALGO!$A$2:$BZ$20001,0,$B$20),"*",INDEX(ALGO!$A$2:$BZ$20001,0,$B$18),$B81,INDEX(ALGO!$A$2:$BZ$20001,0,N$29),"&lt;&gt;"))</f>
        <v/>
      </c>
      <c r="S81" s="22">
        <f>IF(OR($C81=1,O$29=""),0,COUNTIFS(INDEX(ALGO!$A$2:$BZ$20001,0,$B$19),$B$1,INDEX(ALGO!$A$2:$BZ$20001,0,$B$20),"*",INDEX(ALGO!$A$2:$BZ$20001,0,$B$18),$B81,INDEX(ALGO!$A$2:$BZ$20001,0,O$29),"&lt;&gt;"))</f>
        <v/>
      </c>
      <c r="T81" s="22">
        <f>IF(OR($C81=1,P$29=""),0,COUNTIFS(INDEX(ALGO!$A$2:$BZ$20001,0,$B$19),$B$1,INDEX(ALGO!$A$2:$BZ$20001,0,$B$20),"*",INDEX(ALGO!$A$2:$BZ$20001,0,$B$18),$B81,INDEX(ALGO!$A$2:$BZ$20001,0,P$29),"&lt;&gt;"))</f>
        <v/>
      </c>
      <c r="U81" s="22">
        <f>IF(OR($C81=1,Q$29=""),0,COUNTIFS(INDEX(ALGO!$A$2:$BZ$20001,0,$B$19),$B$1,INDEX(ALGO!$A$2:$BZ$20001,0,$B$20),"*",INDEX(ALGO!$A$2:$BZ$20001,0,$B$18),$B81,INDEX(ALGO!$A$2:$BZ$20001,0,Q$29),"&lt;&gt;"))</f>
        <v/>
      </c>
      <c r="V81" s="22">
        <f>IF(OR($C81=1,R$29=""),0,COUNTIFS(INDEX(ALGO!$A$2:$BZ$20001,0,$B$19),$B$1,INDEX(ALGO!$A$2:$BZ$20001,0,$B$20),"*",INDEX(ALGO!$A$2:$BZ$20001,0,$B$18),$B81,INDEX(ALGO!$A$2:$BZ$20001,0,R$29),"&lt;&gt;"))</f>
        <v/>
      </c>
      <c r="W81" s="22">
        <f>IF(OR($C81=1,S$29=""),0,COUNTIFS(INDEX(ALGO!$A$2:$BZ$20001,0,$B$19),$B$1,INDEX(ALGO!$A$2:$BZ$20001,0,$B$20),"*",INDEX(ALGO!$A$2:$BZ$20001,0,$B$18),$B81,INDEX(ALGO!$A$2:$BZ$20001,0,S$29),"&lt;&gt;"))</f>
        <v/>
      </c>
      <c r="X81" s="22">
        <f>IF(OR($C81=1,T$29=""),0,COUNTIFS(INDEX(ALGO!$A$2:$BZ$20001,0,$B$19),$B$1,INDEX(ALGO!$A$2:$BZ$20001,0,$B$20),"*",INDEX(ALGO!$A$2:$BZ$20001,0,$B$18),$B81,INDEX(ALGO!$A$2:$BZ$20001,0,T$29),"&lt;&gt;"))</f>
        <v/>
      </c>
      <c r="Y81" s="22">
        <f>IF(OR($C81=1,U$29=""),0,COUNTIFS(INDEX(ALGO!$A$2:$BZ$20001,0,$B$19),$B$1,INDEX(ALGO!$A$2:$BZ$20001,0,$B$20),"*",INDEX(ALGO!$A$2:$BZ$20001,0,$B$18),$B81,INDEX(ALGO!$A$2:$BZ$20001,0,U$29),"&lt;&gt;"))</f>
        <v/>
      </c>
      <c r="Z81" s="22">
        <f>IF(OR($C81=1,V$29=""),0,COUNTIFS(INDEX(ALGO!$A$2:$BZ$20001,0,$B$19),$B$1,INDEX(ALGO!$A$2:$BZ$20001,0,$B$20),"*",INDEX(ALGO!$A$2:$BZ$20001,0,$B$18),$B81,INDEX(ALGO!$A$2:$BZ$20001,0,V$29),"&lt;&gt;"))</f>
        <v/>
      </c>
      <c r="AA81" s="22">
        <f>IF(OR($C81=1,W$29=""),0,COUNTIFS(INDEX(ALGO!$A$2:$BZ$20001,0,$B$19),$B$1,INDEX(ALGO!$A$2:$BZ$20001,0,$B$20),"*",INDEX(ALGO!$A$2:$BZ$20001,0,$B$18),$B81,INDEX(ALGO!$A$2:$BZ$20001,0,W$29),"&lt;&gt;"))</f>
        <v/>
      </c>
      <c r="AB81" s="22">
        <f>IF(OR($C81=1,X$29=""),0,COUNTIFS(INDEX(ALGO!$A$2:$BZ$20001,0,$B$19),$B$1,INDEX(ALGO!$A$2:$BZ$20001,0,$B$20),"*",INDEX(ALGO!$A$2:$BZ$20001,0,$B$18),$B81,INDEX(ALGO!$A$2:$BZ$20001,0,X$29),"&lt;&gt;"))</f>
        <v/>
      </c>
      <c r="AC81" s="22">
        <f>IF(OR($C81=1,Y$29=""),0,COUNTIFS(INDEX(ALGO!$A$2:$BZ$20001,0,$B$19),$B$1,INDEX(ALGO!$A$2:$BZ$20001,0,$B$20),"*",INDEX(ALGO!$A$2:$BZ$20001,0,$B$18),$B81,INDEX(ALGO!$A$2:$BZ$20001,0,Y$29),"&lt;&gt;"))</f>
        <v/>
      </c>
      <c r="AD81" s="22">
        <f>IF(OR($C81=1,Z$29=""),0,COUNTIFS(INDEX(ALGO!$A$2:$BZ$20001,0,$B$19),$B$1,INDEX(ALGO!$A$2:$BZ$20001,0,$B$20),"*",INDEX(ALGO!$A$2:$BZ$20001,0,$B$18),$B81,INDEX(ALGO!$A$2:$BZ$20001,0,Z$29),"&lt;&gt;"))</f>
        <v/>
      </c>
      <c r="AE81" s="22">
        <f>IF(OR($C81=1,AA$29=""),0,COUNTIFS(INDEX(ALGO!$A$2:$BZ$20001,0,$B$19),$B$1,INDEX(ALGO!$A$2:$BZ$20001,0,$B$20),"*",INDEX(ALGO!$A$2:$BZ$20001,0,$B$18),$B81,INDEX(ALGO!$A$2:$BZ$20001,0,AA$29),"&lt;&gt;"))</f>
        <v/>
      </c>
      <c r="AF81" s="22">
        <f>IF(OR($C81=1,AB$29=""),0,COUNTIFS(INDEX(ALGO!$A$2:$BZ$20001,0,$B$19),$B$1,INDEX(ALGO!$A$2:$BZ$20001,0,$B$20),"*",INDEX(ALGO!$A$2:$BZ$20001,0,$B$18),$B81,INDEX(ALGO!$A$2:$BZ$20001,0,AB$29),"&lt;&gt;"))</f>
        <v/>
      </c>
      <c r="AG81" s="22">
        <f>IF(OR($C81=1,AC$29=""),0,COUNTIFS(INDEX(ALGO!$A$2:$BZ$20001,0,$B$19),$B$1,INDEX(ALGO!$A$2:$BZ$20001,0,$B$20),"*",INDEX(ALGO!$A$2:$BZ$20001,0,$B$18),$B81,INDEX(ALGO!$A$2:$BZ$20001,0,AC$29),"&lt;&gt;"))</f>
        <v/>
      </c>
      <c r="AH81" s="22">
        <f>IF(OR($C81=1,AD$29=""),0,COUNTIFS(INDEX(ALGO!$A$2:$BZ$20001,0,$B$19),$B$1,INDEX(ALGO!$A$2:$BZ$20001,0,$B$20),"*",INDEX(ALGO!$A$2:$BZ$20001,0,$B$18),$B81,INDEX(ALGO!$A$2:$BZ$20001,0,AD$29),"&lt;&gt;"))</f>
        <v/>
      </c>
      <c r="AI81" s="22">
        <f>IF(OR($C81=1,AE$29=""),0,COUNTIFS(INDEX(ALGO!$A$2:$BZ$20001,0,$B$19),$B$1,INDEX(ALGO!$A$2:$BZ$20001,0,$B$20),"*",INDEX(ALGO!$A$2:$BZ$20001,0,$B$18),$B81,INDEX(ALGO!$A$2:$BZ$20001,0,AE$29),"&lt;&gt;"))</f>
        <v/>
      </c>
      <c r="AJ81" s="22">
        <f>IF(OR($C81=1,AF$29=""),0,COUNTIFS(INDEX(ALGO!$A$2:$BZ$20001,0,$B$19),$B$1,INDEX(ALGO!$A$2:$BZ$20001,0,$B$20),"*",INDEX(ALGO!$A$2:$BZ$20001,0,$B$18),$B81,INDEX(ALGO!$A$2:$BZ$20001,0,AF$29),"&lt;&gt;"))</f>
        <v/>
      </c>
      <c r="AK81" s="22">
        <f>IF(OR($C81=1,AG$29=""),0,COUNTIFS(INDEX(ALGO!$A$2:$BZ$20001,0,$B$19),$B$1,INDEX(ALGO!$A$2:$BZ$20001,0,$B$20),"*",INDEX(ALGO!$A$2:$BZ$20001,0,$B$18),$B81,INDEX(ALGO!$A$2:$BZ$20001,0,AG$29),"&lt;&gt;"))</f>
        <v/>
      </c>
      <c r="AL81" s="22">
        <f>IF(OR($C81=1,AH$29=""),0,COUNTIFS(INDEX(ALGO!$A$2:$BZ$20001,0,$B$19),$B$1,INDEX(ALGO!$A$2:$BZ$20001,0,$B$20),"*",INDEX(ALGO!$A$2:$BZ$20001,0,$B$18),$B81,INDEX(ALGO!$A$2:$BZ$20001,0,AH$29),"&lt;&gt;"))</f>
        <v/>
      </c>
      <c r="AM81" s="22">
        <f>IF(OR($C81=1,AI$29=""),0,COUNTIFS(INDEX(ALGO!$A$2:$BZ$20001,0,$B$19),$B$1,INDEX(ALGO!$A$2:$BZ$20001,0,$B$20),"*",INDEX(ALGO!$A$2:$BZ$20001,0,$B$18),$B81,INDEX(ALGO!$A$2:$BZ$20001,0,AI$29),"&lt;&gt;"))</f>
        <v/>
      </c>
      <c r="AN81" s="22">
        <f>IF(OR($C81=1,AJ$29=""),0,COUNTIFS(INDEX(ALGO!$A$2:$BZ$20001,0,$B$19),$B$1,INDEX(ALGO!$A$2:$BZ$20001,0,$B$20),"*",INDEX(ALGO!$A$2:$BZ$20001,0,$B$18),$B81,INDEX(ALGO!$A$2:$BZ$20001,0,AJ$29),"&lt;&gt;"))</f>
        <v/>
      </c>
      <c r="AO81" s="22">
        <f>IF(OR($C81=1,AK$29=""),0,COUNTIFS(INDEX(ALGO!$A$2:$BZ$20001,0,$B$19),$B$1,INDEX(ALGO!$A$2:$BZ$20001,0,$B$20),"*",INDEX(ALGO!$A$2:$BZ$20001,0,$B$18),$B81,INDEX(ALGO!$A$2:$BZ$20001,0,AK$29),"&lt;&gt;"))</f>
        <v/>
      </c>
      <c r="AP81" s="22">
        <f>IF(OR($C81=1,AL$29=""),0,COUNTIFS(INDEX(ALGO!$A$2:$BZ$20001,0,$B$19),$B$1,INDEX(ALGO!$A$2:$BZ$20001,0,$B$20),"*",INDEX(ALGO!$A$2:$BZ$20001,0,$B$18),$B81,INDEX(ALGO!$A$2:$BZ$20001,0,AL$29),"&lt;&gt;"))</f>
        <v/>
      </c>
      <c r="AQ81" s="22">
        <f>IF(OR($C81=1,AM$29=""),0,COUNTIFS(INDEX(ALGO!$A$2:$BZ$20001,0,$B$19),$B$1,INDEX(ALGO!$A$2:$BZ$20001,0,$B$20),"*",INDEX(ALGO!$A$2:$BZ$20001,0,$B$18),$B81,INDEX(ALGO!$A$2:$BZ$20001,0,AM$29),"&lt;&gt;"))</f>
        <v/>
      </c>
    </row>
    <row r="82">
      <c r="A82" s="20" t="n">
        <v>3</v>
      </c>
      <c r="B82" s="20">
        <f>IF($A82&gt;$B$77,"",IFERROR(INDEX(ALGO!$A$1:$BZ$20001,1+$A82,$B$18),""))</f>
        <v/>
      </c>
      <c r="C82" s="20">
        <f>IF($B82="",1,IF(COUNTIF($A$200:$A$202,$B82)&gt;0,1,0))</f>
        <v/>
      </c>
      <c r="D82" s="20">
        <f>IF($C82=1,0,SUM($H82:$AQ82))</f>
        <v/>
      </c>
      <c r="E82" s="20">
        <f>$E81+IF($D82&gt;0,1,0)</f>
        <v/>
      </c>
      <c r="H82" s="22">
        <f>IF(OR($C82=1,D$29=""),0,COUNTIFS(INDEX(ALGO!$A$2:$BZ$20001,0,$B$19),$B$1,INDEX(ALGO!$A$2:$BZ$20001,0,$B$20),"*",INDEX(ALGO!$A$2:$BZ$20001,0,$B$18),$B82,INDEX(ALGO!$A$2:$BZ$20001,0,D$29),"&lt;&gt;"))</f>
        <v/>
      </c>
      <c r="I82" s="22">
        <f>IF(OR($C82=1,E$29=""),0,COUNTIFS(INDEX(ALGO!$A$2:$BZ$20001,0,$B$19),$B$1,INDEX(ALGO!$A$2:$BZ$20001,0,$B$20),"*",INDEX(ALGO!$A$2:$BZ$20001,0,$B$18),$B82,INDEX(ALGO!$A$2:$BZ$20001,0,E$29),"&lt;&gt;"))</f>
        <v/>
      </c>
      <c r="J82" s="22">
        <f>IF(OR($C82=1,F$29=""),0,COUNTIFS(INDEX(ALGO!$A$2:$BZ$20001,0,$B$19),$B$1,INDEX(ALGO!$A$2:$BZ$20001,0,$B$20),"*",INDEX(ALGO!$A$2:$BZ$20001,0,$B$18),$B82,INDEX(ALGO!$A$2:$BZ$20001,0,F$29),"&lt;&gt;"))</f>
        <v/>
      </c>
      <c r="K82" s="22">
        <f>IF(OR($C82=1,G$29=""),0,COUNTIFS(INDEX(ALGO!$A$2:$BZ$20001,0,$B$19),$B$1,INDEX(ALGO!$A$2:$BZ$20001,0,$B$20),"*",INDEX(ALGO!$A$2:$BZ$20001,0,$B$18),$B82,INDEX(ALGO!$A$2:$BZ$20001,0,G$29),"&lt;&gt;"))</f>
        <v/>
      </c>
      <c r="L82" s="22">
        <f>IF(OR($C82=1,H$29=""),0,COUNTIFS(INDEX(ALGO!$A$2:$BZ$20001,0,$B$19),$B$1,INDEX(ALGO!$A$2:$BZ$20001,0,$B$20),"*",INDEX(ALGO!$A$2:$BZ$20001,0,$B$18),$B82,INDEX(ALGO!$A$2:$BZ$20001,0,H$29),"&lt;&gt;"))</f>
        <v/>
      </c>
      <c r="M82" s="22">
        <f>IF(OR($C82=1,I$29=""),0,COUNTIFS(INDEX(ALGO!$A$2:$BZ$20001,0,$B$19),$B$1,INDEX(ALGO!$A$2:$BZ$20001,0,$B$20),"*",INDEX(ALGO!$A$2:$BZ$20001,0,$B$18),$B82,INDEX(ALGO!$A$2:$BZ$20001,0,I$29),"&lt;&gt;"))</f>
        <v/>
      </c>
      <c r="N82" s="22">
        <f>IF(OR($C82=1,J$29=""),0,COUNTIFS(INDEX(ALGO!$A$2:$BZ$20001,0,$B$19),$B$1,INDEX(ALGO!$A$2:$BZ$20001,0,$B$20),"*",INDEX(ALGO!$A$2:$BZ$20001,0,$B$18),$B82,INDEX(ALGO!$A$2:$BZ$20001,0,J$29),"&lt;&gt;"))</f>
        <v/>
      </c>
      <c r="O82" s="22">
        <f>IF(OR($C82=1,K$29=""),0,COUNTIFS(INDEX(ALGO!$A$2:$BZ$20001,0,$B$19),$B$1,INDEX(ALGO!$A$2:$BZ$20001,0,$B$20),"*",INDEX(ALGO!$A$2:$BZ$20001,0,$B$18),$B82,INDEX(ALGO!$A$2:$BZ$20001,0,K$29),"&lt;&gt;"))</f>
        <v/>
      </c>
      <c r="P82" s="22">
        <f>IF(OR($C82=1,L$29=""),0,COUNTIFS(INDEX(ALGO!$A$2:$BZ$20001,0,$B$19),$B$1,INDEX(ALGO!$A$2:$BZ$20001,0,$B$20),"*",INDEX(ALGO!$A$2:$BZ$20001,0,$B$18),$B82,INDEX(ALGO!$A$2:$BZ$20001,0,L$29),"&lt;&gt;"))</f>
        <v/>
      </c>
      <c r="Q82" s="22">
        <f>IF(OR($C82=1,M$29=""),0,COUNTIFS(INDEX(ALGO!$A$2:$BZ$20001,0,$B$19),$B$1,INDEX(ALGO!$A$2:$BZ$20001,0,$B$20),"*",INDEX(ALGO!$A$2:$BZ$20001,0,$B$18),$B82,INDEX(ALGO!$A$2:$BZ$20001,0,M$29),"&lt;&gt;"))</f>
        <v/>
      </c>
      <c r="R82" s="22">
        <f>IF(OR($C82=1,N$29=""),0,COUNTIFS(INDEX(ALGO!$A$2:$BZ$20001,0,$B$19),$B$1,INDEX(ALGO!$A$2:$BZ$20001,0,$B$20),"*",INDEX(ALGO!$A$2:$BZ$20001,0,$B$18),$B82,INDEX(ALGO!$A$2:$BZ$20001,0,N$29),"&lt;&gt;"))</f>
        <v/>
      </c>
      <c r="S82" s="22">
        <f>IF(OR($C82=1,O$29=""),0,COUNTIFS(INDEX(ALGO!$A$2:$BZ$20001,0,$B$19),$B$1,INDEX(ALGO!$A$2:$BZ$20001,0,$B$20),"*",INDEX(ALGO!$A$2:$BZ$20001,0,$B$18),$B82,INDEX(ALGO!$A$2:$BZ$20001,0,O$29),"&lt;&gt;"))</f>
        <v/>
      </c>
      <c r="T82" s="22">
        <f>IF(OR($C82=1,P$29=""),0,COUNTIFS(INDEX(ALGO!$A$2:$BZ$20001,0,$B$19),$B$1,INDEX(ALGO!$A$2:$BZ$20001,0,$B$20),"*",INDEX(ALGO!$A$2:$BZ$20001,0,$B$18),$B82,INDEX(ALGO!$A$2:$BZ$20001,0,P$29),"&lt;&gt;"))</f>
        <v/>
      </c>
      <c r="U82" s="22">
        <f>IF(OR($C82=1,Q$29=""),0,COUNTIFS(INDEX(ALGO!$A$2:$BZ$20001,0,$B$19),$B$1,INDEX(ALGO!$A$2:$BZ$20001,0,$B$20),"*",INDEX(ALGO!$A$2:$BZ$20001,0,$B$18),$B82,INDEX(ALGO!$A$2:$BZ$20001,0,Q$29),"&lt;&gt;"))</f>
        <v/>
      </c>
      <c r="V82" s="22">
        <f>IF(OR($C82=1,R$29=""),0,COUNTIFS(INDEX(ALGO!$A$2:$BZ$20001,0,$B$19),$B$1,INDEX(ALGO!$A$2:$BZ$20001,0,$B$20),"*",INDEX(ALGO!$A$2:$BZ$20001,0,$B$18),$B82,INDEX(ALGO!$A$2:$BZ$20001,0,R$29),"&lt;&gt;"))</f>
        <v/>
      </c>
      <c r="W82" s="22">
        <f>IF(OR($C82=1,S$29=""),0,COUNTIFS(INDEX(ALGO!$A$2:$BZ$20001,0,$B$19),$B$1,INDEX(ALGO!$A$2:$BZ$20001,0,$B$20),"*",INDEX(ALGO!$A$2:$BZ$20001,0,$B$18),$B82,INDEX(ALGO!$A$2:$BZ$20001,0,S$29),"&lt;&gt;"))</f>
        <v/>
      </c>
      <c r="X82" s="22">
        <f>IF(OR($C82=1,T$29=""),0,COUNTIFS(INDEX(ALGO!$A$2:$BZ$20001,0,$B$19),$B$1,INDEX(ALGO!$A$2:$BZ$20001,0,$B$20),"*",INDEX(ALGO!$A$2:$BZ$20001,0,$B$18),$B82,INDEX(ALGO!$A$2:$BZ$20001,0,T$29),"&lt;&gt;"))</f>
        <v/>
      </c>
      <c r="Y82" s="22">
        <f>IF(OR($C82=1,U$29=""),0,COUNTIFS(INDEX(ALGO!$A$2:$BZ$20001,0,$B$19),$B$1,INDEX(ALGO!$A$2:$BZ$20001,0,$B$20),"*",INDEX(ALGO!$A$2:$BZ$20001,0,$B$18),$B82,INDEX(ALGO!$A$2:$BZ$20001,0,U$29),"&lt;&gt;"))</f>
        <v/>
      </c>
      <c r="Z82" s="22">
        <f>IF(OR($C82=1,V$29=""),0,COUNTIFS(INDEX(ALGO!$A$2:$BZ$20001,0,$B$19),$B$1,INDEX(ALGO!$A$2:$BZ$20001,0,$B$20),"*",INDEX(ALGO!$A$2:$BZ$20001,0,$B$18),$B82,INDEX(ALGO!$A$2:$BZ$20001,0,V$29),"&lt;&gt;"))</f>
        <v/>
      </c>
      <c r="AA82" s="22">
        <f>IF(OR($C82=1,W$29=""),0,COUNTIFS(INDEX(ALGO!$A$2:$BZ$20001,0,$B$19),$B$1,INDEX(ALGO!$A$2:$BZ$20001,0,$B$20),"*",INDEX(ALGO!$A$2:$BZ$20001,0,$B$18),$B82,INDEX(ALGO!$A$2:$BZ$20001,0,W$29),"&lt;&gt;"))</f>
        <v/>
      </c>
      <c r="AB82" s="22">
        <f>IF(OR($C82=1,X$29=""),0,COUNTIFS(INDEX(ALGO!$A$2:$BZ$20001,0,$B$19),$B$1,INDEX(ALGO!$A$2:$BZ$20001,0,$B$20),"*",INDEX(ALGO!$A$2:$BZ$20001,0,$B$18),$B82,INDEX(ALGO!$A$2:$BZ$20001,0,X$29),"&lt;&gt;"))</f>
        <v/>
      </c>
      <c r="AC82" s="22">
        <f>IF(OR($C82=1,Y$29=""),0,COUNTIFS(INDEX(ALGO!$A$2:$BZ$20001,0,$B$19),$B$1,INDEX(ALGO!$A$2:$BZ$20001,0,$B$20),"*",INDEX(ALGO!$A$2:$BZ$20001,0,$B$18),$B82,INDEX(ALGO!$A$2:$BZ$20001,0,Y$29),"&lt;&gt;"))</f>
        <v/>
      </c>
      <c r="AD82" s="22">
        <f>IF(OR($C82=1,Z$29=""),0,COUNTIFS(INDEX(ALGO!$A$2:$BZ$20001,0,$B$19),$B$1,INDEX(ALGO!$A$2:$BZ$20001,0,$B$20),"*",INDEX(ALGO!$A$2:$BZ$20001,0,$B$18),$B82,INDEX(ALGO!$A$2:$BZ$20001,0,Z$29),"&lt;&gt;"))</f>
        <v/>
      </c>
      <c r="AE82" s="22">
        <f>IF(OR($C82=1,AA$29=""),0,COUNTIFS(INDEX(ALGO!$A$2:$BZ$20001,0,$B$19),$B$1,INDEX(ALGO!$A$2:$BZ$20001,0,$B$20),"*",INDEX(ALGO!$A$2:$BZ$20001,0,$B$18),$B82,INDEX(ALGO!$A$2:$BZ$20001,0,AA$29),"&lt;&gt;"))</f>
        <v/>
      </c>
      <c r="AF82" s="22">
        <f>IF(OR($C82=1,AB$29=""),0,COUNTIFS(INDEX(ALGO!$A$2:$BZ$20001,0,$B$19),$B$1,INDEX(ALGO!$A$2:$BZ$20001,0,$B$20),"*",INDEX(ALGO!$A$2:$BZ$20001,0,$B$18),$B82,INDEX(ALGO!$A$2:$BZ$20001,0,AB$29),"&lt;&gt;"))</f>
        <v/>
      </c>
      <c r="AG82" s="22">
        <f>IF(OR($C82=1,AC$29=""),0,COUNTIFS(INDEX(ALGO!$A$2:$BZ$20001,0,$B$19),$B$1,INDEX(ALGO!$A$2:$BZ$20001,0,$B$20),"*",INDEX(ALGO!$A$2:$BZ$20001,0,$B$18),$B82,INDEX(ALGO!$A$2:$BZ$20001,0,AC$29),"&lt;&gt;"))</f>
        <v/>
      </c>
      <c r="AH82" s="22">
        <f>IF(OR($C82=1,AD$29=""),0,COUNTIFS(INDEX(ALGO!$A$2:$BZ$20001,0,$B$19),$B$1,INDEX(ALGO!$A$2:$BZ$20001,0,$B$20),"*",INDEX(ALGO!$A$2:$BZ$20001,0,$B$18),$B82,INDEX(ALGO!$A$2:$BZ$20001,0,AD$29),"&lt;&gt;"))</f>
        <v/>
      </c>
      <c r="AI82" s="22">
        <f>IF(OR($C82=1,AE$29=""),0,COUNTIFS(INDEX(ALGO!$A$2:$BZ$20001,0,$B$19),$B$1,INDEX(ALGO!$A$2:$BZ$20001,0,$B$20),"*",INDEX(ALGO!$A$2:$BZ$20001,0,$B$18),$B82,INDEX(ALGO!$A$2:$BZ$20001,0,AE$29),"&lt;&gt;"))</f>
        <v/>
      </c>
      <c r="AJ82" s="22">
        <f>IF(OR($C82=1,AF$29=""),0,COUNTIFS(INDEX(ALGO!$A$2:$BZ$20001,0,$B$19),$B$1,INDEX(ALGO!$A$2:$BZ$20001,0,$B$20),"*",INDEX(ALGO!$A$2:$BZ$20001,0,$B$18),$B82,INDEX(ALGO!$A$2:$BZ$20001,0,AF$29),"&lt;&gt;"))</f>
        <v/>
      </c>
      <c r="AK82" s="22">
        <f>IF(OR($C82=1,AG$29=""),0,COUNTIFS(INDEX(ALGO!$A$2:$BZ$20001,0,$B$19),$B$1,INDEX(ALGO!$A$2:$BZ$20001,0,$B$20),"*",INDEX(ALGO!$A$2:$BZ$20001,0,$B$18),$B82,INDEX(ALGO!$A$2:$BZ$20001,0,AG$29),"&lt;&gt;"))</f>
        <v/>
      </c>
      <c r="AL82" s="22">
        <f>IF(OR($C82=1,AH$29=""),0,COUNTIFS(INDEX(ALGO!$A$2:$BZ$20001,0,$B$19),$B$1,INDEX(ALGO!$A$2:$BZ$20001,0,$B$20),"*",INDEX(ALGO!$A$2:$BZ$20001,0,$B$18),$B82,INDEX(ALGO!$A$2:$BZ$20001,0,AH$29),"&lt;&gt;"))</f>
        <v/>
      </c>
      <c r="AM82" s="22">
        <f>IF(OR($C82=1,AI$29=""),0,COUNTIFS(INDEX(ALGO!$A$2:$BZ$20001,0,$B$19),$B$1,INDEX(ALGO!$A$2:$BZ$20001,0,$B$20),"*",INDEX(ALGO!$A$2:$BZ$20001,0,$B$18),$B82,INDEX(ALGO!$A$2:$BZ$20001,0,AI$29),"&lt;&gt;"))</f>
        <v/>
      </c>
      <c r="AN82" s="22">
        <f>IF(OR($C82=1,AJ$29=""),0,COUNTIFS(INDEX(ALGO!$A$2:$BZ$20001,0,$B$19),$B$1,INDEX(ALGO!$A$2:$BZ$20001,0,$B$20),"*",INDEX(ALGO!$A$2:$BZ$20001,0,$B$18),$B82,INDEX(ALGO!$A$2:$BZ$20001,0,AJ$29),"&lt;&gt;"))</f>
        <v/>
      </c>
      <c r="AO82" s="22">
        <f>IF(OR($C82=1,AK$29=""),0,COUNTIFS(INDEX(ALGO!$A$2:$BZ$20001,0,$B$19),$B$1,INDEX(ALGO!$A$2:$BZ$20001,0,$B$20),"*",INDEX(ALGO!$A$2:$BZ$20001,0,$B$18),$B82,INDEX(ALGO!$A$2:$BZ$20001,0,AK$29),"&lt;&gt;"))</f>
        <v/>
      </c>
      <c r="AP82" s="22">
        <f>IF(OR($C82=1,AL$29=""),0,COUNTIFS(INDEX(ALGO!$A$2:$BZ$20001,0,$B$19),$B$1,INDEX(ALGO!$A$2:$BZ$20001,0,$B$20),"*",INDEX(ALGO!$A$2:$BZ$20001,0,$B$18),$B82,INDEX(ALGO!$A$2:$BZ$20001,0,AL$29),"&lt;&gt;"))</f>
        <v/>
      </c>
      <c r="AQ82" s="22">
        <f>IF(OR($C82=1,AM$29=""),0,COUNTIFS(INDEX(ALGO!$A$2:$BZ$20001,0,$B$19),$B$1,INDEX(ALGO!$A$2:$BZ$20001,0,$B$20),"*",INDEX(ALGO!$A$2:$BZ$20001,0,$B$18),$B82,INDEX(ALGO!$A$2:$BZ$20001,0,AM$29),"&lt;&gt;"))</f>
        <v/>
      </c>
    </row>
    <row r="83">
      <c r="A83" s="20" t="n">
        <v>4</v>
      </c>
      <c r="B83" s="20">
        <f>IF($A83&gt;$B$77,"",IFERROR(INDEX(ALGO!$A$1:$BZ$20001,1+$A83,$B$18),""))</f>
        <v/>
      </c>
      <c r="C83" s="20">
        <f>IF($B83="",1,IF(COUNTIF($A$200:$A$202,$B83)&gt;0,1,0))</f>
        <v/>
      </c>
      <c r="D83" s="20">
        <f>IF($C83=1,0,SUM($H83:$AQ83))</f>
        <v/>
      </c>
      <c r="E83" s="20">
        <f>$E82+IF($D83&gt;0,1,0)</f>
        <v/>
      </c>
      <c r="H83" s="22">
        <f>IF(OR($C83=1,D$29=""),0,COUNTIFS(INDEX(ALGO!$A$2:$BZ$20001,0,$B$19),$B$1,INDEX(ALGO!$A$2:$BZ$20001,0,$B$20),"*",INDEX(ALGO!$A$2:$BZ$20001,0,$B$18),$B83,INDEX(ALGO!$A$2:$BZ$20001,0,D$29),"&lt;&gt;"))</f>
        <v/>
      </c>
      <c r="I83" s="22">
        <f>IF(OR($C83=1,E$29=""),0,COUNTIFS(INDEX(ALGO!$A$2:$BZ$20001,0,$B$19),$B$1,INDEX(ALGO!$A$2:$BZ$20001,0,$B$20),"*",INDEX(ALGO!$A$2:$BZ$20001,0,$B$18),$B83,INDEX(ALGO!$A$2:$BZ$20001,0,E$29),"&lt;&gt;"))</f>
        <v/>
      </c>
      <c r="J83" s="22">
        <f>IF(OR($C83=1,F$29=""),0,COUNTIFS(INDEX(ALGO!$A$2:$BZ$20001,0,$B$19),$B$1,INDEX(ALGO!$A$2:$BZ$20001,0,$B$20),"*",INDEX(ALGO!$A$2:$BZ$20001,0,$B$18),$B83,INDEX(ALGO!$A$2:$BZ$20001,0,F$29),"&lt;&gt;"))</f>
        <v/>
      </c>
      <c r="K83" s="22">
        <f>IF(OR($C83=1,G$29=""),0,COUNTIFS(INDEX(ALGO!$A$2:$BZ$20001,0,$B$19),$B$1,INDEX(ALGO!$A$2:$BZ$20001,0,$B$20),"*",INDEX(ALGO!$A$2:$BZ$20001,0,$B$18),$B83,INDEX(ALGO!$A$2:$BZ$20001,0,G$29),"&lt;&gt;"))</f>
        <v/>
      </c>
      <c r="L83" s="22">
        <f>IF(OR($C83=1,H$29=""),0,COUNTIFS(INDEX(ALGO!$A$2:$BZ$20001,0,$B$19),$B$1,INDEX(ALGO!$A$2:$BZ$20001,0,$B$20),"*",INDEX(ALGO!$A$2:$BZ$20001,0,$B$18),$B83,INDEX(ALGO!$A$2:$BZ$20001,0,H$29),"&lt;&gt;"))</f>
        <v/>
      </c>
      <c r="M83" s="22">
        <f>IF(OR($C83=1,I$29=""),0,COUNTIFS(INDEX(ALGO!$A$2:$BZ$20001,0,$B$19),$B$1,INDEX(ALGO!$A$2:$BZ$20001,0,$B$20),"*",INDEX(ALGO!$A$2:$BZ$20001,0,$B$18),$B83,INDEX(ALGO!$A$2:$BZ$20001,0,I$29),"&lt;&gt;"))</f>
        <v/>
      </c>
      <c r="N83" s="22">
        <f>IF(OR($C83=1,J$29=""),0,COUNTIFS(INDEX(ALGO!$A$2:$BZ$20001,0,$B$19),$B$1,INDEX(ALGO!$A$2:$BZ$20001,0,$B$20),"*",INDEX(ALGO!$A$2:$BZ$20001,0,$B$18),$B83,INDEX(ALGO!$A$2:$BZ$20001,0,J$29),"&lt;&gt;"))</f>
        <v/>
      </c>
      <c r="O83" s="22">
        <f>IF(OR($C83=1,K$29=""),0,COUNTIFS(INDEX(ALGO!$A$2:$BZ$20001,0,$B$19),$B$1,INDEX(ALGO!$A$2:$BZ$20001,0,$B$20),"*",INDEX(ALGO!$A$2:$BZ$20001,0,$B$18),$B83,INDEX(ALGO!$A$2:$BZ$20001,0,K$29),"&lt;&gt;"))</f>
        <v/>
      </c>
      <c r="P83" s="22">
        <f>IF(OR($C83=1,L$29=""),0,COUNTIFS(INDEX(ALGO!$A$2:$BZ$20001,0,$B$19),$B$1,INDEX(ALGO!$A$2:$BZ$20001,0,$B$20),"*",INDEX(ALGO!$A$2:$BZ$20001,0,$B$18),$B83,INDEX(ALGO!$A$2:$BZ$20001,0,L$29),"&lt;&gt;"))</f>
        <v/>
      </c>
      <c r="Q83" s="22">
        <f>IF(OR($C83=1,M$29=""),0,COUNTIFS(INDEX(ALGO!$A$2:$BZ$20001,0,$B$19),$B$1,INDEX(ALGO!$A$2:$BZ$20001,0,$B$20),"*",INDEX(ALGO!$A$2:$BZ$20001,0,$B$18),$B83,INDEX(ALGO!$A$2:$BZ$20001,0,M$29),"&lt;&gt;"))</f>
        <v/>
      </c>
      <c r="R83" s="22">
        <f>IF(OR($C83=1,N$29=""),0,COUNTIFS(INDEX(ALGO!$A$2:$BZ$20001,0,$B$19),$B$1,INDEX(ALGO!$A$2:$BZ$20001,0,$B$20),"*",INDEX(ALGO!$A$2:$BZ$20001,0,$B$18),$B83,INDEX(ALGO!$A$2:$BZ$20001,0,N$29),"&lt;&gt;"))</f>
        <v/>
      </c>
      <c r="S83" s="22">
        <f>IF(OR($C83=1,O$29=""),0,COUNTIFS(INDEX(ALGO!$A$2:$BZ$20001,0,$B$19),$B$1,INDEX(ALGO!$A$2:$BZ$20001,0,$B$20),"*",INDEX(ALGO!$A$2:$BZ$20001,0,$B$18),$B83,INDEX(ALGO!$A$2:$BZ$20001,0,O$29),"&lt;&gt;"))</f>
        <v/>
      </c>
      <c r="T83" s="22">
        <f>IF(OR($C83=1,P$29=""),0,COUNTIFS(INDEX(ALGO!$A$2:$BZ$20001,0,$B$19),$B$1,INDEX(ALGO!$A$2:$BZ$20001,0,$B$20),"*",INDEX(ALGO!$A$2:$BZ$20001,0,$B$18),$B83,INDEX(ALGO!$A$2:$BZ$20001,0,P$29),"&lt;&gt;"))</f>
        <v/>
      </c>
      <c r="U83" s="22">
        <f>IF(OR($C83=1,Q$29=""),0,COUNTIFS(INDEX(ALGO!$A$2:$BZ$20001,0,$B$19),$B$1,INDEX(ALGO!$A$2:$BZ$20001,0,$B$20),"*",INDEX(ALGO!$A$2:$BZ$20001,0,$B$18),$B83,INDEX(ALGO!$A$2:$BZ$20001,0,Q$29),"&lt;&gt;"))</f>
        <v/>
      </c>
      <c r="V83" s="22">
        <f>IF(OR($C83=1,R$29=""),0,COUNTIFS(INDEX(ALGO!$A$2:$BZ$20001,0,$B$19),$B$1,INDEX(ALGO!$A$2:$BZ$20001,0,$B$20),"*",INDEX(ALGO!$A$2:$BZ$20001,0,$B$18),$B83,INDEX(ALGO!$A$2:$BZ$20001,0,R$29),"&lt;&gt;"))</f>
        <v/>
      </c>
      <c r="W83" s="22">
        <f>IF(OR($C83=1,S$29=""),0,COUNTIFS(INDEX(ALGO!$A$2:$BZ$20001,0,$B$19),$B$1,INDEX(ALGO!$A$2:$BZ$20001,0,$B$20),"*",INDEX(ALGO!$A$2:$BZ$20001,0,$B$18),$B83,INDEX(ALGO!$A$2:$BZ$20001,0,S$29),"&lt;&gt;"))</f>
        <v/>
      </c>
      <c r="X83" s="22">
        <f>IF(OR($C83=1,T$29=""),0,COUNTIFS(INDEX(ALGO!$A$2:$BZ$20001,0,$B$19),$B$1,INDEX(ALGO!$A$2:$BZ$20001,0,$B$20),"*",INDEX(ALGO!$A$2:$BZ$20001,0,$B$18),$B83,INDEX(ALGO!$A$2:$BZ$20001,0,T$29),"&lt;&gt;"))</f>
        <v/>
      </c>
      <c r="Y83" s="22">
        <f>IF(OR($C83=1,U$29=""),0,COUNTIFS(INDEX(ALGO!$A$2:$BZ$20001,0,$B$19),$B$1,INDEX(ALGO!$A$2:$BZ$20001,0,$B$20),"*",INDEX(ALGO!$A$2:$BZ$20001,0,$B$18),$B83,INDEX(ALGO!$A$2:$BZ$20001,0,U$29),"&lt;&gt;"))</f>
        <v/>
      </c>
      <c r="Z83" s="22">
        <f>IF(OR($C83=1,V$29=""),0,COUNTIFS(INDEX(ALGO!$A$2:$BZ$20001,0,$B$19),$B$1,INDEX(ALGO!$A$2:$BZ$20001,0,$B$20),"*",INDEX(ALGO!$A$2:$BZ$20001,0,$B$18),$B83,INDEX(ALGO!$A$2:$BZ$20001,0,V$29),"&lt;&gt;"))</f>
        <v/>
      </c>
      <c r="AA83" s="22">
        <f>IF(OR($C83=1,W$29=""),0,COUNTIFS(INDEX(ALGO!$A$2:$BZ$20001,0,$B$19),$B$1,INDEX(ALGO!$A$2:$BZ$20001,0,$B$20),"*",INDEX(ALGO!$A$2:$BZ$20001,0,$B$18),$B83,INDEX(ALGO!$A$2:$BZ$20001,0,W$29),"&lt;&gt;"))</f>
        <v/>
      </c>
      <c r="AB83" s="22">
        <f>IF(OR($C83=1,X$29=""),0,COUNTIFS(INDEX(ALGO!$A$2:$BZ$20001,0,$B$19),$B$1,INDEX(ALGO!$A$2:$BZ$20001,0,$B$20),"*",INDEX(ALGO!$A$2:$BZ$20001,0,$B$18),$B83,INDEX(ALGO!$A$2:$BZ$20001,0,X$29),"&lt;&gt;"))</f>
        <v/>
      </c>
      <c r="AC83" s="22">
        <f>IF(OR($C83=1,Y$29=""),0,COUNTIFS(INDEX(ALGO!$A$2:$BZ$20001,0,$B$19),$B$1,INDEX(ALGO!$A$2:$BZ$20001,0,$B$20),"*",INDEX(ALGO!$A$2:$BZ$20001,0,$B$18),$B83,INDEX(ALGO!$A$2:$BZ$20001,0,Y$29),"&lt;&gt;"))</f>
        <v/>
      </c>
      <c r="AD83" s="22">
        <f>IF(OR($C83=1,Z$29=""),0,COUNTIFS(INDEX(ALGO!$A$2:$BZ$20001,0,$B$19),$B$1,INDEX(ALGO!$A$2:$BZ$20001,0,$B$20),"*",INDEX(ALGO!$A$2:$BZ$20001,0,$B$18),$B83,INDEX(ALGO!$A$2:$BZ$20001,0,Z$29),"&lt;&gt;"))</f>
        <v/>
      </c>
      <c r="AE83" s="22">
        <f>IF(OR($C83=1,AA$29=""),0,COUNTIFS(INDEX(ALGO!$A$2:$BZ$20001,0,$B$19),$B$1,INDEX(ALGO!$A$2:$BZ$20001,0,$B$20),"*",INDEX(ALGO!$A$2:$BZ$20001,0,$B$18),$B83,INDEX(ALGO!$A$2:$BZ$20001,0,AA$29),"&lt;&gt;"))</f>
        <v/>
      </c>
      <c r="AF83" s="22">
        <f>IF(OR($C83=1,AB$29=""),0,COUNTIFS(INDEX(ALGO!$A$2:$BZ$20001,0,$B$19),$B$1,INDEX(ALGO!$A$2:$BZ$20001,0,$B$20),"*",INDEX(ALGO!$A$2:$BZ$20001,0,$B$18),$B83,INDEX(ALGO!$A$2:$BZ$20001,0,AB$29),"&lt;&gt;"))</f>
        <v/>
      </c>
      <c r="AG83" s="22">
        <f>IF(OR($C83=1,AC$29=""),0,COUNTIFS(INDEX(ALGO!$A$2:$BZ$20001,0,$B$19),$B$1,INDEX(ALGO!$A$2:$BZ$20001,0,$B$20),"*",INDEX(ALGO!$A$2:$BZ$20001,0,$B$18),$B83,INDEX(ALGO!$A$2:$BZ$20001,0,AC$29),"&lt;&gt;"))</f>
        <v/>
      </c>
      <c r="AH83" s="22">
        <f>IF(OR($C83=1,AD$29=""),0,COUNTIFS(INDEX(ALGO!$A$2:$BZ$20001,0,$B$19),$B$1,INDEX(ALGO!$A$2:$BZ$20001,0,$B$20),"*",INDEX(ALGO!$A$2:$BZ$20001,0,$B$18),$B83,INDEX(ALGO!$A$2:$BZ$20001,0,AD$29),"&lt;&gt;"))</f>
        <v/>
      </c>
      <c r="AI83" s="22">
        <f>IF(OR($C83=1,AE$29=""),0,COUNTIFS(INDEX(ALGO!$A$2:$BZ$20001,0,$B$19),$B$1,INDEX(ALGO!$A$2:$BZ$20001,0,$B$20),"*",INDEX(ALGO!$A$2:$BZ$20001,0,$B$18),$B83,INDEX(ALGO!$A$2:$BZ$20001,0,AE$29),"&lt;&gt;"))</f>
        <v/>
      </c>
      <c r="AJ83" s="22">
        <f>IF(OR($C83=1,AF$29=""),0,COUNTIFS(INDEX(ALGO!$A$2:$BZ$20001,0,$B$19),$B$1,INDEX(ALGO!$A$2:$BZ$20001,0,$B$20),"*",INDEX(ALGO!$A$2:$BZ$20001,0,$B$18),$B83,INDEX(ALGO!$A$2:$BZ$20001,0,AF$29),"&lt;&gt;"))</f>
        <v/>
      </c>
      <c r="AK83" s="22">
        <f>IF(OR($C83=1,AG$29=""),0,COUNTIFS(INDEX(ALGO!$A$2:$BZ$20001,0,$B$19),$B$1,INDEX(ALGO!$A$2:$BZ$20001,0,$B$20),"*",INDEX(ALGO!$A$2:$BZ$20001,0,$B$18),$B83,INDEX(ALGO!$A$2:$BZ$20001,0,AG$29),"&lt;&gt;"))</f>
        <v/>
      </c>
      <c r="AL83" s="22">
        <f>IF(OR($C83=1,AH$29=""),0,COUNTIFS(INDEX(ALGO!$A$2:$BZ$20001,0,$B$19),$B$1,INDEX(ALGO!$A$2:$BZ$20001,0,$B$20),"*",INDEX(ALGO!$A$2:$BZ$20001,0,$B$18),$B83,INDEX(ALGO!$A$2:$BZ$20001,0,AH$29),"&lt;&gt;"))</f>
        <v/>
      </c>
      <c r="AM83" s="22">
        <f>IF(OR($C83=1,AI$29=""),0,COUNTIFS(INDEX(ALGO!$A$2:$BZ$20001,0,$B$19),$B$1,INDEX(ALGO!$A$2:$BZ$20001,0,$B$20),"*",INDEX(ALGO!$A$2:$BZ$20001,0,$B$18),$B83,INDEX(ALGO!$A$2:$BZ$20001,0,AI$29),"&lt;&gt;"))</f>
        <v/>
      </c>
      <c r="AN83" s="22">
        <f>IF(OR($C83=1,AJ$29=""),0,COUNTIFS(INDEX(ALGO!$A$2:$BZ$20001,0,$B$19),$B$1,INDEX(ALGO!$A$2:$BZ$20001,0,$B$20),"*",INDEX(ALGO!$A$2:$BZ$20001,0,$B$18),$B83,INDEX(ALGO!$A$2:$BZ$20001,0,AJ$29),"&lt;&gt;"))</f>
        <v/>
      </c>
      <c r="AO83" s="22">
        <f>IF(OR($C83=1,AK$29=""),0,COUNTIFS(INDEX(ALGO!$A$2:$BZ$20001,0,$B$19),$B$1,INDEX(ALGO!$A$2:$BZ$20001,0,$B$20),"*",INDEX(ALGO!$A$2:$BZ$20001,0,$B$18),$B83,INDEX(ALGO!$A$2:$BZ$20001,0,AK$29),"&lt;&gt;"))</f>
        <v/>
      </c>
      <c r="AP83" s="22">
        <f>IF(OR($C83=1,AL$29=""),0,COUNTIFS(INDEX(ALGO!$A$2:$BZ$20001,0,$B$19),$B$1,INDEX(ALGO!$A$2:$BZ$20001,0,$B$20),"*",INDEX(ALGO!$A$2:$BZ$20001,0,$B$18),$B83,INDEX(ALGO!$A$2:$BZ$20001,0,AL$29),"&lt;&gt;"))</f>
        <v/>
      </c>
      <c r="AQ83" s="22">
        <f>IF(OR($C83=1,AM$29=""),0,COUNTIFS(INDEX(ALGO!$A$2:$BZ$20001,0,$B$19),$B$1,INDEX(ALGO!$A$2:$BZ$20001,0,$B$20),"*",INDEX(ALGO!$A$2:$BZ$20001,0,$B$18),$B83,INDEX(ALGO!$A$2:$BZ$20001,0,AM$29),"&lt;&gt;"))</f>
        <v/>
      </c>
    </row>
    <row r="84">
      <c r="A84" s="20" t="n">
        <v>5</v>
      </c>
      <c r="B84" s="20">
        <f>IF($A84&gt;$B$77,"",IFERROR(INDEX(ALGO!$A$1:$BZ$20001,1+$A84,$B$18),""))</f>
        <v/>
      </c>
      <c r="C84" s="20">
        <f>IF($B84="",1,IF(COUNTIF($A$200:$A$202,$B84)&gt;0,1,0))</f>
        <v/>
      </c>
      <c r="D84" s="20">
        <f>IF($C84=1,0,SUM($H84:$AQ84))</f>
        <v/>
      </c>
      <c r="E84" s="20">
        <f>$E83+IF($D84&gt;0,1,0)</f>
        <v/>
      </c>
      <c r="H84" s="22">
        <f>IF(OR($C84=1,D$29=""),0,COUNTIFS(INDEX(ALGO!$A$2:$BZ$20001,0,$B$19),$B$1,INDEX(ALGO!$A$2:$BZ$20001,0,$B$20),"*",INDEX(ALGO!$A$2:$BZ$20001,0,$B$18),$B84,INDEX(ALGO!$A$2:$BZ$20001,0,D$29),"&lt;&gt;"))</f>
        <v/>
      </c>
      <c r="I84" s="22">
        <f>IF(OR($C84=1,E$29=""),0,COUNTIFS(INDEX(ALGO!$A$2:$BZ$20001,0,$B$19),$B$1,INDEX(ALGO!$A$2:$BZ$20001,0,$B$20),"*",INDEX(ALGO!$A$2:$BZ$20001,0,$B$18),$B84,INDEX(ALGO!$A$2:$BZ$20001,0,E$29),"&lt;&gt;"))</f>
        <v/>
      </c>
      <c r="J84" s="22">
        <f>IF(OR($C84=1,F$29=""),0,COUNTIFS(INDEX(ALGO!$A$2:$BZ$20001,0,$B$19),$B$1,INDEX(ALGO!$A$2:$BZ$20001,0,$B$20),"*",INDEX(ALGO!$A$2:$BZ$20001,0,$B$18),$B84,INDEX(ALGO!$A$2:$BZ$20001,0,F$29),"&lt;&gt;"))</f>
        <v/>
      </c>
      <c r="K84" s="22">
        <f>IF(OR($C84=1,G$29=""),0,COUNTIFS(INDEX(ALGO!$A$2:$BZ$20001,0,$B$19),$B$1,INDEX(ALGO!$A$2:$BZ$20001,0,$B$20),"*",INDEX(ALGO!$A$2:$BZ$20001,0,$B$18),$B84,INDEX(ALGO!$A$2:$BZ$20001,0,G$29),"&lt;&gt;"))</f>
        <v/>
      </c>
      <c r="L84" s="22">
        <f>IF(OR($C84=1,H$29=""),0,COUNTIFS(INDEX(ALGO!$A$2:$BZ$20001,0,$B$19),$B$1,INDEX(ALGO!$A$2:$BZ$20001,0,$B$20),"*",INDEX(ALGO!$A$2:$BZ$20001,0,$B$18),$B84,INDEX(ALGO!$A$2:$BZ$20001,0,H$29),"&lt;&gt;"))</f>
        <v/>
      </c>
      <c r="M84" s="22">
        <f>IF(OR($C84=1,I$29=""),0,COUNTIFS(INDEX(ALGO!$A$2:$BZ$20001,0,$B$19),$B$1,INDEX(ALGO!$A$2:$BZ$20001,0,$B$20),"*",INDEX(ALGO!$A$2:$BZ$20001,0,$B$18),$B84,INDEX(ALGO!$A$2:$BZ$20001,0,I$29),"&lt;&gt;"))</f>
        <v/>
      </c>
      <c r="N84" s="22">
        <f>IF(OR($C84=1,J$29=""),0,COUNTIFS(INDEX(ALGO!$A$2:$BZ$20001,0,$B$19),$B$1,INDEX(ALGO!$A$2:$BZ$20001,0,$B$20),"*",INDEX(ALGO!$A$2:$BZ$20001,0,$B$18),$B84,INDEX(ALGO!$A$2:$BZ$20001,0,J$29),"&lt;&gt;"))</f>
        <v/>
      </c>
      <c r="O84" s="22">
        <f>IF(OR($C84=1,K$29=""),0,COUNTIFS(INDEX(ALGO!$A$2:$BZ$20001,0,$B$19),$B$1,INDEX(ALGO!$A$2:$BZ$20001,0,$B$20),"*",INDEX(ALGO!$A$2:$BZ$20001,0,$B$18),$B84,INDEX(ALGO!$A$2:$BZ$20001,0,K$29),"&lt;&gt;"))</f>
        <v/>
      </c>
      <c r="P84" s="22">
        <f>IF(OR($C84=1,L$29=""),0,COUNTIFS(INDEX(ALGO!$A$2:$BZ$20001,0,$B$19),$B$1,INDEX(ALGO!$A$2:$BZ$20001,0,$B$20),"*",INDEX(ALGO!$A$2:$BZ$20001,0,$B$18),$B84,INDEX(ALGO!$A$2:$BZ$20001,0,L$29),"&lt;&gt;"))</f>
        <v/>
      </c>
      <c r="Q84" s="22">
        <f>IF(OR($C84=1,M$29=""),0,COUNTIFS(INDEX(ALGO!$A$2:$BZ$20001,0,$B$19),$B$1,INDEX(ALGO!$A$2:$BZ$20001,0,$B$20),"*",INDEX(ALGO!$A$2:$BZ$20001,0,$B$18),$B84,INDEX(ALGO!$A$2:$BZ$20001,0,M$29),"&lt;&gt;"))</f>
        <v/>
      </c>
      <c r="R84" s="22">
        <f>IF(OR($C84=1,N$29=""),0,COUNTIFS(INDEX(ALGO!$A$2:$BZ$20001,0,$B$19),$B$1,INDEX(ALGO!$A$2:$BZ$20001,0,$B$20),"*",INDEX(ALGO!$A$2:$BZ$20001,0,$B$18),$B84,INDEX(ALGO!$A$2:$BZ$20001,0,N$29),"&lt;&gt;"))</f>
        <v/>
      </c>
      <c r="S84" s="22">
        <f>IF(OR($C84=1,O$29=""),0,COUNTIFS(INDEX(ALGO!$A$2:$BZ$20001,0,$B$19),$B$1,INDEX(ALGO!$A$2:$BZ$20001,0,$B$20),"*",INDEX(ALGO!$A$2:$BZ$20001,0,$B$18),$B84,INDEX(ALGO!$A$2:$BZ$20001,0,O$29),"&lt;&gt;"))</f>
        <v/>
      </c>
      <c r="T84" s="22">
        <f>IF(OR($C84=1,P$29=""),0,COUNTIFS(INDEX(ALGO!$A$2:$BZ$20001,0,$B$19),$B$1,INDEX(ALGO!$A$2:$BZ$20001,0,$B$20),"*",INDEX(ALGO!$A$2:$BZ$20001,0,$B$18),$B84,INDEX(ALGO!$A$2:$BZ$20001,0,P$29),"&lt;&gt;"))</f>
        <v/>
      </c>
      <c r="U84" s="22">
        <f>IF(OR($C84=1,Q$29=""),0,COUNTIFS(INDEX(ALGO!$A$2:$BZ$20001,0,$B$19),$B$1,INDEX(ALGO!$A$2:$BZ$20001,0,$B$20),"*",INDEX(ALGO!$A$2:$BZ$20001,0,$B$18),$B84,INDEX(ALGO!$A$2:$BZ$20001,0,Q$29),"&lt;&gt;"))</f>
        <v/>
      </c>
      <c r="V84" s="22">
        <f>IF(OR($C84=1,R$29=""),0,COUNTIFS(INDEX(ALGO!$A$2:$BZ$20001,0,$B$19),$B$1,INDEX(ALGO!$A$2:$BZ$20001,0,$B$20),"*",INDEX(ALGO!$A$2:$BZ$20001,0,$B$18),$B84,INDEX(ALGO!$A$2:$BZ$20001,0,R$29),"&lt;&gt;"))</f>
        <v/>
      </c>
      <c r="W84" s="22">
        <f>IF(OR($C84=1,S$29=""),0,COUNTIFS(INDEX(ALGO!$A$2:$BZ$20001,0,$B$19),$B$1,INDEX(ALGO!$A$2:$BZ$20001,0,$B$20),"*",INDEX(ALGO!$A$2:$BZ$20001,0,$B$18),$B84,INDEX(ALGO!$A$2:$BZ$20001,0,S$29),"&lt;&gt;"))</f>
        <v/>
      </c>
      <c r="X84" s="22">
        <f>IF(OR($C84=1,T$29=""),0,COUNTIFS(INDEX(ALGO!$A$2:$BZ$20001,0,$B$19),$B$1,INDEX(ALGO!$A$2:$BZ$20001,0,$B$20),"*",INDEX(ALGO!$A$2:$BZ$20001,0,$B$18),$B84,INDEX(ALGO!$A$2:$BZ$20001,0,T$29),"&lt;&gt;"))</f>
        <v/>
      </c>
      <c r="Y84" s="22">
        <f>IF(OR($C84=1,U$29=""),0,COUNTIFS(INDEX(ALGO!$A$2:$BZ$20001,0,$B$19),$B$1,INDEX(ALGO!$A$2:$BZ$20001,0,$B$20),"*",INDEX(ALGO!$A$2:$BZ$20001,0,$B$18),$B84,INDEX(ALGO!$A$2:$BZ$20001,0,U$29),"&lt;&gt;"))</f>
        <v/>
      </c>
      <c r="Z84" s="22">
        <f>IF(OR($C84=1,V$29=""),0,COUNTIFS(INDEX(ALGO!$A$2:$BZ$20001,0,$B$19),$B$1,INDEX(ALGO!$A$2:$BZ$20001,0,$B$20),"*",INDEX(ALGO!$A$2:$BZ$20001,0,$B$18),$B84,INDEX(ALGO!$A$2:$BZ$20001,0,V$29),"&lt;&gt;"))</f>
        <v/>
      </c>
      <c r="AA84" s="22">
        <f>IF(OR($C84=1,W$29=""),0,COUNTIFS(INDEX(ALGO!$A$2:$BZ$20001,0,$B$19),$B$1,INDEX(ALGO!$A$2:$BZ$20001,0,$B$20),"*",INDEX(ALGO!$A$2:$BZ$20001,0,$B$18),$B84,INDEX(ALGO!$A$2:$BZ$20001,0,W$29),"&lt;&gt;"))</f>
        <v/>
      </c>
      <c r="AB84" s="22">
        <f>IF(OR($C84=1,X$29=""),0,COUNTIFS(INDEX(ALGO!$A$2:$BZ$20001,0,$B$19),$B$1,INDEX(ALGO!$A$2:$BZ$20001,0,$B$20),"*",INDEX(ALGO!$A$2:$BZ$20001,0,$B$18),$B84,INDEX(ALGO!$A$2:$BZ$20001,0,X$29),"&lt;&gt;"))</f>
        <v/>
      </c>
      <c r="AC84" s="22">
        <f>IF(OR($C84=1,Y$29=""),0,COUNTIFS(INDEX(ALGO!$A$2:$BZ$20001,0,$B$19),$B$1,INDEX(ALGO!$A$2:$BZ$20001,0,$B$20),"*",INDEX(ALGO!$A$2:$BZ$20001,0,$B$18),$B84,INDEX(ALGO!$A$2:$BZ$20001,0,Y$29),"&lt;&gt;"))</f>
        <v/>
      </c>
      <c r="AD84" s="22">
        <f>IF(OR($C84=1,Z$29=""),0,COUNTIFS(INDEX(ALGO!$A$2:$BZ$20001,0,$B$19),$B$1,INDEX(ALGO!$A$2:$BZ$20001,0,$B$20),"*",INDEX(ALGO!$A$2:$BZ$20001,0,$B$18),$B84,INDEX(ALGO!$A$2:$BZ$20001,0,Z$29),"&lt;&gt;"))</f>
        <v/>
      </c>
      <c r="AE84" s="22">
        <f>IF(OR($C84=1,AA$29=""),0,COUNTIFS(INDEX(ALGO!$A$2:$BZ$20001,0,$B$19),$B$1,INDEX(ALGO!$A$2:$BZ$20001,0,$B$20),"*",INDEX(ALGO!$A$2:$BZ$20001,0,$B$18),$B84,INDEX(ALGO!$A$2:$BZ$20001,0,AA$29),"&lt;&gt;"))</f>
        <v/>
      </c>
      <c r="AF84" s="22">
        <f>IF(OR($C84=1,AB$29=""),0,COUNTIFS(INDEX(ALGO!$A$2:$BZ$20001,0,$B$19),$B$1,INDEX(ALGO!$A$2:$BZ$20001,0,$B$20),"*",INDEX(ALGO!$A$2:$BZ$20001,0,$B$18),$B84,INDEX(ALGO!$A$2:$BZ$20001,0,AB$29),"&lt;&gt;"))</f>
        <v/>
      </c>
      <c r="AG84" s="22">
        <f>IF(OR($C84=1,AC$29=""),0,COUNTIFS(INDEX(ALGO!$A$2:$BZ$20001,0,$B$19),$B$1,INDEX(ALGO!$A$2:$BZ$20001,0,$B$20),"*",INDEX(ALGO!$A$2:$BZ$20001,0,$B$18),$B84,INDEX(ALGO!$A$2:$BZ$20001,0,AC$29),"&lt;&gt;"))</f>
        <v/>
      </c>
      <c r="AH84" s="22">
        <f>IF(OR($C84=1,AD$29=""),0,COUNTIFS(INDEX(ALGO!$A$2:$BZ$20001,0,$B$19),$B$1,INDEX(ALGO!$A$2:$BZ$20001,0,$B$20),"*",INDEX(ALGO!$A$2:$BZ$20001,0,$B$18),$B84,INDEX(ALGO!$A$2:$BZ$20001,0,AD$29),"&lt;&gt;"))</f>
        <v/>
      </c>
      <c r="AI84" s="22">
        <f>IF(OR($C84=1,AE$29=""),0,COUNTIFS(INDEX(ALGO!$A$2:$BZ$20001,0,$B$19),$B$1,INDEX(ALGO!$A$2:$BZ$20001,0,$B$20),"*",INDEX(ALGO!$A$2:$BZ$20001,0,$B$18),$B84,INDEX(ALGO!$A$2:$BZ$20001,0,AE$29),"&lt;&gt;"))</f>
        <v/>
      </c>
      <c r="AJ84" s="22">
        <f>IF(OR($C84=1,AF$29=""),0,COUNTIFS(INDEX(ALGO!$A$2:$BZ$20001,0,$B$19),$B$1,INDEX(ALGO!$A$2:$BZ$20001,0,$B$20),"*",INDEX(ALGO!$A$2:$BZ$20001,0,$B$18),$B84,INDEX(ALGO!$A$2:$BZ$20001,0,AF$29),"&lt;&gt;"))</f>
        <v/>
      </c>
      <c r="AK84" s="22">
        <f>IF(OR($C84=1,AG$29=""),0,COUNTIFS(INDEX(ALGO!$A$2:$BZ$20001,0,$B$19),$B$1,INDEX(ALGO!$A$2:$BZ$20001,0,$B$20),"*",INDEX(ALGO!$A$2:$BZ$20001,0,$B$18),$B84,INDEX(ALGO!$A$2:$BZ$20001,0,AG$29),"&lt;&gt;"))</f>
        <v/>
      </c>
      <c r="AL84" s="22">
        <f>IF(OR($C84=1,AH$29=""),0,COUNTIFS(INDEX(ALGO!$A$2:$BZ$20001,0,$B$19),$B$1,INDEX(ALGO!$A$2:$BZ$20001,0,$B$20),"*",INDEX(ALGO!$A$2:$BZ$20001,0,$B$18),$B84,INDEX(ALGO!$A$2:$BZ$20001,0,AH$29),"&lt;&gt;"))</f>
        <v/>
      </c>
      <c r="AM84" s="22">
        <f>IF(OR($C84=1,AI$29=""),0,COUNTIFS(INDEX(ALGO!$A$2:$BZ$20001,0,$B$19),$B$1,INDEX(ALGO!$A$2:$BZ$20001,0,$B$20),"*",INDEX(ALGO!$A$2:$BZ$20001,0,$B$18),$B84,INDEX(ALGO!$A$2:$BZ$20001,0,AI$29),"&lt;&gt;"))</f>
        <v/>
      </c>
      <c r="AN84" s="22">
        <f>IF(OR($C84=1,AJ$29=""),0,COUNTIFS(INDEX(ALGO!$A$2:$BZ$20001,0,$B$19),$B$1,INDEX(ALGO!$A$2:$BZ$20001,0,$B$20),"*",INDEX(ALGO!$A$2:$BZ$20001,0,$B$18),$B84,INDEX(ALGO!$A$2:$BZ$20001,0,AJ$29),"&lt;&gt;"))</f>
        <v/>
      </c>
      <c r="AO84" s="22">
        <f>IF(OR($C84=1,AK$29=""),0,COUNTIFS(INDEX(ALGO!$A$2:$BZ$20001,0,$B$19),$B$1,INDEX(ALGO!$A$2:$BZ$20001,0,$B$20),"*",INDEX(ALGO!$A$2:$BZ$20001,0,$B$18),$B84,INDEX(ALGO!$A$2:$BZ$20001,0,AK$29),"&lt;&gt;"))</f>
        <v/>
      </c>
      <c r="AP84" s="22">
        <f>IF(OR($C84=1,AL$29=""),0,COUNTIFS(INDEX(ALGO!$A$2:$BZ$20001,0,$B$19),$B$1,INDEX(ALGO!$A$2:$BZ$20001,0,$B$20),"*",INDEX(ALGO!$A$2:$BZ$20001,0,$B$18),$B84,INDEX(ALGO!$A$2:$BZ$20001,0,AL$29),"&lt;&gt;"))</f>
        <v/>
      </c>
      <c r="AQ84" s="22">
        <f>IF(OR($C84=1,AM$29=""),0,COUNTIFS(INDEX(ALGO!$A$2:$BZ$20001,0,$B$19),$B$1,INDEX(ALGO!$A$2:$BZ$20001,0,$B$20),"*",INDEX(ALGO!$A$2:$BZ$20001,0,$B$18),$B84,INDEX(ALGO!$A$2:$BZ$20001,0,AM$29),"&lt;&gt;"))</f>
        <v/>
      </c>
    </row>
    <row r="85">
      <c r="A85" s="20" t="n">
        <v>6</v>
      </c>
      <c r="B85" s="20">
        <f>IF($A85&gt;$B$77,"",IFERROR(INDEX(ALGO!$A$1:$BZ$20001,1+$A85,$B$18),""))</f>
        <v/>
      </c>
      <c r="C85" s="20">
        <f>IF($B85="",1,IF(COUNTIF($A$200:$A$202,$B85)&gt;0,1,0))</f>
        <v/>
      </c>
      <c r="D85" s="20">
        <f>IF($C85=1,0,SUM($H85:$AQ85))</f>
        <v/>
      </c>
      <c r="E85" s="20">
        <f>$E84+IF($D85&gt;0,1,0)</f>
        <v/>
      </c>
      <c r="H85" s="22">
        <f>IF(OR($C85=1,D$29=""),0,COUNTIFS(INDEX(ALGO!$A$2:$BZ$20001,0,$B$19),$B$1,INDEX(ALGO!$A$2:$BZ$20001,0,$B$20),"*",INDEX(ALGO!$A$2:$BZ$20001,0,$B$18),$B85,INDEX(ALGO!$A$2:$BZ$20001,0,D$29),"&lt;&gt;"))</f>
        <v/>
      </c>
      <c r="I85" s="22">
        <f>IF(OR($C85=1,E$29=""),0,COUNTIFS(INDEX(ALGO!$A$2:$BZ$20001,0,$B$19),$B$1,INDEX(ALGO!$A$2:$BZ$20001,0,$B$20),"*",INDEX(ALGO!$A$2:$BZ$20001,0,$B$18),$B85,INDEX(ALGO!$A$2:$BZ$20001,0,E$29),"&lt;&gt;"))</f>
        <v/>
      </c>
      <c r="J85" s="22">
        <f>IF(OR($C85=1,F$29=""),0,COUNTIFS(INDEX(ALGO!$A$2:$BZ$20001,0,$B$19),$B$1,INDEX(ALGO!$A$2:$BZ$20001,0,$B$20),"*",INDEX(ALGO!$A$2:$BZ$20001,0,$B$18),$B85,INDEX(ALGO!$A$2:$BZ$20001,0,F$29),"&lt;&gt;"))</f>
        <v/>
      </c>
      <c r="K85" s="22">
        <f>IF(OR($C85=1,G$29=""),0,COUNTIFS(INDEX(ALGO!$A$2:$BZ$20001,0,$B$19),$B$1,INDEX(ALGO!$A$2:$BZ$20001,0,$B$20),"*",INDEX(ALGO!$A$2:$BZ$20001,0,$B$18),$B85,INDEX(ALGO!$A$2:$BZ$20001,0,G$29),"&lt;&gt;"))</f>
        <v/>
      </c>
      <c r="L85" s="22">
        <f>IF(OR($C85=1,H$29=""),0,COUNTIFS(INDEX(ALGO!$A$2:$BZ$20001,0,$B$19),$B$1,INDEX(ALGO!$A$2:$BZ$20001,0,$B$20),"*",INDEX(ALGO!$A$2:$BZ$20001,0,$B$18),$B85,INDEX(ALGO!$A$2:$BZ$20001,0,H$29),"&lt;&gt;"))</f>
        <v/>
      </c>
      <c r="M85" s="22">
        <f>IF(OR($C85=1,I$29=""),0,COUNTIFS(INDEX(ALGO!$A$2:$BZ$20001,0,$B$19),$B$1,INDEX(ALGO!$A$2:$BZ$20001,0,$B$20),"*",INDEX(ALGO!$A$2:$BZ$20001,0,$B$18),$B85,INDEX(ALGO!$A$2:$BZ$20001,0,I$29),"&lt;&gt;"))</f>
        <v/>
      </c>
      <c r="N85" s="22">
        <f>IF(OR($C85=1,J$29=""),0,COUNTIFS(INDEX(ALGO!$A$2:$BZ$20001,0,$B$19),$B$1,INDEX(ALGO!$A$2:$BZ$20001,0,$B$20),"*",INDEX(ALGO!$A$2:$BZ$20001,0,$B$18),$B85,INDEX(ALGO!$A$2:$BZ$20001,0,J$29),"&lt;&gt;"))</f>
        <v/>
      </c>
      <c r="O85" s="22">
        <f>IF(OR($C85=1,K$29=""),0,COUNTIFS(INDEX(ALGO!$A$2:$BZ$20001,0,$B$19),$B$1,INDEX(ALGO!$A$2:$BZ$20001,0,$B$20),"*",INDEX(ALGO!$A$2:$BZ$20001,0,$B$18),$B85,INDEX(ALGO!$A$2:$BZ$20001,0,K$29),"&lt;&gt;"))</f>
        <v/>
      </c>
      <c r="P85" s="22">
        <f>IF(OR($C85=1,L$29=""),0,COUNTIFS(INDEX(ALGO!$A$2:$BZ$20001,0,$B$19),$B$1,INDEX(ALGO!$A$2:$BZ$20001,0,$B$20),"*",INDEX(ALGO!$A$2:$BZ$20001,0,$B$18),$B85,INDEX(ALGO!$A$2:$BZ$20001,0,L$29),"&lt;&gt;"))</f>
        <v/>
      </c>
      <c r="Q85" s="22">
        <f>IF(OR($C85=1,M$29=""),0,COUNTIFS(INDEX(ALGO!$A$2:$BZ$20001,0,$B$19),$B$1,INDEX(ALGO!$A$2:$BZ$20001,0,$B$20),"*",INDEX(ALGO!$A$2:$BZ$20001,0,$B$18),$B85,INDEX(ALGO!$A$2:$BZ$20001,0,M$29),"&lt;&gt;"))</f>
        <v/>
      </c>
      <c r="R85" s="22">
        <f>IF(OR($C85=1,N$29=""),0,COUNTIFS(INDEX(ALGO!$A$2:$BZ$20001,0,$B$19),$B$1,INDEX(ALGO!$A$2:$BZ$20001,0,$B$20),"*",INDEX(ALGO!$A$2:$BZ$20001,0,$B$18),$B85,INDEX(ALGO!$A$2:$BZ$20001,0,N$29),"&lt;&gt;"))</f>
        <v/>
      </c>
      <c r="S85" s="22">
        <f>IF(OR($C85=1,O$29=""),0,COUNTIFS(INDEX(ALGO!$A$2:$BZ$20001,0,$B$19),$B$1,INDEX(ALGO!$A$2:$BZ$20001,0,$B$20),"*",INDEX(ALGO!$A$2:$BZ$20001,0,$B$18),$B85,INDEX(ALGO!$A$2:$BZ$20001,0,O$29),"&lt;&gt;"))</f>
        <v/>
      </c>
      <c r="T85" s="22">
        <f>IF(OR($C85=1,P$29=""),0,COUNTIFS(INDEX(ALGO!$A$2:$BZ$20001,0,$B$19),$B$1,INDEX(ALGO!$A$2:$BZ$20001,0,$B$20),"*",INDEX(ALGO!$A$2:$BZ$20001,0,$B$18),$B85,INDEX(ALGO!$A$2:$BZ$20001,0,P$29),"&lt;&gt;"))</f>
        <v/>
      </c>
      <c r="U85" s="22">
        <f>IF(OR($C85=1,Q$29=""),0,COUNTIFS(INDEX(ALGO!$A$2:$BZ$20001,0,$B$19),$B$1,INDEX(ALGO!$A$2:$BZ$20001,0,$B$20),"*",INDEX(ALGO!$A$2:$BZ$20001,0,$B$18),$B85,INDEX(ALGO!$A$2:$BZ$20001,0,Q$29),"&lt;&gt;"))</f>
        <v/>
      </c>
      <c r="V85" s="22">
        <f>IF(OR($C85=1,R$29=""),0,COUNTIFS(INDEX(ALGO!$A$2:$BZ$20001,0,$B$19),$B$1,INDEX(ALGO!$A$2:$BZ$20001,0,$B$20),"*",INDEX(ALGO!$A$2:$BZ$20001,0,$B$18),$B85,INDEX(ALGO!$A$2:$BZ$20001,0,R$29),"&lt;&gt;"))</f>
        <v/>
      </c>
      <c r="W85" s="22">
        <f>IF(OR($C85=1,S$29=""),0,COUNTIFS(INDEX(ALGO!$A$2:$BZ$20001,0,$B$19),$B$1,INDEX(ALGO!$A$2:$BZ$20001,0,$B$20),"*",INDEX(ALGO!$A$2:$BZ$20001,0,$B$18),$B85,INDEX(ALGO!$A$2:$BZ$20001,0,S$29),"&lt;&gt;"))</f>
        <v/>
      </c>
      <c r="X85" s="22">
        <f>IF(OR($C85=1,T$29=""),0,COUNTIFS(INDEX(ALGO!$A$2:$BZ$20001,0,$B$19),$B$1,INDEX(ALGO!$A$2:$BZ$20001,0,$B$20),"*",INDEX(ALGO!$A$2:$BZ$20001,0,$B$18),$B85,INDEX(ALGO!$A$2:$BZ$20001,0,T$29),"&lt;&gt;"))</f>
        <v/>
      </c>
      <c r="Y85" s="22">
        <f>IF(OR($C85=1,U$29=""),0,COUNTIFS(INDEX(ALGO!$A$2:$BZ$20001,0,$B$19),$B$1,INDEX(ALGO!$A$2:$BZ$20001,0,$B$20),"*",INDEX(ALGO!$A$2:$BZ$20001,0,$B$18),$B85,INDEX(ALGO!$A$2:$BZ$20001,0,U$29),"&lt;&gt;"))</f>
        <v/>
      </c>
      <c r="Z85" s="22">
        <f>IF(OR($C85=1,V$29=""),0,COUNTIFS(INDEX(ALGO!$A$2:$BZ$20001,0,$B$19),$B$1,INDEX(ALGO!$A$2:$BZ$20001,0,$B$20),"*",INDEX(ALGO!$A$2:$BZ$20001,0,$B$18),$B85,INDEX(ALGO!$A$2:$BZ$20001,0,V$29),"&lt;&gt;"))</f>
        <v/>
      </c>
      <c r="AA85" s="22">
        <f>IF(OR($C85=1,W$29=""),0,COUNTIFS(INDEX(ALGO!$A$2:$BZ$20001,0,$B$19),$B$1,INDEX(ALGO!$A$2:$BZ$20001,0,$B$20),"*",INDEX(ALGO!$A$2:$BZ$20001,0,$B$18),$B85,INDEX(ALGO!$A$2:$BZ$20001,0,W$29),"&lt;&gt;"))</f>
        <v/>
      </c>
      <c r="AB85" s="22">
        <f>IF(OR($C85=1,X$29=""),0,COUNTIFS(INDEX(ALGO!$A$2:$BZ$20001,0,$B$19),$B$1,INDEX(ALGO!$A$2:$BZ$20001,0,$B$20),"*",INDEX(ALGO!$A$2:$BZ$20001,0,$B$18),$B85,INDEX(ALGO!$A$2:$BZ$20001,0,X$29),"&lt;&gt;"))</f>
        <v/>
      </c>
      <c r="AC85" s="22">
        <f>IF(OR($C85=1,Y$29=""),0,COUNTIFS(INDEX(ALGO!$A$2:$BZ$20001,0,$B$19),$B$1,INDEX(ALGO!$A$2:$BZ$20001,0,$B$20),"*",INDEX(ALGO!$A$2:$BZ$20001,0,$B$18),$B85,INDEX(ALGO!$A$2:$BZ$20001,0,Y$29),"&lt;&gt;"))</f>
        <v/>
      </c>
      <c r="AD85" s="22">
        <f>IF(OR($C85=1,Z$29=""),0,COUNTIFS(INDEX(ALGO!$A$2:$BZ$20001,0,$B$19),$B$1,INDEX(ALGO!$A$2:$BZ$20001,0,$B$20),"*",INDEX(ALGO!$A$2:$BZ$20001,0,$B$18),$B85,INDEX(ALGO!$A$2:$BZ$20001,0,Z$29),"&lt;&gt;"))</f>
        <v/>
      </c>
      <c r="AE85" s="22">
        <f>IF(OR($C85=1,AA$29=""),0,COUNTIFS(INDEX(ALGO!$A$2:$BZ$20001,0,$B$19),$B$1,INDEX(ALGO!$A$2:$BZ$20001,0,$B$20),"*",INDEX(ALGO!$A$2:$BZ$20001,0,$B$18),$B85,INDEX(ALGO!$A$2:$BZ$20001,0,AA$29),"&lt;&gt;"))</f>
        <v/>
      </c>
      <c r="AF85" s="22">
        <f>IF(OR($C85=1,AB$29=""),0,COUNTIFS(INDEX(ALGO!$A$2:$BZ$20001,0,$B$19),$B$1,INDEX(ALGO!$A$2:$BZ$20001,0,$B$20),"*",INDEX(ALGO!$A$2:$BZ$20001,0,$B$18),$B85,INDEX(ALGO!$A$2:$BZ$20001,0,AB$29),"&lt;&gt;"))</f>
        <v/>
      </c>
      <c r="AG85" s="22">
        <f>IF(OR($C85=1,AC$29=""),0,COUNTIFS(INDEX(ALGO!$A$2:$BZ$20001,0,$B$19),$B$1,INDEX(ALGO!$A$2:$BZ$20001,0,$B$20),"*",INDEX(ALGO!$A$2:$BZ$20001,0,$B$18),$B85,INDEX(ALGO!$A$2:$BZ$20001,0,AC$29),"&lt;&gt;"))</f>
        <v/>
      </c>
      <c r="AH85" s="22">
        <f>IF(OR($C85=1,AD$29=""),0,COUNTIFS(INDEX(ALGO!$A$2:$BZ$20001,0,$B$19),$B$1,INDEX(ALGO!$A$2:$BZ$20001,0,$B$20),"*",INDEX(ALGO!$A$2:$BZ$20001,0,$B$18),$B85,INDEX(ALGO!$A$2:$BZ$20001,0,AD$29),"&lt;&gt;"))</f>
        <v/>
      </c>
      <c r="AI85" s="22">
        <f>IF(OR($C85=1,AE$29=""),0,COUNTIFS(INDEX(ALGO!$A$2:$BZ$20001,0,$B$19),$B$1,INDEX(ALGO!$A$2:$BZ$20001,0,$B$20),"*",INDEX(ALGO!$A$2:$BZ$20001,0,$B$18),$B85,INDEX(ALGO!$A$2:$BZ$20001,0,AE$29),"&lt;&gt;"))</f>
        <v/>
      </c>
      <c r="AJ85" s="22">
        <f>IF(OR($C85=1,AF$29=""),0,COUNTIFS(INDEX(ALGO!$A$2:$BZ$20001,0,$B$19),$B$1,INDEX(ALGO!$A$2:$BZ$20001,0,$B$20),"*",INDEX(ALGO!$A$2:$BZ$20001,0,$B$18),$B85,INDEX(ALGO!$A$2:$BZ$20001,0,AF$29),"&lt;&gt;"))</f>
        <v/>
      </c>
      <c r="AK85" s="22">
        <f>IF(OR($C85=1,AG$29=""),0,COUNTIFS(INDEX(ALGO!$A$2:$BZ$20001,0,$B$19),$B$1,INDEX(ALGO!$A$2:$BZ$20001,0,$B$20),"*",INDEX(ALGO!$A$2:$BZ$20001,0,$B$18),$B85,INDEX(ALGO!$A$2:$BZ$20001,0,AG$29),"&lt;&gt;"))</f>
        <v/>
      </c>
      <c r="AL85" s="22">
        <f>IF(OR($C85=1,AH$29=""),0,COUNTIFS(INDEX(ALGO!$A$2:$BZ$20001,0,$B$19),$B$1,INDEX(ALGO!$A$2:$BZ$20001,0,$B$20),"*",INDEX(ALGO!$A$2:$BZ$20001,0,$B$18),$B85,INDEX(ALGO!$A$2:$BZ$20001,0,AH$29),"&lt;&gt;"))</f>
        <v/>
      </c>
      <c r="AM85" s="22">
        <f>IF(OR($C85=1,AI$29=""),0,COUNTIFS(INDEX(ALGO!$A$2:$BZ$20001,0,$B$19),$B$1,INDEX(ALGO!$A$2:$BZ$20001,0,$B$20),"*",INDEX(ALGO!$A$2:$BZ$20001,0,$B$18),$B85,INDEX(ALGO!$A$2:$BZ$20001,0,AI$29),"&lt;&gt;"))</f>
        <v/>
      </c>
      <c r="AN85" s="22">
        <f>IF(OR($C85=1,AJ$29=""),0,COUNTIFS(INDEX(ALGO!$A$2:$BZ$20001,0,$B$19),$B$1,INDEX(ALGO!$A$2:$BZ$20001,0,$B$20),"*",INDEX(ALGO!$A$2:$BZ$20001,0,$B$18),$B85,INDEX(ALGO!$A$2:$BZ$20001,0,AJ$29),"&lt;&gt;"))</f>
        <v/>
      </c>
      <c r="AO85" s="22">
        <f>IF(OR($C85=1,AK$29=""),0,COUNTIFS(INDEX(ALGO!$A$2:$BZ$20001,0,$B$19),$B$1,INDEX(ALGO!$A$2:$BZ$20001,0,$B$20),"*",INDEX(ALGO!$A$2:$BZ$20001,0,$B$18),$B85,INDEX(ALGO!$A$2:$BZ$20001,0,AK$29),"&lt;&gt;"))</f>
        <v/>
      </c>
      <c r="AP85" s="22">
        <f>IF(OR($C85=1,AL$29=""),0,COUNTIFS(INDEX(ALGO!$A$2:$BZ$20001,0,$B$19),$B$1,INDEX(ALGO!$A$2:$BZ$20001,0,$B$20),"*",INDEX(ALGO!$A$2:$BZ$20001,0,$B$18),$B85,INDEX(ALGO!$A$2:$BZ$20001,0,AL$29),"&lt;&gt;"))</f>
        <v/>
      </c>
      <c r="AQ85" s="22">
        <f>IF(OR($C85=1,AM$29=""),0,COUNTIFS(INDEX(ALGO!$A$2:$BZ$20001,0,$B$19),$B$1,INDEX(ALGO!$A$2:$BZ$20001,0,$B$20),"*",INDEX(ALGO!$A$2:$BZ$20001,0,$B$18),$B85,INDEX(ALGO!$A$2:$BZ$20001,0,AM$29),"&lt;&gt;"))</f>
        <v/>
      </c>
    </row>
    <row r="86">
      <c r="A86" s="20" t="n">
        <v>7</v>
      </c>
      <c r="B86" s="20">
        <f>IF($A86&gt;$B$77,"",IFERROR(INDEX(ALGO!$A$1:$BZ$20001,1+$A86,$B$18),""))</f>
        <v/>
      </c>
      <c r="C86" s="20">
        <f>IF($B86="",1,IF(COUNTIF($A$200:$A$202,$B86)&gt;0,1,0))</f>
        <v/>
      </c>
      <c r="D86" s="20">
        <f>IF($C86=1,0,SUM($H86:$AQ86))</f>
        <v/>
      </c>
      <c r="E86" s="20">
        <f>$E85+IF($D86&gt;0,1,0)</f>
        <v/>
      </c>
      <c r="H86" s="22">
        <f>IF(OR($C86=1,D$29=""),0,COUNTIFS(INDEX(ALGO!$A$2:$BZ$20001,0,$B$19),$B$1,INDEX(ALGO!$A$2:$BZ$20001,0,$B$20),"*",INDEX(ALGO!$A$2:$BZ$20001,0,$B$18),$B86,INDEX(ALGO!$A$2:$BZ$20001,0,D$29),"&lt;&gt;"))</f>
        <v/>
      </c>
      <c r="I86" s="22">
        <f>IF(OR($C86=1,E$29=""),0,COUNTIFS(INDEX(ALGO!$A$2:$BZ$20001,0,$B$19),$B$1,INDEX(ALGO!$A$2:$BZ$20001,0,$B$20),"*",INDEX(ALGO!$A$2:$BZ$20001,0,$B$18),$B86,INDEX(ALGO!$A$2:$BZ$20001,0,E$29),"&lt;&gt;"))</f>
        <v/>
      </c>
      <c r="J86" s="22">
        <f>IF(OR($C86=1,F$29=""),0,COUNTIFS(INDEX(ALGO!$A$2:$BZ$20001,0,$B$19),$B$1,INDEX(ALGO!$A$2:$BZ$20001,0,$B$20),"*",INDEX(ALGO!$A$2:$BZ$20001,0,$B$18),$B86,INDEX(ALGO!$A$2:$BZ$20001,0,F$29),"&lt;&gt;"))</f>
        <v/>
      </c>
      <c r="K86" s="22">
        <f>IF(OR($C86=1,G$29=""),0,COUNTIFS(INDEX(ALGO!$A$2:$BZ$20001,0,$B$19),$B$1,INDEX(ALGO!$A$2:$BZ$20001,0,$B$20),"*",INDEX(ALGO!$A$2:$BZ$20001,0,$B$18),$B86,INDEX(ALGO!$A$2:$BZ$20001,0,G$29),"&lt;&gt;"))</f>
        <v/>
      </c>
      <c r="L86" s="22">
        <f>IF(OR($C86=1,H$29=""),0,COUNTIFS(INDEX(ALGO!$A$2:$BZ$20001,0,$B$19),$B$1,INDEX(ALGO!$A$2:$BZ$20001,0,$B$20),"*",INDEX(ALGO!$A$2:$BZ$20001,0,$B$18),$B86,INDEX(ALGO!$A$2:$BZ$20001,0,H$29),"&lt;&gt;"))</f>
        <v/>
      </c>
      <c r="M86" s="22">
        <f>IF(OR($C86=1,I$29=""),0,COUNTIFS(INDEX(ALGO!$A$2:$BZ$20001,0,$B$19),$B$1,INDEX(ALGO!$A$2:$BZ$20001,0,$B$20),"*",INDEX(ALGO!$A$2:$BZ$20001,0,$B$18),$B86,INDEX(ALGO!$A$2:$BZ$20001,0,I$29),"&lt;&gt;"))</f>
        <v/>
      </c>
      <c r="N86" s="22">
        <f>IF(OR($C86=1,J$29=""),0,COUNTIFS(INDEX(ALGO!$A$2:$BZ$20001,0,$B$19),$B$1,INDEX(ALGO!$A$2:$BZ$20001,0,$B$20),"*",INDEX(ALGO!$A$2:$BZ$20001,0,$B$18),$B86,INDEX(ALGO!$A$2:$BZ$20001,0,J$29),"&lt;&gt;"))</f>
        <v/>
      </c>
      <c r="O86" s="22">
        <f>IF(OR($C86=1,K$29=""),0,COUNTIFS(INDEX(ALGO!$A$2:$BZ$20001,0,$B$19),$B$1,INDEX(ALGO!$A$2:$BZ$20001,0,$B$20),"*",INDEX(ALGO!$A$2:$BZ$20001,0,$B$18),$B86,INDEX(ALGO!$A$2:$BZ$20001,0,K$29),"&lt;&gt;"))</f>
        <v/>
      </c>
      <c r="P86" s="22">
        <f>IF(OR($C86=1,L$29=""),0,COUNTIFS(INDEX(ALGO!$A$2:$BZ$20001,0,$B$19),$B$1,INDEX(ALGO!$A$2:$BZ$20001,0,$B$20),"*",INDEX(ALGO!$A$2:$BZ$20001,0,$B$18),$B86,INDEX(ALGO!$A$2:$BZ$20001,0,L$29),"&lt;&gt;"))</f>
        <v/>
      </c>
      <c r="Q86" s="22">
        <f>IF(OR($C86=1,M$29=""),0,COUNTIFS(INDEX(ALGO!$A$2:$BZ$20001,0,$B$19),$B$1,INDEX(ALGO!$A$2:$BZ$20001,0,$B$20),"*",INDEX(ALGO!$A$2:$BZ$20001,0,$B$18),$B86,INDEX(ALGO!$A$2:$BZ$20001,0,M$29),"&lt;&gt;"))</f>
        <v/>
      </c>
      <c r="R86" s="22">
        <f>IF(OR($C86=1,N$29=""),0,COUNTIFS(INDEX(ALGO!$A$2:$BZ$20001,0,$B$19),$B$1,INDEX(ALGO!$A$2:$BZ$20001,0,$B$20),"*",INDEX(ALGO!$A$2:$BZ$20001,0,$B$18),$B86,INDEX(ALGO!$A$2:$BZ$20001,0,N$29),"&lt;&gt;"))</f>
        <v/>
      </c>
      <c r="S86" s="22">
        <f>IF(OR($C86=1,O$29=""),0,COUNTIFS(INDEX(ALGO!$A$2:$BZ$20001,0,$B$19),$B$1,INDEX(ALGO!$A$2:$BZ$20001,0,$B$20),"*",INDEX(ALGO!$A$2:$BZ$20001,0,$B$18),$B86,INDEX(ALGO!$A$2:$BZ$20001,0,O$29),"&lt;&gt;"))</f>
        <v/>
      </c>
      <c r="T86" s="22">
        <f>IF(OR($C86=1,P$29=""),0,COUNTIFS(INDEX(ALGO!$A$2:$BZ$20001,0,$B$19),$B$1,INDEX(ALGO!$A$2:$BZ$20001,0,$B$20),"*",INDEX(ALGO!$A$2:$BZ$20001,0,$B$18),$B86,INDEX(ALGO!$A$2:$BZ$20001,0,P$29),"&lt;&gt;"))</f>
        <v/>
      </c>
      <c r="U86" s="22">
        <f>IF(OR($C86=1,Q$29=""),0,COUNTIFS(INDEX(ALGO!$A$2:$BZ$20001,0,$B$19),$B$1,INDEX(ALGO!$A$2:$BZ$20001,0,$B$20),"*",INDEX(ALGO!$A$2:$BZ$20001,0,$B$18),$B86,INDEX(ALGO!$A$2:$BZ$20001,0,Q$29),"&lt;&gt;"))</f>
        <v/>
      </c>
      <c r="V86" s="22">
        <f>IF(OR($C86=1,R$29=""),0,COUNTIFS(INDEX(ALGO!$A$2:$BZ$20001,0,$B$19),$B$1,INDEX(ALGO!$A$2:$BZ$20001,0,$B$20),"*",INDEX(ALGO!$A$2:$BZ$20001,0,$B$18),$B86,INDEX(ALGO!$A$2:$BZ$20001,0,R$29),"&lt;&gt;"))</f>
        <v/>
      </c>
      <c r="W86" s="22">
        <f>IF(OR($C86=1,S$29=""),0,COUNTIFS(INDEX(ALGO!$A$2:$BZ$20001,0,$B$19),$B$1,INDEX(ALGO!$A$2:$BZ$20001,0,$B$20),"*",INDEX(ALGO!$A$2:$BZ$20001,0,$B$18),$B86,INDEX(ALGO!$A$2:$BZ$20001,0,S$29),"&lt;&gt;"))</f>
        <v/>
      </c>
      <c r="X86" s="22">
        <f>IF(OR($C86=1,T$29=""),0,COUNTIFS(INDEX(ALGO!$A$2:$BZ$20001,0,$B$19),$B$1,INDEX(ALGO!$A$2:$BZ$20001,0,$B$20),"*",INDEX(ALGO!$A$2:$BZ$20001,0,$B$18),$B86,INDEX(ALGO!$A$2:$BZ$20001,0,T$29),"&lt;&gt;"))</f>
        <v/>
      </c>
      <c r="Y86" s="22">
        <f>IF(OR($C86=1,U$29=""),0,COUNTIFS(INDEX(ALGO!$A$2:$BZ$20001,0,$B$19),$B$1,INDEX(ALGO!$A$2:$BZ$20001,0,$B$20),"*",INDEX(ALGO!$A$2:$BZ$20001,0,$B$18),$B86,INDEX(ALGO!$A$2:$BZ$20001,0,U$29),"&lt;&gt;"))</f>
        <v/>
      </c>
      <c r="Z86" s="22">
        <f>IF(OR($C86=1,V$29=""),0,COUNTIFS(INDEX(ALGO!$A$2:$BZ$20001,0,$B$19),$B$1,INDEX(ALGO!$A$2:$BZ$20001,0,$B$20),"*",INDEX(ALGO!$A$2:$BZ$20001,0,$B$18),$B86,INDEX(ALGO!$A$2:$BZ$20001,0,V$29),"&lt;&gt;"))</f>
        <v/>
      </c>
      <c r="AA86" s="22">
        <f>IF(OR($C86=1,W$29=""),0,COUNTIFS(INDEX(ALGO!$A$2:$BZ$20001,0,$B$19),$B$1,INDEX(ALGO!$A$2:$BZ$20001,0,$B$20),"*",INDEX(ALGO!$A$2:$BZ$20001,0,$B$18),$B86,INDEX(ALGO!$A$2:$BZ$20001,0,W$29),"&lt;&gt;"))</f>
        <v/>
      </c>
      <c r="AB86" s="22">
        <f>IF(OR($C86=1,X$29=""),0,COUNTIFS(INDEX(ALGO!$A$2:$BZ$20001,0,$B$19),$B$1,INDEX(ALGO!$A$2:$BZ$20001,0,$B$20),"*",INDEX(ALGO!$A$2:$BZ$20001,0,$B$18),$B86,INDEX(ALGO!$A$2:$BZ$20001,0,X$29),"&lt;&gt;"))</f>
        <v/>
      </c>
      <c r="AC86" s="22">
        <f>IF(OR($C86=1,Y$29=""),0,COUNTIFS(INDEX(ALGO!$A$2:$BZ$20001,0,$B$19),$B$1,INDEX(ALGO!$A$2:$BZ$20001,0,$B$20),"*",INDEX(ALGO!$A$2:$BZ$20001,0,$B$18),$B86,INDEX(ALGO!$A$2:$BZ$20001,0,Y$29),"&lt;&gt;"))</f>
        <v/>
      </c>
      <c r="AD86" s="22">
        <f>IF(OR($C86=1,Z$29=""),0,COUNTIFS(INDEX(ALGO!$A$2:$BZ$20001,0,$B$19),$B$1,INDEX(ALGO!$A$2:$BZ$20001,0,$B$20),"*",INDEX(ALGO!$A$2:$BZ$20001,0,$B$18),$B86,INDEX(ALGO!$A$2:$BZ$20001,0,Z$29),"&lt;&gt;"))</f>
        <v/>
      </c>
      <c r="AE86" s="22">
        <f>IF(OR($C86=1,AA$29=""),0,COUNTIFS(INDEX(ALGO!$A$2:$BZ$20001,0,$B$19),$B$1,INDEX(ALGO!$A$2:$BZ$20001,0,$B$20),"*",INDEX(ALGO!$A$2:$BZ$20001,0,$B$18),$B86,INDEX(ALGO!$A$2:$BZ$20001,0,AA$29),"&lt;&gt;"))</f>
        <v/>
      </c>
      <c r="AF86" s="22">
        <f>IF(OR($C86=1,AB$29=""),0,COUNTIFS(INDEX(ALGO!$A$2:$BZ$20001,0,$B$19),$B$1,INDEX(ALGO!$A$2:$BZ$20001,0,$B$20),"*",INDEX(ALGO!$A$2:$BZ$20001,0,$B$18),$B86,INDEX(ALGO!$A$2:$BZ$20001,0,AB$29),"&lt;&gt;"))</f>
        <v/>
      </c>
      <c r="AG86" s="22">
        <f>IF(OR($C86=1,AC$29=""),0,COUNTIFS(INDEX(ALGO!$A$2:$BZ$20001,0,$B$19),$B$1,INDEX(ALGO!$A$2:$BZ$20001,0,$B$20),"*",INDEX(ALGO!$A$2:$BZ$20001,0,$B$18),$B86,INDEX(ALGO!$A$2:$BZ$20001,0,AC$29),"&lt;&gt;"))</f>
        <v/>
      </c>
      <c r="AH86" s="22">
        <f>IF(OR($C86=1,AD$29=""),0,COUNTIFS(INDEX(ALGO!$A$2:$BZ$20001,0,$B$19),$B$1,INDEX(ALGO!$A$2:$BZ$20001,0,$B$20),"*",INDEX(ALGO!$A$2:$BZ$20001,0,$B$18),$B86,INDEX(ALGO!$A$2:$BZ$20001,0,AD$29),"&lt;&gt;"))</f>
        <v/>
      </c>
      <c r="AI86" s="22">
        <f>IF(OR($C86=1,AE$29=""),0,COUNTIFS(INDEX(ALGO!$A$2:$BZ$20001,0,$B$19),$B$1,INDEX(ALGO!$A$2:$BZ$20001,0,$B$20),"*",INDEX(ALGO!$A$2:$BZ$20001,0,$B$18),$B86,INDEX(ALGO!$A$2:$BZ$20001,0,AE$29),"&lt;&gt;"))</f>
        <v/>
      </c>
      <c r="AJ86" s="22">
        <f>IF(OR($C86=1,AF$29=""),0,COUNTIFS(INDEX(ALGO!$A$2:$BZ$20001,0,$B$19),$B$1,INDEX(ALGO!$A$2:$BZ$20001,0,$B$20),"*",INDEX(ALGO!$A$2:$BZ$20001,0,$B$18),$B86,INDEX(ALGO!$A$2:$BZ$20001,0,AF$29),"&lt;&gt;"))</f>
        <v/>
      </c>
      <c r="AK86" s="22">
        <f>IF(OR($C86=1,AG$29=""),0,COUNTIFS(INDEX(ALGO!$A$2:$BZ$20001,0,$B$19),$B$1,INDEX(ALGO!$A$2:$BZ$20001,0,$B$20),"*",INDEX(ALGO!$A$2:$BZ$20001,0,$B$18),$B86,INDEX(ALGO!$A$2:$BZ$20001,0,AG$29),"&lt;&gt;"))</f>
        <v/>
      </c>
      <c r="AL86" s="22">
        <f>IF(OR($C86=1,AH$29=""),0,COUNTIFS(INDEX(ALGO!$A$2:$BZ$20001,0,$B$19),$B$1,INDEX(ALGO!$A$2:$BZ$20001,0,$B$20),"*",INDEX(ALGO!$A$2:$BZ$20001,0,$B$18),$B86,INDEX(ALGO!$A$2:$BZ$20001,0,AH$29),"&lt;&gt;"))</f>
        <v/>
      </c>
      <c r="AM86" s="22">
        <f>IF(OR($C86=1,AI$29=""),0,COUNTIFS(INDEX(ALGO!$A$2:$BZ$20001,0,$B$19),$B$1,INDEX(ALGO!$A$2:$BZ$20001,0,$B$20),"*",INDEX(ALGO!$A$2:$BZ$20001,0,$B$18),$B86,INDEX(ALGO!$A$2:$BZ$20001,0,AI$29),"&lt;&gt;"))</f>
        <v/>
      </c>
      <c r="AN86" s="22">
        <f>IF(OR($C86=1,AJ$29=""),0,COUNTIFS(INDEX(ALGO!$A$2:$BZ$20001,0,$B$19),$B$1,INDEX(ALGO!$A$2:$BZ$20001,0,$B$20),"*",INDEX(ALGO!$A$2:$BZ$20001,0,$B$18),$B86,INDEX(ALGO!$A$2:$BZ$20001,0,AJ$29),"&lt;&gt;"))</f>
        <v/>
      </c>
      <c r="AO86" s="22">
        <f>IF(OR($C86=1,AK$29=""),0,COUNTIFS(INDEX(ALGO!$A$2:$BZ$20001,0,$B$19),$B$1,INDEX(ALGO!$A$2:$BZ$20001,0,$B$20),"*",INDEX(ALGO!$A$2:$BZ$20001,0,$B$18),$B86,INDEX(ALGO!$A$2:$BZ$20001,0,AK$29),"&lt;&gt;"))</f>
        <v/>
      </c>
      <c r="AP86" s="22">
        <f>IF(OR($C86=1,AL$29=""),0,COUNTIFS(INDEX(ALGO!$A$2:$BZ$20001,0,$B$19),$B$1,INDEX(ALGO!$A$2:$BZ$20001,0,$B$20),"*",INDEX(ALGO!$A$2:$BZ$20001,0,$B$18),$B86,INDEX(ALGO!$A$2:$BZ$20001,0,AL$29),"&lt;&gt;"))</f>
        <v/>
      </c>
      <c r="AQ86" s="22">
        <f>IF(OR($C86=1,AM$29=""),0,COUNTIFS(INDEX(ALGO!$A$2:$BZ$20001,0,$B$19),$B$1,INDEX(ALGO!$A$2:$BZ$20001,0,$B$20),"*",INDEX(ALGO!$A$2:$BZ$20001,0,$B$18),$B86,INDEX(ALGO!$A$2:$BZ$20001,0,AM$29),"&lt;&gt;"))</f>
        <v/>
      </c>
    </row>
    <row r="87">
      <c r="A87" s="20" t="n">
        <v>8</v>
      </c>
      <c r="B87" s="20">
        <f>IF($A87&gt;$B$77,"",IFERROR(INDEX(ALGO!$A$1:$BZ$20001,1+$A87,$B$18),""))</f>
        <v/>
      </c>
      <c r="C87" s="20">
        <f>IF($B87="",1,IF(COUNTIF($A$200:$A$202,$B87)&gt;0,1,0))</f>
        <v/>
      </c>
      <c r="D87" s="20">
        <f>IF($C87=1,0,SUM($H87:$AQ87))</f>
        <v/>
      </c>
      <c r="E87" s="20">
        <f>$E86+IF($D87&gt;0,1,0)</f>
        <v/>
      </c>
      <c r="H87" s="22">
        <f>IF(OR($C87=1,D$29=""),0,COUNTIFS(INDEX(ALGO!$A$2:$BZ$20001,0,$B$19),$B$1,INDEX(ALGO!$A$2:$BZ$20001,0,$B$20),"*",INDEX(ALGO!$A$2:$BZ$20001,0,$B$18),$B87,INDEX(ALGO!$A$2:$BZ$20001,0,D$29),"&lt;&gt;"))</f>
        <v/>
      </c>
      <c r="I87" s="22">
        <f>IF(OR($C87=1,E$29=""),0,COUNTIFS(INDEX(ALGO!$A$2:$BZ$20001,0,$B$19),$B$1,INDEX(ALGO!$A$2:$BZ$20001,0,$B$20),"*",INDEX(ALGO!$A$2:$BZ$20001,0,$B$18),$B87,INDEX(ALGO!$A$2:$BZ$20001,0,E$29),"&lt;&gt;"))</f>
        <v/>
      </c>
      <c r="J87" s="22">
        <f>IF(OR($C87=1,F$29=""),0,COUNTIFS(INDEX(ALGO!$A$2:$BZ$20001,0,$B$19),$B$1,INDEX(ALGO!$A$2:$BZ$20001,0,$B$20),"*",INDEX(ALGO!$A$2:$BZ$20001,0,$B$18),$B87,INDEX(ALGO!$A$2:$BZ$20001,0,F$29),"&lt;&gt;"))</f>
        <v/>
      </c>
      <c r="K87" s="22">
        <f>IF(OR($C87=1,G$29=""),0,COUNTIFS(INDEX(ALGO!$A$2:$BZ$20001,0,$B$19),$B$1,INDEX(ALGO!$A$2:$BZ$20001,0,$B$20),"*",INDEX(ALGO!$A$2:$BZ$20001,0,$B$18),$B87,INDEX(ALGO!$A$2:$BZ$20001,0,G$29),"&lt;&gt;"))</f>
        <v/>
      </c>
      <c r="L87" s="22">
        <f>IF(OR($C87=1,H$29=""),0,COUNTIFS(INDEX(ALGO!$A$2:$BZ$20001,0,$B$19),$B$1,INDEX(ALGO!$A$2:$BZ$20001,0,$B$20),"*",INDEX(ALGO!$A$2:$BZ$20001,0,$B$18),$B87,INDEX(ALGO!$A$2:$BZ$20001,0,H$29),"&lt;&gt;"))</f>
        <v/>
      </c>
      <c r="M87" s="22">
        <f>IF(OR($C87=1,I$29=""),0,COUNTIFS(INDEX(ALGO!$A$2:$BZ$20001,0,$B$19),$B$1,INDEX(ALGO!$A$2:$BZ$20001,0,$B$20),"*",INDEX(ALGO!$A$2:$BZ$20001,0,$B$18),$B87,INDEX(ALGO!$A$2:$BZ$20001,0,I$29),"&lt;&gt;"))</f>
        <v/>
      </c>
      <c r="N87" s="22">
        <f>IF(OR($C87=1,J$29=""),0,COUNTIFS(INDEX(ALGO!$A$2:$BZ$20001,0,$B$19),$B$1,INDEX(ALGO!$A$2:$BZ$20001,0,$B$20),"*",INDEX(ALGO!$A$2:$BZ$20001,0,$B$18),$B87,INDEX(ALGO!$A$2:$BZ$20001,0,J$29),"&lt;&gt;"))</f>
        <v/>
      </c>
      <c r="O87" s="22">
        <f>IF(OR($C87=1,K$29=""),0,COUNTIFS(INDEX(ALGO!$A$2:$BZ$20001,0,$B$19),$B$1,INDEX(ALGO!$A$2:$BZ$20001,0,$B$20),"*",INDEX(ALGO!$A$2:$BZ$20001,0,$B$18),$B87,INDEX(ALGO!$A$2:$BZ$20001,0,K$29),"&lt;&gt;"))</f>
        <v/>
      </c>
      <c r="P87" s="22">
        <f>IF(OR($C87=1,L$29=""),0,COUNTIFS(INDEX(ALGO!$A$2:$BZ$20001,0,$B$19),$B$1,INDEX(ALGO!$A$2:$BZ$20001,0,$B$20),"*",INDEX(ALGO!$A$2:$BZ$20001,0,$B$18),$B87,INDEX(ALGO!$A$2:$BZ$20001,0,L$29),"&lt;&gt;"))</f>
        <v/>
      </c>
      <c r="Q87" s="22">
        <f>IF(OR($C87=1,M$29=""),0,COUNTIFS(INDEX(ALGO!$A$2:$BZ$20001,0,$B$19),$B$1,INDEX(ALGO!$A$2:$BZ$20001,0,$B$20),"*",INDEX(ALGO!$A$2:$BZ$20001,0,$B$18),$B87,INDEX(ALGO!$A$2:$BZ$20001,0,M$29),"&lt;&gt;"))</f>
        <v/>
      </c>
      <c r="R87" s="22">
        <f>IF(OR($C87=1,N$29=""),0,COUNTIFS(INDEX(ALGO!$A$2:$BZ$20001,0,$B$19),$B$1,INDEX(ALGO!$A$2:$BZ$20001,0,$B$20),"*",INDEX(ALGO!$A$2:$BZ$20001,0,$B$18),$B87,INDEX(ALGO!$A$2:$BZ$20001,0,N$29),"&lt;&gt;"))</f>
        <v/>
      </c>
      <c r="S87" s="22">
        <f>IF(OR($C87=1,O$29=""),0,COUNTIFS(INDEX(ALGO!$A$2:$BZ$20001,0,$B$19),$B$1,INDEX(ALGO!$A$2:$BZ$20001,0,$B$20),"*",INDEX(ALGO!$A$2:$BZ$20001,0,$B$18),$B87,INDEX(ALGO!$A$2:$BZ$20001,0,O$29),"&lt;&gt;"))</f>
        <v/>
      </c>
      <c r="T87" s="22">
        <f>IF(OR($C87=1,P$29=""),0,COUNTIFS(INDEX(ALGO!$A$2:$BZ$20001,0,$B$19),$B$1,INDEX(ALGO!$A$2:$BZ$20001,0,$B$20),"*",INDEX(ALGO!$A$2:$BZ$20001,0,$B$18),$B87,INDEX(ALGO!$A$2:$BZ$20001,0,P$29),"&lt;&gt;"))</f>
        <v/>
      </c>
      <c r="U87" s="22">
        <f>IF(OR($C87=1,Q$29=""),0,COUNTIFS(INDEX(ALGO!$A$2:$BZ$20001,0,$B$19),$B$1,INDEX(ALGO!$A$2:$BZ$20001,0,$B$20),"*",INDEX(ALGO!$A$2:$BZ$20001,0,$B$18),$B87,INDEX(ALGO!$A$2:$BZ$20001,0,Q$29),"&lt;&gt;"))</f>
        <v/>
      </c>
      <c r="V87" s="22">
        <f>IF(OR($C87=1,R$29=""),0,COUNTIFS(INDEX(ALGO!$A$2:$BZ$20001,0,$B$19),$B$1,INDEX(ALGO!$A$2:$BZ$20001,0,$B$20),"*",INDEX(ALGO!$A$2:$BZ$20001,0,$B$18),$B87,INDEX(ALGO!$A$2:$BZ$20001,0,R$29),"&lt;&gt;"))</f>
        <v/>
      </c>
      <c r="W87" s="22">
        <f>IF(OR($C87=1,S$29=""),0,COUNTIFS(INDEX(ALGO!$A$2:$BZ$20001,0,$B$19),$B$1,INDEX(ALGO!$A$2:$BZ$20001,0,$B$20),"*",INDEX(ALGO!$A$2:$BZ$20001,0,$B$18),$B87,INDEX(ALGO!$A$2:$BZ$20001,0,S$29),"&lt;&gt;"))</f>
        <v/>
      </c>
      <c r="X87" s="22">
        <f>IF(OR($C87=1,T$29=""),0,COUNTIFS(INDEX(ALGO!$A$2:$BZ$20001,0,$B$19),$B$1,INDEX(ALGO!$A$2:$BZ$20001,0,$B$20),"*",INDEX(ALGO!$A$2:$BZ$20001,0,$B$18),$B87,INDEX(ALGO!$A$2:$BZ$20001,0,T$29),"&lt;&gt;"))</f>
        <v/>
      </c>
      <c r="Y87" s="22">
        <f>IF(OR($C87=1,U$29=""),0,COUNTIFS(INDEX(ALGO!$A$2:$BZ$20001,0,$B$19),$B$1,INDEX(ALGO!$A$2:$BZ$20001,0,$B$20),"*",INDEX(ALGO!$A$2:$BZ$20001,0,$B$18),$B87,INDEX(ALGO!$A$2:$BZ$20001,0,U$29),"&lt;&gt;"))</f>
        <v/>
      </c>
      <c r="Z87" s="22">
        <f>IF(OR($C87=1,V$29=""),0,COUNTIFS(INDEX(ALGO!$A$2:$BZ$20001,0,$B$19),$B$1,INDEX(ALGO!$A$2:$BZ$20001,0,$B$20),"*",INDEX(ALGO!$A$2:$BZ$20001,0,$B$18),$B87,INDEX(ALGO!$A$2:$BZ$20001,0,V$29),"&lt;&gt;"))</f>
        <v/>
      </c>
      <c r="AA87" s="22">
        <f>IF(OR($C87=1,W$29=""),0,COUNTIFS(INDEX(ALGO!$A$2:$BZ$20001,0,$B$19),$B$1,INDEX(ALGO!$A$2:$BZ$20001,0,$B$20),"*",INDEX(ALGO!$A$2:$BZ$20001,0,$B$18),$B87,INDEX(ALGO!$A$2:$BZ$20001,0,W$29),"&lt;&gt;"))</f>
        <v/>
      </c>
      <c r="AB87" s="22">
        <f>IF(OR($C87=1,X$29=""),0,COUNTIFS(INDEX(ALGO!$A$2:$BZ$20001,0,$B$19),$B$1,INDEX(ALGO!$A$2:$BZ$20001,0,$B$20),"*",INDEX(ALGO!$A$2:$BZ$20001,0,$B$18),$B87,INDEX(ALGO!$A$2:$BZ$20001,0,X$29),"&lt;&gt;"))</f>
        <v/>
      </c>
      <c r="AC87" s="22">
        <f>IF(OR($C87=1,Y$29=""),0,COUNTIFS(INDEX(ALGO!$A$2:$BZ$20001,0,$B$19),$B$1,INDEX(ALGO!$A$2:$BZ$20001,0,$B$20),"*",INDEX(ALGO!$A$2:$BZ$20001,0,$B$18),$B87,INDEX(ALGO!$A$2:$BZ$20001,0,Y$29),"&lt;&gt;"))</f>
        <v/>
      </c>
      <c r="AD87" s="22">
        <f>IF(OR($C87=1,Z$29=""),0,COUNTIFS(INDEX(ALGO!$A$2:$BZ$20001,0,$B$19),$B$1,INDEX(ALGO!$A$2:$BZ$20001,0,$B$20),"*",INDEX(ALGO!$A$2:$BZ$20001,0,$B$18),$B87,INDEX(ALGO!$A$2:$BZ$20001,0,Z$29),"&lt;&gt;"))</f>
        <v/>
      </c>
      <c r="AE87" s="22">
        <f>IF(OR($C87=1,AA$29=""),0,COUNTIFS(INDEX(ALGO!$A$2:$BZ$20001,0,$B$19),$B$1,INDEX(ALGO!$A$2:$BZ$20001,0,$B$20),"*",INDEX(ALGO!$A$2:$BZ$20001,0,$B$18),$B87,INDEX(ALGO!$A$2:$BZ$20001,0,AA$29),"&lt;&gt;"))</f>
        <v/>
      </c>
      <c r="AF87" s="22">
        <f>IF(OR($C87=1,AB$29=""),0,COUNTIFS(INDEX(ALGO!$A$2:$BZ$20001,0,$B$19),$B$1,INDEX(ALGO!$A$2:$BZ$20001,0,$B$20),"*",INDEX(ALGO!$A$2:$BZ$20001,0,$B$18),$B87,INDEX(ALGO!$A$2:$BZ$20001,0,AB$29),"&lt;&gt;"))</f>
        <v/>
      </c>
      <c r="AG87" s="22">
        <f>IF(OR($C87=1,AC$29=""),0,COUNTIFS(INDEX(ALGO!$A$2:$BZ$20001,0,$B$19),$B$1,INDEX(ALGO!$A$2:$BZ$20001,0,$B$20),"*",INDEX(ALGO!$A$2:$BZ$20001,0,$B$18),$B87,INDEX(ALGO!$A$2:$BZ$20001,0,AC$29),"&lt;&gt;"))</f>
        <v/>
      </c>
      <c r="AH87" s="22">
        <f>IF(OR($C87=1,AD$29=""),0,COUNTIFS(INDEX(ALGO!$A$2:$BZ$20001,0,$B$19),$B$1,INDEX(ALGO!$A$2:$BZ$20001,0,$B$20),"*",INDEX(ALGO!$A$2:$BZ$20001,0,$B$18),$B87,INDEX(ALGO!$A$2:$BZ$20001,0,AD$29),"&lt;&gt;"))</f>
        <v/>
      </c>
      <c r="AI87" s="22">
        <f>IF(OR($C87=1,AE$29=""),0,COUNTIFS(INDEX(ALGO!$A$2:$BZ$20001,0,$B$19),$B$1,INDEX(ALGO!$A$2:$BZ$20001,0,$B$20),"*",INDEX(ALGO!$A$2:$BZ$20001,0,$B$18),$B87,INDEX(ALGO!$A$2:$BZ$20001,0,AE$29),"&lt;&gt;"))</f>
        <v/>
      </c>
      <c r="AJ87" s="22">
        <f>IF(OR($C87=1,AF$29=""),0,COUNTIFS(INDEX(ALGO!$A$2:$BZ$20001,0,$B$19),$B$1,INDEX(ALGO!$A$2:$BZ$20001,0,$B$20),"*",INDEX(ALGO!$A$2:$BZ$20001,0,$B$18),$B87,INDEX(ALGO!$A$2:$BZ$20001,0,AF$29),"&lt;&gt;"))</f>
        <v/>
      </c>
      <c r="AK87" s="22">
        <f>IF(OR($C87=1,AG$29=""),0,COUNTIFS(INDEX(ALGO!$A$2:$BZ$20001,0,$B$19),$B$1,INDEX(ALGO!$A$2:$BZ$20001,0,$B$20),"*",INDEX(ALGO!$A$2:$BZ$20001,0,$B$18),$B87,INDEX(ALGO!$A$2:$BZ$20001,0,AG$29),"&lt;&gt;"))</f>
        <v/>
      </c>
      <c r="AL87" s="22">
        <f>IF(OR($C87=1,AH$29=""),0,COUNTIFS(INDEX(ALGO!$A$2:$BZ$20001,0,$B$19),$B$1,INDEX(ALGO!$A$2:$BZ$20001,0,$B$20),"*",INDEX(ALGO!$A$2:$BZ$20001,0,$B$18),$B87,INDEX(ALGO!$A$2:$BZ$20001,0,AH$29),"&lt;&gt;"))</f>
        <v/>
      </c>
      <c r="AM87" s="22">
        <f>IF(OR($C87=1,AI$29=""),0,COUNTIFS(INDEX(ALGO!$A$2:$BZ$20001,0,$B$19),$B$1,INDEX(ALGO!$A$2:$BZ$20001,0,$B$20),"*",INDEX(ALGO!$A$2:$BZ$20001,0,$B$18),$B87,INDEX(ALGO!$A$2:$BZ$20001,0,AI$29),"&lt;&gt;"))</f>
        <v/>
      </c>
      <c r="AN87" s="22">
        <f>IF(OR($C87=1,AJ$29=""),0,COUNTIFS(INDEX(ALGO!$A$2:$BZ$20001,0,$B$19),$B$1,INDEX(ALGO!$A$2:$BZ$20001,0,$B$20),"*",INDEX(ALGO!$A$2:$BZ$20001,0,$B$18),$B87,INDEX(ALGO!$A$2:$BZ$20001,0,AJ$29),"&lt;&gt;"))</f>
        <v/>
      </c>
      <c r="AO87" s="22">
        <f>IF(OR($C87=1,AK$29=""),0,COUNTIFS(INDEX(ALGO!$A$2:$BZ$20001,0,$B$19),$B$1,INDEX(ALGO!$A$2:$BZ$20001,0,$B$20),"*",INDEX(ALGO!$A$2:$BZ$20001,0,$B$18),$B87,INDEX(ALGO!$A$2:$BZ$20001,0,AK$29),"&lt;&gt;"))</f>
        <v/>
      </c>
      <c r="AP87" s="22">
        <f>IF(OR($C87=1,AL$29=""),0,COUNTIFS(INDEX(ALGO!$A$2:$BZ$20001,0,$B$19),$B$1,INDEX(ALGO!$A$2:$BZ$20001,0,$B$20),"*",INDEX(ALGO!$A$2:$BZ$20001,0,$B$18),$B87,INDEX(ALGO!$A$2:$BZ$20001,0,AL$29),"&lt;&gt;"))</f>
        <v/>
      </c>
      <c r="AQ87" s="22">
        <f>IF(OR($C87=1,AM$29=""),0,COUNTIFS(INDEX(ALGO!$A$2:$BZ$20001,0,$B$19),$B$1,INDEX(ALGO!$A$2:$BZ$20001,0,$B$20),"*",INDEX(ALGO!$A$2:$BZ$20001,0,$B$18),$B87,INDEX(ALGO!$A$2:$BZ$20001,0,AM$29),"&lt;&gt;"))</f>
        <v/>
      </c>
    </row>
    <row r="88">
      <c r="A88" s="20" t="n">
        <v>9</v>
      </c>
      <c r="B88" s="20">
        <f>IF($A88&gt;$B$77,"",IFERROR(INDEX(ALGO!$A$1:$BZ$20001,1+$A88,$B$18),""))</f>
        <v/>
      </c>
      <c r="C88" s="20">
        <f>IF($B88="",1,IF(COUNTIF($A$200:$A$202,$B88)&gt;0,1,0))</f>
        <v/>
      </c>
      <c r="D88" s="20">
        <f>IF($C88=1,0,SUM($H88:$AQ88))</f>
        <v/>
      </c>
      <c r="E88" s="20">
        <f>$E87+IF($D88&gt;0,1,0)</f>
        <v/>
      </c>
      <c r="H88" s="22">
        <f>IF(OR($C88=1,D$29=""),0,COUNTIFS(INDEX(ALGO!$A$2:$BZ$20001,0,$B$19),$B$1,INDEX(ALGO!$A$2:$BZ$20001,0,$B$20),"*",INDEX(ALGO!$A$2:$BZ$20001,0,$B$18),$B88,INDEX(ALGO!$A$2:$BZ$20001,0,D$29),"&lt;&gt;"))</f>
        <v/>
      </c>
      <c r="I88" s="22">
        <f>IF(OR($C88=1,E$29=""),0,COUNTIFS(INDEX(ALGO!$A$2:$BZ$20001,0,$B$19),$B$1,INDEX(ALGO!$A$2:$BZ$20001,0,$B$20),"*",INDEX(ALGO!$A$2:$BZ$20001,0,$B$18),$B88,INDEX(ALGO!$A$2:$BZ$20001,0,E$29),"&lt;&gt;"))</f>
        <v/>
      </c>
      <c r="J88" s="22">
        <f>IF(OR($C88=1,F$29=""),0,COUNTIFS(INDEX(ALGO!$A$2:$BZ$20001,0,$B$19),$B$1,INDEX(ALGO!$A$2:$BZ$20001,0,$B$20),"*",INDEX(ALGO!$A$2:$BZ$20001,0,$B$18),$B88,INDEX(ALGO!$A$2:$BZ$20001,0,F$29),"&lt;&gt;"))</f>
        <v/>
      </c>
      <c r="K88" s="22">
        <f>IF(OR($C88=1,G$29=""),0,COUNTIFS(INDEX(ALGO!$A$2:$BZ$20001,0,$B$19),$B$1,INDEX(ALGO!$A$2:$BZ$20001,0,$B$20),"*",INDEX(ALGO!$A$2:$BZ$20001,0,$B$18),$B88,INDEX(ALGO!$A$2:$BZ$20001,0,G$29),"&lt;&gt;"))</f>
        <v/>
      </c>
      <c r="L88" s="22">
        <f>IF(OR($C88=1,H$29=""),0,COUNTIFS(INDEX(ALGO!$A$2:$BZ$20001,0,$B$19),$B$1,INDEX(ALGO!$A$2:$BZ$20001,0,$B$20),"*",INDEX(ALGO!$A$2:$BZ$20001,0,$B$18),$B88,INDEX(ALGO!$A$2:$BZ$20001,0,H$29),"&lt;&gt;"))</f>
        <v/>
      </c>
      <c r="M88" s="22">
        <f>IF(OR($C88=1,I$29=""),0,COUNTIFS(INDEX(ALGO!$A$2:$BZ$20001,0,$B$19),$B$1,INDEX(ALGO!$A$2:$BZ$20001,0,$B$20),"*",INDEX(ALGO!$A$2:$BZ$20001,0,$B$18),$B88,INDEX(ALGO!$A$2:$BZ$20001,0,I$29),"&lt;&gt;"))</f>
        <v/>
      </c>
      <c r="N88" s="22">
        <f>IF(OR($C88=1,J$29=""),0,COUNTIFS(INDEX(ALGO!$A$2:$BZ$20001,0,$B$19),$B$1,INDEX(ALGO!$A$2:$BZ$20001,0,$B$20),"*",INDEX(ALGO!$A$2:$BZ$20001,0,$B$18),$B88,INDEX(ALGO!$A$2:$BZ$20001,0,J$29),"&lt;&gt;"))</f>
        <v/>
      </c>
      <c r="O88" s="22">
        <f>IF(OR($C88=1,K$29=""),0,COUNTIFS(INDEX(ALGO!$A$2:$BZ$20001,0,$B$19),$B$1,INDEX(ALGO!$A$2:$BZ$20001,0,$B$20),"*",INDEX(ALGO!$A$2:$BZ$20001,0,$B$18),$B88,INDEX(ALGO!$A$2:$BZ$20001,0,K$29),"&lt;&gt;"))</f>
        <v/>
      </c>
      <c r="P88" s="22">
        <f>IF(OR($C88=1,L$29=""),0,COUNTIFS(INDEX(ALGO!$A$2:$BZ$20001,0,$B$19),$B$1,INDEX(ALGO!$A$2:$BZ$20001,0,$B$20),"*",INDEX(ALGO!$A$2:$BZ$20001,0,$B$18),$B88,INDEX(ALGO!$A$2:$BZ$20001,0,L$29),"&lt;&gt;"))</f>
        <v/>
      </c>
      <c r="Q88" s="22">
        <f>IF(OR($C88=1,M$29=""),0,COUNTIFS(INDEX(ALGO!$A$2:$BZ$20001,0,$B$19),$B$1,INDEX(ALGO!$A$2:$BZ$20001,0,$B$20),"*",INDEX(ALGO!$A$2:$BZ$20001,0,$B$18),$B88,INDEX(ALGO!$A$2:$BZ$20001,0,M$29),"&lt;&gt;"))</f>
        <v/>
      </c>
      <c r="R88" s="22">
        <f>IF(OR($C88=1,N$29=""),0,COUNTIFS(INDEX(ALGO!$A$2:$BZ$20001,0,$B$19),$B$1,INDEX(ALGO!$A$2:$BZ$20001,0,$B$20),"*",INDEX(ALGO!$A$2:$BZ$20001,0,$B$18),$B88,INDEX(ALGO!$A$2:$BZ$20001,0,N$29),"&lt;&gt;"))</f>
        <v/>
      </c>
      <c r="S88" s="22">
        <f>IF(OR($C88=1,O$29=""),0,COUNTIFS(INDEX(ALGO!$A$2:$BZ$20001,0,$B$19),$B$1,INDEX(ALGO!$A$2:$BZ$20001,0,$B$20),"*",INDEX(ALGO!$A$2:$BZ$20001,0,$B$18),$B88,INDEX(ALGO!$A$2:$BZ$20001,0,O$29),"&lt;&gt;"))</f>
        <v/>
      </c>
      <c r="T88" s="22">
        <f>IF(OR($C88=1,P$29=""),0,COUNTIFS(INDEX(ALGO!$A$2:$BZ$20001,0,$B$19),$B$1,INDEX(ALGO!$A$2:$BZ$20001,0,$B$20),"*",INDEX(ALGO!$A$2:$BZ$20001,0,$B$18),$B88,INDEX(ALGO!$A$2:$BZ$20001,0,P$29),"&lt;&gt;"))</f>
        <v/>
      </c>
      <c r="U88" s="22">
        <f>IF(OR($C88=1,Q$29=""),0,COUNTIFS(INDEX(ALGO!$A$2:$BZ$20001,0,$B$19),$B$1,INDEX(ALGO!$A$2:$BZ$20001,0,$B$20),"*",INDEX(ALGO!$A$2:$BZ$20001,0,$B$18),$B88,INDEX(ALGO!$A$2:$BZ$20001,0,Q$29),"&lt;&gt;"))</f>
        <v/>
      </c>
      <c r="V88" s="22">
        <f>IF(OR($C88=1,R$29=""),0,COUNTIFS(INDEX(ALGO!$A$2:$BZ$20001,0,$B$19),$B$1,INDEX(ALGO!$A$2:$BZ$20001,0,$B$20),"*",INDEX(ALGO!$A$2:$BZ$20001,0,$B$18),$B88,INDEX(ALGO!$A$2:$BZ$20001,0,R$29),"&lt;&gt;"))</f>
        <v/>
      </c>
      <c r="W88" s="22">
        <f>IF(OR($C88=1,S$29=""),0,COUNTIFS(INDEX(ALGO!$A$2:$BZ$20001,0,$B$19),$B$1,INDEX(ALGO!$A$2:$BZ$20001,0,$B$20),"*",INDEX(ALGO!$A$2:$BZ$20001,0,$B$18),$B88,INDEX(ALGO!$A$2:$BZ$20001,0,S$29),"&lt;&gt;"))</f>
        <v/>
      </c>
      <c r="X88" s="22">
        <f>IF(OR($C88=1,T$29=""),0,COUNTIFS(INDEX(ALGO!$A$2:$BZ$20001,0,$B$19),$B$1,INDEX(ALGO!$A$2:$BZ$20001,0,$B$20),"*",INDEX(ALGO!$A$2:$BZ$20001,0,$B$18),$B88,INDEX(ALGO!$A$2:$BZ$20001,0,T$29),"&lt;&gt;"))</f>
        <v/>
      </c>
      <c r="Y88" s="22">
        <f>IF(OR($C88=1,U$29=""),0,COUNTIFS(INDEX(ALGO!$A$2:$BZ$20001,0,$B$19),$B$1,INDEX(ALGO!$A$2:$BZ$20001,0,$B$20),"*",INDEX(ALGO!$A$2:$BZ$20001,0,$B$18),$B88,INDEX(ALGO!$A$2:$BZ$20001,0,U$29),"&lt;&gt;"))</f>
        <v/>
      </c>
      <c r="Z88" s="22">
        <f>IF(OR($C88=1,V$29=""),0,COUNTIFS(INDEX(ALGO!$A$2:$BZ$20001,0,$B$19),$B$1,INDEX(ALGO!$A$2:$BZ$20001,0,$B$20),"*",INDEX(ALGO!$A$2:$BZ$20001,0,$B$18),$B88,INDEX(ALGO!$A$2:$BZ$20001,0,V$29),"&lt;&gt;"))</f>
        <v/>
      </c>
      <c r="AA88" s="22">
        <f>IF(OR($C88=1,W$29=""),0,COUNTIFS(INDEX(ALGO!$A$2:$BZ$20001,0,$B$19),$B$1,INDEX(ALGO!$A$2:$BZ$20001,0,$B$20),"*",INDEX(ALGO!$A$2:$BZ$20001,0,$B$18),$B88,INDEX(ALGO!$A$2:$BZ$20001,0,W$29),"&lt;&gt;"))</f>
        <v/>
      </c>
      <c r="AB88" s="22">
        <f>IF(OR($C88=1,X$29=""),0,COUNTIFS(INDEX(ALGO!$A$2:$BZ$20001,0,$B$19),$B$1,INDEX(ALGO!$A$2:$BZ$20001,0,$B$20),"*",INDEX(ALGO!$A$2:$BZ$20001,0,$B$18),$B88,INDEX(ALGO!$A$2:$BZ$20001,0,X$29),"&lt;&gt;"))</f>
        <v/>
      </c>
      <c r="AC88" s="22">
        <f>IF(OR($C88=1,Y$29=""),0,COUNTIFS(INDEX(ALGO!$A$2:$BZ$20001,0,$B$19),$B$1,INDEX(ALGO!$A$2:$BZ$20001,0,$B$20),"*",INDEX(ALGO!$A$2:$BZ$20001,0,$B$18),$B88,INDEX(ALGO!$A$2:$BZ$20001,0,Y$29),"&lt;&gt;"))</f>
        <v/>
      </c>
      <c r="AD88" s="22">
        <f>IF(OR($C88=1,Z$29=""),0,COUNTIFS(INDEX(ALGO!$A$2:$BZ$20001,0,$B$19),$B$1,INDEX(ALGO!$A$2:$BZ$20001,0,$B$20),"*",INDEX(ALGO!$A$2:$BZ$20001,0,$B$18),$B88,INDEX(ALGO!$A$2:$BZ$20001,0,Z$29),"&lt;&gt;"))</f>
        <v/>
      </c>
      <c r="AE88" s="22">
        <f>IF(OR($C88=1,AA$29=""),0,COUNTIFS(INDEX(ALGO!$A$2:$BZ$20001,0,$B$19),$B$1,INDEX(ALGO!$A$2:$BZ$20001,0,$B$20),"*",INDEX(ALGO!$A$2:$BZ$20001,0,$B$18),$B88,INDEX(ALGO!$A$2:$BZ$20001,0,AA$29),"&lt;&gt;"))</f>
        <v/>
      </c>
      <c r="AF88" s="22">
        <f>IF(OR($C88=1,AB$29=""),0,COUNTIFS(INDEX(ALGO!$A$2:$BZ$20001,0,$B$19),$B$1,INDEX(ALGO!$A$2:$BZ$20001,0,$B$20),"*",INDEX(ALGO!$A$2:$BZ$20001,0,$B$18),$B88,INDEX(ALGO!$A$2:$BZ$20001,0,AB$29),"&lt;&gt;"))</f>
        <v/>
      </c>
      <c r="AG88" s="22">
        <f>IF(OR($C88=1,AC$29=""),0,COUNTIFS(INDEX(ALGO!$A$2:$BZ$20001,0,$B$19),$B$1,INDEX(ALGO!$A$2:$BZ$20001,0,$B$20),"*",INDEX(ALGO!$A$2:$BZ$20001,0,$B$18),$B88,INDEX(ALGO!$A$2:$BZ$20001,0,AC$29),"&lt;&gt;"))</f>
        <v/>
      </c>
      <c r="AH88" s="22">
        <f>IF(OR($C88=1,AD$29=""),0,COUNTIFS(INDEX(ALGO!$A$2:$BZ$20001,0,$B$19),$B$1,INDEX(ALGO!$A$2:$BZ$20001,0,$B$20),"*",INDEX(ALGO!$A$2:$BZ$20001,0,$B$18),$B88,INDEX(ALGO!$A$2:$BZ$20001,0,AD$29),"&lt;&gt;"))</f>
        <v/>
      </c>
      <c r="AI88" s="22">
        <f>IF(OR($C88=1,AE$29=""),0,COUNTIFS(INDEX(ALGO!$A$2:$BZ$20001,0,$B$19),$B$1,INDEX(ALGO!$A$2:$BZ$20001,0,$B$20),"*",INDEX(ALGO!$A$2:$BZ$20001,0,$B$18),$B88,INDEX(ALGO!$A$2:$BZ$20001,0,AE$29),"&lt;&gt;"))</f>
        <v/>
      </c>
      <c r="AJ88" s="22">
        <f>IF(OR($C88=1,AF$29=""),0,COUNTIFS(INDEX(ALGO!$A$2:$BZ$20001,0,$B$19),$B$1,INDEX(ALGO!$A$2:$BZ$20001,0,$B$20),"*",INDEX(ALGO!$A$2:$BZ$20001,0,$B$18),$B88,INDEX(ALGO!$A$2:$BZ$20001,0,AF$29),"&lt;&gt;"))</f>
        <v/>
      </c>
      <c r="AK88" s="22">
        <f>IF(OR($C88=1,AG$29=""),0,COUNTIFS(INDEX(ALGO!$A$2:$BZ$20001,0,$B$19),$B$1,INDEX(ALGO!$A$2:$BZ$20001,0,$B$20),"*",INDEX(ALGO!$A$2:$BZ$20001,0,$B$18),$B88,INDEX(ALGO!$A$2:$BZ$20001,0,AG$29),"&lt;&gt;"))</f>
        <v/>
      </c>
      <c r="AL88" s="22">
        <f>IF(OR($C88=1,AH$29=""),0,COUNTIFS(INDEX(ALGO!$A$2:$BZ$20001,0,$B$19),$B$1,INDEX(ALGO!$A$2:$BZ$20001,0,$B$20),"*",INDEX(ALGO!$A$2:$BZ$20001,0,$B$18),$B88,INDEX(ALGO!$A$2:$BZ$20001,0,AH$29),"&lt;&gt;"))</f>
        <v/>
      </c>
      <c r="AM88" s="22">
        <f>IF(OR($C88=1,AI$29=""),0,COUNTIFS(INDEX(ALGO!$A$2:$BZ$20001,0,$B$19),$B$1,INDEX(ALGO!$A$2:$BZ$20001,0,$B$20),"*",INDEX(ALGO!$A$2:$BZ$20001,0,$B$18),$B88,INDEX(ALGO!$A$2:$BZ$20001,0,AI$29),"&lt;&gt;"))</f>
        <v/>
      </c>
      <c r="AN88" s="22">
        <f>IF(OR($C88=1,AJ$29=""),0,COUNTIFS(INDEX(ALGO!$A$2:$BZ$20001,0,$B$19),$B$1,INDEX(ALGO!$A$2:$BZ$20001,0,$B$20),"*",INDEX(ALGO!$A$2:$BZ$20001,0,$B$18),$B88,INDEX(ALGO!$A$2:$BZ$20001,0,AJ$29),"&lt;&gt;"))</f>
        <v/>
      </c>
      <c r="AO88" s="22">
        <f>IF(OR($C88=1,AK$29=""),0,COUNTIFS(INDEX(ALGO!$A$2:$BZ$20001,0,$B$19),$B$1,INDEX(ALGO!$A$2:$BZ$20001,0,$B$20),"*",INDEX(ALGO!$A$2:$BZ$20001,0,$B$18),$B88,INDEX(ALGO!$A$2:$BZ$20001,0,AK$29),"&lt;&gt;"))</f>
        <v/>
      </c>
      <c r="AP88" s="22">
        <f>IF(OR($C88=1,AL$29=""),0,COUNTIFS(INDEX(ALGO!$A$2:$BZ$20001,0,$B$19),$B$1,INDEX(ALGO!$A$2:$BZ$20001,0,$B$20),"*",INDEX(ALGO!$A$2:$BZ$20001,0,$B$18),$B88,INDEX(ALGO!$A$2:$BZ$20001,0,AL$29),"&lt;&gt;"))</f>
        <v/>
      </c>
      <c r="AQ88" s="22">
        <f>IF(OR($C88=1,AM$29=""),0,COUNTIFS(INDEX(ALGO!$A$2:$BZ$20001,0,$B$19),$B$1,INDEX(ALGO!$A$2:$BZ$20001,0,$B$20),"*",INDEX(ALGO!$A$2:$BZ$20001,0,$B$18),$B88,INDEX(ALGO!$A$2:$BZ$20001,0,AM$29),"&lt;&gt;"))</f>
        <v/>
      </c>
    </row>
    <row r="89">
      <c r="A89" s="20" t="n">
        <v>10</v>
      </c>
      <c r="B89" s="20">
        <f>IF($A89&gt;$B$77,"",IFERROR(INDEX(ALGO!$A$1:$BZ$20001,1+$A89,$B$18),""))</f>
        <v/>
      </c>
      <c r="C89" s="20">
        <f>IF($B89="",1,IF(COUNTIF($A$200:$A$202,$B89)&gt;0,1,0))</f>
        <v/>
      </c>
      <c r="D89" s="20">
        <f>IF($C89=1,0,SUM($H89:$AQ89))</f>
        <v/>
      </c>
      <c r="E89" s="20">
        <f>$E88+IF($D89&gt;0,1,0)</f>
        <v/>
      </c>
      <c r="H89" s="22">
        <f>IF(OR($C89=1,D$29=""),0,COUNTIFS(INDEX(ALGO!$A$2:$BZ$20001,0,$B$19),$B$1,INDEX(ALGO!$A$2:$BZ$20001,0,$B$20),"*",INDEX(ALGO!$A$2:$BZ$20001,0,$B$18),$B89,INDEX(ALGO!$A$2:$BZ$20001,0,D$29),"&lt;&gt;"))</f>
        <v/>
      </c>
      <c r="I89" s="22">
        <f>IF(OR($C89=1,E$29=""),0,COUNTIFS(INDEX(ALGO!$A$2:$BZ$20001,0,$B$19),$B$1,INDEX(ALGO!$A$2:$BZ$20001,0,$B$20),"*",INDEX(ALGO!$A$2:$BZ$20001,0,$B$18),$B89,INDEX(ALGO!$A$2:$BZ$20001,0,E$29),"&lt;&gt;"))</f>
        <v/>
      </c>
      <c r="J89" s="22">
        <f>IF(OR($C89=1,F$29=""),0,COUNTIFS(INDEX(ALGO!$A$2:$BZ$20001,0,$B$19),$B$1,INDEX(ALGO!$A$2:$BZ$20001,0,$B$20),"*",INDEX(ALGO!$A$2:$BZ$20001,0,$B$18),$B89,INDEX(ALGO!$A$2:$BZ$20001,0,F$29),"&lt;&gt;"))</f>
        <v/>
      </c>
      <c r="K89" s="22">
        <f>IF(OR($C89=1,G$29=""),0,COUNTIFS(INDEX(ALGO!$A$2:$BZ$20001,0,$B$19),$B$1,INDEX(ALGO!$A$2:$BZ$20001,0,$B$20),"*",INDEX(ALGO!$A$2:$BZ$20001,0,$B$18),$B89,INDEX(ALGO!$A$2:$BZ$20001,0,G$29),"&lt;&gt;"))</f>
        <v/>
      </c>
      <c r="L89" s="22">
        <f>IF(OR($C89=1,H$29=""),0,COUNTIFS(INDEX(ALGO!$A$2:$BZ$20001,0,$B$19),$B$1,INDEX(ALGO!$A$2:$BZ$20001,0,$B$20),"*",INDEX(ALGO!$A$2:$BZ$20001,0,$B$18),$B89,INDEX(ALGO!$A$2:$BZ$20001,0,H$29),"&lt;&gt;"))</f>
        <v/>
      </c>
      <c r="M89" s="22">
        <f>IF(OR($C89=1,I$29=""),0,COUNTIFS(INDEX(ALGO!$A$2:$BZ$20001,0,$B$19),$B$1,INDEX(ALGO!$A$2:$BZ$20001,0,$B$20),"*",INDEX(ALGO!$A$2:$BZ$20001,0,$B$18),$B89,INDEX(ALGO!$A$2:$BZ$20001,0,I$29),"&lt;&gt;"))</f>
        <v/>
      </c>
      <c r="N89" s="22">
        <f>IF(OR($C89=1,J$29=""),0,COUNTIFS(INDEX(ALGO!$A$2:$BZ$20001,0,$B$19),$B$1,INDEX(ALGO!$A$2:$BZ$20001,0,$B$20),"*",INDEX(ALGO!$A$2:$BZ$20001,0,$B$18),$B89,INDEX(ALGO!$A$2:$BZ$20001,0,J$29),"&lt;&gt;"))</f>
        <v/>
      </c>
      <c r="O89" s="22">
        <f>IF(OR($C89=1,K$29=""),0,COUNTIFS(INDEX(ALGO!$A$2:$BZ$20001,0,$B$19),$B$1,INDEX(ALGO!$A$2:$BZ$20001,0,$B$20),"*",INDEX(ALGO!$A$2:$BZ$20001,0,$B$18),$B89,INDEX(ALGO!$A$2:$BZ$20001,0,K$29),"&lt;&gt;"))</f>
        <v/>
      </c>
      <c r="P89" s="22">
        <f>IF(OR($C89=1,L$29=""),0,COUNTIFS(INDEX(ALGO!$A$2:$BZ$20001,0,$B$19),$B$1,INDEX(ALGO!$A$2:$BZ$20001,0,$B$20),"*",INDEX(ALGO!$A$2:$BZ$20001,0,$B$18),$B89,INDEX(ALGO!$A$2:$BZ$20001,0,L$29),"&lt;&gt;"))</f>
        <v/>
      </c>
      <c r="Q89" s="22">
        <f>IF(OR($C89=1,M$29=""),0,COUNTIFS(INDEX(ALGO!$A$2:$BZ$20001,0,$B$19),$B$1,INDEX(ALGO!$A$2:$BZ$20001,0,$B$20),"*",INDEX(ALGO!$A$2:$BZ$20001,0,$B$18),$B89,INDEX(ALGO!$A$2:$BZ$20001,0,M$29),"&lt;&gt;"))</f>
        <v/>
      </c>
      <c r="R89" s="22">
        <f>IF(OR($C89=1,N$29=""),0,COUNTIFS(INDEX(ALGO!$A$2:$BZ$20001,0,$B$19),$B$1,INDEX(ALGO!$A$2:$BZ$20001,0,$B$20),"*",INDEX(ALGO!$A$2:$BZ$20001,0,$B$18),$B89,INDEX(ALGO!$A$2:$BZ$20001,0,N$29),"&lt;&gt;"))</f>
        <v/>
      </c>
      <c r="S89" s="22">
        <f>IF(OR($C89=1,O$29=""),0,COUNTIFS(INDEX(ALGO!$A$2:$BZ$20001,0,$B$19),$B$1,INDEX(ALGO!$A$2:$BZ$20001,0,$B$20),"*",INDEX(ALGO!$A$2:$BZ$20001,0,$B$18),$B89,INDEX(ALGO!$A$2:$BZ$20001,0,O$29),"&lt;&gt;"))</f>
        <v/>
      </c>
      <c r="T89" s="22">
        <f>IF(OR($C89=1,P$29=""),0,COUNTIFS(INDEX(ALGO!$A$2:$BZ$20001,0,$B$19),$B$1,INDEX(ALGO!$A$2:$BZ$20001,0,$B$20),"*",INDEX(ALGO!$A$2:$BZ$20001,0,$B$18),$B89,INDEX(ALGO!$A$2:$BZ$20001,0,P$29),"&lt;&gt;"))</f>
        <v/>
      </c>
      <c r="U89" s="22">
        <f>IF(OR($C89=1,Q$29=""),0,COUNTIFS(INDEX(ALGO!$A$2:$BZ$20001,0,$B$19),$B$1,INDEX(ALGO!$A$2:$BZ$20001,0,$B$20),"*",INDEX(ALGO!$A$2:$BZ$20001,0,$B$18),$B89,INDEX(ALGO!$A$2:$BZ$20001,0,Q$29),"&lt;&gt;"))</f>
        <v/>
      </c>
      <c r="V89" s="22">
        <f>IF(OR($C89=1,R$29=""),0,COUNTIFS(INDEX(ALGO!$A$2:$BZ$20001,0,$B$19),$B$1,INDEX(ALGO!$A$2:$BZ$20001,0,$B$20),"*",INDEX(ALGO!$A$2:$BZ$20001,0,$B$18),$B89,INDEX(ALGO!$A$2:$BZ$20001,0,R$29),"&lt;&gt;"))</f>
        <v/>
      </c>
      <c r="W89" s="22">
        <f>IF(OR($C89=1,S$29=""),0,COUNTIFS(INDEX(ALGO!$A$2:$BZ$20001,0,$B$19),$B$1,INDEX(ALGO!$A$2:$BZ$20001,0,$B$20),"*",INDEX(ALGO!$A$2:$BZ$20001,0,$B$18),$B89,INDEX(ALGO!$A$2:$BZ$20001,0,S$29),"&lt;&gt;"))</f>
        <v/>
      </c>
      <c r="X89" s="22">
        <f>IF(OR($C89=1,T$29=""),0,COUNTIFS(INDEX(ALGO!$A$2:$BZ$20001,0,$B$19),$B$1,INDEX(ALGO!$A$2:$BZ$20001,0,$B$20),"*",INDEX(ALGO!$A$2:$BZ$20001,0,$B$18),$B89,INDEX(ALGO!$A$2:$BZ$20001,0,T$29),"&lt;&gt;"))</f>
        <v/>
      </c>
      <c r="Y89" s="22">
        <f>IF(OR($C89=1,U$29=""),0,COUNTIFS(INDEX(ALGO!$A$2:$BZ$20001,0,$B$19),$B$1,INDEX(ALGO!$A$2:$BZ$20001,0,$B$20),"*",INDEX(ALGO!$A$2:$BZ$20001,0,$B$18),$B89,INDEX(ALGO!$A$2:$BZ$20001,0,U$29),"&lt;&gt;"))</f>
        <v/>
      </c>
      <c r="Z89" s="22">
        <f>IF(OR($C89=1,V$29=""),0,COUNTIFS(INDEX(ALGO!$A$2:$BZ$20001,0,$B$19),$B$1,INDEX(ALGO!$A$2:$BZ$20001,0,$B$20),"*",INDEX(ALGO!$A$2:$BZ$20001,0,$B$18),$B89,INDEX(ALGO!$A$2:$BZ$20001,0,V$29),"&lt;&gt;"))</f>
        <v/>
      </c>
      <c r="AA89" s="22">
        <f>IF(OR($C89=1,W$29=""),0,COUNTIFS(INDEX(ALGO!$A$2:$BZ$20001,0,$B$19),$B$1,INDEX(ALGO!$A$2:$BZ$20001,0,$B$20),"*",INDEX(ALGO!$A$2:$BZ$20001,0,$B$18),$B89,INDEX(ALGO!$A$2:$BZ$20001,0,W$29),"&lt;&gt;"))</f>
        <v/>
      </c>
      <c r="AB89" s="22">
        <f>IF(OR($C89=1,X$29=""),0,COUNTIFS(INDEX(ALGO!$A$2:$BZ$20001,0,$B$19),$B$1,INDEX(ALGO!$A$2:$BZ$20001,0,$B$20),"*",INDEX(ALGO!$A$2:$BZ$20001,0,$B$18),$B89,INDEX(ALGO!$A$2:$BZ$20001,0,X$29),"&lt;&gt;"))</f>
        <v/>
      </c>
      <c r="AC89" s="22">
        <f>IF(OR($C89=1,Y$29=""),0,COUNTIFS(INDEX(ALGO!$A$2:$BZ$20001,0,$B$19),$B$1,INDEX(ALGO!$A$2:$BZ$20001,0,$B$20),"*",INDEX(ALGO!$A$2:$BZ$20001,0,$B$18),$B89,INDEX(ALGO!$A$2:$BZ$20001,0,Y$29),"&lt;&gt;"))</f>
        <v/>
      </c>
      <c r="AD89" s="22">
        <f>IF(OR($C89=1,Z$29=""),0,COUNTIFS(INDEX(ALGO!$A$2:$BZ$20001,0,$B$19),$B$1,INDEX(ALGO!$A$2:$BZ$20001,0,$B$20),"*",INDEX(ALGO!$A$2:$BZ$20001,0,$B$18),$B89,INDEX(ALGO!$A$2:$BZ$20001,0,Z$29),"&lt;&gt;"))</f>
        <v/>
      </c>
      <c r="AE89" s="22">
        <f>IF(OR($C89=1,AA$29=""),0,COUNTIFS(INDEX(ALGO!$A$2:$BZ$20001,0,$B$19),$B$1,INDEX(ALGO!$A$2:$BZ$20001,0,$B$20),"*",INDEX(ALGO!$A$2:$BZ$20001,0,$B$18),$B89,INDEX(ALGO!$A$2:$BZ$20001,0,AA$29),"&lt;&gt;"))</f>
        <v/>
      </c>
      <c r="AF89" s="22">
        <f>IF(OR($C89=1,AB$29=""),0,COUNTIFS(INDEX(ALGO!$A$2:$BZ$20001,0,$B$19),$B$1,INDEX(ALGO!$A$2:$BZ$20001,0,$B$20),"*",INDEX(ALGO!$A$2:$BZ$20001,0,$B$18),$B89,INDEX(ALGO!$A$2:$BZ$20001,0,AB$29),"&lt;&gt;"))</f>
        <v/>
      </c>
      <c r="AG89" s="22">
        <f>IF(OR($C89=1,AC$29=""),0,COUNTIFS(INDEX(ALGO!$A$2:$BZ$20001,0,$B$19),$B$1,INDEX(ALGO!$A$2:$BZ$20001,0,$B$20),"*",INDEX(ALGO!$A$2:$BZ$20001,0,$B$18),$B89,INDEX(ALGO!$A$2:$BZ$20001,0,AC$29),"&lt;&gt;"))</f>
        <v/>
      </c>
      <c r="AH89" s="22">
        <f>IF(OR($C89=1,AD$29=""),0,COUNTIFS(INDEX(ALGO!$A$2:$BZ$20001,0,$B$19),$B$1,INDEX(ALGO!$A$2:$BZ$20001,0,$B$20),"*",INDEX(ALGO!$A$2:$BZ$20001,0,$B$18),$B89,INDEX(ALGO!$A$2:$BZ$20001,0,AD$29),"&lt;&gt;"))</f>
        <v/>
      </c>
      <c r="AI89" s="22">
        <f>IF(OR($C89=1,AE$29=""),0,COUNTIFS(INDEX(ALGO!$A$2:$BZ$20001,0,$B$19),$B$1,INDEX(ALGO!$A$2:$BZ$20001,0,$B$20),"*",INDEX(ALGO!$A$2:$BZ$20001,0,$B$18),$B89,INDEX(ALGO!$A$2:$BZ$20001,0,AE$29),"&lt;&gt;"))</f>
        <v/>
      </c>
      <c r="AJ89" s="22">
        <f>IF(OR($C89=1,AF$29=""),0,COUNTIFS(INDEX(ALGO!$A$2:$BZ$20001,0,$B$19),$B$1,INDEX(ALGO!$A$2:$BZ$20001,0,$B$20),"*",INDEX(ALGO!$A$2:$BZ$20001,0,$B$18),$B89,INDEX(ALGO!$A$2:$BZ$20001,0,AF$29),"&lt;&gt;"))</f>
        <v/>
      </c>
      <c r="AK89" s="22">
        <f>IF(OR($C89=1,AG$29=""),0,COUNTIFS(INDEX(ALGO!$A$2:$BZ$20001,0,$B$19),$B$1,INDEX(ALGO!$A$2:$BZ$20001,0,$B$20),"*",INDEX(ALGO!$A$2:$BZ$20001,0,$B$18),$B89,INDEX(ALGO!$A$2:$BZ$20001,0,AG$29),"&lt;&gt;"))</f>
        <v/>
      </c>
      <c r="AL89" s="22">
        <f>IF(OR($C89=1,AH$29=""),0,COUNTIFS(INDEX(ALGO!$A$2:$BZ$20001,0,$B$19),$B$1,INDEX(ALGO!$A$2:$BZ$20001,0,$B$20),"*",INDEX(ALGO!$A$2:$BZ$20001,0,$B$18),$B89,INDEX(ALGO!$A$2:$BZ$20001,0,AH$29),"&lt;&gt;"))</f>
        <v/>
      </c>
      <c r="AM89" s="22">
        <f>IF(OR($C89=1,AI$29=""),0,COUNTIFS(INDEX(ALGO!$A$2:$BZ$20001,0,$B$19),$B$1,INDEX(ALGO!$A$2:$BZ$20001,0,$B$20),"*",INDEX(ALGO!$A$2:$BZ$20001,0,$B$18),$B89,INDEX(ALGO!$A$2:$BZ$20001,0,AI$29),"&lt;&gt;"))</f>
        <v/>
      </c>
      <c r="AN89" s="22">
        <f>IF(OR($C89=1,AJ$29=""),0,COUNTIFS(INDEX(ALGO!$A$2:$BZ$20001,0,$B$19),$B$1,INDEX(ALGO!$A$2:$BZ$20001,0,$B$20),"*",INDEX(ALGO!$A$2:$BZ$20001,0,$B$18),$B89,INDEX(ALGO!$A$2:$BZ$20001,0,AJ$29),"&lt;&gt;"))</f>
        <v/>
      </c>
      <c r="AO89" s="22">
        <f>IF(OR($C89=1,AK$29=""),0,COUNTIFS(INDEX(ALGO!$A$2:$BZ$20001,0,$B$19),$B$1,INDEX(ALGO!$A$2:$BZ$20001,0,$B$20),"*",INDEX(ALGO!$A$2:$BZ$20001,0,$B$18),$B89,INDEX(ALGO!$A$2:$BZ$20001,0,AK$29),"&lt;&gt;"))</f>
        <v/>
      </c>
      <c r="AP89" s="22">
        <f>IF(OR($C89=1,AL$29=""),0,COUNTIFS(INDEX(ALGO!$A$2:$BZ$20001,0,$B$19),$B$1,INDEX(ALGO!$A$2:$BZ$20001,0,$B$20),"*",INDEX(ALGO!$A$2:$BZ$20001,0,$B$18),$B89,INDEX(ALGO!$A$2:$BZ$20001,0,AL$29),"&lt;&gt;"))</f>
        <v/>
      </c>
      <c r="AQ89" s="22">
        <f>IF(OR($C89=1,AM$29=""),0,COUNTIFS(INDEX(ALGO!$A$2:$BZ$20001,0,$B$19),$B$1,INDEX(ALGO!$A$2:$BZ$20001,0,$B$20),"*",INDEX(ALGO!$A$2:$BZ$20001,0,$B$18),$B89,INDEX(ALGO!$A$2:$BZ$20001,0,AM$29),"&lt;&gt;"))</f>
        <v/>
      </c>
    </row>
    <row r="90">
      <c r="A90" s="20" t="n">
        <v>11</v>
      </c>
      <c r="B90" s="20">
        <f>IF($A90&gt;$B$77,"",IFERROR(INDEX(ALGO!$A$1:$BZ$20001,1+$A90,$B$18),""))</f>
        <v/>
      </c>
      <c r="C90" s="20">
        <f>IF($B90="",1,IF(COUNTIF($A$200:$A$202,$B90)&gt;0,1,0))</f>
        <v/>
      </c>
      <c r="D90" s="20">
        <f>IF($C90=1,0,SUM($H90:$AQ90))</f>
        <v/>
      </c>
      <c r="E90" s="20">
        <f>$E89+IF($D90&gt;0,1,0)</f>
        <v/>
      </c>
      <c r="H90" s="22">
        <f>IF(OR($C90=1,D$29=""),0,COUNTIFS(INDEX(ALGO!$A$2:$BZ$20001,0,$B$19),$B$1,INDEX(ALGO!$A$2:$BZ$20001,0,$B$20),"*",INDEX(ALGO!$A$2:$BZ$20001,0,$B$18),$B90,INDEX(ALGO!$A$2:$BZ$20001,0,D$29),"&lt;&gt;"))</f>
        <v/>
      </c>
      <c r="I90" s="22">
        <f>IF(OR($C90=1,E$29=""),0,COUNTIFS(INDEX(ALGO!$A$2:$BZ$20001,0,$B$19),$B$1,INDEX(ALGO!$A$2:$BZ$20001,0,$B$20),"*",INDEX(ALGO!$A$2:$BZ$20001,0,$B$18),$B90,INDEX(ALGO!$A$2:$BZ$20001,0,E$29),"&lt;&gt;"))</f>
        <v/>
      </c>
      <c r="J90" s="22">
        <f>IF(OR($C90=1,F$29=""),0,COUNTIFS(INDEX(ALGO!$A$2:$BZ$20001,0,$B$19),$B$1,INDEX(ALGO!$A$2:$BZ$20001,0,$B$20),"*",INDEX(ALGO!$A$2:$BZ$20001,0,$B$18),$B90,INDEX(ALGO!$A$2:$BZ$20001,0,F$29),"&lt;&gt;"))</f>
        <v/>
      </c>
      <c r="K90" s="22">
        <f>IF(OR($C90=1,G$29=""),0,COUNTIFS(INDEX(ALGO!$A$2:$BZ$20001,0,$B$19),$B$1,INDEX(ALGO!$A$2:$BZ$20001,0,$B$20),"*",INDEX(ALGO!$A$2:$BZ$20001,0,$B$18),$B90,INDEX(ALGO!$A$2:$BZ$20001,0,G$29),"&lt;&gt;"))</f>
        <v/>
      </c>
      <c r="L90" s="22">
        <f>IF(OR($C90=1,H$29=""),0,COUNTIFS(INDEX(ALGO!$A$2:$BZ$20001,0,$B$19),$B$1,INDEX(ALGO!$A$2:$BZ$20001,0,$B$20),"*",INDEX(ALGO!$A$2:$BZ$20001,0,$B$18),$B90,INDEX(ALGO!$A$2:$BZ$20001,0,H$29),"&lt;&gt;"))</f>
        <v/>
      </c>
      <c r="M90" s="22">
        <f>IF(OR($C90=1,I$29=""),0,COUNTIFS(INDEX(ALGO!$A$2:$BZ$20001,0,$B$19),$B$1,INDEX(ALGO!$A$2:$BZ$20001,0,$B$20),"*",INDEX(ALGO!$A$2:$BZ$20001,0,$B$18),$B90,INDEX(ALGO!$A$2:$BZ$20001,0,I$29),"&lt;&gt;"))</f>
        <v/>
      </c>
      <c r="N90" s="22">
        <f>IF(OR($C90=1,J$29=""),0,COUNTIFS(INDEX(ALGO!$A$2:$BZ$20001,0,$B$19),$B$1,INDEX(ALGO!$A$2:$BZ$20001,0,$B$20),"*",INDEX(ALGO!$A$2:$BZ$20001,0,$B$18),$B90,INDEX(ALGO!$A$2:$BZ$20001,0,J$29),"&lt;&gt;"))</f>
        <v/>
      </c>
      <c r="O90" s="22">
        <f>IF(OR($C90=1,K$29=""),0,COUNTIFS(INDEX(ALGO!$A$2:$BZ$20001,0,$B$19),$B$1,INDEX(ALGO!$A$2:$BZ$20001,0,$B$20),"*",INDEX(ALGO!$A$2:$BZ$20001,0,$B$18),$B90,INDEX(ALGO!$A$2:$BZ$20001,0,K$29),"&lt;&gt;"))</f>
        <v/>
      </c>
      <c r="P90" s="22">
        <f>IF(OR($C90=1,L$29=""),0,COUNTIFS(INDEX(ALGO!$A$2:$BZ$20001,0,$B$19),$B$1,INDEX(ALGO!$A$2:$BZ$20001,0,$B$20),"*",INDEX(ALGO!$A$2:$BZ$20001,0,$B$18),$B90,INDEX(ALGO!$A$2:$BZ$20001,0,L$29),"&lt;&gt;"))</f>
        <v/>
      </c>
      <c r="Q90" s="22">
        <f>IF(OR($C90=1,M$29=""),0,COUNTIFS(INDEX(ALGO!$A$2:$BZ$20001,0,$B$19),$B$1,INDEX(ALGO!$A$2:$BZ$20001,0,$B$20),"*",INDEX(ALGO!$A$2:$BZ$20001,0,$B$18),$B90,INDEX(ALGO!$A$2:$BZ$20001,0,M$29),"&lt;&gt;"))</f>
        <v/>
      </c>
      <c r="R90" s="22">
        <f>IF(OR($C90=1,N$29=""),0,COUNTIFS(INDEX(ALGO!$A$2:$BZ$20001,0,$B$19),$B$1,INDEX(ALGO!$A$2:$BZ$20001,0,$B$20),"*",INDEX(ALGO!$A$2:$BZ$20001,0,$B$18),$B90,INDEX(ALGO!$A$2:$BZ$20001,0,N$29),"&lt;&gt;"))</f>
        <v/>
      </c>
      <c r="S90" s="22">
        <f>IF(OR($C90=1,O$29=""),0,COUNTIFS(INDEX(ALGO!$A$2:$BZ$20001,0,$B$19),$B$1,INDEX(ALGO!$A$2:$BZ$20001,0,$B$20),"*",INDEX(ALGO!$A$2:$BZ$20001,0,$B$18),$B90,INDEX(ALGO!$A$2:$BZ$20001,0,O$29),"&lt;&gt;"))</f>
        <v/>
      </c>
      <c r="T90" s="22">
        <f>IF(OR($C90=1,P$29=""),0,COUNTIFS(INDEX(ALGO!$A$2:$BZ$20001,0,$B$19),$B$1,INDEX(ALGO!$A$2:$BZ$20001,0,$B$20),"*",INDEX(ALGO!$A$2:$BZ$20001,0,$B$18),$B90,INDEX(ALGO!$A$2:$BZ$20001,0,P$29),"&lt;&gt;"))</f>
        <v/>
      </c>
      <c r="U90" s="22">
        <f>IF(OR($C90=1,Q$29=""),0,COUNTIFS(INDEX(ALGO!$A$2:$BZ$20001,0,$B$19),$B$1,INDEX(ALGO!$A$2:$BZ$20001,0,$B$20),"*",INDEX(ALGO!$A$2:$BZ$20001,0,$B$18),$B90,INDEX(ALGO!$A$2:$BZ$20001,0,Q$29),"&lt;&gt;"))</f>
        <v/>
      </c>
      <c r="V90" s="22">
        <f>IF(OR($C90=1,R$29=""),0,COUNTIFS(INDEX(ALGO!$A$2:$BZ$20001,0,$B$19),$B$1,INDEX(ALGO!$A$2:$BZ$20001,0,$B$20),"*",INDEX(ALGO!$A$2:$BZ$20001,0,$B$18),$B90,INDEX(ALGO!$A$2:$BZ$20001,0,R$29),"&lt;&gt;"))</f>
        <v/>
      </c>
      <c r="W90" s="22">
        <f>IF(OR($C90=1,S$29=""),0,COUNTIFS(INDEX(ALGO!$A$2:$BZ$20001,0,$B$19),$B$1,INDEX(ALGO!$A$2:$BZ$20001,0,$B$20),"*",INDEX(ALGO!$A$2:$BZ$20001,0,$B$18),$B90,INDEX(ALGO!$A$2:$BZ$20001,0,S$29),"&lt;&gt;"))</f>
        <v/>
      </c>
      <c r="X90" s="22">
        <f>IF(OR($C90=1,T$29=""),0,COUNTIFS(INDEX(ALGO!$A$2:$BZ$20001,0,$B$19),$B$1,INDEX(ALGO!$A$2:$BZ$20001,0,$B$20),"*",INDEX(ALGO!$A$2:$BZ$20001,0,$B$18),$B90,INDEX(ALGO!$A$2:$BZ$20001,0,T$29),"&lt;&gt;"))</f>
        <v/>
      </c>
      <c r="Y90" s="22">
        <f>IF(OR($C90=1,U$29=""),0,COUNTIFS(INDEX(ALGO!$A$2:$BZ$20001,0,$B$19),$B$1,INDEX(ALGO!$A$2:$BZ$20001,0,$B$20),"*",INDEX(ALGO!$A$2:$BZ$20001,0,$B$18),$B90,INDEX(ALGO!$A$2:$BZ$20001,0,U$29),"&lt;&gt;"))</f>
        <v/>
      </c>
      <c r="Z90" s="22">
        <f>IF(OR($C90=1,V$29=""),0,COUNTIFS(INDEX(ALGO!$A$2:$BZ$20001,0,$B$19),$B$1,INDEX(ALGO!$A$2:$BZ$20001,0,$B$20),"*",INDEX(ALGO!$A$2:$BZ$20001,0,$B$18),$B90,INDEX(ALGO!$A$2:$BZ$20001,0,V$29),"&lt;&gt;"))</f>
        <v/>
      </c>
      <c r="AA90" s="22">
        <f>IF(OR($C90=1,W$29=""),0,COUNTIFS(INDEX(ALGO!$A$2:$BZ$20001,0,$B$19),$B$1,INDEX(ALGO!$A$2:$BZ$20001,0,$B$20),"*",INDEX(ALGO!$A$2:$BZ$20001,0,$B$18),$B90,INDEX(ALGO!$A$2:$BZ$20001,0,W$29),"&lt;&gt;"))</f>
        <v/>
      </c>
      <c r="AB90" s="22">
        <f>IF(OR($C90=1,X$29=""),0,COUNTIFS(INDEX(ALGO!$A$2:$BZ$20001,0,$B$19),$B$1,INDEX(ALGO!$A$2:$BZ$20001,0,$B$20),"*",INDEX(ALGO!$A$2:$BZ$20001,0,$B$18),$B90,INDEX(ALGO!$A$2:$BZ$20001,0,X$29),"&lt;&gt;"))</f>
        <v/>
      </c>
      <c r="AC90" s="22">
        <f>IF(OR($C90=1,Y$29=""),0,COUNTIFS(INDEX(ALGO!$A$2:$BZ$20001,0,$B$19),$B$1,INDEX(ALGO!$A$2:$BZ$20001,0,$B$20),"*",INDEX(ALGO!$A$2:$BZ$20001,0,$B$18),$B90,INDEX(ALGO!$A$2:$BZ$20001,0,Y$29),"&lt;&gt;"))</f>
        <v/>
      </c>
      <c r="AD90" s="22">
        <f>IF(OR($C90=1,Z$29=""),0,COUNTIFS(INDEX(ALGO!$A$2:$BZ$20001,0,$B$19),$B$1,INDEX(ALGO!$A$2:$BZ$20001,0,$B$20),"*",INDEX(ALGO!$A$2:$BZ$20001,0,$B$18),$B90,INDEX(ALGO!$A$2:$BZ$20001,0,Z$29),"&lt;&gt;"))</f>
        <v/>
      </c>
      <c r="AE90" s="22">
        <f>IF(OR($C90=1,AA$29=""),0,COUNTIFS(INDEX(ALGO!$A$2:$BZ$20001,0,$B$19),$B$1,INDEX(ALGO!$A$2:$BZ$20001,0,$B$20),"*",INDEX(ALGO!$A$2:$BZ$20001,0,$B$18),$B90,INDEX(ALGO!$A$2:$BZ$20001,0,AA$29),"&lt;&gt;"))</f>
        <v/>
      </c>
      <c r="AF90" s="22">
        <f>IF(OR($C90=1,AB$29=""),0,COUNTIFS(INDEX(ALGO!$A$2:$BZ$20001,0,$B$19),$B$1,INDEX(ALGO!$A$2:$BZ$20001,0,$B$20),"*",INDEX(ALGO!$A$2:$BZ$20001,0,$B$18),$B90,INDEX(ALGO!$A$2:$BZ$20001,0,AB$29),"&lt;&gt;"))</f>
        <v/>
      </c>
      <c r="AG90" s="22">
        <f>IF(OR($C90=1,AC$29=""),0,COUNTIFS(INDEX(ALGO!$A$2:$BZ$20001,0,$B$19),$B$1,INDEX(ALGO!$A$2:$BZ$20001,0,$B$20),"*",INDEX(ALGO!$A$2:$BZ$20001,0,$B$18),$B90,INDEX(ALGO!$A$2:$BZ$20001,0,AC$29),"&lt;&gt;"))</f>
        <v/>
      </c>
      <c r="AH90" s="22">
        <f>IF(OR($C90=1,AD$29=""),0,COUNTIFS(INDEX(ALGO!$A$2:$BZ$20001,0,$B$19),$B$1,INDEX(ALGO!$A$2:$BZ$20001,0,$B$20),"*",INDEX(ALGO!$A$2:$BZ$20001,0,$B$18),$B90,INDEX(ALGO!$A$2:$BZ$20001,0,AD$29),"&lt;&gt;"))</f>
        <v/>
      </c>
      <c r="AI90" s="22">
        <f>IF(OR($C90=1,AE$29=""),0,COUNTIFS(INDEX(ALGO!$A$2:$BZ$20001,0,$B$19),$B$1,INDEX(ALGO!$A$2:$BZ$20001,0,$B$20),"*",INDEX(ALGO!$A$2:$BZ$20001,0,$B$18),$B90,INDEX(ALGO!$A$2:$BZ$20001,0,AE$29),"&lt;&gt;"))</f>
        <v/>
      </c>
      <c r="AJ90" s="22">
        <f>IF(OR($C90=1,AF$29=""),0,COUNTIFS(INDEX(ALGO!$A$2:$BZ$20001,0,$B$19),$B$1,INDEX(ALGO!$A$2:$BZ$20001,0,$B$20),"*",INDEX(ALGO!$A$2:$BZ$20001,0,$B$18),$B90,INDEX(ALGO!$A$2:$BZ$20001,0,AF$29),"&lt;&gt;"))</f>
        <v/>
      </c>
      <c r="AK90" s="22">
        <f>IF(OR($C90=1,AG$29=""),0,COUNTIFS(INDEX(ALGO!$A$2:$BZ$20001,0,$B$19),$B$1,INDEX(ALGO!$A$2:$BZ$20001,0,$B$20),"*",INDEX(ALGO!$A$2:$BZ$20001,0,$B$18),$B90,INDEX(ALGO!$A$2:$BZ$20001,0,AG$29),"&lt;&gt;"))</f>
        <v/>
      </c>
      <c r="AL90" s="22">
        <f>IF(OR($C90=1,AH$29=""),0,COUNTIFS(INDEX(ALGO!$A$2:$BZ$20001,0,$B$19),$B$1,INDEX(ALGO!$A$2:$BZ$20001,0,$B$20),"*",INDEX(ALGO!$A$2:$BZ$20001,0,$B$18),$B90,INDEX(ALGO!$A$2:$BZ$20001,0,AH$29),"&lt;&gt;"))</f>
        <v/>
      </c>
      <c r="AM90" s="22">
        <f>IF(OR($C90=1,AI$29=""),0,COUNTIFS(INDEX(ALGO!$A$2:$BZ$20001,0,$B$19),$B$1,INDEX(ALGO!$A$2:$BZ$20001,0,$B$20),"*",INDEX(ALGO!$A$2:$BZ$20001,0,$B$18),$B90,INDEX(ALGO!$A$2:$BZ$20001,0,AI$29),"&lt;&gt;"))</f>
        <v/>
      </c>
      <c r="AN90" s="22">
        <f>IF(OR($C90=1,AJ$29=""),0,COUNTIFS(INDEX(ALGO!$A$2:$BZ$20001,0,$B$19),$B$1,INDEX(ALGO!$A$2:$BZ$20001,0,$B$20),"*",INDEX(ALGO!$A$2:$BZ$20001,0,$B$18),$B90,INDEX(ALGO!$A$2:$BZ$20001,0,AJ$29),"&lt;&gt;"))</f>
        <v/>
      </c>
      <c r="AO90" s="22">
        <f>IF(OR($C90=1,AK$29=""),0,COUNTIFS(INDEX(ALGO!$A$2:$BZ$20001,0,$B$19),$B$1,INDEX(ALGO!$A$2:$BZ$20001,0,$B$20),"*",INDEX(ALGO!$A$2:$BZ$20001,0,$B$18),$B90,INDEX(ALGO!$A$2:$BZ$20001,0,AK$29),"&lt;&gt;"))</f>
        <v/>
      </c>
      <c r="AP90" s="22">
        <f>IF(OR($C90=1,AL$29=""),0,COUNTIFS(INDEX(ALGO!$A$2:$BZ$20001,0,$B$19),$B$1,INDEX(ALGO!$A$2:$BZ$20001,0,$B$20),"*",INDEX(ALGO!$A$2:$BZ$20001,0,$B$18),$B90,INDEX(ALGO!$A$2:$BZ$20001,0,AL$29),"&lt;&gt;"))</f>
        <v/>
      </c>
      <c r="AQ90" s="22">
        <f>IF(OR($C90=1,AM$29=""),0,COUNTIFS(INDEX(ALGO!$A$2:$BZ$20001,0,$B$19),$B$1,INDEX(ALGO!$A$2:$BZ$20001,0,$B$20),"*",INDEX(ALGO!$A$2:$BZ$20001,0,$B$18),$B90,INDEX(ALGO!$A$2:$BZ$20001,0,AM$29),"&lt;&gt;"))</f>
        <v/>
      </c>
    </row>
    <row r="91">
      <c r="A91" s="20" t="n">
        <v>12</v>
      </c>
      <c r="B91" s="20">
        <f>IF($A91&gt;$B$77,"",IFERROR(INDEX(ALGO!$A$1:$BZ$20001,1+$A91,$B$18),""))</f>
        <v/>
      </c>
      <c r="C91" s="20">
        <f>IF($B91="",1,IF(COUNTIF($A$200:$A$202,$B91)&gt;0,1,0))</f>
        <v/>
      </c>
      <c r="D91" s="20">
        <f>IF($C91=1,0,SUM($H91:$AQ91))</f>
        <v/>
      </c>
      <c r="E91" s="20">
        <f>$E90+IF($D91&gt;0,1,0)</f>
        <v/>
      </c>
      <c r="H91" s="22">
        <f>IF(OR($C91=1,D$29=""),0,COUNTIFS(INDEX(ALGO!$A$2:$BZ$20001,0,$B$19),$B$1,INDEX(ALGO!$A$2:$BZ$20001,0,$B$20),"*",INDEX(ALGO!$A$2:$BZ$20001,0,$B$18),$B91,INDEX(ALGO!$A$2:$BZ$20001,0,D$29),"&lt;&gt;"))</f>
        <v/>
      </c>
      <c r="I91" s="22">
        <f>IF(OR($C91=1,E$29=""),0,COUNTIFS(INDEX(ALGO!$A$2:$BZ$20001,0,$B$19),$B$1,INDEX(ALGO!$A$2:$BZ$20001,0,$B$20),"*",INDEX(ALGO!$A$2:$BZ$20001,0,$B$18),$B91,INDEX(ALGO!$A$2:$BZ$20001,0,E$29),"&lt;&gt;"))</f>
        <v/>
      </c>
      <c r="J91" s="22">
        <f>IF(OR($C91=1,F$29=""),0,COUNTIFS(INDEX(ALGO!$A$2:$BZ$20001,0,$B$19),$B$1,INDEX(ALGO!$A$2:$BZ$20001,0,$B$20),"*",INDEX(ALGO!$A$2:$BZ$20001,0,$B$18),$B91,INDEX(ALGO!$A$2:$BZ$20001,0,F$29),"&lt;&gt;"))</f>
        <v/>
      </c>
      <c r="K91" s="22">
        <f>IF(OR($C91=1,G$29=""),0,COUNTIFS(INDEX(ALGO!$A$2:$BZ$20001,0,$B$19),$B$1,INDEX(ALGO!$A$2:$BZ$20001,0,$B$20),"*",INDEX(ALGO!$A$2:$BZ$20001,0,$B$18),$B91,INDEX(ALGO!$A$2:$BZ$20001,0,G$29),"&lt;&gt;"))</f>
        <v/>
      </c>
      <c r="L91" s="22">
        <f>IF(OR($C91=1,H$29=""),0,COUNTIFS(INDEX(ALGO!$A$2:$BZ$20001,0,$B$19),$B$1,INDEX(ALGO!$A$2:$BZ$20001,0,$B$20),"*",INDEX(ALGO!$A$2:$BZ$20001,0,$B$18),$B91,INDEX(ALGO!$A$2:$BZ$20001,0,H$29),"&lt;&gt;"))</f>
        <v/>
      </c>
      <c r="M91" s="22">
        <f>IF(OR($C91=1,I$29=""),0,COUNTIFS(INDEX(ALGO!$A$2:$BZ$20001,0,$B$19),$B$1,INDEX(ALGO!$A$2:$BZ$20001,0,$B$20),"*",INDEX(ALGO!$A$2:$BZ$20001,0,$B$18),$B91,INDEX(ALGO!$A$2:$BZ$20001,0,I$29),"&lt;&gt;"))</f>
        <v/>
      </c>
      <c r="N91" s="22">
        <f>IF(OR($C91=1,J$29=""),0,COUNTIFS(INDEX(ALGO!$A$2:$BZ$20001,0,$B$19),$B$1,INDEX(ALGO!$A$2:$BZ$20001,0,$B$20),"*",INDEX(ALGO!$A$2:$BZ$20001,0,$B$18),$B91,INDEX(ALGO!$A$2:$BZ$20001,0,J$29),"&lt;&gt;"))</f>
        <v/>
      </c>
      <c r="O91" s="22">
        <f>IF(OR($C91=1,K$29=""),0,COUNTIFS(INDEX(ALGO!$A$2:$BZ$20001,0,$B$19),$B$1,INDEX(ALGO!$A$2:$BZ$20001,0,$B$20),"*",INDEX(ALGO!$A$2:$BZ$20001,0,$B$18),$B91,INDEX(ALGO!$A$2:$BZ$20001,0,K$29),"&lt;&gt;"))</f>
        <v/>
      </c>
      <c r="P91" s="22">
        <f>IF(OR($C91=1,L$29=""),0,COUNTIFS(INDEX(ALGO!$A$2:$BZ$20001,0,$B$19),$B$1,INDEX(ALGO!$A$2:$BZ$20001,0,$B$20),"*",INDEX(ALGO!$A$2:$BZ$20001,0,$B$18),$B91,INDEX(ALGO!$A$2:$BZ$20001,0,L$29),"&lt;&gt;"))</f>
        <v/>
      </c>
      <c r="Q91" s="22">
        <f>IF(OR($C91=1,M$29=""),0,COUNTIFS(INDEX(ALGO!$A$2:$BZ$20001,0,$B$19),$B$1,INDEX(ALGO!$A$2:$BZ$20001,0,$B$20),"*",INDEX(ALGO!$A$2:$BZ$20001,0,$B$18),$B91,INDEX(ALGO!$A$2:$BZ$20001,0,M$29),"&lt;&gt;"))</f>
        <v/>
      </c>
      <c r="R91" s="22">
        <f>IF(OR($C91=1,N$29=""),0,COUNTIFS(INDEX(ALGO!$A$2:$BZ$20001,0,$B$19),$B$1,INDEX(ALGO!$A$2:$BZ$20001,0,$B$20),"*",INDEX(ALGO!$A$2:$BZ$20001,0,$B$18),$B91,INDEX(ALGO!$A$2:$BZ$20001,0,N$29),"&lt;&gt;"))</f>
        <v/>
      </c>
      <c r="S91" s="22">
        <f>IF(OR($C91=1,O$29=""),0,COUNTIFS(INDEX(ALGO!$A$2:$BZ$20001,0,$B$19),$B$1,INDEX(ALGO!$A$2:$BZ$20001,0,$B$20),"*",INDEX(ALGO!$A$2:$BZ$20001,0,$B$18),$B91,INDEX(ALGO!$A$2:$BZ$20001,0,O$29),"&lt;&gt;"))</f>
        <v/>
      </c>
      <c r="T91" s="22">
        <f>IF(OR($C91=1,P$29=""),0,COUNTIFS(INDEX(ALGO!$A$2:$BZ$20001,0,$B$19),$B$1,INDEX(ALGO!$A$2:$BZ$20001,0,$B$20),"*",INDEX(ALGO!$A$2:$BZ$20001,0,$B$18),$B91,INDEX(ALGO!$A$2:$BZ$20001,0,P$29),"&lt;&gt;"))</f>
        <v/>
      </c>
      <c r="U91" s="22">
        <f>IF(OR($C91=1,Q$29=""),0,COUNTIFS(INDEX(ALGO!$A$2:$BZ$20001,0,$B$19),$B$1,INDEX(ALGO!$A$2:$BZ$20001,0,$B$20),"*",INDEX(ALGO!$A$2:$BZ$20001,0,$B$18),$B91,INDEX(ALGO!$A$2:$BZ$20001,0,Q$29),"&lt;&gt;"))</f>
        <v/>
      </c>
      <c r="V91" s="22">
        <f>IF(OR($C91=1,R$29=""),0,COUNTIFS(INDEX(ALGO!$A$2:$BZ$20001,0,$B$19),$B$1,INDEX(ALGO!$A$2:$BZ$20001,0,$B$20),"*",INDEX(ALGO!$A$2:$BZ$20001,0,$B$18),$B91,INDEX(ALGO!$A$2:$BZ$20001,0,R$29),"&lt;&gt;"))</f>
        <v/>
      </c>
      <c r="W91" s="22">
        <f>IF(OR($C91=1,S$29=""),0,COUNTIFS(INDEX(ALGO!$A$2:$BZ$20001,0,$B$19),$B$1,INDEX(ALGO!$A$2:$BZ$20001,0,$B$20),"*",INDEX(ALGO!$A$2:$BZ$20001,0,$B$18),$B91,INDEX(ALGO!$A$2:$BZ$20001,0,S$29),"&lt;&gt;"))</f>
        <v/>
      </c>
      <c r="X91" s="22">
        <f>IF(OR($C91=1,T$29=""),0,COUNTIFS(INDEX(ALGO!$A$2:$BZ$20001,0,$B$19),$B$1,INDEX(ALGO!$A$2:$BZ$20001,0,$B$20),"*",INDEX(ALGO!$A$2:$BZ$20001,0,$B$18),$B91,INDEX(ALGO!$A$2:$BZ$20001,0,T$29),"&lt;&gt;"))</f>
        <v/>
      </c>
      <c r="Y91" s="22">
        <f>IF(OR($C91=1,U$29=""),0,COUNTIFS(INDEX(ALGO!$A$2:$BZ$20001,0,$B$19),$B$1,INDEX(ALGO!$A$2:$BZ$20001,0,$B$20),"*",INDEX(ALGO!$A$2:$BZ$20001,0,$B$18),$B91,INDEX(ALGO!$A$2:$BZ$20001,0,U$29),"&lt;&gt;"))</f>
        <v/>
      </c>
      <c r="Z91" s="22">
        <f>IF(OR($C91=1,V$29=""),0,COUNTIFS(INDEX(ALGO!$A$2:$BZ$20001,0,$B$19),$B$1,INDEX(ALGO!$A$2:$BZ$20001,0,$B$20),"*",INDEX(ALGO!$A$2:$BZ$20001,0,$B$18),$B91,INDEX(ALGO!$A$2:$BZ$20001,0,V$29),"&lt;&gt;"))</f>
        <v/>
      </c>
      <c r="AA91" s="22">
        <f>IF(OR($C91=1,W$29=""),0,COUNTIFS(INDEX(ALGO!$A$2:$BZ$20001,0,$B$19),$B$1,INDEX(ALGO!$A$2:$BZ$20001,0,$B$20),"*",INDEX(ALGO!$A$2:$BZ$20001,0,$B$18),$B91,INDEX(ALGO!$A$2:$BZ$20001,0,W$29),"&lt;&gt;"))</f>
        <v/>
      </c>
      <c r="AB91" s="22">
        <f>IF(OR($C91=1,X$29=""),0,COUNTIFS(INDEX(ALGO!$A$2:$BZ$20001,0,$B$19),$B$1,INDEX(ALGO!$A$2:$BZ$20001,0,$B$20),"*",INDEX(ALGO!$A$2:$BZ$20001,0,$B$18),$B91,INDEX(ALGO!$A$2:$BZ$20001,0,X$29),"&lt;&gt;"))</f>
        <v/>
      </c>
      <c r="AC91" s="22">
        <f>IF(OR($C91=1,Y$29=""),0,COUNTIFS(INDEX(ALGO!$A$2:$BZ$20001,0,$B$19),$B$1,INDEX(ALGO!$A$2:$BZ$20001,0,$B$20),"*",INDEX(ALGO!$A$2:$BZ$20001,0,$B$18),$B91,INDEX(ALGO!$A$2:$BZ$20001,0,Y$29),"&lt;&gt;"))</f>
        <v/>
      </c>
      <c r="AD91" s="22">
        <f>IF(OR($C91=1,Z$29=""),0,COUNTIFS(INDEX(ALGO!$A$2:$BZ$20001,0,$B$19),$B$1,INDEX(ALGO!$A$2:$BZ$20001,0,$B$20),"*",INDEX(ALGO!$A$2:$BZ$20001,0,$B$18),$B91,INDEX(ALGO!$A$2:$BZ$20001,0,Z$29),"&lt;&gt;"))</f>
        <v/>
      </c>
      <c r="AE91" s="22">
        <f>IF(OR($C91=1,AA$29=""),0,COUNTIFS(INDEX(ALGO!$A$2:$BZ$20001,0,$B$19),$B$1,INDEX(ALGO!$A$2:$BZ$20001,0,$B$20),"*",INDEX(ALGO!$A$2:$BZ$20001,0,$B$18),$B91,INDEX(ALGO!$A$2:$BZ$20001,0,AA$29),"&lt;&gt;"))</f>
        <v/>
      </c>
      <c r="AF91" s="22">
        <f>IF(OR($C91=1,AB$29=""),0,COUNTIFS(INDEX(ALGO!$A$2:$BZ$20001,0,$B$19),$B$1,INDEX(ALGO!$A$2:$BZ$20001,0,$B$20),"*",INDEX(ALGO!$A$2:$BZ$20001,0,$B$18),$B91,INDEX(ALGO!$A$2:$BZ$20001,0,AB$29),"&lt;&gt;"))</f>
        <v/>
      </c>
      <c r="AG91" s="22">
        <f>IF(OR($C91=1,AC$29=""),0,COUNTIFS(INDEX(ALGO!$A$2:$BZ$20001,0,$B$19),$B$1,INDEX(ALGO!$A$2:$BZ$20001,0,$B$20),"*",INDEX(ALGO!$A$2:$BZ$20001,0,$B$18),$B91,INDEX(ALGO!$A$2:$BZ$20001,0,AC$29),"&lt;&gt;"))</f>
        <v/>
      </c>
      <c r="AH91" s="22">
        <f>IF(OR($C91=1,AD$29=""),0,COUNTIFS(INDEX(ALGO!$A$2:$BZ$20001,0,$B$19),$B$1,INDEX(ALGO!$A$2:$BZ$20001,0,$B$20),"*",INDEX(ALGO!$A$2:$BZ$20001,0,$B$18),$B91,INDEX(ALGO!$A$2:$BZ$20001,0,AD$29),"&lt;&gt;"))</f>
        <v/>
      </c>
      <c r="AI91" s="22">
        <f>IF(OR($C91=1,AE$29=""),0,COUNTIFS(INDEX(ALGO!$A$2:$BZ$20001,0,$B$19),$B$1,INDEX(ALGO!$A$2:$BZ$20001,0,$B$20),"*",INDEX(ALGO!$A$2:$BZ$20001,0,$B$18),$B91,INDEX(ALGO!$A$2:$BZ$20001,0,AE$29),"&lt;&gt;"))</f>
        <v/>
      </c>
      <c r="AJ91" s="22">
        <f>IF(OR($C91=1,AF$29=""),0,COUNTIFS(INDEX(ALGO!$A$2:$BZ$20001,0,$B$19),$B$1,INDEX(ALGO!$A$2:$BZ$20001,0,$B$20),"*",INDEX(ALGO!$A$2:$BZ$20001,0,$B$18),$B91,INDEX(ALGO!$A$2:$BZ$20001,0,AF$29),"&lt;&gt;"))</f>
        <v/>
      </c>
      <c r="AK91" s="22">
        <f>IF(OR($C91=1,AG$29=""),0,COUNTIFS(INDEX(ALGO!$A$2:$BZ$20001,0,$B$19),$B$1,INDEX(ALGO!$A$2:$BZ$20001,0,$B$20),"*",INDEX(ALGO!$A$2:$BZ$20001,0,$B$18),$B91,INDEX(ALGO!$A$2:$BZ$20001,0,AG$29),"&lt;&gt;"))</f>
        <v/>
      </c>
      <c r="AL91" s="22">
        <f>IF(OR($C91=1,AH$29=""),0,COUNTIFS(INDEX(ALGO!$A$2:$BZ$20001,0,$B$19),$B$1,INDEX(ALGO!$A$2:$BZ$20001,0,$B$20),"*",INDEX(ALGO!$A$2:$BZ$20001,0,$B$18),$B91,INDEX(ALGO!$A$2:$BZ$20001,0,AH$29),"&lt;&gt;"))</f>
        <v/>
      </c>
      <c r="AM91" s="22">
        <f>IF(OR($C91=1,AI$29=""),0,COUNTIFS(INDEX(ALGO!$A$2:$BZ$20001,0,$B$19),$B$1,INDEX(ALGO!$A$2:$BZ$20001,0,$B$20),"*",INDEX(ALGO!$A$2:$BZ$20001,0,$B$18),$B91,INDEX(ALGO!$A$2:$BZ$20001,0,AI$29),"&lt;&gt;"))</f>
        <v/>
      </c>
      <c r="AN91" s="22">
        <f>IF(OR($C91=1,AJ$29=""),0,COUNTIFS(INDEX(ALGO!$A$2:$BZ$20001,0,$B$19),$B$1,INDEX(ALGO!$A$2:$BZ$20001,0,$B$20),"*",INDEX(ALGO!$A$2:$BZ$20001,0,$B$18),$B91,INDEX(ALGO!$A$2:$BZ$20001,0,AJ$29),"&lt;&gt;"))</f>
        <v/>
      </c>
      <c r="AO91" s="22">
        <f>IF(OR($C91=1,AK$29=""),0,COUNTIFS(INDEX(ALGO!$A$2:$BZ$20001,0,$B$19),$B$1,INDEX(ALGO!$A$2:$BZ$20001,0,$B$20),"*",INDEX(ALGO!$A$2:$BZ$20001,0,$B$18),$B91,INDEX(ALGO!$A$2:$BZ$20001,0,AK$29),"&lt;&gt;"))</f>
        <v/>
      </c>
      <c r="AP91" s="22">
        <f>IF(OR($C91=1,AL$29=""),0,COUNTIFS(INDEX(ALGO!$A$2:$BZ$20001,0,$B$19),$B$1,INDEX(ALGO!$A$2:$BZ$20001,0,$B$20),"*",INDEX(ALGO!$A$2:$BZ$20001,0,$B$18),$B91,INDEX(ALGO!$A$2:$BZ$20001,0,AL$29),"&lt;&gt;"))</f>
        <v/>
      </c>
      <c r="AQ91" s="22">
        <f>IF(OR($C91=1,AM$29=""),0,COUNTIFS(INDEX(ALGO!$A$2:$BZ$20001,0,$B$19),$B$1,INDEX(ALGO!$A$2:$BZ$20001,0,$B$20),"*",INDEX(ALGO!$A$2:$BZ$20001,0,$B$18),$B91,INDEX(ALGO!$A$2:$BZ$20001,0,AM$29),"&lt;&gt;"))</f>
        <v/>
      </c>
    </row>
    <row r="92">
      <c r="A92" s="20" t="n">
        <v>13</v>
      </c>
      <c r="B92" s="20">
        <f>IF($A92&gt;$B$77,"",IFERROR(INDEX(ALGO!$A$1:$BZ$20001,1+$A92,$B$18),""))</f>
        <v/>
      </c>
      <c r="C92" s="20">
        <f>IF($B92="",1,IF(COUNTIF($A$200:$A$202,$B92)&gt;0,1,0))</f>
        <v/>
      </c>
      <c r="D92" s="20">
        <f>IF($C92=1,0,SUM($H92:$AQ92))</f>
        <v/>
      </c>
      <c r="E92" s="20">
        <f>$E91+IF($D92&gt;0,1,0)</f>
        <v/>
      </c>
      <c r="H92" s="22">
        <f>IF(OR($C92=1,D$29=""),0,COUNTIFS(INDEX(ALGO!$A$2:$BZ$20001,0,$B$19),$B$1,INDEX(ALGO!$A$2:$BZ$20001,0,$B$20),"*",INDEX(ALGO!$A$2:$BZ$20001,0,$B$18),$B92,INDEX(ALGO!$A$2:$BZ$20001,0,D$29),"&lt;&gt;"))</f>
        <v/>
      </c>
      <c r="I92" s="22">
        <f>IF(OR($C92=1,E$29=""),0,COUNTIFS(INDEX(ALGO!$A$2:$BZ$20001,0,$B$19),$B$1,INDEX(ALGO!$A$2:$BZ$20001,0,$B$20),"*",INDEX(ALGO!$A$2:$BZ$20001,0,$B$18),$B92,INDEX(ALGO!$A$2:$BZ$20001,0,E$29),"&lt;&gt;"))</f>
        <v/>
      </c>
      <c r="J92" s="22">
        <f>IF(OR($C92=1,F$29=""),0,COUNTIFS(INDEX(ALGO!$A$2:$BZ$20001,0,$B$19),$B$1,INDEX(ALGO!$A$2:$BZ$20001,0,$B$20),"*",INDEX(ALGO!$A$2:$BZ$20001,0,$B$18),$B92,INDEX(ALGO!$A$2:$BZ$20001,0,F$29),"&lt;&gt;"))</f>
        <v/>
      </c>
      <c r="K92" s="22">
        <f>IF(OR($C92=1,G$29=""),0,COUNTIFS(INDEX(ALGO!$A$2:$BZ$20001,0,$B$19),$B$1,INDEX(ALGO!$A$2:$BZ$20001,0,$B$20),"*",INDEX(ALGO!$A$2:$BZ$20001,0,$B$18),$B92,INDEX(ALGO!$A$2:$BZ$20001,0,G$29),"&lt;&gt;"))</f>
        <v/>
      </c>
      <c r="L92" s="22">
        <f>IF(OR($C92=1,H$29=""),0,COUNTIFS(INDEX(ALGO!$A$2:$BZ$20001,0,$B$19),$B$1,INDEX(ALGO!$A$2:$BZ$20001,0,$B$20),"*",INDEX(ALGO!$A$2:$BZ$20001,0,$B$18),$B92,INDEX(ALGO!$A$2:$BZ$20001,0,H$29),"&lt;&gt;"))</f>
        <v/>
      </c>
      <c r="M92" s="22">
        <f>IF(OR($C92=1,I$29=""),0,COUNTIFS(INDEX(ALGO!$A$2:$BZ$20001,0,$B$19),$B$1,INDEX(ALGO!$A$2:$BZ$20001,0,$B$20),"*",INDEX(ALGO!$A$2:$BZ$20001,0,$B$18),$B92,INDEX(ALGO!$A$2:$BZ$20001,0,I$29),"&lt;&gt;"))</f>
        <v/>
      </c>
      <c r="N92" s="22">
        <f>IF(OR($C92=1,J$29=""),0,COUNTIFS(INDEX(ALGO!$A$2:$BZ$20001,0,$B$19),$B$1,INDEX(ALGO!$A$2:$BZ$20001,0,$B$20),"*",INDEX(ALGO!$A$2:$BZ$20001,0,$B$18),$B92,INDEX(ALGO!$A$2:$BZ$20001,0,J$29),"&lt;&gt;"))</f>
        <v/>
      </c>
      <c r="O92" s="22">
        <f>IF(OR($C92=1,K$29=""),0,COUNTIFS(INDEX(ALGO!$A$2:$BZ$20001,0,$B$19),$B$1,INDEX(ALGO!$A$2:$BZ$20001,0,$B$20),"*",INDEX(ALGO!$A$2:$BZ$20001,0,$B$18),$B92,INDEX(ALGO!$A$2:$BZ$20001,0,K$29),"&lt;&gt;"))</f>
        <v/>
      </c>
      <c r="P92" s="22">
        <f>IF(OR($C92=1,L$29=""),0,COUNTIFS(INDEX(ALGO!$A$2:$BZ$20001,0,$B$19),$B$1,INDEX(ALGO!$A$2:$BZ$20001,0,$B$20),"*",INDEX(ALGO!$A$2:$BZ$20001,0,$B$18),$B92,INDEX(ALGO!$A$2:$BZ$20001,0,L$29),"&lt;&gt;"))</f>
        <v/>
      </c>
      <c r="Q92" s="22">
        <f>IF(OR($C92=1,M$29=""),0,COUNTIFS(INDEX(ALGO!$A$2:$BZ$20001,0,$B$19),$B$1,INDEX(ALGO!$A$2:$BZ$20001,0,$B$20),"*",INDEX(ALGO!$A$2:$BZ$20001,0,$B$18),$B92,INDEX(ALGO!$A$2:$BZ$20001,0,M$29),"&lt;&gt;"))</f>
        <v/>
      </c>
      <c r="R92" s="22">
        <f>IF(OR($C92=1,N$29=""),0,COUNTIFS(INDEX(ALGO!$A$2:$BZ$20001,0,$B$19),$B$1,INDEX(ALGO!$A$2:$BZ$20001,0,$B$20),"*",INDEX(ALGO!$A$2:$BZ$20001,0,$B$18),$B92,INDEX(ALGO!$A$2:$BZ$20001,0,N$29),"&lt;&gt;"))</f>
        <v/>
      </c>
      <c r="S92" s="22">
        <f>IF(OR($C92=1,O$29=""),0,COUNTIFS(INDEX(ALGO!$A$2:$BZ$20001,0,$B$19),$B$1,INDEX(ALGO!$A$2:$BZ$20001,0,$B$20),"*",INDEX(ALGO!$A$2:$BZ$20001,0,$B$18),$B92,INDEX(ALGO!$A$2:$BZ$20001,0,O$29),"&lt;&gt;"))</f>
        <v/>
      </c>
      <c r="T92" s="22">
        <f>IF(OR($C92=1,P$29=""),0,COUNTIFS(INDEX(ALGO!$A$2:$BZ$20001,0,$B$19),$B$1,INDEX(ALGO!$A$2:$BZ$20001,0,$B$20),"*",INDEX(ALGO!$A$2:$BZ$20001,0,$B$18),$B92,INDEX(ALGO!$A$2:$BZ$20001,0,P$29),"&lt;&gt;"))</f>
        <v/>
      </c>
      <c r="U92" s="22">
        <f>IF(OR($C92=1,Q$29=""),0,COUNTIFS(INDEX(ALGO!$A$2:$BZ$20001,0,$B$19),$B$1,INDEX(ALGO!$A$2:$BZ$20001,0,$B$20),"*",INDEX(ALGO!$A$2:$BZ$20001,0,$B$18),$B92,INDEX(ALGO!$A$2:$BZ$20001,0,Q$29),"&lt;&gt;"))</f>
        <v/>
      </c>
      <c r="V92" s="22">
        <f>IF(OR($C92=1,R$29=""),0,COUNTIFS(INDEX(ALGO!$A$2:$BZ$20001,0,$B$19),$B$1,INDEX(ALGO!$A$2:$BZ$20001,0,$B$20),"*",INDEX(ALGO!$A$2:$BZ$20001,0,$B$18),$B92,INDEX(ALGO!$A$2:$BZ$20001,0,R$29),"&lt;&gt;"))</f>
        <v/>
      </c>
      <c r="W92" s="22">
        <f>IF(OR($C92=1,S$29=""),0,COUNTIFS(INDEX(ALGO!$A$2:$BZ$20001,0,$B$19),$B$1,INDEX(ALGO!$A$2:$BZ$20001,0,$B$20),"*",INDEX(ALGO!$A$2:$BZ$20001,0,$B$18),$B92,INDEX(ALGO!$A$2:$BZ$20001,0,S$29),"&lt;&gt;"))</f>
        <v/>
      </c>
      <c r="X92" s="22">
        <f>IF(OR($C92=1,T$29=""),0,COUNTIFS(INDEX(ALGO!$A$2:$BZ$20001,0,$B$19),$B$1,INDEX(ALGO!$A$2:$BZ$20001,0,$B$20),"*",INDEX(ALGO!$A$2:$BZ$20001,0,$B$18),$B92,INDEX(ALGO!$A$2:$BZ$20001,0,T$29),"&lt;&gt;"))</f>
        <v/>
      </c>
      <c r="Y92" s="22">
        <f>IF(OR($C92=1,U$29=""),0,COUNTIFS(INDEX(ALGO!$A$2:$BZ$20001,0,$B$19),$B$1,INDEX(ALGO!$A$2:$BZ$20001,0,$B$20),"*",INDEX(ALGO!$A$2:$BZ$20001,0,$B$18),$B92,INDEX(ALGO!$A$2:$BZ$20001,0,U$29),"&lt;&gt;"))</f>
        <v/>
      </c>
      <c r="Z92" s="22">
        <f>IF(OR($C92=1,V$29=""),0,COUNTIFS(INDEX(ALGO!$A$2:$BZ$20001,0,$B$19),$B$1,INDEX(ALGO!$A$2:$BZ$20001,0,$B$20),"*",INDEX(ALGO!$A$2:$BZ$20001,0,$B$18),$B92,INDEX(ALGO!$A$2:$BZ$20001,0,V$29),"&lt;&gt;"))</f>
        <v/>
      </c>
      <c r="AA92" s="22">
        <f>IF(OR($C92=1,W$29=""),0,COUNTIFS(INDEX(ALGO!$A$2:$BZ$20001,0,$B$19),$B$1,INDEX(ALGO!$A$2:$BZ$20001,0,$B$20),"*",INDEX(ALGO!$A$2:$BZ$20001,0,$B$18),$B92,INDEX(ALGO!$A$2:$BZ$20001,0,W$29),"&lt;&gt;"))</f>
        <v/>
      </c>
      <c r="AB92" s="22">
        <f>IF(OR($C92=1,X$29=""),0,COUNTIFS(INDEX(ALGO!$A$2:$BZ$20001,0,$B$19),$B$1,INDEX(ALGO!$A$2:$BZ$20001,0,$B$20),"*",INDEX(ALGO!$A$2:$BZ$20001,0,$B$18),$B92,INDEX(ALGO!$A$2:$BZ$20001,0,X$29),"&lt;&gt;"))</f>
        <v/>
      </c>
      <c r="AC92" s="22">
        <f>IF(OR($C92=1,Y$29=""),0,COUNTIFS(INDEX(ALGO!$A$2:$BZ$20001,0,$B$19),$B$1,INDEX(ALGO!$A$2:$BZ$20001,0,$B$20),"*",INDEX(ALGO!$A$2:$BZ$20001,0,$B$18),$B92,INDEX(ALGO!$A$2:$BZ$20001,0,Y$29),"&lt;&gt;"))</f>
        <v/>
      </c>
      <c r="AD92" s="22">
        <f>IF(OR($C92=1,Z$29=""),0,COUNTIFS(INDEX(ALGO!$A$2:$BZ$20001,0,$B$19),$B$1,INDEX(ALGO!$A$2:$BZ$20001,0,$B$20),"*",INDEX(ALGO!$A$2:$BZ$20001,0,$B$18),$B92,INDEX(ALGO!$A$2:$BZ$20001,0,Z$29),"&lt;&gt;"))</f>
        <v/>
      </c>
      <c r="AE92" s="22">
        <f>IF(OR($C92=1,AA$29=""),0,COUNTIFS(INDEX(ALGO!$A$2:$BZ$20001,0,$B$19),$B$1,INDEX(ALGO!$A$2:$BZ$20001,0,$B$20),"*",INDEX(ALGO!$A$2:$BZ$20001,0,$B$18),$B92,INDEX(ALGO!$A$2:$BZ$20001,0,AA$29),"&lt;&gt;"))</f>
        <v/>
      </c>
      <c r="AF92" s="22">
        <f>IF(OR($C92=1,AB$29=""),0,COUNTIFS(INDEX(ALGO!$A$2:$BZ$20001,0,$B$19),$B$1,INDEX(ALGO!$A$2:$BZ$20001,0,$B$20),"*",INDEX(ALGO!$A$2:$BZ$20001,0,$B$18),$B92,INDEX(ALGO!$A$2:$BZ$20001,0,AB$29),"&lt;&gt;"))</f>
        <v/>
      </c>
      <c r="AG92" s="22">
        <f>IF(OR($C92=1,AC$29=""),0,COUNTIFS(INDEX(ALGO!$A$2:$BZ$20001,0,$B$19),$B$1,INDEX(ALGO!$A$2:$BZ$20001,0,$B$20),"*",INDEX(ALGO!$A$2:$BZ$20001,0,$B$18),$B92,INDEX(ALGO!$A$2:$BZ$20001,0,AC$29),"&lt;&gt;"))</f>
        <v/>
      </c>
      <c r="AH92" s="22">
        <f>IF(OR($C92=1,AD$29=""),0,COUNTIFS(INDEX(ALGO!$A$2:$BZ$20001,0,$B$19),$B$1,INDEX(ALGO!$A$2:$BZ$20001,0,$B$20),"*",INDEX(ALGO!$A$2:$BZ$20001,0,$B$18),$B92,INDEX(ALGO!$A$2:$BZ$20001,0,AD$29),"&lt;&gt;"))</f>
        <v/>
      </c>
      <c r="AI92" s="22">
        <f>IF(OR($C92=1,AE$29=""),0,COUNTIFS(INDEX(ALGO!$A$2:$BZ$20001,0,$B$19),$B$1,INDEX(ALGO!$A$2:$BZ$20001,0,$B$20),"*",INDEX(ALGO!$A$2:$BZ$20001,0,$B$18),$B92,INDEX(ALGO!$A$2:$BZ$20001,0,AE$29),"&lt;&gt;"))</f>
        <v/>
      </c>
      <c r="AJ92" s="22">
        <f>IF(OR($C92=1,AF$29=""),0,COUNTIFS(INDEX(ALGO!$A$2:$BZ$20001,0,$B$19),$B$1,INDEX(ALGO!$A$2:$BZ$20001,0,$B$20),"*",INDEX(ALGO!$A$2:$BZ$20001,0,$B$18),$B92,INDEX(ALGO!$A$2:$BZ$20001,0,AF$29),"&lt;&gt;"))</f>
        <v/>
      </c>
      <c r="AK92" s="22">
        <f>IF(OR($C92=1,AG$29=""),0,COUNTIFS(INDEX(ALGO!$A$2:$BZ$20001,0,$B$19),$B$1,INDEX(ALGO!$A$2:$BZ$20001,0,$B$20),"*",INDEX(ALGO!$A$2:$BZ$20001,0,$B$18),$B92,INDEX(ALGO!$A$2:$BZ$20001,0,AG$29),"&lt;&gt;"))</f>
        <v/>
      </c>
      <c r="AL92" s="22">
        <f>IF(OR($C92=1,AH$29=""),0,COUNTIFS(INDEX(ALGO!$A$2:$BZ$20001,0,$B$19),$B$1,INDEX(ALGO!$A$2:$BZ$20001,0,$B$20),"*",INDEX(ALGO!$A$2:$BZ$20001,0,$B$18),$B92,INDEX(ALGO!$A$2:$BZ$20001,0,AH$29),"&lt;&gt;"))</f>
        <v/>
      </c>
      <c r="AM92" s="22">
        <f>IF(OR($C92=1,AI$29=""),0,COUNTIFS(INDEX(ALGO!$A$2:$BZ$20001,0,$B$19),$B$1,INDEX(ALGO!$A$2:$BZ$20001,0,$B$20),"*",INDEX(ALGO!$A$2:$BZ$20001,0,$B$18),$B92,INDEX(ALGO!$A$2:$BZ$20001,0,AI$29),"&lt;&gt;"))</f>
        <v/>
      </c>
      <c r="AN92" s="22">
        <f>IF(OR($C92=1,AJ$29=""),0,COUNTIFS(INDEX(ALGO!$A$2:$BZ$20001,0,$B$19),$B$1,INDEX(ALGO!$A$2:$BZ$20001,0,$B$20),"*",INDEX(ALGO!$A$2:$BZ$20001,0,$B$18),$B92,INDEX(ALGO!$A$2:$BZ$20001,0,AJ$29),"&lt;&gt;"))</f>
        <v/>
      </c>
      <c r="AO92" s="22">
        <f>IF(OR($C92=1,AK$29=""),0,COUNTIFS(INDEX(ALGO!$A$2:$BZ$20001,0,$B$19),$B$1,INDEX(ALGO!$A$2:$BZ$20001,0,$B$20),"*",INDEX(ALGO!$A$2:$BZ$20001,0,$B$18),$B92,INDEX(ALGO!$A$2:$BZ$20001,0,AK$29),"&lt;&gt;"))</f>
        <v/>
      </c>
      <c r="AP92" s="22">
        <f>IF(OR($C92=1,AL$29=""),0,COUNTIFS(INDEX(ALGO!$A$2:$BZ$20001,0,$B$19),$B$1,INDEX(ALGO!$A$2:$BZ$20001,0,$B$20),"*",INDEX(ALGO!$A$2:$BZ$20001,0,$B$18),$B92,INDEX(ALGO!$A$2:$BZ$20001,0,AL$29),"&lt;&gt;"))</f>
        <v/>
      </c>
      <c r="AQ92" s="22">
        <f>IF(OR($C92=1,AM$29=""),0,COUNTIFS(INDEX(ALGO!$A$2:$BZ$20001,0,$B$19),$B$1,INDEX(ALGO!$A$2:$BZ$20001,0,$B$20),"*",INDEX(ALGO!$A$2:$BZ$20001,0,$B$18),$B92,INDEX(ALGO!$A$2:$BZ$20001,0,AM$29),"&lt;&gt;"))</f>
        <v/>
      </c>
    </row>
    <row r="93">
      <c r="A93" s="20" t="n">
        <v>14</v>
      </c>
      <c r="B93" s="20">
        <f>IF($A93&gt;$B$77,"",IFERROR(INDEX(ALGO!$A$1:$BZ$20001,1+$A93,$B$18),""))</f>
        <v/>
      </c>
      <c r="C93" s="20">
        <f>IF($B93="",1,IF(COUNTIF($A$200:$A$202,$B93)&gt;0,1,0))</f>
        <v/>
      </c>
      <c r="D93" s="20">
        <f>IF($C93=1,0,SUM($H93:$AQ93))</f>
        <v/>
      </c>
      <c r="E93" s="20">
        <f>$E92+IF($D93&gt;0,1,0)</f>
        <v/>
      </c>
      <c r="H93" s="22">
        <f>IF(OR($C93=1,D$29=""),0,COUNTIFS(INDEX(ALGO!$A$2:$BZ$20001,0,$B$19),$B$1,INDEX(ALGO!$A$2:$BZ$20001,0,$B$20),"*",INDEX(ALGO!$A$2:$BZ$20001,0,$B$18),$B93,INDEX(ALGO!$A$2:$BZ$20001,0,D$29),"&lt;&gt;"))</f>
        <v/>
      </c>
      <c r="I93" s="22">
        <f>IF(OR($C93=1,E$29=""),0,COUNTIFS(INDEX(ALGO!$A$2:$BZ$20001,0,$B$19),$B$1,INDEX(ALGO!$A$2:$BZ$20001,0,$B$20),"*",INDEX(ALGO!$A$2:$BZ$20001,0,$B$18),$B93,INDEX(ALGO!$A$2:$BZ$20001,0,E$29),"&lt;&gt;"))</f>
        <v/>
      </c>
      <c r="J93" s="22">
        <f>IF(OR($C93=1,F$29=""),0,COUNTIFS(INDEX(ALGO!$A$2:$BZ$20001,0,$B$19),$B$1,INDEX(ALGO!$A$2:$BZ$20001,0,$B$20),"*",INDEX(ALGO!$A$2:$BZ$20001,0,$B$18),$B93,INDEX(ALGO!$A$2:$BZ$20001,0,F$29),"&lt;&gt;"))</f>
        <v/>
      </c>
      <c r="K93" s="22">
        <f>IF(OR($C93=1,G$29=""),0,COUNTIFS(INDEX(ALGO!$A$2:$BZ$20001,0,$B$19),$B$1,INDEX(ALGO!$A$2:$BZ$20001,0,$B$20),"*",INDEX(ALGO!$A$2:$BZ$20001,0,$B$18),$B93,INDEX(ALGO!$A$2:$BZ$20001,0,G$29),"&lt;&gt;"))</f>
        <v/>
      </c>
      <c r="L93" s="22">
        <f>IF(OR($C93=1,H$29=""),0,COUNTIFS(INDEX(ALGO!$A$2:$BZ$20001,0,$B$19),$B$1,INDEX(ALGO!$A$2:$BZ$20001,0,$B$20),"*",INDEX(ALGO!$A$2:$BZ$20001,0,$B$18),$B93,INDEX(ALGO!$A$2:$BZ$20001,0,H$29),"&lt;&gt;"))</f>
        <v/>
      </c>
      <c r="M93" s="22">
        <f>IF(OR($C93=1,I$29=""),0,COUNTIFS(INDEX(ALGO!$A$2:$BZ$20001,0,$B$19),$B$1,INDEX(ALGO!$A$2:$BZ$20001,0,$B$20),"*",INDEX(ALGO!$A$2:$BZ$20001,0,$B$18),$B93,INDEX(ALGO!$A$2:$BZ$20001,0,I$29),"&lt;&gt;"))</f>
        <v/>
      </c>
      <c r="N93" s="22">
        <f>IF(OR($C93=1,J$29=""),0,COUNTIFS(INDEX(ALGO!$A$2:$BZ$20001,0,$B$19),$B$1,INDEX(ALGO!$A$2:$BZ$20001,0,$B$20),"*",INDEX(ALGO!$A$2:$BZ$20001,0,$B$18),$B93,INDEX(ALGO!$A$2:$BZ$20001,0,J$29),"&lt;&gt;"))</f>
        <v/>
      </c>
      <c r="O93" s="22">
        <f>IF(OR($C93=1,K$29=""),0,COUNTIFS(INDEX(ALGO!$A$2:$BZ$20001,0,$B$19),$B$1,INDEX(ALGO!$A$2:$BZ$20001,0,$B$20),"*",INDEX(ALGO!$A$2:$BZ$20001,0,$B$18),$B93,INDEX(ALGO!$A$2:$BZ$20001,0,K$29),"&lt;&gt;"))</f>
        <v/>
      </c>
      <c r="P93" s="22">
        <f>IF(OR($C93=1,L$29=""),0,COUNTIFS(INDEX(ALGO!$A$2:$BZ$20001,0,$B$19),$B$1,INDEX(ALGO!$A$2:$BZ$20001,0,$B$20),"*",INDEX(ALGO!$A$2:$BZ$20001,0,$B$18),$B93,INDEX(ALGO!$A$2:$BZ$20001,0,L$29),"&lt;&gt;"))</f>
        <v/>
      </c>
      <c r="Q93" s="22">
        <f>IF(OR($C93=1,M$29=""),0,COUNTIFS(INDEX(ALGO!$A$2:$BZ$20001,0,$B$19),$B$1,INDEX(ALGO!$A$2:$BZ$20001,0,$B$20),"*",INDEX(ALGO!$A$2:$BZ$20001,0,$B$18),$B93,INDEX(ALGO!$A$2:$BZ$20001,0,M$29),"&lt;&gt;"))</f>
        <v/>
      </c>
      <c r="R93" s="22">
        <f>IF(OR($C93=1,N$29=""),0,COUNTIFS(INDEX(ALGO!$A$2:$BZ$20001,0,$B$19),$B$1,INDEX(ALGO!$A$2:$BZ$20001,0,$B$20),"*",INDEX(ALGO!$A$2:$BZ$20001,0,$B$18),$B93,INDEX(ALGO!$A$2:$BZ$20001,0,N$29),"&lt;&gt;"))</f>
        <v/>
      </c>
      <c r="S93" s="22">
        <f>IF(OR($C93=1,O$29=""),0,COUNTIFS(INDEX(ALGO!$A$2:$BZ$20001,0,$B$19),$B$1,INDEX(ALGO!$A$2:$BZ$20001,0,$B$20),"*",INDEX(ALGO!$A$2:$BZ$20001,0,$B$18),$B93,INDEX(ALGO!$A$2:$BZ$20001,0,O$29),"&lt;&gt;"))</f>
        <v/>
      </c>
      <c r="T93" s="22">
        <f>IF(OR($C93=1,P$29=""),0,COUNTIFS(INDEX(ALGO!$A$2:$BZ$20001,0,$B$19),$B$1,INDEX(ALGO!$A$2:$BZ$20001,0,$B$20),"*",INDEX(ALGO!$A$2:$BZ$20001,0,$B$18),$B93,INDEX(ALGO!$A$2:$BZ$20001,0,P$29),"&lt;&gt;"))</f>
        <v/>
      </c>
      <c r="U93" s="22">
        <f>IF(OR($C93=1,Q$29=""),0,COUNTIFS(INDEX(ALGO!$A$2:$BZ$20001,0,$B$19),$B$1,INDEX(ALGO!$A$2:$BZ$20001,0,$B$20),"*",INDEX(ALGO!$A$2:$BZ$20001,0,$B$18),$B93,INDEX(ALGO!$A$2:$BZ$20001,0,Q$29),"&lt;&gt;"))</f>
        <v/>
      </c>
      <c r="V93" s="22">
        <f>IF(OR($C93=1,R$29=""),0,COUNTIFS(INDEX(ALGO!$A$2:$BZ$20001,0,$B$19),$B$1,INDEX(ALGO!$A$2:$BZ$20001,0,$B$20),"*",INDEX(ALGO!$A$2:$BZ$20001,0,$B$18),$B93,INDEX(ALGO!$A$2:$BZ$20001,0,R$29),"&lt;&gt;"))</f>
        <v/>
      </c>
      <c r="W93" s="22">
        <f>IF(OR($C93=1,S$29=""),0,COUNTIFS(INDEX(ALGO!$A$2:$BZ$20001,0,$B$19),$B$1,INDEX(ALGO!$A$2:$BZ$20001,0,$B$20),"*",INDEX(ALGO!$A$2:$BZ$20001,0,$B$18),$B93,INDEX(ALGO!$A$2:$BZ$20001,0,S$29),"&lt;&gt;"))</f>
        <v/>
      </c>
      <c r="X93" s="22">
        <f>IF(OR($C93=1,T$29=""),0,COUNTIFS(INDEX(ALGO!$A$2:$BZ$20001,0,$B$19),$B$1,INDEX(ALGO!$A$2:$BZ$20001,0,$B$20),"*",INDEX(ALGO!$A$2:$BZ$20001,0,$B$18),$B93,INDEX(ALGO!$A$2:$BZ$20001,0,T$29),"&lt;&gt;"))</f>
        <v/>
      </c>
      <c r="Y93" s="22">
        <f>IF(OR($C93=1,U$29=""),0,COUNTIFS(INDEX(ALGO!$A$2:$BZ$20001,0,$B$19),$B$1,INDEX(ALGO!$A$2:$BZ$20001,0,$B$20),"*",INDEX(ALGO!$A$2:$BZ$20001,0,$B$18),$B93,INDEX(ALGO!$A$2:$BZ$20001,0,U$29),"&lt;&gt;"))</f>
        <v/>
      </c>
      <c r="Z93" s="22">
        <f>IF(OR($C93=1,V$29=""),0,COUNTIFS(INDEX(ALGO!$A$2:$BZ$20001,0,$B$19),$B$1,INDEX(ALGO!$A$2:$BZ$20001,0,$B$20),"*",INDEX(ALGO!$A$2:$BZ$20001,0,$B$18),$B93,INDEX(ALGO!$A$2:$BZ$20001,0,V$29),"&lt;&gt;"))</f>
        <v/>
      </c>
      <c r="AA93" s="22">
        <f>IF(OR($C93=1,W$29=""),0,COUNTIFS(INDEX(ALGO!$A$2:$BZ$20001,0,$B$19),$B$1,INDEX(ALGO!$A$2:$BZ$20001,0,$B$20),"*",INDEX(ALGO!$A$2:$BZ$20001,0,$B$18),$B93,INDEX(ALGO!$A$2:$BZ$20001,0,W$29),"&lt;&gt;"))</f>
        <v/>
      </c>
      <c r="AB93" s="22">
        <f>IF(OR($C93=1,X$29=""),0,COUNTIFS(INDEX(ALGO!$A$2:$BZ$20001,0,$B$19),$B$1,INDEX(ALGO!$A$2:$BZ$20001,0,$B$20),"*",INDEX(ALGO!$A$2:$BZ$20001,0,$B$18),$B93,INDEX(ALGO!$A$2:$BZ$20001,0,X$29),"&lt;&gt;"))</f>
        <v/>
      </c>
      <c r="AC93" s="22">
        <f>IF(OR($C93=1,Y$29=""),0,COUNTIFS(INDEX(ALGO!$A$2:$BZ$20001,0,$B$19),$B$1,INDEX(ALGO!$A$2:$BZ$20001,0,$B$20),"*",INDEX(ALGO!$A$2:$BZ$20001,0,$B$18),$B93,INDEX(ALGO!$A$2:$BZ$20001,0,Y$29),"&lt;&gt;"))</f>
        <v/>
      </c>
      <c r="AD93" s="22">
        <f>IF(OR($C93=1,Z$29=""),0,COUNTIFS(INDEX(ALGO!$A$2:$BZ$20001,0,$B$19),$B$1,INDEX(ALGO!$A$2:$BZ$20001,0,$B$20),"*",INDEX(ALGO!$A$2:$BZ$20001,0,$B$18),$B93,INDEX(ALGO!$A$2:$BZ$20001,0,Z$29),"&lt;&gt;"))</f>
        <v/>
      </c>
      <c r="AE93" s="22">
        <f>IF(OR($C93=1,AA$29=""),0,COUNTIFS(INDEX(ALGO!$A$2:$BZ$20001,0,$B$19),$B$1,INDEX(ALGO!$A$2:$BZ$20001,0,$B$20),"*",INDEX(ALGO!$A$2:$BZ$20001,0,$B$18),$B93,INDEX(ALGO!$A$2:$BZ$20001,0,AA$29),"&lt;&gt;"))</f>
        <v/>
      </c>
      <c r="AF93" s="22">
        <f>IF(OR($C93=1,AB$29=""),0,COUNTIFS(INDEX(ALGO!$A$2:$BZ$20001,0,$B$19),$B$1,INDEX(ALGO!$A$2:$BZ$20001,0,$B$20),"*",INDEX(ALGO!$A$2:$BZ$20001,0,$B$18),$B93,INDEX(ALGO!$A$2:$BZ$20001,0,AB$29),"&lt;&gt;"))</f>
        <v/>
      </c>
      <c r="AG93" s="22">
        <f>IF(OR($C93=1,AC$29=""),0,COUNTIFS(INDEX(ALGO!$A$2:$BZ$20001,0,$B$19),$B$1,INDEX(ALGO!$A$2:$BZ$20001,0,$B$20),"*",INDEX(ALGO!$A$2:$BZ$20001,0,$B$18),$B93,INDEX(ALGO!$A$2:$BZ$20001,0,AC$29),"&lt;&gt;"))</f>
        <v/>
      </c>
      <c r="AH93" s="22">
        <f>IF(OR($C93=1,AD$29=""),0,COUNTIFS(INDEX(ALGO!$A$2:$BZ$20001,0,$B$19),$B$1,INDEX(ALGO!$A$2:$BZ$20001,0,$B$20),"*",INDEX(ALGO!$A$2:$BZ$20001,0,$B$18),$B93,INDEX(ALGO!$A$2:$BZ$20001,0,AD$29),"&lt;&gt;"))</f>
        <v/>
      </c>
      <c r="AI93" s="22">
        <f>IF(OR($C93=1,AE$29=""),0,COUNTIFS(INDEX(ALGO!$A$2:$BZ$20001,0,$B$19),$B$1,INDEX(ALGO!$A$2:$BZ$20001,0,$B$20),"*",INDEX(ALGO!$A$2:$BZ$20001,0,$B$18),$B93,INDEX(ALGO!$A$2:$BZ$20001,0,AE$29),"&lt;&gt;"))</f>
        <v/>
      </c>
      <c r="AJ93" s="22">
        <f>IF(OR($C93=1,AF$29=""),0,COUNTIFS(INDEX(ALGO!$A$2:$BZ$20001,0,$B$19),$B$1,INDEX(ALGO!$A$2:$BZ$20001,0,$B$20),"*",INDEX(ALGO!$A$2:$BZ$20001,0,$B$18),$B93,INDEX(ALGO!$A$2:$BZ$20001,0,AF$29),"&lt;&gt;"))</f>
        <v/>
      </c>
      <c r="AK93" s="22">
        <f>IF(OR($C93=1,AG$29=""),0,COUNTIFS(INDEX(ALGO!$A$2:$BZ$20001,0,$B$19),$B$1,INDEX(ALGO!$A$2:$BZ$20001,0,$B$20),"*",INDEX(ALGO!$A$2:$BZ$20001,0,$B$18),$B93,INDEX(ALGO!$A$2:$BZ$20001,0,AG$29),"&lt;&gt;"))</f>
        <v/>
      </c>
      <c r="AL93" s="22">
        <f>IF(OR($C93=1,AH$29=""),0,COUNTIFS(INDEX(ALGO!$A$2:$BZ$20001,0,$B$19),$B$1,INDEX(ALGO!$A$2:$BZ$20001,0,$B$20),"*",INDEX(ALGO!$A$2:$BZ$20001,0,$B$18),$B93,INDEX(ALGO!$A$2:$BZ$20001,0,AH$29),"&lt;&gt;"))</f>
        <v/>
      </c>
      <c r="AM93" s="22">
        <f>IF(OR($C93=1,AI$29=""),0,COUNTIFS(INDEX(ALGO!$A$2:$BZ$20001,0,$B$19),$B$1,INDEX(ALGO!$A$2:$BZ$20001,0,$B$20),"*",INDEX(ALGO!$A$2:$BZ$20001,0,$B$18),$B93,INDEX(ALGO!$A$2:$BZ$20001,0,AI$29),"&lt;&gt;"))</f>
        <v/>
      </c>
      <c r="AN93" s="22">
        <f>IF(OR($C93=1,AJ$29=""),0,COUNTIFS(INDEX(ALGO!$A$2:$BZ$20001,0,$B$19),$B$1,INDEX(ALGO!$A$2:$BZ$20001,0,$B$20),"*",INDEX(ALGO!$A$2:$BZ$20001,0,$B$18),$B93,INDEX(ALGO!$A$2:$BZ$20001,0,AJ$29),"&lt;&gt;"))</f>
        <v/>
      </c>
      <c r="AO93" s="22">
        <f>IF(OR($C93=1,AK$29=""),0,COUNTIFS(INDEX(ALGO!$A$2:$BZ$20001,0,$B$19),$B$1,INDEX(ALGO!$A$2:$BZ$20001,0,$B$20),"*",INDEX(ALGO!$A$2:$BZ$20001,0,$B$18),$B93,INDEX(ALGO!$A$2:$BZ$20001,0,AK$29),"&lt;&gt;"))</f>
        <v/>
      </c>
      <c r="AP93" s="22">
        <f>IF(OR($C93=1,AL$29=""),0,COUNTIFS(INDEX(ALGO!$A$2:$BZ$20001,0,$B$19),$B$1,INDEX(ALGO!$A$2:$BZ$20001,0,$B$20),"*",INDEX(ALGO!$A$2:$BZ$20001,0,$B$18),$B93,INDEX(ALGO!$A$2:$BZ$20001,0,AL$29),"&lt;&gt;"))</f>
        <v/>
      </c>
      <c r="AQ93" s="22">
        <f>IF(OR($C93=1,AM$29=""),0,COUNTIFS(INDEX(ALGO!$A$2:$BZ$20001,0,$B$19),$B$1,INDEX(ALGO!$A$2:$BZ$20001,0,$B$20),"*",INDEX(ALGO!$A$2:$BZ$20001,0,$B$18),$B93,INDEX(ALGO!$A$2:$BZ$20001,0,AM$29),"&lt;&gt;"))</f>
        <v/>
      </c>
    </row>
    <row r="94">
      <c r="A94" s="20" t="n">
        <v>15</v>
      </c>
      <c r="B94" s="20">
        <f>IF($A94&gt;$B$77,"",IFERROR(INDEX(ALGO!$A$1:$BZ$20001,1+$A94,$B$18),""))</f>
        <v/>
      </c>
      <c r="C94" s="20">
        <f>IF($B94="",1,IF(COUNTIF($A$200:$A$202,$B94)&gt;0,1,0))</f>
        <v/>
      </c>
      <c r="D94" s="20">
        <f>IF($C94=1,0,SUM($H94:$AQ94))</f>
        <v/>
      </c>
      <c r="E94" s="20">
        <f>$E93+IF($D94&gt;0,1,0)</f>
        <v/>
      </c>
      <c r="H94" s="22">
        <f>IF(OR($C94=1,D$29=""),0,COUNTIFS(INDEX(ALGO!$A$2:$BZ$20001,0,$B$19),$B$1,INDEX(ALGO!$A$2:$BZ$20001,0,$B$20),"*",INDEX(ALGO!$A$2:$BZ$20001,0,$B$18),$B94,INDEX(ALGO!$A$2:$BZ$20001,0,D$29),"&lt;&gt;"))</f>
        <v/>
      </c>
      <c r="I94" s="22">
        <f>IF(OR($C94=1,E$29=""),0,COUNTIFS(INDEX(ALGO!$A$2:$BZ$20001,0,$B$19),$B$1,INDEX(ALGO!$A$2:$BZ$20001,0,$B$20),"*",INDEX(ALGO!$A$2:$BZ$20001,0,$B$18),$B94,INDEX(ALGO!$A$2:$BZ$20001,0,E$29),"&lt;&gt;"))</f>
        <v/>
      </c>
      <c r="J94" s="22">
        <f>IF(OR($C94=1,F$29=""),0,COUNTIFS(INDEX(ALGO!$A$2:$BZ$20001,0,$B$19),$B$1,INDEX(ALGO!$A$2:$BZ$20001,0,$B$20),"*",INDEX(ALGO!$A$2:$BZ$20001,0,$B$18),$B94,INDEX(ALGO!$A$2:$BZ$20001,0,F$29),"&lt;&gt;"))</f>
        <v/>
      </c>
      <c r="K94" s="22">
        <f>IF(OR($C94=1,G$29=""),0,COUNTIFS(INDEX(ALGO!$A$2:$BZ$20001,0,$B$19),$B$1,INDEX(ALGO!$A$2:$BZ$20001,0,$B$20),"*",INDEX(ALGO!$A$2:$BZ$20001,0,$B$18),$B94,INDEX(ALGO!$A$2:$BZ$20001,0,G$29),"&lt;&gt;"))</f>
        <v/>
      </c>
      <c r="L94" s="22">
        <f>IF(OR($C94=1,H$29=""),0,COUNTIFS(INDEX(ALGO!$A$2:$BZ$20001,0,$B$19),$B$1,INDEX(ALGO!$A$2:$BZ$20001,0,$B$20),"*",INDEX(ALGO!$A$2:$BZ$20001,0,$B$18),$B94,INDEX(ALGO!$A$2:$BZ$20001,0,H$29),"&lt;&gt;"))</f>
        <v/>
      </c>
      <c r="M94" s="22">
        <f>IF(OR($C94=1,I$29=""),0,COUNTIFS(INDEX(ALGO!$A$2:$BZ$20001,0,$B$19),$B$1,INDEX(ALGO!$A$2:$BZ$20001,0,$B$20),"*",INDEX(ALGO!$A$2:$BZ$20001,0,$B$18),$B94,INDEX(ALGO!$A$2:$BZ$20001,0,I$29),"&lt;&gt;"))</f>
        <v/>
      </c>
      <c r="N94" s="22">
        <f>IF(OR($C94=1,J$29=""),0,COUNTIFS(INDEX(ALGO!$A$2:$BZ$20001,0,$B$19),$B$1,INDEX(ALGO!$A$2:$BZ$20001,0,$B$20),"*",INDEX(ALGO!$A$2:$BZ$20001,0,$B$18),$B94,INDEX(ALGO!$A$2:$BZ$20001,0,J$29),"&lt;&gt;"))</f>
        <v/>
      </c>
      <c r="O94" s="22">
        <f>IF(OR($C94=1,K$29=""),0,COUNTIFS(INDEX(ALGO!$A$2:$BZ$20001,0,$B$19),$B$1,INDEX(ALGO!$A$2:$BZ$20001,0,$B$20),"*",INDEX(ALGO!$A$2:$BZ$20001,0,$B$18),$B94,INDEX(ALGO!$A$2:$BZ$20001,0,K$29),"&lt;&gt;"))</f>
        <v/>
      </c>
      <c r="P94" s="22">
        <f>IF(OR($C94=1,L$29=""),0,COUNTIFS(INDEX(ALGO!$A$2:$BZ$20001,0,$B$19),$B$1,INDEX(ALGO!$A$2:$BZ$20001,0,$B$20),"*",INDEX(ALGO!$A$2:$BZ$20001,0,$B$18),$B94,INDEX(ALGO!$A$2:$BZ$20001,0,L$29),"&lt;&gt;"))</f>
        <v/>
      </c>
      <c r="Q94" s="22">
        <f>IF(OR($C94=1,M$29=""),0,COUNTIFS(INDEX(ALGO!$A$2:$BZ$20001,0,$B$19),$B$1,INDEX(ALGO!$A$2:$BZ$20001,0,$B$20),"*",INDEX(ALGO!$A$2:$BZ$20001,0,$B$18),$B94,INDEX(ALGO!$A$2:$BZ$20001,0,M$29),"&lt;&gt;"))</f>
        <v/>
      </c>
      <c r="R94" s="22">
        <f>IF(OR($C94=1,N$29=""),0,COUNTIFS(INDEX(ALGO!$A$2:$BZ$20001,0,$B$19),$B$1,INDEX(ALGO!$A$2:$BZ$20001,0,$B$20),"*",INDEX(ALGO!$A$2:$BZ$20001,0,$B$18),$B94,INDEX(ALGO!$A$2:$BZ$20001,0,N$29),"&lt;&gt;"))</f>
        <v/>
      </c>
      <c r="S94" s="22">
        <f>IF(OR($C94=1,O$29=""),0,COUNTIFS(INDEX(ALGO!$A$2:$BZ$20001,0,$B$19),$B$1,INDEX(ALGO!$A$2:$BZ$20001,0,$B$20),"*",INDEX(ALGO!$A$2:$BZ$20001,0,$B$18),$B94,INDEX(ALGO!$A$2:$BZ$20001,0,O$29),"&lt;&gt;"))</f>
        <v/>
      </c>
      <c r="T94" s="22">
        <f>IF(OR($C94=1,P$29=""),0,COUNTIFS(INDEX(ALGO!$A$2:$BZ$20001,0,$B$19),$B$1,INDEX(ALGO!$A$2:$BZ$20001,0,$B$20),"*",INDEX(ALGO!$A$2:$BZ$20001,0,$B$18),$B94,INDEX(ALGO!$A$2:$BZ$20001,0,P$29),"&lt;&gt;"))</f>
        <v/>
      </c>
      <c r="U94" s="22">
        <f>IF(OR($C94=1,Q$29=""),0,COUNTIFS(INDEX(ALGO!$A$2:$BZ$20001,0,$B$19),$B$1,INDEX(ALGO!$A$2:$BZ$20001,0,$B$20),"*",INDEX(ALGO!$A$2:$BZ$20001,0,$B$18),$B94,INDEX(ALGO!$A$2:$BZ$20001,0,Q$29),"&lt;&gt;"))</f>
        <v/>
      </c>
      <c r="V94" s="22">
        <f>IF(OR($C94=1,R$29=""),0,COUNTIFS(INDEX(ALGO!$A$2:$BZ$20001,0,$B$19),$B$1,INDEX(ALGO!$A$2:$BZ$20001,0,$B$20),"*",INDEX(ALGO!$A$2:$BZ$20001,0,$B$18),$B94,INDEX(ALGO!$A$2:$BZ$20001,0,R$29),"&lt;&gt;"))</f>
        <v/>
      </c>
      <c r="W94" s="22">
        <f>IF(OR($C94=1,S$29=""),0,COUNTIFS(INDEX(ALGO!$A$2:$BZ$20001,0,$B$19),$B$1,INDEX(ALGO!$A$2:$BZ$20001,0,$B$20),"*",INDEX(ALGO!$A$2:$BZ$20001,0,$B$18),$B94,INDEX(ALGO!$A$2:$BZ$20001,0,S$29),"&lt;&gt;"))</f>
        <v/>
      </c>
      <c r="X94" s="22">
        <f>IF(OR($C94=1,T$29=""),0,COUNTIFS(INDEX(ALGO!$A$2:$BZ$20001,0,$B$19),$B$1,INDEX(ALGO!$A$2:$BZ$20001,0,$B$20),"*",INDEX(ALGO!$A$2:$BZ$20001,0,$B$18),$B94,INDEX(ALGO!$A$2:$BZ$20001,0,T$29),"&lt;&gt;"))</f>
        <v/>
      </c>
      <c r="Y94" s="22">
        <f>IF(OR($C94=1,U$29=""),0,COUNTIFS(INDEX(ALGO!$A$2:$BZ$20001,0,$B$19),$B$1,INDEX(ALGO!$A$2:$BZ$20001,0,$B$20),"*",INDEX(ALGO!$A$2:$BZ$20001,0,$B$18),$B94,INDEX(ALGO!$A$2:$BZ$20001,0,U$29),"&lt;&gt;"))</f>
        <v/>
      </c>
      <c r="Z94" s="22">
        <f>IF(OR($C94=1,V$29=""),0,COUNTIFS(INDEX(ALGO!$A$2:$BZ$20001,0,$B$19),$B$1,INDEX(ALGO!$A$2:$BZ$20001,0,$B$20),"*",INDEX(ALGO!$A$2:$BZ$20001,0,$B$18),$B94,INDEX(ALGO!$A$2:$BZ$20001,0,V$29),"&lt;&gt;"))</f>
        <v/>
      </c>
      <c r="AA94" s="22">
        <f>IF(OR($C94=1,W$29=""),0,COUNTIFS(INDEX(ALGO!$A$2:$BZ$20001,0,$B$19),$B$1,INDEX(ALGO!$A$2:$BZ$20001,0,$B$20),"*",INDEX(ALGO!$A$2:$BZ$20001,0,$B$18),$B94,INDEX(ALGO!$A$2:$BZ$20001,0,W$29),"&lt;&gt;"))</f>
        <v/>
      </c>
      <c r="AB94" s="22">
        <f>IF(OR($C94=1,X$29=""),0,COUNTIFS(INDEX(ALGO!$A$2:$BZ$20001,0,$B$19),$B$1,INDEX(ALGO!$A$2:$BZ$20001,0,$B$20),"*",INDEX(ALGO!$A$2:$BZ$20001,0,$B$18),$B94,INDEX(ALGO!$A$2:$BZ$20001,0,X$29),"&lt;&gt;"))</f>
        <v/>
      </c>
      <c r="AC94" s="22">
        <f>IF(OR($C94=1,Y$29=""),0,COUNTIFS(INDEX(ALGO!$A$2:$BZ$20001,0,$B$19),$B$1,INDEX(ALGO!$A$2:$BZ$20001,0,$B$20),"*",INDEX(ALGO!$A$2:$BZ$20001,0,$B$18),$B94,INDEX(ALGO!$A$2:$BZ$20001,0,Y$29),"&lt;&gt;"))</f>
        <v/>
      </c>
      <c r="AD94" s="22">
        <f>IF(OR($C94=1,Z$29=""),0,COUNTIFS(INDEX(ALGO!$A$2:$BZ$20001,0,$B$19),$B$1,INDEX(ALGO!$A$2:$BZ$20001,0,$B$20),"*",INDEX(ALGO!$A$2:$BZ$20001,0,$B$18),$B94,INDEX(ALGO!$A$2:$BZ$20001,0,Z$29),"&lt;&gt;"))</f>
        <v/>
      </c>
      <c r="AE94" s="22">
        <f>IF(OR($C94=1,AA$29=""),0,COUNTIFS(INDEX(ALGO!$A$2:$BZ$20001,0,$B$19),$B$1,INDEX(ALGO!$A$2:$BZ$20001,0,$B$20),"*",INDEX(ALGO!$A$2:$BZ$20001,0,$B$18),$B94,INDEX(ALGO!$A$2:$BZ$20001,0,AA$29),"&lt;&gt;"))</f>
        <v/>
      </c>
      <c r="AF94" s="22">
        <f>IF(OR($C94=1,AB$29=""),0,COUNTIFS(INDEX(ALGO!$A$2:$BZ$20001,0,$B$19),$B$1,INDEX(ALGO!$A$2:$BZ$20001,0,$B$20),"*",INDEX(ALGO!$A$2:$BZ$20001,0,$B$18),$B94,INDEX(ALGO!$A$2:$BZ$20001,0,AB$29),"&lt;&gt;"))</f>
        <v/>
      </c>
      <c r="AG94" s="22">
        <f>IF(OR($C94=1,AC$29=""),0,COUNTIFS(INDEX(ALGO!$A$2:$BZ$20001,0,$B$19),$B$1,INDEX(ALGO!$A$2:$BZ$20001,0,$B$20),"*",INDEX(ALGO!$A$2:$BZ$20001,0,$B$18),$B94,INDEX(ALGO!$A$2:$BZ$20001,0,AC$29),"&lt;&gt;"))</f>
        <v/>
      </c>
      <c r="AH94" s="22">
        <f>IF(OR($C94=1,AD$29=""),0,COUNTIFS(INDEX(ALGO!$A$2:$BZ$20001,0,$B$19),$B$1,INDEX(ALGO!$A$2:$BZ$20001,0,$B$20),"*",INDEX(ALGO!$A$2:$BZ$20001,0,$B$18),$B94,INDEX(ALGO!$A$2:$BZ$20001,0,AD$29),"&lt;&gt;"))</f>
        <v/>
      </c>
      <c r="AI94" s="22">
        <f>IF(OR($C94=1,AE$29=""),0,COUNTIFS(INDEX(ALGO!$A$2:$BZ$20001,0,$B$19),$B$1,INDEX(ALGO!$A$2:$BZ$20001,0,$B$20),"*",INDEX(ALGO!$A$2:$BZ$20001,0,$B$18),$B94,INDEX(ALGO!$A$2:$BZ$20001,0,AE$29),"&lt;&gt;"))</f>
        <v/>
      </c>
      <c r="AJ94" s="22">
        <f>IF(OR($C94=1,AF$29=""),0,COUNTIFS(INDEX(ALGO!$A$2:$BZ$20001,0,$B$19),$B$1,INDEX(ALGO!$A$2:$BZ$20001,0,$B$20),"*",INDEX(ALGO!$A$2:$BZ$20001,0,$B$18),$B94,INDEX(ALGO!$A$2:$BZ$20001,0,AF$29),"&lt;&gt;"))</f>
        <v/>
      </c>
      <c r="AK94" s="22">
        <f>IF(OR($C94=1,AG$29=""),0,COUNTIFS(INDEX(ALGO!$A$2:$BZ$20001,0,$B$19),$B$1,INDEX(ALGO!$A$2:$BZ$20001,0,$B$20),"*",INDEX(ALGO!$A$2:$BZ$20001,0,$B$18),$B94,INDEX(ALGO!$A$2:$BZ$20001,0,AG$29),"&lt;&gt;"))</f>
        <v/>
      </c>
      <c r="AL94" s="22">
        <f>IF(OR($C94=1,AH$29=""),0,COUNTIFS(INDEX(ALGO!$A$2:$BZ$20001,0,$B$19),$B$1,INDEX(ALGO!$A$2:$BZ$20001,0,$B$20),"*",INDEX(ALGO!$A$2:$BZ$20001,0,$B$18),$B94,INDEX(ALGO!$A$2:$BZ$20001,0,AH$29),"&lt;&gt;"))</f>
        <v/>
      </c>
      <c r="AM94" s="22">
        <f>IF(OR($C94=1,AI$29=""),0,COUNTIFS(INDEX(ALGO!$A$2:$BZ$20001,0,$B$19),$B$1,INDEX(ALGO!$A$2:$BZ$20001,0,$B$20),"*",INDEX(ALGO!$A$2:$BZ$20001,0,$B$18),$B94,INDEX(ALGO!$A$2:$BZ$20001,0,AI$29),"&lt;&gt;"))</f>
        <v/>
      </c>
      <c r="AN94" s="22">
        <f>IF(OR($C94=1,AJ$29=""),0,COUNTIFS(INDEX(ALGO!$A$2:$BZ$20001,0,$B$19),$B$1,INDEX(ALGO!$A$2:$BZ$20001,0,$B$20),"*",INDEX(ALGO!$A$2:$BZ$20001,0,$B$18),$B94,INDEX(ALGO!$A$2:$BZ$20001,0,AJ$29),"&lt;&gt;"))</f>
        <v/>
      </c>
      <c r="AO94" s="22">
        <f>IF(OR($C94=1,AK$29=""),0,COUNTIFS(INDEX(ALGO!$A$2:$BZ$20001,0,$B$19),$B$1,INDEX(ALGO!$A$2:$BZ$20001,0,$B$20),"*",INDEX(ALGO!$A$2:$BZ$20001,0,$B$18),$B94,INDEX(ALGO!$A$2:$BZ$20001,0,AK$29),"&lt;&gt;"))</f>
        <v/>
      </c>
      <c r="AP94" s="22">
        <f>IF(OR($C94=1,AL$29=""),0,COUNTIFS(INDEX(ALGO!$A$2:$BZ$20001,0,$B$19),$B$1,INDEX(ALGO!$A$2:$BZ$20001,0,$B$20),"*",INDEX(ALGO!$A$2:$BZ$20001,0,$B$18),$B94,INDEX(ALGO!$A$2:$BZ$20001,0,AL$29),"&lt;&gt;"))</f>
        <v/>
      </c>
      <c r="AQ94" s="22">
        <f>IF(OR($C94=1,AM$29=""),0,COUNTIFS(INDEX(ALGO!$A$2:$BZ$20001,0,$B$19),$B$1,INDEX(ALGO!$A$2:$BZ$20001,0,$B$20),"*",INDEX(ALGO!$A$2:$BZ$20001,0,$B$18),$B94,INDEX(ALGO!$A$2:$BZ$20001,0,AM$29),"&lt;&gt;"))</f>
        <v/>
      </c>
    </row>
    <row r="95">
      <c r="A95" s="20" t="n">
        <v>16</v>
      </c>
      <c r="B95" s="20">
        <f>IF($A95&gt;$B$77,"",IFERROR(INDEX(ALGO!$A$1:$BZ$20001,1+$A95,$B$18),""))</f>
        <v/>
      </c>
      <c r="C95" s="20">
        <f>IF($B95="",1,IF(COUNTIF($A$200:$A$202,$B95)&gt;0,1,0))</f>
        <v/>
      </c>
      <c r="D95" s="20">
        <f>IF($C95=1,0,SUM($H95:$AQ95))</f>
        <v/>
      </c>
      <c r="E95" s="20">
        <f>$E94+IF($D95&gt;0,1,0)</f>
        <v/>
      </c>
      <c r="H95" s="22">
        <f>IF(OR($C95=1,D$29=""),0,COUNTIFS(INDEX(ALGO!$A$2:$BZ$20001,0,$B$19),$B$1,INDEX(ALGO!$A$2:$BZ$20001,0,$B$20),"*",INDEX(ALGO!$A$2:$BZ$20001,0,$B$18),$B95,INDEX(ALGO!$A$2:$BZ$20001,0,D$29),"&lt;&gt;"))</f>
        <v/>
      </c>
      <c r="I95" s="22">
        <f>IF(OR($C95=1,E$29=""),0,COUNTIFS(INDEX(ALGO!$A$2:$BZ$20001,0,$B$19),$B$1,INDEX(ALGO!$A$2:$BZ$20001,0,$B$20),"*",INDEX(ALGO!$A$2:$BZ$20001,0,$B$18),$B95,INDEX(ALGO!$A$2:$BZ$20001,0,E$29),"&lt;&gt;"))</f>
        <v/>
      </c>
      <c r="J95" s="22">
        <f>IF(OR($C95=1,F$29=""),0,COUNTIFS(INDEX(ALGO!$A$2:$BZ$20001,0,$B$19),$B$1,INDEX(ALGO!$A$2:$BZ$20001,0,$B$20),"*",INDEX(ALGO!$A$2:$BZ$20001,0,$B$18),$B95,INDEX(ALGO!$A$2:$BZ$20001,0,F$29),"&lt;&gt;"))</f>
        <v/>
      </c>
      <c r="K95" s="22">
        <f>IF(OR($C95=1,G$29=""),0,COUNTIFS(INDEX(ALGO!$A$2:$BZ$20001,0,$B$19),$B$1,INDEX(ALGO!$A$2:$BZ$20001,0,$B$20),"*",INDEX(ALGO!$A$2:$BZ$20001,0,$B$18),$B95,INDEX(ALGO!$A$2:$BZ$20001,0,G$29),"&lt;&gt;"))</f>
        <v/>
      </c>
      <c r="L95" s="22">
        <f>IF(OR($C95=1,H$29=""),0,COUNTIFS(INDEX(ALGO!$A$2:$BZ$20001,0,$B$19),$B$1,INDEX(ALGO!$A$2:$BZ$20001,0,$B$20),"*",INDEX(ALGO!$A$2:$BZ$20001,0,$B$18),$B95,INDEX(ALGO!$A$2:$BZ$20001,0,H$29),"&lt;&gt;"))</f>
        <v/>
      </c>
      <c r="M95" s="22">
        <f>IF(OR($C95=1,I$29=""),0,COUNTIFS(INDEX(ALGO!$A$2:$BZ$20001,0,$B$19),$B$1,INDEX(ALGO!$A$2:$BZ$20001,0,$B$20),"*",INDEX(ALGO!$A$2:$BZ$20001,0,$B$18),$B95,INDEX(ALGO!$A$2:$BZ$20001,0,I$29),"&lt;&gt;"))</f>
        <v/>
      </c>
      <c r="N95" s="22">
        <f>IF(OR($C95=1,J$29=""),0,COUNTIFS(INDEX(ALGO!$A$2:$BZ$20001,0,$B$19),$B$1,INDEX(ALGO!$A$2:$BZ$20001,0,$B$20),"*",INDEX(ALGO!$A$2:$BZ$20001,0,$B$18),$B95,INDEX(ALGO!$A$2:$BZ$20001,0,J$29),"&lt;&gt;"))</f>
        <v/>
      </c>
      <c r="O95" s="22">
        <f>IF(OR($C95=1,K$29=""),0,COUNTIFS(INDEX(ALGO!$A$2:$BZ$20001,0,$B$19),$B$1,INDEX(ALGO!$A$2:$BZ$20001,0,$B$20),"*",INDEX(ALGO!$A$2:$BZ$20001,0,$B$18),$B95,INDEX(ALGO!$A$2:$BZ$20001,0,K$29),"&lt;&gt;"))</f>
        <v/>
      </c>
      <c r="P95" s="22">
        <f>IF(OR($C95=1,L$29=""),0,COUNTIFS(INDEX(ALGO!$A$2:$BZ$20001,0,$B$19),$B$1,INDEX(ALGO!$A$2:$BZ$20001,0,$B$20),"*",INDEX(ALGO!$A$2:$BZ$20001,0,$B$18),$B95,INDEX(ALGO!$A$2:$BZ$20001,0,L$29),"&lt;&gt;"))</f>
        <v/>
      </c>
      <c r="Q95" s="22">
        <f>IF(OR($C95=1,M$29=""),0,COUNTIFS(INDEX(ALGO!$A$2:$BZ$20001,0,$B$19),$B$1,INDEX(ALGO!$A$2:$BZ$20001,0,$B$20),"*",INDEX(ALGO!$A$2:$BZ$20001,0,$B$18),$B95,INDEX(ALGO!$A$2:$BZ$20001,0,M$29),"&lt;&gt;"))</f>
        <v/>
      </c>
      <c r="R95" s="22">
        <f>IF(OR($C95=1,N$29=""),0,COUNTIFS(INDEX(ALGO!$A$2:$BZ$20001,0,$B$19),$B$1,INDEX(ALGO!$A$2:$BZ$20001,0,$B$20),"*",INDEX(ALGO!$A$2:$BZ$20001,0,$B$18),$B95,INDEX(ALGO!$A$2:$BZ$20001,0,N$29),"&lt;&gt;"))</f>
        <v/>
      </c>
      <c r="S95" s="22">
        <f>IF(OR($C95=1,O$29=""),0,COUNTIFS(INDEX(ALGO!$A$2:$BZ$20001,0,$B$19),$B$1,INDEX(ALGO!$A$2:$BZ$20001,0,$B$20),"*",INDEX(ALGO!$A$2:$BZ$20001,0,$B$18),$B95,INDEX(ALGO!$A$2:$BZ$20001,0,O$29),"&lt;&gt;"))</f>
        <v/>
      </c>
      <c r="T95" s="22">
        <f>IF(OR($C95=1,P$29=""),0,COUNTIFS(INDEX(ALGO!$A$2:$BZ$20001,0,$B$19),$B$1,INDEX(ALGO!$A$2:$BZ$20001,0,$B$20),"*",INDEX(ALGO!$A$2:$BZ$20001,0,$B$18),$B95,INDEX(ALGO!$A$2:$BZ$20001,0,P$29),"&lt;&gt;"))</f>
        <v/>
      </c>
      <c r="U95" s="22">
        <f>IF(OR($C95=1,Q$29=""),0,COUNTIFS(INDEX(ALGO!$A$2:$BZ$20001,0,$B$19),$B$1,INDEX(ALGO!$A$2:$BZ$20001,0,$B$20),"*",INDEX(ALGO!$A$2:$BZ$20001,0,$B$18),$B95,INDEX(ALGO!$A$2:$BZ$20001,0,Q$29),"&lt;&gt;"))</f>
        <v/>
      </c>
      <c r="V95" s="22">
        <f>IF(OR($C95=1,R$29=""),0,COUNTIFS(INDEX(ALGO!$A$2:$BZ$20001,0,$B$19),$B$1,INDEX(ALGO!$A$2:$BZ$20001,0,$B$20),"*",INDEX(ALGO!$A$2:$BZ$20001,0,$B$18),$B95,INDEX(ALGO!$A$2:$BZ$20001,0,R$29),"&lt;&gt;"))</f>
        <v/>
      </c>
      <c r="W95" s="22">
        <f>IF(OR($C95=1,S$29=""),0,COUNTIFS(INDEX(ALGO!$A$2:$BZ$20001,0,$B$19),$B$1,INDEX(ALGO!$A$2:$BZ$20001,0,$B$20),"*",INDEX(ALGO!$A$2:$BZ$20001,0,$B$18),$B95,INDEX(ALGO!$A$2:$BZ$20001,0,S$29),"&lt;&gt;"))</f>
        <v/>
      </c>
      <c r="X95" s="22">
        <f>IF(OR($C95=1,T$29=""),0,COUNTIFS(INDEX(ALGO!$A$2:$BZ$20001,0,$B$19),$B$1,INDEX(ALGO!$A$2:$BZ$20001,0,$B$20),"*",INDEX(ALGO!$A$2:$BZ$20001,0,$B$18),$B95,INDEX(ALGO!$A$2:$BZ$20001,0,T$29),"&lt;&gt;"))</f>
        <v/>
      </c>
      <c r="Y95" s="22">
        <f>IF(OR($C95=1,U$29=""),0,COUNTIFS(INDEX(ALGO!$A$2:$BZ$20001,0,$B$19),$B$1,INDEX(ALGO!$A$2:$BZ$20001,0,$B$20),"*",INDEX(ALGO!$A$2:$BZ$20001,0,$B$18),$B95,INDEX(ALGO!$A$2:$BZ$20001,0,U$29),"&lt;&gt;"))</f>
        <v/>
      </c>
      <c r="Z95" s="22">
        <f>IF(OR($C95=1,V$29=""),0,COUNTIFS(INDEX(ALGO!$A$2:$BZ$20001,0,$B$19),$B$1,INDEX(ALGO!$A$2:$BZ$20001,0,$B$20),"*",INDEX(ALGO!$A$2:$BZ$20001,0,$B$18),$B95,INDEX(ALGO!$A$2:$BZ$20001,0,V$29),"&lt;&gt;"))</f>
        <v/>
      </c>
      <c r="AA95" s="22">
        <f>IF(OR($C95=1,W$29=""),0,COUNTIFS(INDEX(ALGO!$A$2:$BZ$20001,0,$B$19),$B$1,INDEX(ALGO!$A$2:$BZ$20001,0,$B$20),"*",INDEX(ALGO!$A$2:$BZ$20001,0,$B$18),$B95,INDEX(ALGO!$A$2:$BZ$20001,0,W$29),"&lt;&gt;"))</f>
        <v/>
      </c>
      <c r="AB95" s="22">
        <f>IF(OR($C95=1,X$29=""),0,COUNTIFS(INDEX(ALGO!$A$2:$BZ$20001,0,$B$19),$B$1,INDEX(ALGO!$A$2:$BZ$20001,0,$B$20),"*",INDEX(ALGO!$A$2:$BZ$20001,0,$B$18),$B95,INDEX(ALGO!$A$2:$BZ$20001,0,X$29),"&lt;&gt;"))</f>
        <v/>
      </c>
      <c r="AC95" s="22">
        <f>IF(OR($C95=1,Y$29=""),0,COUNTIFS(INDEX(ALGO!$A$2:$BZ$20001,0,$B$19),$B$1,INDEX(ALGO!$A$2:$BZ$20001,0,$B$20),"*",INDEX(ALGO!$A$2:$BZ$20001,0,$B$18),$B95,INDEX(ALGO!$A$2:$BZ$20001,0,Y$29),"&lt;&gt;"))</f>
        <v/>
      </c>
      <c r="AD95" s="22">
        <f>IF(OR($C95=1,Z$29=""),0,COUNTIFS(INDEX(ALGO!$A$2:$BZ$20001,0,$B$19),$B$1,INDEX(ALGO!$A$2:$BZ$20001,0,$B$20),"*",INDEX(ALGO!$A$2:$BZ$20001,0,$B$18),$B95,INDEX(ALGO!$A$2:$BZ$20001,0,Z$29),"&lt;&gt;"))</f>
        <v/>
      </c>
      <c r="AE95" s="22">
        <f>IF(OR($C95=1,AA$29=""),0,COUNTIFS(INDEX(ALGO!$A$2:$BZ$20001,0,$B$19),$B$1,INDEX(ALGO!$A$2:$BZ$20001,0,$B$20),"*",INDEX(ALGO!$A$2:$BZ$20001,0,$B$18),$B95,INDEX(ALGO!$A$2:$BZ$20001,0,AA$29),"&lt;&gt;"))</f>
        <v/>
      </c>
      <c r="AF95" s="22">
        <f>IF(OR($C95=1,AB$29=""),0,COUNTIFS(INDEX(ALGO!$A$2:$BZ$20001,0,$B$19),$B$1,INDEX(ALGO!$A$2:$BZ$20001,0,$B$20),"*",INDEX(ALGO!$A$2:$BZ$20001,0,$B$18),$B95,INDEX(ALGO!$A$2:$BZ$20001,0,AB$29),"&lt;&gt;"))</f>
        <v/>
      </c>
      <c r="AG95" s="22">
        <f>IF(OR($C95=1,AC$29=""),0,COUNTIFS(INDEX(ALGO!$A$2:$BZ$20001,0,$B$19),$B$1,INDEX(ALGO!$A$2:$BZ$20001,0,$B$20),"*",INDEX(ALGO!$A$2:$BZ$20001,0,$B$18),$B95,INDEX(ALGO!$A$2:$BZ$20001,0,AC$29),"&lt;&gt;"))</f>
        <v/>
      </c>
      <c r="AH95" s="22">
        <f>IF(OR($C95=1,AD$29=""),0,COUNTIFS(INDEX(ALGO!$A$2:$BZ$20001,0,$B$19),$B$1,INDEX(ALGO!$A$2:$BZ$20001,0,$B$20),"*",INDEX(ALGO!$A$2:$BZ$20001,0,$B$18),$B95,INDEX(ALGO!$A$2:$BZ$20001,0,AD$29),"&lt;&gt;"))</f>
        <v/>
      </c>
      <c r="AI95" s="22">
        <f>IF(OR($C95=1,AE$29=""),0,COUNTIFS(INDEX(ALGO!$A$2:$BZ$20001,0,$B$19),$B$1,INDEX(ALGO!$A$2:$BZ$20001,0,$B$20),"*",INDEX(ALGO!$A$2:$BZ$20001,0,$B$18),$B95,INDEX(ALGO!$A$2:$BZ$20001,0,AE$29),"&lt;&gt;"))</f>
        <v/>
      </c>
      <c r="AJ95" s="22">
        <f>IF(OR($C95=1,AF$29=""),0,COUNTIFS(INDEX(ALGO!$A$2:$BZ$20001,0,$B$19),$B$1,INDEX(ALGO!$A$2:$BZ$20001,0,$B$20),"*",INDEX(ALGO!$A$2:$BZ$20001,0,$B$18),$B95,INDEX(ALGO!$A$2:$BZ$20001,0,AF$29),"&lt;&gt;"))</f>
        <v/>
      </c>
      <c r="AK95" s="22">
        <f>IF(OR($C95=1,AG$29=""),0,COUNTIFS(INDEX(ALGO!$A$2:$BZ$20001,0,$B$19),$B$1,INDEX(ALGO!$A$2:$BZ$20001,0,$B$20),"*",INDEX(ALGO!$A$2:$BZ$20001,0,$B$18),$B95,INDEX(ALGO!$A$2:$BZ$20001,0,AG$29),"&lt;&gt;"))</f>
        <v/>
      </c>
      <c r="AL95" s="22">
        <f>IF(OR($C95=1,AH$29=""),0,COUNTIFS(INDEX(ALGO!$A$2:$BZ$20001,0,$B$19),$B$1,INDEX(ALGO!$A$2:$BZ$20001,0,$B$20),"*",INDEX(ALGO!$A$2:$BZ$20001,0,$B$18),$B95,INDEX(ALGO!$A$2:$BZ$20001,0,AH$29),"&lt;&gt;"))</f>
        <v/>
      </c>
      <c r="AM95" s="22">
        <f>IF(OR($C95=1,AI$29=""),0,COUNTIFS(INDEX(ALGO!$A$2:$BZ$20001,0,$B$19),$B$1,INDEX(ALGO!$A$2:$BZ$20001,0,$B$20),"*",INDEX(ALGO!$A$2:$BZ$20001,0,$B$18),$B95,INDEX(ALGO!$A$2:$BZ$20001,0,AI$29),"&lt;&gt;"))</f>
        <v/>
      </c>
      <c r="AN95" s="22">
        <f>IF(OR($C95=1,AJ$29=""),0,COUNTIFS(INDEX(ALGO!$A$2:$BZ$20001,0,$B$19),$B$1,INDEX(ALGO!$A$2:$BZ$20001,0,$B$20),"*",INDEX(ALGO!$A$2:$BZ$20001,0,$B$18),$B95,INDEX(ALGO!$A$2:$BZ$20001,0,AJ$29),"&lt;&gt;"))</f>
        <v/>
      </c>
      <c r="AO95" s="22">
        <f>IF(OR($C95=1,AK$29=""),0,COUNTIFS(INDEX(ALGO!$A$2:$BZ$20001,0,$B$19),$B$1,INDEX(ALGO!$A$2:$BZ$20001,0,$B$20),"*",INDEX(ALGO!$A$2:$BZ$20001,0,$B$18),$B95,INDEX(ALGO!$A$2:$BZ$20001,0,AK$29),"&lt;&gt;"))</f>
        <v/>
      </c>
      <c r="AP95" s="22">
        <f>IF(OR($C95=1,AL$29=""),0,COUNTIFS(INDEX(ALGO!$A$2:$BZ$20001,0,$B$19),$B$1,INDEX(ALGO!$A$2:$BZ$20001,0,$B$20),"*",INDEX(ALGO!$A$2:$BZ$20001,0,$B$18),$B95,INDEX(ALGO!$A$2:$BZ$20001,0,AL$29),"&lt;&gt;"))</f>
        <v/>
      </c>
      <c r="AQ95" s="22">
        <f>IF(OR($C95=1,AM$29=""),0,COUNTIFS(INDEX(ALGO!$A$2:$BZ$20001,0,$B$19),$B$1,INDEX(ALGO!$A$2:$BZ$20001,0,$B$20),"*",INDEX(ALGO!$A$2:$BZ$20001,0,$B$18),$B95,INDEX(ALGO!$A$2:$BZ$20001,0,AM$29),"&lt;&gt;"))</f>
        <v/>
      </c>
    </row>
    <row r="96">
      <c r="A96" s="20" t="n">
        <v>17</v>
      </c>
      <c r="B96" s="20">
        <f>IF($A96&gt;$B$77,"",IFERROR(INDEX(ALGO!$A$1:$BZ$20001,1+$A96,$B$18),""))</f>
        <v/>
      </c>
      <c r="C96" s="20">
        <f>IF($B96="",1,IF(COUNTIF($A$200:$A$202,$B96)&gt;0,1,0))</f>
        <v/>
      </c>
      <c r="D96" s="20">
        <f>IF($C96=1,0,SUM($H96:$AQ96))</f>
        <v/>
      </c>
      <c r="E96" s="20">
        <f>$E95+IF($D96&gt;0,1,0)</f>
        <v/>
      </c>
      <c r="H96" s="22">
        <f>IF(OR($C96=1,D$29=""),0,COUNTIFS(INDEX(ALGO!$A$2:$BZ$20001,0,$B$19),$B$1,INDEX(ALGO!$A$2:$BZ$20001,0,$B$20),"*",INDEX(ALGO!$A$2:$BZ$20001,0,$B$18),$B96,INDEX(ALGO!$A$2:$BZ$20001,0,D$29),"&lt;&gt;"))</f>
        <v/>
      </c>
      <c r="I96" s="22">
        <f>IF(OR($C96=1,E$29=""),0,COUNTIFS(INDEX(ALGO!$A$2:$BZ$20001,0,$B$19),$B$1,INDEX(ALGO!$A$2:$BZ$20001,0,$B$20),"*",INDEX(ALGO!$A$2:$BZ$20001,0,$B$18),$B96,INDEX(ALGO!$A$2:$BZ$20001,0,E$29),"&lt;&gt;"))</f>
        <v/>
      </c>
      <c r="J96" s="22">
        <f>IF(OR($C96=1,F$29=""),0,COUNTIFS(INDEX(ALGO!$A$2:$BZ$20001,0,$B$19),$B$1,INDEX(ALGO!$A$2:$BZ$20001,0,$B$20),"*",INDEX(ALGO!$A$2:$BZ$20001,0,$B$18),$B96,INDEX(ALGO!$A$2:$BZ$20001,0,F$29),"&lt;&gt;"))</f>
        <v/>
      </c>
      <c r="K96" s="22">
        <f>IF(OR($C96=1,G$29=""),0,COUNTIFS(INDEX(ALGO!$A$2:$BZ$20001,0,$B$19),$B$1,INDEX(ALGO!$A$2:$BZ$20001,0,$B$20),"*",INDEX(ALGO!$A$2:$BZ$20001,0,$B$18),$B96,INDEX(ALGO!$A$2:$BZ$20001,0,G$29),"&lt;&gt;"))</f>
        <v/>
      </c>
      <c r="L96" s="22">
        <f>IF(OR($C96=1,H$29=""),0,COUNTIFS(INDEX(ALGO!$A$2:$BZ$20001,0,$B$19),$B$1,INDEX(ALGO!$A$2:$BZ$20001,0,$B$20),"*",INDEX(ALGO!$A$2:$BZ$20001,0,$B$18),$B96,INDEX(ALGO!$A$2:$BZ$20001,0,H$29),"&lt;&gt;"))</f>
        <v/>
      </c>
      <c r="M96" s="22">
        <f>IF(OR($C96=1,I$29=""),0,COUNTIFS(INDEX(ALGO!$A$2:$BZ$20001,0,$B$19),$B$1,INDEX(ALGO!$A$2:$BZ$20001,0,$B$20),"*",INDEX(ALGO!$A$2:$BZ$20001,0,$B$18),$B96,INDEX(ALGO!$A$2:$BZ$20001,0,I$29),"&lt;&gt;"))</f>
        <v/>
      </c>
      <c r="N96" s="22">
        <f>IF(OR($C96=1,J$29=""),0,COUNTIFS(INDEX(ALGO!$A$2:$BZ$20001,0,$B$19),$B$1,INDEX(ALGO!$A$2:$BZ$20001,0,$B$20),"*",INDEX(ALGO!$A$2:$BZ$20001,0,$B$18),$B96,INDEX(ALGO!$A$2:$BZ$20001,0,J$29),"&lt;&gt;"))</f>
        <v/>
      </c>
      <c r="O96" s="22">
        <f>IF(OR($C96=1,K$29=""),0,COUNTIFS(INDEX(ALGO!$A$2:$BZ$20001,0,$B$19),$B$1,INDEX(ALGO!$A$2:$BZ$20001,0,$B$20),"*",INDEX(ALGO!$A$2:$BZ$20001,0,$B$18),$B96,INDEX(ALGO!$A$2:$BZ$20001,0,K$29),"&lt;&gt;"))</f>
        <v/>
      </c>
      <c r="P96" s="22">
        <f>IF(OR($C96=1,L$29=""),0,COUNTIFS(INDEX(ALGO!$A$2:$BZ$20001,0,$B$19),$B$1,INDEX(ALGO!$A$2:$BZ$20001,0,$B$20),"*",INDEX(ALGO!$A$2:$BZ$20001,0,$B$18),$B96,INDEX(ALGO!$A$2:$BZ$20001,0,L$29),"&lt;&gt;"))</f>
        <v/>
      </c>
      <c r="Q96" s="22">
        <f>IF(OR($C96=1,M$29=""),0,COUNTIFS(INDEX(ALGO!$A$2:$BZ$20001,0,$B$19),$B$1,INDEX(ALGO!$A$2:$BZ$20001,0,$B$20),"*",INDEX(ALGO!$A$2:$BZ$20001,0,$B$18),$B96,INDEX(ALGO!$A$2:$BZ$20001,0,M$29),"&lt;&gt;"))</f>
        <v/>
      </c>
      <c r="R96" s="22">
        <f>IF(OR($C96=1,N$29=""),0,COUNTIFS(INDEX(ALGO!$A$2:$BZ$20001,0,$B$19),$B$1,INDEX(ALGO!$A$2:$BZ$20001,0,$B$20),"*",INDEX(ALGO!$A$2:$BZ$20001,0,$B$18),$B96,INDEX(ALGO!$A$2:$BZ$20001,0,N$29),"&lt;&gt;"))</f>
        <v/>
      </c>
      <c r="S96" s="22">
        <f>IF(OR($C96=1,O$29=""),0,COUNTIFS(INDEX(ALGO!$A$2:$BZ$20001,0,$B$19),$B$1,INDEX(ALGO!$A$2:$BZ$20001,0,$B$20),"*",INDEX(ALGO!$A$2:$BZ$20001,0,$B$18),$B96,INDEX(ALGO!$A$2:$BZ$20001,0,O$29),"&lt;&gt;"))</f>
        <v/>
      </c>
      <c r="T96" s="22">
        <f>IF(OR($C96=1,P$29=""),0,COUNTIFS(INDEX(ALGO!$A$2:$BZ$20001,0,$B$19),$B$1,INDEX(ALGO!$A$2:$BZ$20001,0,$B$20),"*",INDEX(ALGO!$A$2:$BZ$20001,0,$B$18),$B96,INDEX(ALGO!$A$2:$BZ$20001,0,P$29),"&lt;&gt;"))</f>
        <v/>
      </c>
      <c r="U96" s="22">
        <f>IF(OR($C96=1,Q$29=""),0,COUNTIFS(INDEX(ALGO!$A$2:$BZ$20001,0,$B$19),$B$1,INDEX(ALGO!$A$2:$BZ$20001,0,$B$20),"*",INDEX(ALGO!$A$2:$BZ$20001,0,$B$18),$B96,INDEX(ALGO!$A$2:$BZ$20001,0,Q$29),"&lt;&gt;"))</f>
        <v/>
      </c>
      <c r="V96" s="22">
        <f>IF(OR($C96=1,R$29=""),0,COUNTIFS(INDEX(ALGO!$A$2:$BZ$20001,0,$B$19),$B$1,INDEX(ALGO!$A$2:$BZ$20001,0,$B$20),"*",INDEX(ALGO!$A$2:$BZ$20001,0,$B$18),$B96,INDEX(ALGO!$A$2:$BZ$20001,0,R$29),"&lt;&gt;"))</f>
        <v/>
      </c>
      <c r="W96" s="22">
        <f>IF(OR($C96=1,S$29=""),0,COUNTIFS(INDEX(ALGO!$A$2:$BZ$20001,0,$B$19),$B$1,INDEX(ALGO!$A$2:$BZ$20001,0,$B$20),"*",INDEX(ALGO!$A$2:$BZ$20001,0,$B$18),$B96,INDEX(ALGO!$A$2:$BZ$20001,0,S$29),"&lt;&gt;"))</f>
        <v/>
      </c>
      <c r="X96" s="22">
        <f>IF(OR($C96=1,T$29=""),0,COUNTIFS(INDEX(ALGO!$A$2:$BZ$20001,0,$B$19),$B$1,INDEX(ALGO!$A$2:$BZ$20001,0,$B$20),"*",INDEX(ALGO!$A$2:$BZ$20001,0,$B$18),$B96,INDEX(ALGO!$A$2:$BZ$20001,0,T$29),"&lt;&gt;"))</f>
        <v/>
      </c>
      <c r="Y96" s="22">
        <f>IF(OR($C96=1,U$29=""),0,COUNTIFS(INDEX(ALGO!$A$2:$BZ$20001,0,$B$19),$B$1,INDEX(ALGO!$A$2:$BZ$20001,0,$B$20),"*",INDEX(ALGO!$A$2:$BZ$20001,0,$B$18),$B96,INDEX(ALGO!$A$2:$BZ$20001,0,U$29),"&lt;&gt;"))</f>
        <v/>
      </c>
      <c r="Z96" s="22">
        <f>IF(OR($C96=1,V$29=""),0,COUNTIFS(INDEX(ALGO!$A$2:$BZ$20001,0,$B$19),$B$1,INDEX(ALGO!$A$2:$BZ$20001,0,$B$20),"*",INDEX(ALGO!$A$2:$BZ$20001,0,$B$18),$B96,INDEX(ALGO!$A$2:$BZ$20001,0,V$29),"&lt;&gt;"))</f>
        <v/>
      </c>
      <c r="AA96" s="22">
        <f>IF(OR($C96=1,W$29=""),0,COUNTIFS(INDEX(ALGO!$A$2:$BZ$20001,0,$B$19),$B$1,INDEX(ALGO!$A$2:$BZ$20001,0,$B$20),"*",INDEX(ALGO!$A$2:$BZ$20001,0,$B$18),$B96,INDEX(ALGO!$A$2:$BZ$20001,0,W$29),"&lt;&gt;"))</f>
        <v/>
      </c>
      <c r="AB96" s="22">
        <f>IF(OR($C96=1,X$29=""),0,COUNTIFS(INDEX(ALGO!$A$2:$BZ$20001,0,$B$19),$B$1,INDEX(ALGO!$A$2:$BZ$20001,0,$B$20),"*",INDEX(ALGO!$A$2:$BZ$20001,0,$B$18),$B96,INDEX(ALGO!$A$2:$BZ$20001,0,X$29),"&lt;&gt;"))</f>
        <v/>
      </c>
      <c r="AC96" s="22">
        <f>IF(OR($C96=1,Y$29=""),0,COUNTIFS(INDEX(ALGO!$A$2:$BZ$20001,0,$B$19),$B$1,INDEX(ALGO!$A$2:$BZ$20001,0,$B$20),"*",INDEX(ALGO!$A$2:$BZ$20001,0,$B$18),$B96,INDEX(ALGO!$A$2:$BZ$20001,0,Y$29),"&lt;&gt;"))</f>
        <v/>
      </c>
      <c r="AD96" s="22">
        <f>IF(OR($C96=1,Z$29=""),0,COUNTIFS(INDEX(ALGO!$A$2:$BZ$20001,0,$B$19),$B$1,INDEX(ALGO!$A$2:$BZ$20001,0,$B$20),"*",INDEX(ALGO!$A$2:$BZ$20001,0,$B$18),$B96,INDEX(ALGO!$A$2:$BZ$20001,0,Z$29),"&lt;&gt;"))</f>
        <v/>
      </c>
      <c r="AE96" s="22">
        <f>IF(OR($C96=1,AA$29=""),0,COUNTIFS(INDEX(ALGO!$A$2:$BZ$20001,0,$B$19),$B$1,INDEX(ALGO!$A$2:$BZ$20001,0,$B$20),"*",INDEX(ALGO!$A$2:$BZ$20001,0,$B$18),$B96,INDEX(ALGO!$A$2:$BZ$20001,0,AA$29),"&lt;&gt;"))</f>
        <v/>
      </c>
      <c r="AF96" s="22">
        <f>IF(OR($C96=1,AB$29=""),0,COUNTIFS(INDEX(ALGO!$A$2:$BZ$20001,0,$B$19),$B$1,INDEX(ALGO!$A$2:$BZ$20001,0,$B$20),"*",INDEX(ALGO!$A$2:$BZ$20001,0,$B$18),$B96,INDEX(ALGO!$A$2:$BZ$20001,0,AB$29),"&lt;&gt;"))</f>
        <v/>
      </c>
      <c r="AG96" s="22">
        <f>IF(OR($C96=1,AC$29=""),0,COUNTIFS(INDEX(ALGO!$A$2:$BZ$20001,0,$B$19),$B$1,INDEX(ALGO!$A$2:$BZ$20001,0,$B$20),"*",INDEX(ALGO!$A$2:$BZ$20001,0,$B$18),$B96,INDEX(ALGO!$A$2:$BZ$20001,0,AC$29),"&lt;&gt;"))</f>
        <v/>
      </c>
      <c r="AH96" s="22">
        <f>IF(OR($C96=1,AD$29=""),0,COUNTIFS(INDEX(ALGO!$A$2:$BZ$20001,0,$B$19),$B$1,INDEX(ALGO!$A$2:$BZ$20001,0,$B$20),"*",INDEX(ALGO!$A$2:$BZ$20001,0,$B$18),$B96,INDEX(ALGO!$A$2:$BZ$20001,0,AD$29),"&lt;&gt;"))</f>
        <v/>
      </c>
      <c r="AI96" s="22">
        <f>IF(OR($C96=1,AE$29=""),0,COUNTIFS(INDEX(ALGO!$A$2:$BZ$20001,0,$B$19),$B$1,INDEX(ALGO!$A$2:$BZ$20001,0,$B$20),"*",INDEX(ALGO!$A$2:$BZ$20001,0,$B$18),$B96,INDEX(ALGO!$A$2:$BZ$20001,0,AE$29),"&lt;&gt;"))</f>
        <v/>
      </c>
      <c r="AJ96" s="22">
        <f>IF(OR($C96=1,AF$29=""),0,COUNTIFS(INDEX(ALGO!$A$2:$BZ$20001,0,$B$19),$B$1,INDEX(ALGO!$A$2:$BZ$20001,0,$B$20),"*",INDEX(ALGO!$A$2:$BZ$20001,0,$B$18),$B96,INDEX(ALGO!$A$2:$BZ$20001,0,AF$29),"&lt;&gt;"))</f>
        <v/>
      </c>
      <c r="AK96" s="22">
        <f>IF(OR($C96=1,AG$29=""),0,COUNTIFS(INDEX(ALGO!$A$2:$BZ$20001,0,$B$19),$B$1,INDEX(ALGO!$A$2:$BZ$20001,0,$B$20),"*",INDEX(ALGO!$A$2:$BZ$20001,0,$B$18),$B96,INDEX(ALGO!$A$2:$BZ$20001,0,AG$29),"&lt;&gt;"))</f>
        <v/>
      </c>
      <c r="AL96" s="22">
        <f>IF(OR($C96=1,AH$29=""),0,COUNTIFS(INDEX(ALGO!$A$2:$BZ$20001,0,$B$19),$B$1,INDEX(ALGO!$A$2:$BZ$20001,0,$B$20),"*",INDEX(ALGO!$A$2:$BZ$20001,0,$B$18),$B96,INDEX(ALGO!$A$2:$BZ$20001,0,AH$29),"&lt;&gt;"))</f>
        <v/>
      </c>
      <c r="AM96" s="22">
        <f>IF(OR($C96=1,AI$29=""),0,COUNTIFS(INDEX(ALGO!$A$2:$BZ$20001,0,$B$19),$B$1,INDEX(ALGO!$A$2:$BZ$20001,0,$B$20),"*",INDEX(ALGO!$A$2:$BZ$20001,0,$B$18),$B96,INDEX(ALGO!$A$2:$BZ$20001,0,AI$29),"&lt;&gt;"))</f>
        <v/>
      </c>
      <c r="AN96" s="22">
        <f>IF(OR($C96=1,AJ$29=""),0,COUNTIFS(INDEX(ALGO!$A$2:$BZ$20001,0,$B$19),$B$1,INDEX(ALGO!$A$2:$BZ$20001,0,$B$20),"*",INDEX(ALGO!$A$2:$BZ$20001,0,$B$18),$B96,INDEX(ALGO!$A$2:$BZ$20001,0,AJ$29),"&lt;&gt;"))</f>
        <v/>
      </c>
      <c r="AO96" s="22">
        <f>IF(OR($C96=1,AK$29=""),0,COUNTIFS(INDEX(ALGO!$A$2:$BZ$20001,0,$B$19),$B$1,INDEX(ALGO!$A$2:$BZ$20001,0,$B$20),"*",INDEX(ALGO!$A$2:$BZ$20001,0,$B$18),$B96,INDEX(ALGO!$A$2:$BZ$20001,0,AK$29),"&lt;&gt;"))</f>
        <v/>
      </c>
      <c r="AP96" s="22">
        <f>IF(OR($C96=1,AL$29=""),0,COUNTIFS(INDEX(ALGO!$A$2:$BZ$20001,0,$B$19),$B$1,INDEX(ALGO!$A$2:$BZ$20001,0,$B$20),"*",INDEX(ALGO!$A$2:$BZ$20001,0,$B$18),$B96,INDEX(ALGO!$A$2:$BZ$20001,0,AL$29),"&lt;&gt;"))</f>
        <v/>
      </c>
      <c r="AQ96" s="22">
        <f>IF(OR($C96=1,AM$29=""),0,COUNTIFS(INDEX(ALGO!$A$2:$BZ$20001,0,$B$19),$B$1,INDEX(ALGO!$A$2:$BZ$20001,0,$B$20),"*",INDEX(ALGO!$A$2:$BZ$20001,0,$B$18),$B96,INDEX(ALGO!$A$2:$BZ$20001,0,AM$29),"&lt;&gt;"))</f>
        <v/>
      </c>
    </row>
    <row r="97">
      <c r="A97" s="20" t="n">
        <v>18</v>
      </c>
      <c r="B97" s="20">
        <f>IF($A97&gt;$B$77,"",IFERROR(INDEX(ALGO!$A$1:$BZ$20001,1+$A97,$B$18),""))</f>
        <v/>
      </c>
      <c r="C97" s="20">
        <f>IF($B97="",1,IF(COUNTIF($A$200:$A$202,$B97)&gt;0,1,0))</f>
        <v/>
      </c>
      <c r="D97" s="20">
        <f>IF($C97=1,0,SUM($H97:$AQ97))</f>
        <v/>
      </c>
      <c r="E97" s="20">
        <f>$E96+IF($D97&gt;0,1,0)</f>
        <v/>
      </c>
      <c r="H97" s="22">
        <f>IF(OR($C97=1,D$29=""),0,COUNTIFS(INDEX(ALGO!$A$2:$BZ$20001,0,$B$19),$B$1,INDEX(ALGO!$A$2:$BZ$20001,0,$B$20),"*",INDEX(ALGO!$A$2:$BZ$20001,0,$B$18),$B97,INDEX(ALGO!$A$2:$BZ$20001,0,D$29),"&lt;&gt;"))</f>
        <v/>
      </c>
      <c r="I97" s="22">
        <f>IF(OR($C97=1,E$29=""),0,COUNTIFS(INDEX(ALGO!$A$2:$BZ$20001,0,$B$19),$B$1,INDEX(ALGO!$A$2:$BZ$20001,0,$B$20),"*",INDEX(ALGO!$A$2:$BZ$20001,0,$B$18),$B97,INDEX(ALGO!$A$2:$BZ$20001,0,E$29),"&lt;&gt;"))</f>
        <v/>
      </c>
      <c r="J97" s="22">
        <f>IF(OR($C97=1,F$29=""),0,COUNTIFS(INDEX(ALGO!$A$2:$BZ$20001,0,$B$19),$B$1,INDEX(ALGO!$A$2:$BZ$20001,0,$B$20),"*",INDEX(ALGO!$A$2:$BZ$20001,0,$B$18),$B97,INDEX(ALGO!$A$2:$BZ$20001,0,F$29),"&lt;&gt;"))</f>
        <v/>
      </c>
      <c r="K97" s="22">
        <f>IF(OR($C97=1,G$29=""),0,COUNTIFS(INDEX(ALGO!$A$2:$BZ$20001,0,$B$19),$B$1,INDEX(ALGO!$A$2:$BZ$20001,0,$B$20),"*",INDEX(ALGO!$A$2:$BZ$20001,0,$B$18),$B97,INDEX(ALGO!$A$2:$BZ$20001,0,G$29),"&lt;&gt;"))</f>
        <v/>
      </c>
      <c r="L97" s="22">
        <f>IF(OR($C97=1,H$29=""),0,COUNTIFS(INDEX(ALGO!$A$2:$BZ$20001,0,$B$19),$B$1,INDEX(ALGO!$A$2:$BZ$20001,0,$B$20),"*",INDEX(ALGO!$A$2:$BZ$20001,0,$B$18),$B97,INDEX(ALGO!$A$2:$BZ$20001,0,H$29),"&lt;&gt;"))</f>
        <v/>
      </c>
      <c r="M97" s="22">
        <f>IF(OR($C97=1,I$29=""),0,COUNTIFS(INDEX(ALGO!$A$2:$BZ$20001,0,$B$19),$B$1,INDEX(ALGO!$A$2:$BZ$20001,0,$B$20),"*",INDEX(ALGO!$A$2:$BZ$20001,0,$B$18),$B97,INDEX(ALGO!$A$2:$BZ$20001,0,I$29),"&lt;&gt;"))</f>
        <v/>
      </c>
      <c r="N97" s="22">
        <f>IF(OR($C97=1,J$29=""),0,COUNTIFS(INDEX(ALGO!$A$2:$BZ$20001,0,$B$19),$B$1,INDEX(ALGO!$A$2:$BZ$20001,0,$B$20),"*",INDEX(ALGO!$A$2:$BZ$20001,0,$B$18),$B97,INDEX(ALGO!$A$2:$BZ$20001,0,J$29),"&lt;&gt;"))</f>
        <v/>
      </c>
      <c r="O97" s="22">
        <f>IF(OR($C97=1,K$29=""),0,COUNTIFS(INDEX(ALGO!$A$2:$BZ$20001,0,$B$19),$B$1,INDEX(ALGO!$A$2:$BZ$20001,0,$B$20),"*",INDEX(ALGO!$A$2:$BZ$20001,0,$B$18),$B97,INDEX(ALGO!$A$2:$BZ$20001,0,K$29),"&lt;&gt;"))</f>
        <v/>
      </c>
      <c r="P97" s="22">
        <f>IF(OR($C97=1,L$29=""),0,COUNTIFS(INDEX(ALGO!$A$2:$BZ$20001,0,$B$19),$B$1,INDEX(ALGO!$A$2:$BZ$20001,0,$B$20),"*",INDEX(ALGO!$A$2:$BZ$20001,0,$B$18),$B97,INDEX(ALGO!$A$2:$BZ$20001,0,L$29),"&lt;&gt;"))</f>
        <v/>
      </c>
      <c r="Q97" s="22">
        <f>IF(OR($C97=1,M$29=""),0,COUNTIFS(INDEX(ALGO!$A$2:$BZ$20001,0,$B$19),$B$1,INDEX(ALGO!$A$2:$BZ$20001,0,$B$20),"*",INDEX(ALGO!$A$2:$BZ$20001,0,$B$18),$B97,INDEX(ALGO!$A$2:$BZ$20001,0,M$29),"&lt;&gt;"))</f>
        <v/>
      </c>
      <c r="R97" s="22">
        <f>IF(OR($C97=1,N$29=""),0,COUNTIFS(INDEX(ALGO!$A$2:$BZ$20001,0,$B$19),$B$1,INDEX(ALGO!$A$2:$BZ$20001,0,$B$20),"*",INDEX(ALGO!$A$2:$BZ$20001,0,$B$18),$B97,INDEX(ALGO!$A$2:$BZ$20001,0,N$29),"&lt;&gt;"))</f>
        <v/>
      </c>
      <c r="S97" s="22">
        <f>IF(OR($C97=1,O$29=""),0,COUNTIFS(INDEX(ALGO!$A$2:$BZ$20001,0,$B$19),$B$1,INDEX(ALGO!$A$2:$BZ$20001,0,$B$20),"*",INDEX(ALGO!$A$2:$BZ$20001,0,$B$18),$B97,INDEX(ALGO!$A$2:$BZ$20001,0,O$29),"&lt;&gt;"))</f>
        <v/>
      </c>
      <c r="T97" s="22">
        <f>IF(OR($C97=1,P$29=""),0,COUNTIFS(INDEX(ALGO!$A$2:$BZ$20001,0,$B$19),$B$1,INDEX(ALGO!$A$2:$BZ$20001,0,$B$20),"*",INDEX(ALGO!$A$2:$BZ$20001,0,$B$18),$B97,INDEX(ALGO!$A$2:$BZ$20001,0,P$29),"&lt;&gt;"))</f>
        <v/>
      </c>
      <c r="U97" s="22">
        <f>IF(OR($C97=1,Q$29=""),0,COUNTIFS(INDEX(ALGO!$A$2:$BZ$20001,0,$B$19),$B$1,INDEX(ALGO!$A$2:$BZ$20001,0,$B$20),"*",INDEX(ALGO!$A$2:$BZ$20001,0,$B$18),$B97,INDEX(ALGO!$A$2:$BZ$20001,0,Q$29),"&lt;&gt;"))</f>
        <v/>
      </c>
      <c r="V97" s="22">
        <f>IF(OR($C97=1,R$29=""),0,COUNTIFS(INDEX(ALGO!$A$2:$BZ$20001,0,$B$19),$B$1,INDEX(ALGO!$A$2:$BZ$20001,0,$B$20),"*",INDEX(ALGO!$A$2:$BZ$20001,0,$B$18),$B97,INDEX(ALGO!$A$2:$BZ$20001,0,R$29),"&lt;&gt;"))</f>
        <v/>
      </c>
      <c r="W97" s="22">
        <f>IF(OR($C97=1,S$29=""),0,COUNTIFS(INDEX(ALGO!$A$2:$BZ$20001,0,$B$19),$B$1,INDEX(ALGO!$A$2:$BZ$20001,0,$B$20),"*",INDEX(ALGO!$A$2:$BZ$20001,0,$B$18),$B97,INDEX(ALGO!$A$2:$BZ$20001,0,S$29),"&lt;&gt;"))</f>
        <v/>
      </c>
      <c r="X97" s="22">
        <f>IF(OR($C97=1,T$29=""),0,COUNTIFS(INDEX(ALGO!$A$2:$BZ$20001,0,$B$19),$B$1,INDEX(ALGO!$A$2:$BZ$20001,0,$B$20),"*",INDEX(ALGO!$A$2:$BZ$20001,0,$B$18),$B97,INDEX(ALGO!$A$2:$BZ$20001,0,T$29),"&lt;&gt;"))</f>
        <v/>
      </c>
      <c r="Y97" s="22">
        <f>IF(OR($C97=1,U$29=""),0,COUNTIFS(INDEX(ALGO!$A$2:$BZ$20001,0,$B$19),$B$1,INDEX(ALGO!$A$2:$BZ$20001,0,$B$20),"*",INDEX(ALGO!$A$2:$BZ$20001,0,$B$18),$B97,INDEX(ALGO!$A$2:$BZ$20001,0,U$29),"&lt;&gt;"))</f>
        <v/>
      </c>
      <c r="Z97" s="22">
        <f>IF(OR($C97=1,V$29=""),0,COUNTIFS(INDEX(ALGO!$A$2:$BZ$20001,0,$B$19),$B$1,INDEX(ALGO!$A$2:$BZ$20001,0,$B$20),"*",INDEX(ALGO!$A$2:$BZ$20001,0,$B$18),$B97,INDEX(ALGO!$A$2:$BZ$20001,0,V$29),"&lt;&gt;"))</f>
        <v/>
      </c>
      <c r="AA97" s="22">
        <f>IF(OR($C97=1,W$29=""),0,COUNTIFS(INDEX(ALGO!$A$2:$BZ$20001,0,$B$19),$B$1,INDEX(ALGO!$A$2:$BZ$20001,0,$B$20),"*",INDEX(ALGO!$A$2:$BZ$20001,0,$B$18),$B97,INDEX(ALGO!$A$2:$BZ$20001,0,W$29),"&lt;&gt;"))</f>
        <v/>
      </c>
      <c r="AB97" s="22">
        <f>IF(OR($C97=1,X$29=""),0,COUNTIFS(INDEX(ALGO!$A$2:$BZ$20001,0,$B$19),$B$1,INDEX(ALGO!$A$2:$BZ$20001,0,$B$20),"*",INDEX(ALGO!$A$2:$BZ$20001,0,$B$18),$B97,INDEX(ALGO!$A$2:$BZ$20001,0,X$29),"&lt;&gt;"))</f>
        <v/>
      </c>
      <c r="AC97" s="22">
        <f>IF(OR($C97=1,Y$29=""),0,COUNTIFS(INDEX(ALGO!$A$2:$BZ$20001,0,$B$19),$B$1,INDEX(ALGO!$A$2:$BZ$20001,0,$B$20),"*",INDEX(ALGO!$A$2:$BZ$20001,0,$B$18),$B97,INDEX(ALGO!$A$2:$BZ$20001,0,Y$29),"&lt;&gt;"))</f>
        <v/>
      </c>
      <c r="AD97" s="22">
        <f>IF(OR($C97=1,Z$29=""),0,COUNTIFS(INDEX(ALGO!$A$2:$BZ$20001,0,$B$19),$B$1,INDEX(ALGO!$A$2:$BZ$20001,0,$B$20),"*",INDEX(ALGO!$A$2:$BZ$20001,0,$B$18),$B97,INDEX(ALGO!$A$2:$BZ$20001,0,Z$29),"&lt;&gt;"))</f>
        <v/>
      </c>
      <c r="AE97" s="22">
        <f>IF(OR($C97=1,AA$29=""),0,COUNTIFS(INDEX(ALGO!$A$2:$BZ$20001,0,$B$19),$B$1,INDEX(ALGO!$A$2:$BZ$20001,0,$B$20),"*",INDEX(ALGO!$A$2:$BZ$20001,0,$B$18),$B97,INDEX(ALGO!$A$2:$BZ$20001,0,AA$29),"&lt;&gt;"))</f>
        <v/>
      </c>
      <c r="AF97" s="22">
        <f>IF(OR($C97=1,AB$29=""),0,COUNTIFS(INDEX(ALGO!$A$2:$BZ$20001,0,$B$19),$B$1,INDEX(ALGO!$A$2:$BZ$20001,0,$B$20),"*",INDEX(ALGO!$A$2:$BZ$20001,0,$B$18),$B97,INDEX(ALGO!$A$2:$BZ$20001,0,AB$29),"&lt;&gt;"))</f>
        <v/>
      </c>
      <c r="AG97" s="22">
        <f>IF(OR($C97=1,AC$29=""),0,COUNTIFS(INDEX(ALGO!$A$2:$BZ$20001,0,$B$19),$B$1,INDEX(ALGO!$A$2:$BZ$20001,0,$B$20),"*",INDEX(ALGO!$A$2:$BZ$20001,0,$B$18),$B97,INDEX(ALGO!$A$2:$BZ$20001,0,AC$29),"&lt;&gt;"))</f>
        <v/>
      </c>
      <c r="AH97" s="22">
        <f>IF(OR($C97=1,AD$29=""),0,COUNTIFS(INDEX(ALGO!$A$2:$BZ$20001,0,$B$19),$B$1,INDEX(ALGO!$A$2:$BZ$20001,0,$B$20),"*",INDEX(ALGO!$A$2:$BZ$20001,0,$B$18),$B97,INDEX(ALGO!$A$2:$BZ$20001,0,AD$29),"&lt;&gt;"))</f>
        <v/>
      </c>
      <c r="AI97" s="22">
        <f>IF(OR($C97=1,AE$29=""),0,COUNTIFS(INDEX(ALGO!$A$2:$BZ$20001,0,$B$19),$B$1,INDEX(ALGO!$A$2:$BZ$20001,0,$B$20),"*",INDEX(ALGO!$A$2:$BZ$20001,0,$B$18),$B97,INDEX(ALGO!$A$2:$BZ$20001,0,AE$29),"&lt;&gt;"))</f>
        <v/>
      </c>
      <c r="AJ97" s="22">
        <f>IF(OR($C97=1,AF$29=""),0,COUNTIFS(INDEX(ALGO!$A$2:$BZ$20001,0,$B$19),$B$1,INDEX(ALGO!$A$2:$BZ$20001,0,$B$20),"*",INDEX(ALGO!$A$2:$BZ$20001,0,$B$18),$B97,INDEX(ALGO!$A$2:$BZ$20001,0,AF$29),"&lt;&gt;"))</f>
        <v/>
      </c>
      <c r="AK97" s="22">
        <f>IF(OR($C97=1,AG$29=""),0,COUNTIFS(INDEX(ALGO!$A$2:$BZ$20001,0,$B$19),$B$1,INDEX(ALGO!$A$2:$BZ$20001,0,$B$20),"*",INDEX(ALGO!$A$2:$BZ$20001,0,$B$18),$B97,INDEX(ALGO!$A$2:$BZ$20001,0,AG$29),"&lt;&gt;"))</f>
        <v/>
      </c>
      <c r="AL97" s="22">
        <f>IF(OR($C97=1,AH$29=""),0,COUNTIFS(INDEX(ALGO!$A$2:$BZ$20001,0,$B$19),$B$1,INDEX(ALGO!$A$2:$BZ$20001,0,$B$20),"*",INDEX(ALGO!$A$2:$BZ$20001,0,$B$18),$B97,INDEX(ALGO!$A$2:$BZ$20001,0,AH$29),"&lt;&gt;"))</f>
        <v/>
      </c>
      <c r="AM97" s="22">
        <f>IF(OR($C97=1,AI$29=""),0,COUNTIFS(INDEX(ALGO!$A$2:$BZ$20001,0,$B$19),$B$1,INDEX(ALGO!$A$2:$BZ$20001,0,$B$20),"*",INDEX(ALGO!$A$2:$BZ$20001,0,$B$18),$B97,INDEX(ALGO!$A$2:$BZ$20001,0,AI$29),"&lt;&gt;"))</f>
        <v/>
      </c>
      <c r="AN97" s="22">
        <f>IF(OR($C97=1,AJ$29=""),0,COUNTIFS(INDEX(ALGO!$A$2:$BZ$20001,0,$B$19),$B$1,INDEX(ALGO!$A$2:$BZ$20001,0,$B$20),"*",INDEX(ALGO!$A$2:$BZ$20001,0,$B$18),$B97,INDEX(ALGO!$A$2:$BZ$20001,0,AJ$29),"&lt;&gt;"))</f>
        <v/>
      </c>
      <c r="AO97" s="22">
        <f>IF(OR($C97=1,AK$29=""),0,COUNTIFS(INDEX(ALGO!$A$2:$BZ$20001,0,$B$19),$B$1,INDEX(ALGO!$A$2:$BZ$20001,0,$B$20),"*",INDEX(ALGO!$A$2:$BZ$20001,0,$B$18),$B97,INDEX(ALGO!$A$2:$BZ$20001,0,AK$29),"&lt;&gt;"))</f>
        <v/>
      </c>
      <c r="AP97" s="22">
        <f>IF(OR($C97=1,AL$29=""),0,COUNTIFS(INDEX(ALGO!$A$2:$BZ$20001,0,$B$19),$B$1,INDEX(ALGO!$A$2:$BZ$20001,0,$B$20),"*",INDEX(ALGO!$A$2:$BZ$20001,0,$B$18),$B97,INDEX(ALGO!$A$2:$BZ$20001,0,AL$29),"&lt;&gt;"))</f>
        <v/>
      </c>
      <c r="AQ97" s="22">
        <f>IF(OR($C97=1,AM$29=""),0,COUNTIFS(INDEX(ALGO!$A$2:$BZ$20001,0,$B$19),$B$1,INDEX(ALGO!$A$2:$BZ$20001,0,$B$20),"*",INDEX(ALGO!$A$2:$BZ$20001,0,$B$18),$B97,INDEX(ALGO!$A$2:$BZ$20001,0,AM$29),"&lt;&gt;"))</f>
        <v/>
      </c>
    </row>
    <row r="98">
      <c r="A98" s="20" t="n">
        <v>19</v>
      </c>
      <c r="B98" s="20">
        <f>IF($A98&gt;$B$77,"",IFERROR(INDEX(ALGO!$A$1:$BZ$20001,1+$A98,$B$18),""))</f>
        <v/>
      </c>
      <c r="C98" s="20">
        <f>IF($B98="",1,IF(COUNTIF($A$200:$A$202,$B98)&gt;0,1,0))</f>
        <v/>
      </c>
      <c r="D98" s="20">
        <f>IF($C98=1,0,SUM($H98:$AQ98))</f>
        <v/>
      </c>
      <c r="E98" s="20">
        <f>$E97+IF($D98&gt;0,1,0)</f>
        <v/>
      </c>
      <c r="H98" s="22">
        <f>IF(OR($C98=1,D$29=""),0,COUNTIFS(INDEX(ALGO!$A$2:$BZ$20001,0,$B$19),$B$1,INDEX(ALGO!$A$2:$BZ$20001,0,$B$20),"*",INDEX(ALGO!$A$2:$BZ$20001,0,$B$18),$B98,INDEX(ALGO!$A$2:$BZ$20001,0,D$29),"&lt;&gt;"))</f>
        <v/>
      </c>
      <c r="I98" s="22">
        <f>IF(OR($C98=1,E$29=""),0,COUNTIFS(INDEX(ALGO!$A$2:$BZ$20001,0,$B$19),$B$1,INDEX(ALGO!$A$2:$BZ$20001,0,$B$20),"*",INDEX(ALGO!$A$2:$BZ$20001,0,$B$18),$B98,INDEX(ALGO!$A$2:$BZ$20001,0,E$29),"&lt;&gt;"))</f>
        <v/>
      </c>
      <c r="J98" s="22">
        <f>IF(OR($C98=1,F$29=""),0,COUNTIFS(INDEX(ALGO!$A$2:$BZ$20001,0,$B$19),$B$1,INDEX(ALGO!$A$2:$BZ$20001,0,$B$20),"*",INDEX(ALGO!$A$2:$BZ$20001,0,$B$18),$B98,INDEX(ALGO!$A$2:$BZ$20001,0,F$29),"&lt;&gt;"))</f>
        <v/>
      </c>
      <c r="K98" s="22">
        <f>IF(OR($C98=1,G$29=""),0,COUNTIFS(INDEX(ALGO!$A$2:$BZ$20001,0,$B$19),$B$1,INDEX(ALGO!$A$2:$BZ$20001,0,$B$20),"*",INDEX(ALGO!$A$2:$BZ$20001,0,$B$18),$B98,INDEX(ALGO!$A$2:$BZ$20001,0,G$29),"&lt;&gt;"))</f>
        <v/>
      </c>
      <c r="L98" s="22">
        <f>IF(OR($C98=1,H$29=""),0,COUNTIFS(INDEX(ALGO!$A$2:$BZ$20001,0,$B$19),$B$1,INDEX(ALGO!$A$2:$BZ$20001,0,$B$20),"*",INDEX(ALGO!$A$2:$BZ$20001,0,$B$18),$B98,INDEX(ALGO!$A$2:$BZ$20001,0,H$29),"&lt;&gt;"))</f>
        <v/>
      </c>
      <c r="M98" s="22">
        <f>IF(OR($C98=1,I$29=""),0,COUNTIFS(INDEX(ALGO!$A$2:$BZ$20001,0,$B$19),$B$1,INDEX(ALGO!$A$2:$BZ$20001,0,$B$20),"*",INDEX(ALGO!$A$2:$BZ$20001,0,$B$18),$B98,INDEX(ALGO!$A$2:$BZ$20001,0,I$29),"&lt;&gt;"))</f>
        <v/>
      </c>
      <c r="N98" s="22">
        <f>IF(OR($C98=1,J$29=""),0,COUNTIFS(INDEX(ALGO!$A$2:$BZ$20001,0,$B$19),$B$1,INDEX(ALGO!$A$2:$BZ$20001,0,$B$20),"*",INDEX(ALGO!$A$2:$BZ$20001,0,$B$18),$B98,INDEX(ALGO!$A$2:$BZ$20001,0,J$29),"&lt;&gt;"))</f>
        <v/>
      </c>
      <c r="O98" s="22">
        <f>IF(OR($C98=1,K$29=""),0,COUNTIFS(INDEX(ALGO!$A$2:$BZ$20001,0,$B$19),$B$1,INDEX(ALGO!$A$2:$BZ$20001,0,$B$20),"*",INDEX(ALGO!$A$2:$BZ$20001,0,$B$18),$B98,INDEX(ALGO!$A$2:$BZ$20001,0,K$29),"&lt;&gt;"))</f>
        <v/>
      </c>
      <c r="P98" s="22">
        <f>IF(OR($C98=1,L$29=""),0,COUNTIFS(INDEX(ALGO!$A$2:$BZ$20001,0,$B$19),$B$1,INDEX(ALGO!$A$2:$BZ$20001,0,$B$20),"*",INDEX(ALGO!$A$2:$BZ$20001,0,$B$18),$B98,INDEX(ALGO!$A$2:$BZ$20001,0,L$29),"&lt;&gt;"))</f>
        <v/>
      </c>
      <c r="Q98" s="22">
        <f>IF(OR($C98=1,M$29=""),0,COUNTIFS(INDEX(ALGO!$A$2:$BZ$20001,0,$B$19),$B$1,INDEX(ALGO!$A$2:$BZ$20001,0,$B$20),"*",INDEX(ALGO!$A$2:$BZ$20001,0,$B$18),$B98,INDEX(ALGO!$A$2:$BZ$20001,0,M$29),"&lt;&gt;"))</f>
        <v/>
      </c>
      <c r="R98" s="22">
        <f>IF(OR($C98=1,N$29=""),0,COUNTIFS(INDEX(ALGO!$A$2:$BZ$20001,0,$B$19),$B$1,INDEX(ALGO!$A$2:$BZ$20001,0,$B$20),"*",INDEX(ALGO!$A$2:$BZ$20001,0,$B$18),$B98,INDEX(ALGO!$A$2:$BZ$20001,0,N$29),"&lt;&gt;"))</f>
        <v/>
      </c>
      <c r="S98" s="22">
        <f>IF(OR($C98=1,O$29=""),0,COUNTIFS(INDEX(ALGO!$A$2:$BZ$20001,0,$B$19),$B$1,INDEX(ALGO!$A$2:$BZ$20001,0,$B$20),"*",INDEX(ALGO!$A$2:$BZ$20001,0,$B$18),$B98,INDEX(ALGO!$A$2:$BZ$20001,0,O$29),"&lt;&gt;"))</f>
        <v/>
      </c>
      <c r="T98" s="22">
        <f>IF(OR($C98=1,P$29=""),0,COUNTIFS(INDEX(ALGO!$A$2:$BZ$20001,0,$B$19),$B$1,INDEX(ALGO!$A$2:$BZ$20001,0,$B$20),"*",INDEX(ALGO!$A$2:$BZ$20001,0,$B$18),$B98,INDEX(ALGO!$A$2:$BZ$20001,0,P$29),"&lt;&gt;"))</f>
        <v/>
      </c>
      <c r="U98" s="22">
        <f>IF(OR($C98=1,Q$29=""),0,COUNTIFS(INDEX(ALGO!$A$2:$BZ$20001,0,$B$19),$B$1,INDEX(ALGO!$A$2:$BZ$20001,0,$B$20),"*",INDEX(ALGO!$A$2:$BZ$20001,0,$B$18),$B98,INDEX(ALGO!$A$2:$BZ$20001,0,Q$29),"&lt;&gt;"))</f>
        <v/>
      </c>
      <c r="V98" s="22">
        <f>IF(OR($C98=1,R$29=""),0,COUNTIFS(INDEX(ALGO!$A$2:$BZ$20001,0,$B$19),$B$1,INDEX(ALGO!$A$2:$BZ$20001,0,$B$20),"*",INDEX(ALGO!$A$2:$BZ$20001,0,$B$18),$B98,INDEX(ALGO!$A$2:$BZ$20001,0,R$29),"&lt;&gt;"))</f>
        <v/>
      </c>
      <c r="W98" s="22">
        <f>IF(OR($C98=1,S$29=""),0,COUNTIFS(INDEX(ALGO!$A$2:$BZ$20001,0,$B$19),$B$1,INDEX(ALGO!$A$2:$BZ$20001,0,$B$20),"*",INDEX(ALGO!$A$2:$BZ$20001,0,$B$18),$B98,INDEX(ALGO!$A$2:$BZ$20001,0,S$29),"&lt;&gt;"))</f>
        <v/>
      </c>
      <c r="X98" s="22">
        <f>IF(OR($C98=1,T$29=""),0,COUNTIFS(INDEX(ALGO!$A$2:$BZ$20001,0,$B$19),$B$1,INDEX(ALGO!$A$2:$BZ$20001,0,$B$20),"*",INDEX(ALGO!$A$2:$BZ$20001,0,$B$18),$B98,INDEX(ALGO!$A$2:$BZ$20001,0,T$29),"&lt;&gt;"))</f>
        <v/>
      </c>
      <c r="Y98" s="22">
        <f>IF(OR($C98=1,U$29=""),0,COUNTIFS(INDEX(ALGO!$A$2:$BZ$20001,0,$B$19),$B$1,INDEX(ALGO!$A$2:$BZ$20001,0,$B$20),"*",INDEX(ALGO!$A$2:$BZ$20001,0,$B$18),$B98,INDEX(ALGO!$A$2:$BZ$20001,0,U$29),"&lt;&gt;"))</f>
        <v/>
      </c>
      <c r="Z98" s="22">
        <f>IF(OR($C98=1,V$29=""),0,COUNTIFS(INDEX(ALGO!$A$2:$BZ$20001,0,$B$19),$B$1,INDEX(ALGO!$A$2:$BZ$20001,0,$B$20),"*",INDEX(ALGO!$A$2:$BZ$20001,0,$B$18),$B98,INDEX(ALGO!$A$2:$BZ$20001,0,V$29),"&lt;&gt;"))</f>
        <v/>
      </c>
      <c r="AA98" s="22">
        <f>IF(OR($C98=1,W$29=""),0,COUNTIFS(INDEX(ALGO!$A$2:$BZ$20001,0,$B$19),$B$1,INDEX(ALGO!$A$2:$BZ$20001,0,$B$20),"*",INDEX(ALGO!$A$2:$BZ$20001,0,$B$18),$B98,INDEX(ALGO!$A$2:$BZ$20001,0,W$29),"&lt;&gt;"))</f>
        <v/>
      </c>
      <c r="AB98" s="22">
        <f>IF(OR($C98=1,X$29=""),0,COUNTIFS(INDEX(ALGO!$A$2:$BZ$20001,0,$B$19),$B$1,INDEX(ALGO!$A$2:$BZ$20001,0,$B$20),"*",INDEX(ALGO!$A$2:$BZ$20001,0,$B$18),$B98,INDEX(ALGO!$A$2:$BZ$20001,0,X$29),"&lt;&gt;"))</f>
        <v/>
      </c>
      <c r="AC98" s="22">
        <f>IF(OR($C98=1,Y$29=""),0,COUNTIFS(INDEX(ALGO!$A$2:$BZ$20001,0,$B$19),$B$1,INDEX(ALGO!$A$2:$BZ$20001,0,$B$20),"*",INDEX(ALGO!$A$2:$BZ$20001,0,$B$18),$B98,INDEX(ALGO!$A$2:$BZ$20001,0,Y$29),"&lt;&gt;"))</f>
        <v/>
      </c>
      <c r="AD98" s="22">
        <f>IF(OR($C98=1,Z$29=""),0,COUNTIFS(INDEX(ALGO!$A$2:$BZ$20001,0,$B$19),$B$1,INDEX(ALGO!$A$2:$BZ$20001,0,$B$20),"*",INDEX(ALGO!$A$2:$BZ$20001,0,$B$18),$B98,INDEX(ALGO!$A$2:$BZ$20001,0,Z$29),"&lt;&gt;"))</f>
        <v/>
      </c>
      <c r="AE98" s="22">
        <f>IF(OR($C98=1,AA$29=""),0,COUNTIFS(INDEX(ALGO!$A$2:$BZ$20001,0,$B$19),$B$1,INDEX(ALGO!$A$2:$BZ$20001,0,$B$20),"*",INDEX(ALGO!$A$2:$BZ$20001,0,$B$18),$B98,INDEX(ALGO!$A$2:$BZ$20001,0,AA$29),"&lt;&gt;"))</f>
        <v/>
      </c>
      <c r="AF98" s="22">
        <f>IF(OR($C98=1,AB$29=""),0,COUNTIFS(INDEX(ALGO!$A$2:$BZ$20001,0,$B$19),$B$1,INDEX(ALGO!$A$2:$BZ$20001,0,$B$20),"*",INDEX(ALGO!$A$2:$BZ$20001,0,$B$18),$B98,INDEX(ALGO!$A$2:$BZ$20001,0,AB$29),"&lt;&gt;"))</f>
        <v/>
      </c>
      <c r="AG98" s="22">
        <f>IF(OR($C98=1,AC$29=""),0,COUNTIFS(INDEX(ALGO!$A$2:$BZ$20001,0,$B$19),$B$1,INDEX(ALGO!$A$2:$BZ$20001,0,$B$20),"*",INDEX(ALGO!$A$2:$BZ$20001,0,$B$18),$B98,INDEX(ALGO!$A$2:$BZ$20001,0,AC$29),"&lt;&gt;"))</f>
        <v/>
      </c>
      <c r="AH98" s="22">
        <f>IF(OR($C98=1,AD$29=""),0,COUNTIFS(INDEX(ALGO!$A$2:$BZ$20001,0,$B$19),$B$1,INDEX(ALGO!$A$2:$BZ$20001,0,$B$20),"*",INDEX(ALGO!$A$2:$BZ$20001,0,$B$18),$B98,INDEX(ALGO!$A$2:$BZ$20001,0,AD$29),"&lt;&gt;"))</f>
        <v/>
      </c>
      <c r="AI98" s="22">
        <f>IF(OR($C98=1,AE$29=""),0,COUNTIFS(INDEX(ALGO!$A$2:$BZ$20001,0,$B$19),$B$1,INDEX(ALGO!$A$2:$BZ$20001,0,$B$20),"*",INDEX(ALGO!$A$2:$BZ$20001,0,$B$18),$B98,INDEX(ALGO!$A$2:$BZ$20001,0,AE$29),"&lt;&gt;"))</f>
        <v/>
      </c>
      <c r="AJ98" s="22">
        <f>IF(OR($C98=1,AF$29=""),0,COUNTIFS(INDEX(ALGO!$A$2:$BZ$20001,0,$B$19),$B$1,INDEX(ALGO!$A$2:$BZ$20001,0,$B$20),"*",INDEX(ALGO!$A$2:$BZ$20001,0,$B$18),$B98,INDEX(ALGO!$A$2:$BZ$20001,0,AF$29),"&lt;&gt;"))</f>
        <v/>
      </c>
      <c r="AK98" s="22">
        <f>IF(OR($C98=1,AG$29=""),0,COUNTIFS(INDEX(ALGO!$A$2:$BZ$20001,0,$B$19),$B$1,INDEX(ALGO!$A$2:$BZ$20001,0,$B$20),"*",INDEX(ALGO!$A$2:$BZ$20001,0,$B$18),$B98,INDEX(ALGO!$A$2:$BZ$20001,0,AG$29),"&lt;&gt;"))</f>
        <v/>
      </c>
      <c r="AL98" s="22">
        <f>IF(OR($C98=1,AH$29=""),0,COUNTIFS(INDEX(ALGO!$A$2:$BZ$20001,0,$B$19),$B$1,INDEX(ALGO!$A$2:$BZ$20001,0,$B$20),"*",INDEX(ALGO!$A$2:$BZ$20001,0,$B$18),$B98,INDEX(ALGO!$A$2:$BZ$20001,0,AH$29),"&lt;&gt;"))</f>
        <v/>
      </c>
      <c r="AM98" s="22">
        <f>IF(OR($C98=1,AI$29=""),0,COUNTIFS(INDEX(ALGO!$A$2:$BZ$20001,0,$B$19),$B$1,INDEX(ALGO!$A$2:$BZ$20001,0,$B$20),"*",INDEX(ALGO!$A$2:$BZ$20001,0,$B$18),$B98,INDEX(ALGO!$A$2:$BZ$20001,0,AI$29),"&lt;&gt;"))</f>
        <v/>
      </c>
      <c r="AN98" s="22">
        <f>IF(OR($C98=1,AJ$29=""),0,COUNTIFS(INDEX(ALGO!$A$2:$BZ$20001,0,$B$19),$B$1,INDEX(ALGO!$A$2:$BZ$20001,0,$B$20),"*",INDEX(ALGO!$A$2:$BZ$20001,0,$B$18),$B98,INDEX(ALGO!$A$2:$BZ$20001,0,AJ$29),"&lt;&gt;"))</f>
        <v/>
      </c>
      <c r="AO98" s="22">
        <f>IF(OR($C98=1,AK$29=""),0,COUNTIFS(INDEX(ALGO!$A$2:$BZ$20001,0,$B$19),$B$1,INDEX(ALGO!$A$2:$BZ$20001,0,$B$20),"*",INDEX(ALGO!$A$2:$BZ$20001,0,$B$18),$B98,INDEX(ALGO!$A$2:$BZ$20001,0,AK$29),"&lt;&gt;"))</f>
        <v/>
      </c>
      <c r="AP98" s="22">
        <f>IF(OR($C98=1,AL$29=""),0,COUNTIFS(INDEX(ALGO!$A$2:$BZ$20001,0,$B$19),$B$1,INDEX(ALGO!$A$2:$BZ$20001,0,$B$20),"*",INDEX(ALGO!$A$2:$BZ$20001,0,$B$18),$B98,INDEX(ALGO!$A$2:$BZ$20001,0,AL$29),"&lt;&gt;"))</f>
        <v/>
      </c>
      <c r="AQ98" s="22">
        <f>IF(OR($C98=1,AM$29=""),0,COUNTIFS(INDEX(ALGO!$A$2:$BZ$20001,0,$B$19),$B$1,INDEX(ALGO!$A$2:$BZ$20001,0,$B$20),"*",INDEX(ALGO!$A$2:$BZ$20001,0,$B$18),$B98,INDEX(ALGO!$A$2:$BZ$20001,0,AM$29),"&lt;&gt;"))</f>
        <v/>
      </c>
    </row>
    <row r="99">
      <c r="A99" s="20" t="n">
        <v>20</v>
      </c>
      <c r="B99" s="20">
        <f>IF($A99&gt;$B$77,"",IFERROR(INDEX(ALGO!$A$1:$BZ$20001,1+$A99,$B$18),""))</f>
        <v/>
      </c>
      <c r="C99" s="20">
        <f>IF($B99="",1,IF(COUNTIF($A$200:$A$202,$B99)&gt;0,1,0))</f>
        <v/>
      </c>
      <c r="D99" s="20">
        <f>IF($C99=1,0,SUM($H99:$AQ99))</f>
        <v/>
      </c>
      <c r="E99" s="20">
        <f>$E98+IF($D99&gt;0,1,0)</f>
        <v/>
      </c>
      <c r="H99" s="22">
        <f>IF(OR($C99=1,D$29=""),0,COUNTIFS(INDEX(ALGO!$A$2:$BZ$20001,0,$B$19),$B$1,INDEX(ALGO!$A$2:$BZ$20001,0,$B$20),"*",INDEX(ALGO!$A$2:$BZ$20001,0,$B$18),$B99,INDEX(ALGO!$A$2:$BZ$20001,0,D$29),"&lt;&gt;"))</f>
        <v/>
      </c>
      <c r="I99" s="22">
        <f>IF(OR($C99=1,E$29=""),0,COUNTIFS(INDEX(ALGO!$A$2:$BZ$20001,0,$B$19),$B$1,INDEX(ALGO!$A$2:$BZ$20001,0,$B$20),"*",INDEX(ALGO!$A$2:$BZ$20001,0,$B$18),$B99,INDEX(ALGO!$A$2:$BZ$20001,0,E$29),"&lt;&gt;"))</f>
        <v/>
      </c>
      <c r="J99" s="22">
        <f>IF(OR($C99=1,F$29=""),0,COUNTIFS(INDEX(ALGO!$A$2:$BZ$20001,0,$B$19),$B$1,INDEX(ALGO!$A$2:$BZ$20001,0,$B$20),"*",INDEX(ALGO!$A$2:$BZ$20001,0,$B$18),$B99,INDEX(ALGO!$A$2:$BZ$20001,0,F$29),"&lt;&gt;"))</f>
        <v/>
      </c>
      <c r="K99" s="22">
        <f>IF(OR($C99=1,G$29=""),0,COUNTIFS(INDEX(ALGO!$A$2:$BZ$20001,0,$B$19),$B$1,INDEX(ALGO!$A$2:$BZ$20001,0,$B$20),"*",INDEX(ALGO!$A$2:$BZ$20001,0,$B$18),$B99,INDEX(ALGO!$A$2:$BZ$20001,0,G$29),"&lt;&gt;"))</f>
        <v/>
      </c>
      <c r="L99" s="22">
        <f>IF(OR($C99=1,H$29=""),0,COUNTIFS(INDEX(ALGO!$A$2:$BZ$20001,0,$B$19),$B$1,INDEX(ALGO!$A$2:$BZ$20001,0,$B$20),"*",INDEX(ALGO!$A$2:$BZ$20001,0,$B$18),$B99,INDEX(ALGO!$A$2:$BZ$20001,0,H$29),"&lt;&gt;"))</f>
        <v/>
      </c>
      <c r="M99" s="22">
        <f>IF(OR($C99=1,I$29=""),0,COUNTIFS(INDEX(ALGO!$A$2:$BZ$20001,0,$B$19),$B$1,INDEX(ALGO!$A$2:$BZ$20001,0,$B$20),"*",INDEX(ALGO!$A$2:$BZ$20001,0,$B$18),$B99,INDEX(ALGO!$A$2:$BZ$20001,0,I$29),"&lt;&gt;"))</f>
        <v/>
      </c>
      <c r="N99" s="22">
        <f>IF(OR($C99=1,J$29=""),0,COUNTIFS(INDEX(ALGO!$A$2:$BZ$20001,0,$B$19),$B$1,INDEX(ALGO!$A$2:$BZ$20001,0,$B$20),"*",INDEX(ALGO!$A$2:$BZ$20001,0,$B$18),$B99,INDEX(ALGO!$A$2:$BZ$20001,0,J$29),"&lt;&gt;"))</f>
        <v/>
      </c>
      <c r="O99" s="22">
        <f>IF(OR($C99=1,K$29=""),0,COUNTIFS(INDEX(ALGO!$A$2:$BZ$20001,0,$B$19),$B$1,INDEX(ALGO!$A$2:$BZ$20001,0,$B$20),"*",INDEX(ALGO!$A$2:$BZ$20001,0,$B$18),$B99,INDEX(ALGO!$A$2:$BZ$20001,0,K$29),"&lt;&gt;"))</f>
        <v/>
      </c>
      <c r="P99" s="22">
        <f>IF(OR($C99=1,L$29=""),0,COUNTIFS(INDEX(ALGO!$A$2:$BZ$20001,0,$B$19),$B$1,INDEX(ALGO!$A$2:$BZ$20001,0,$B$20),"*",INDEX(ALGO!$A$2:$BZ$20001,0,$B$18),$B99,INDEX(ALGO!$A$2:$BZ$20001,0,L$29),"&lt;&gt;"))</f>
        <v/>
      </c>
      <c r="Q99" s="22">
        <f>IF(OR($C99=1,M$29=""),0,COUNTIFS(INDEX(ALGO!$A$2:$BZ$20001,0,$B$19),$B$1,INDEX(ALGO!$A$2:$BZ$20001,0,$B$20),"*",INDEX(ALGO!$A$2:$BZ$20001,0,$B$18),$B99,INDEX(ALGO!$A$2:$BZ$20001,0,M$29),"&lt;&gt;"))</f>
        <v/>
      </c>
      <c r="R99" s="22">
        <f>IF(OR($C99=1,N$29=""),0,COUNTIFS(INDEX(ALGO!$A$2:$BZ$20001,0,$B$19),$B$1,INDEX(ALGO!$A$2:$BZ$20001,0,$B$20),"*",INDEX(ALGO!$A$2:$BZ$20001,0,$B$18),$B99,INDEX(ALGO!$A$2:$BZ$20001,0,N$29),"&lt;&gt;"))</f>
        <v/>
      </c>
      <c r="S99" s="22">
        <f>IF(OR($C99=1,O$29=""),0,COUNTIFS(INDEX(ALGO!$A$2:$BZ$20001,0,$B$19),$B$1,INDEX(ALGO!$A$2:$BZ$20001,0,$B$20),"*",INDEX(ALGO!$A$2:$BZ$20001,0,$B$18),$B99,INDEX(ALGO!$A$2:$BZ$20001,0,O$29),"&lt;&gt;"))</f>
        <v/>
      </c>
      <c r="T99" s="22">
        <f>IF(OR($C99=1,P$29=""),0,COUNTIFS(INDEX(ALGO!$A$2:$BZ$20001,0,$B$19),$B$1,INDEX(ALGO!$A$2:$BZ$20001,0,$B$20),"*",INDEX(ALGO!$A$2:$BZ$20001,0,$B$18),$B99,INDEX(ALGO!$A$2:$BZ$20001,0,P$29),"&lt;&gt;"))</f>
        <v/>
      </c>
      <c r="U99" s="22">
        <f>IF(OR($C99=1,Q$29=""),0,COUNTIFS(INDEX(ALGO!$A$2:$BZ$20001,0,$B$19),$B$1,INDEX(ALGO!$A$2:$BZ$20001,0,$B$20),"*",INDEX(ALGO!$A$2:$BZ$20001,0,$B$18),$B99,INDEX(ALGO!$A$2:$BZ$20001,0,Q$29),"&lt;&gt;"))</f>
        <v/>
      </c>
      <c r="V99" s="22">
        <f>IF(OR($C99=1,R$29=""),0,COUNTIFS(INDEX(ALGO!$A$2:$BZ$20001,0,$B$19),$B$1,INDEX(ALGO!$A$2:$BZ$20001,0,$B$20),"*",INDEX(ALGO!$A$2:$BZ$20001,0,$B$18),$B99,INDEX(ALGO!$A$2:$BZ$20001,0,R$29),"&lt;&gt;"))</f>
        <v/>
      </c>
      <c r="W99" s="22">
        <f>IF(OR($C99=1,S$29=""),0,COUNTIFS(INDEX(ALGO!$A$2:$BZ$20001,0,$B$19),$B$1,INDEX(ALGO!$A$2:$BZ$20001,0,$B$20),"*",INDEX(ALGO!$A$2:$BZ$20001,0,$B$18),$B99,INDEX(ALGO!$A$2:$BZ$20001,0,S$29),"&lt;&gt;"))</f>
        <v/>
      </c>
      <c r="X99" s="22">
        <f>IF(OR($C99=1,T$29=""),0,COUNTIFS(INDEX(ALGO!$A$2:$BZ$20001,0,$B$19),$B$1,INDEX(ALGO!$A$2:$BZ$20001,0,$B$20),"*",INDEX(ALGO!$A$2:$BZ$20001,0,$B$18),$B99,INDEX(ALGO!$A$2:$BZ$20001,0,T$29),"&lt;&gt;"))</f>
        <v/>
      </c>
      <c r="Y99" s="22">
        <f>IF(OR($C99=1,U$29=""),0,COUNTIFS(INDEX(ALGO!$A$2:$BZ$20001,0,$B$19),$B$1,INDEX(ALGO!$A$2:$BZ$20001,0,$B$20),"*",INDEX(ALGO!$A$2:$BZ$20001,0,$B$18),$B99,INDEX(ALGO!$A$2:$BZ$20001,0,U$29),"&lt;&gt;"))</f>
        <v/>
      </c>
      <c r="Z99" s="22">
        <f>IF(OR($C99=1,V$29=""),0,COUNTIFS(INDEX(ALGO!$A$2:$BZ$20001,0,$B$19),$B$1,INDEX(ALGO!$A$2:$BZ$20001,0,$B$20),"*",INDEX(ALGO!$A$2:$BZ$20001,0,$B$18),$B99,INDEX(ALGO!$A$2:$BZ$20001,0,V$29),"&lt;&gt;"))</f>
        <v/>
      </c>
      <c r="AA99" s="22">
        <f>IF(OR($C99=1,W$29=""),0,COUNTIFS(INDEX(ALGO!$A$2:$BZ$20001,0,$B$19),$B$1,INDEX(ALGO!$A$2:$BZ$20001,0,$B$20),"*",INDEX(ALGO!$A$2:$BZ$20001,0,$B$18),$B99,INDEX(ALGO!$A$2:$BZ$20001,0,W$29),"&lt;&gt;"))</f>
        <v/>
      </c>
      <c r="AB99" s="22">
        <f>IF(OR($C99=1,X$29=""),0,COUNTIFS(INDEX(ALGO!$A$2:$BZ$20001,0,$B$19),$B$1,INDEX(ALGO!$A$2:$BZ$20001,0,$B$20),"*",INDEX(ALGO!$A$2:$BZ$20001,0,$B$18),$B99,INDEX(ALGO!$A$2:$BZ$20001,0,X$29),"&lt;&gt;"))</f>
        <v/>
      </c>
      <c r="AC99" s="22">
        <f>IF(OR($C99=1,Y$29=""),0,COUNTIFS(INDEX(ALGO!$A$2:$BZ$20001,0,$B$19),$B$1,INDEX(ALGO!$A$2:$BZ$20001,0,$B$20),"*",INDEX(ALGO!$A$2:$BZ$20001,0,$B$18),$B99,INDEX(ALGO!$A$2:$BZ$20001,0,Y$29),"&lt;&gt;"))</f>
        <v/>
      </c>
      <c r="AD99" s="22">
        <f>IF(OR($C99=1,Z$29=""),0,COUNTIFS(INDEX(ALGO!$A$2:$BZ$20001,0,$B$19),$B$1,INDEX(ALGO!$A$2:$BZ$20001,0,$B$20),"*",INDEX(ALGO!$A$2:$BZ$20001,0,$B$18),$B99,INDEX(ALGO!$A$2:$BZ$20001,0,Z$29),"&lt;&gt;"))</f>
        <v/>
      </c>
      <c r="AE99" s="22">
        <f>IF(OR($C99=1,AA$29=""),0,COUNTIFS(INDEX(ALGO!$A$2:$BZ$20001,0,$B$19),$B$1,INDEX(ALGO!$A$2:$BZ$20001,0,$B$20),"*",INDEX(ALGO!$A$2:$BZ$20001,0,$B$18),$B99,INDEX(ALGO!$A$2:$BZ$20001,0,AA$29),"&lt;&gt;"))</f>
        <v/>
      </c>
      <c r="AF99" s="22">
        <f>IF(OR($C99=1,AB$29=""),0,COUNTIFS(INDEX(ALGO!$A$2:$BZ$20001,0,$B$19),$B$1,INDEX(ALGO!$A$2:$BZ$20001,0,$B$20),"*",INDEX(ALGO!$A$2:$BZ$20001,0,$B$18),$B99,INDEX(ALGO!$A$2:$BZ$20001,0,AB$29),"&lt;&gt;"))</f>
        <v/>
      </c>
      <c r="AG99" s="22">
        <f>IF(OR($C99=1,AC$29=""),0,COUNTIFS(INDEX(ALGO!$A$2:$BZ$20001,0,$B$19),$B$1,INDEX(ALGO!$A$2:$BZ$20001,0,$B$20),"*",INDEX(ALGO!$A$2:$BZ$20001,0,$B$18),$B99,INDEX(ALGO!$A$2:$BZ$20001,0,AC$29),"&lt;&gt;"))</f>
        <v/>
      </c>
      <c r="AH99" s="22">
        <f>IF(OR($C99=1,AD$29=""),0,COUNTIFS(INDEX(ALGO!$A$2:$BZ$20001,0,$B$19),$B$1,INDEX(ALGO!$A$2:$BZ$20001,0,$B$20),"*",INDEX(ALGO!$A$2:$BZ$20001,0,$B$18),$B99,INDEX(ALGO!$A$2:$BZ$20001,0,AD$29),"&lt;&gt;"))</f>
        <v/>
      </c>
      <c r="AI99" s="22">
        <f>IF(OR($C99=1,AE$29=""),0,COUNTIFS(INDEX(ALGO!$A$2:$BZ$20001,0,$B$19),$B$1,INDEX(ALGO!$A$2:$BZ$20001,0,$B$20),"*",INDEX(ALGO!$A$2:$BZ$20001,0,$B$18),$B99,INDEX(ALGO!$A$2:$BZ$20001,0,AE$29),"&lt;&gt;"))</f>
        <v/>
      </c>
      <c r="AJ99" s="22">
        <f>IF(OR($C99=1,AF$29=""),0,COUNTIFS(INDEX(ALGO!$A$2:$BZ$20001,0,$B$19),$B$1,INDEX(ALGO!$A$2:$BZ$20001,0,$B$20),"*",INDEX(ALGO!$A$2:$BZ$20001,0,$B$18),$B99,INDEX(ALGO!$A$2:$BZ$20001,0,AF$29),"&lt;&gt;"))</f>
        <v/>
      </c>
      <c r="AK99" s="22">
        <f>IF(OR($C99=1,AG$29=""),0,COUNTIFS(INDEX(ALGO!$A$2:$BZ$20001,0,$B$19),$B$1,INDEX(ALGO!$A$2:$BZ$20001,0,$B$20),"*",INDEX(ALGO!$A$2:$BZ$20001,0,$B$18),$B99,INDEX(ALGO!$A$2:$BZ$20001,0,AG$29),"&lt;&gt;"))</f>
        <v/>
      </c>
      <c r="AL99" s="22">
        <f>IF(OR($C99=1,AH$29=""),0,COUNTIFS(INDEX(ALGO!$A$2:$BZ$20001,0,$B$19),$B$1,INDEX(ALGO!$A$2:$BZ$20001,0,$B$20),"*",INDEX(ALGO!$A$2:$BZ$20001,0,$B$18),$B99,INDEX(ALGO!$A$2:$BZ$20001,0,AH$29),"&lt;&gt;"))</f>
        <v/>
      </c>
      <c r="AM99" s="22">
        <f>IF(OR($C99=1,AI$29=""),0,COUNTIFS(INDEX(ALGO!$A$2:$BZ$20001,0,$B$19),$B$1,INDEX(ALGO!$A$2:$BZ$20001,0,$B$20),"*",INDEX(ALGO!$A$2:$BZ$20001,0,$B$18),$B99,INDEX(ALGO!$A$2:$BZ$20001,0,AI$29),"&lt;&gt;"))</f>
        <v/>
      </c>
      <c r="AN99" s="22">
        <f>IF(OR($C99=1,AJ$29=""),0,COUNTIFS(INDEX(ALGO!$A$2:$BZ$20001,0,$B$19),$B$1,INDEX(ALGO!$A$2:$BZ$20001,0,$B$20),"*",INDEX(ALGO!$A$2:$BZ$20001,0,$B$18),$B99,INDEX(ALGO!$A$2:$BZ$20001,0,AJ$29),"&lt;&gt;"))</f>
        <v/>
      </c>
      <c r="AO99" s="22">
        <f>IF(OR($C99=1,AK$29=""),0,COUNTIFS(INDEX(ALGO!$A$2:$BZ$20001,0,$B$19),$B$1,INDEX(ALGO!$A$2:$BZ$20001,0,$B$20),"*",INDEX(ALGO!$A$2:$BZ$20001,0,$B$18),$B99,INDEX(ALGO!$A$2:$BZ$20001,0,AK$29),"&lt;&gt;"))</f>
        <v/>
      </c>
      <c r="AP99" s="22">
        <f>IF(OR($C99=1,AL$29=""),0,COUNTIFS(INDEX(ALGO!$A$2:$BZ$20001,0,$B$19),$B$1,INDEX(ALGO!$A$2:$BZ$20001,0,$B$20),"*",INDEX(ALGO!$A$2:$BZ$20001,0,$B$18),$B99,INDEX(ALGO!$A$2:$BZ$20001,0,AL$29),"&lt;&gt;"))</f>
        <v/>
      </c>
      <c r="AQ99" s="22">
        <f>IF(OR($C99=1,AM$29=""),0,COUNTIFS(INDEX(ALGO!$A$2:$BZ$20001,0,$B$19),$B$1,INDEX(ALGO!$A$2:$BZ$20001,0,$B$20),"*",INDEX(ALGO!$A$2:$BZ$20001,0,$B$18),$B99,INDEX(ALGO!$A$2:$BZ$20001,0,AM$29),"&lt;&gt;"))</f>
        <v/>
      </c>
    </row>
    <row r="100">
      <c r="A100" s="20" t="n">
        <v>21</v>
      </c>
      <c r="B100" s="20">
        <f>IF($A100&gt;$B$77,"",IFERROR(INDEX(ALGO!$A$1:$BZ$20001,1+$A100,$B$18),""))</f>
        <v/>
      </c>
      <c r="C100" s="20">
        <f>IF($B100="",1,IF(COUNTIF($A$200:$A$202,$B100)&gt;0,1,0))</f>
        <v/>
      </c>
      <c r="D100" s="20">
        <f>IF($C100=1,0,SUM($H100:$AQ100))</f>
        <v/>
      </c>
      <c r="E100" s="20">
        <f>$E99+IF($D100&gt;0,1,0)</f>
        <v/>
      </c>
      <c r="H100" s="22">
        <f>IF(OR($C100=1,D$29=""),0,COUNTIFS(INDEX(ALGO!$A$2:$BZ$20001,0,$B$19),$B$1,INDEX(ALGO!$A$2:$BZ$20001,0,$B$20),"*",INDEX(ALGO!$A$2:$BZ$20001,0,$B$18),$B100,INDEX(ALGO!$A$2:$BZ$20001,0,D$29),"&lt;&gt;"))</f>
        <v/>
      </c>
      <c r="I100" s="22">
        <f>IF(OR($C100=1,E$29=""),0,COUNTIFS(INDEX(ALGO!$A$2:$BZ$20001,0,$B$19),$B$1,INDEX(ALGO!$A$2:$BZ$20001,0,$B$20),"*",INDEX(ALGO!$A$2:$BZ$20001,0,$B$18),$B100,INDEX(ALGO!$A$2:$BZ$20001,0,E$29),"&lt;&gt;"))</f>
        <v/>
      </c>
      <c r="J100" s="22">
        <f>IF(OR($C100=1,F$29=""),0,COUNTIFS(INDEX(ALGO!$A$2:$BZ$20001,0,$B$19),$B$1,INDEX(ALGO!$A$2:$BZ$20001,0,$B$20),"*",INDEX(ALGO!$A$2:$BZ$20001,0,$B$18),$B100,INDEX(ALGO!$A$2:$BZ$20001,0,F$29),"&lt;&gt;"))</f>
        <v/>
      </c>
      <c r="K100" s="22">
        <f>IF(OR($C100=1,G$29=""),0,COUNTIFS(INDEX(ALGO!$A$2:$BZ$20001,0,$B$19),$B$1,INDEX(ALGO!$A$2:$BZ$20001,0,$B$20),"*",INDEX(ALGO!$A$2:$BZ$20001,0,$B$18),$B100,INDEX(ALGO!$A$2:$BZ$20001,0,G$29),"&lt;&gt;"))</f>
        <v/>
      </c>
      <c r="L100" s="22">
        <f>IF(OR($C100=1,H$29=""),0,COUNTIFS(INDEX(ALGO!$A$2:$BZ$20001,0,$B$19),$B$1,INDEX(ALGO!$A$2:$BZ$20001,0,$B$20),"*",INDEX(ALGO!$A$2:$BZ$20001,0,$B$18),$B100,INDEX(ALGO!$A$2:$BZ$20001,0,H$29),"&lt;&gt;"))</f>
        <v/>
      </c>
      <c r="M100" s="22">
        <f>IF(OR($C100=1,I$29=""),0,COUNTIFS(INDEX(ALGO!$A$2:$BZ$20001,0,$B$19),$B$1,INDEX(ALGO!$A$2:$BZ$20001,0,$B$20),"*",INDEX(ALGO!$A$2:$BZ$20001,0,$B$18),$B100,INDEX(ALGO!$A$2:$BZ$20001,0,I$29),"&lt;&gt;"))</f>
        <v/>
      </c>
      <c r="N100" s="22">
        <f>IF(OR($C100=1,J$29=""),0,COUNTIFS(INDEX(ALGO!$A$2:$BZ$20001,0,$B$19),$B$1,INDEX(ALGO!$A$2:$BZ$20001,0,$B$20),"*",INDEX(ALGO!$A$2:$BZ$20001,0,$B$18),$B100,INDEX(ALGO!$A$2:$BZ$20001,0,J$29),"&lt;&gt;"))</f>
        <v/>
      </c>
      <c r="O100" s="22">
        <f>IF(OR($C100=1,K$29=""),0,COUNTIFS(INDEX(ALGO!$A$2:$BZ$20001,0,$B$19),$B$1,INDEX(ALGO!$A$2:$BZ$20001,0,$B$20),"*",INDEX(ALGO!$A$2:$BZ$20001,0,$B$18),$B100,INDEX(ALGO!$A$2:$BZ$20001,0,K$29),"&lt;&gt;"))</f>
        <v/>
      </c>
      <c r="P100" s="22">
        <f>IF(OR($C100=1,L$29=""),0,COUNTIFS(INDEX(ALGO!$A$2:$BZ$20001,0,$B$19),$B$1,INDEX(ALGO!$A$2:$BZ$20001,0,$B$20),"*",INDEX(ALGO!$A$2:$BZ$20001,0,$B$18),$B100,INDEX(ALGO!$A$2:$BZ$20001,0,L$29),"&lt;&gt;"))</f>
        <v/>
      </c>
      <c r="Q100" s="22">
        <f>IF(OR($C100=1,M$29=""),0,COUNTIFS(INDEX(ALGO!$A$2:$BZ$20001,0,$B$19),$B$1,INDEX(ALGO!$A$2:$BZ$20001,0,$B$20),"*",INDEX(ALGO!$A$2:$BZ$20001,0,$B$18),$B100,INDEX(ALGO!$A$2:$BZ$20001,0,M$29),"&lt;&gt;"))</f>
        <v/>
      </c>
      <c r="R100" s="22">
        <f>IF(OR($C100=1,N$29=""),0,COUNTIFS(INDEX(ALGO!$A$2:$BZ$20001,0,$B$19),$B$1,INDEX(ALGO!$A$2:$BZ$20001,0,$B$20),"*",INDEX(ALGO!$A$2:$BZ$20001,0,$B$18),$B100,INDEX(ALGO!$A$2:$BZ$20001,0,N$29),"&lt;&gt;"))</f>
        <v/>
      </c>
      <c r="S100" s="22">
        <f>IF(OR($C100=1,O$29=""),0,COUNTIFS(INDEX(ALGO!$A$2:$BZ$20001,0,$B$19),$B$1,INDEX(ALGO!$A$2:$BZ$20001,0,$B$20),"*",INDEX(ALGO!$A$2:$BZ$20001,0,$B$18),$B100,INDEX(ALGO!$A$2:$BZ$20001,0,O$29),"&lt;&gt;"))</f>
        <v/>
      </c>
      <c r="T100" s="22">
        <f>IF(OR($C100=1,P$29=""),0,COUNTIFS(INDEX(ALGO!$A$2:$BZ$20001,0,$B$19),$B$1,INDEX(ALGO!$A$2:$BZ$20001,0,$B$20),"*",INDEX(ALGO!$A$2:$BZ$20001,0,$B$18),$B100,INDEX(ALGO!$A$2:$BZ$20001,0,P$29),"&lt;&gt;"))</f>
        <v/>
      </c>
      <c r="U100" s="22">
        <f>IF(OR($C100=1,Q$29=""),0,COUNTIFS(INDEX(ALGO!$A$2:$BZ$20001,0,$B$19),$B$1,INDEX(ALGO!$A$2:$BZ$20001,0,$B$20),"*",INDEX(ALGO!$A$2:$BZ$20001,0,$B$18),$B100,INDEX(ALGO!$A$2:$BZ$20001,0,Q$29),"&lt;&gt;"))</f>
        <v/>
      </c>
      <c r="V100" s="22">
        <f>IF(OR($C100=1,R$29=""),0,COUNTIFS(INDEX(ALGO!$A$2:$BZ$20001,0,$B$19),$B$1,INDEX(ALGO!$A$2:$BZ$20001,0,$B$20),"*",INDEX(ALGO!$A$2:$BZ$20001,0,$B$18),$B100,INDEX(ALGO!$A$2:$BZ$20001,0,R$29),"&lt;&gt;"))</f>
        <v/>
      </c>
      <c r="W100" s="22">
        <f>IF(OR($C100=1,S$29=""),0,COUNTIFS(INDEX(ALGO!$A$2:$BZ$20001,0,$B$19),$B$1,INDEX(ALGO!$A$2:$BZ$20001,0,$B$20),"*",INDEX(ALGO!$A$2:$BZ$20001,0,$B$18),$B100,INDEX(ALGO!$A$2:$BZ$20001,0,S$29),"&lt;&gt;"))</f>
        <v/>
      </c>
      <c r="X100" s="22">
        <f>IF(OR($C100=1,T$29=""),0,COUNTIFS(INDEX(ALGO!$A$2:$BZ$20001,0,$B$19),$B$1,INDEX(ALGO!$A$2:$BZ$20001,0,$B$20),"*",INDEX(ALGO!$A$2:$BZ$20001,0,$B$18),$B100,INDEX(ALGO!$A$2:$BZ$20001,0,T$29),"&lt;&gt;"))</f>
        <v/>
      </c>
      <c r="Y100" s="22">
        <f>IF(OR($C100=1,U$29=""),0,COUNTIFS(INDEX(ALGO!$A$2:$BZ$20001,0,$B$19),$B$1,INDEX(ALGO!$A$2:$BZ$20001,0,$B$20),"*",INDEX(ALGO!$A$2:$BZ$20001,0,$B$18),$B100,INDEX(ALGO!$A$2:$BZ$20001,0,U$29),"&lt;&gt;"))</f>
        <v/>
      </c>
      <c r="Z100" s="22">
        <f>IF(OR($C100=1,V$29=""),0,COUNTIFS(INDEX(ALGO!$A$2:$BZ$20001,0,$B$19),$B$1,INDEX(ALGO!$A$2:$BZ$20001,0,$B$20),"*",INDEX(ALGO!$A$2:$BZ$20001,0,$B$18),$B100,INDEX(ALGO!$A$2:$BZ$20001,0,V$29),"&lt;&gt;"))</f>
        <v/>
      </c>
      <c r="AA100" s="22">
        <f>IF(OR($C100=1,W$29=""),0,COUNTIFS(INDEX(ALGO!$A$2:$BZ$20001,0,$B$19),$B$1,INDEX(ALGO!$A$2:$BZ$20001,0,$B$20),"*",INDEX(ALGO!$A$2:$BZ$20001,0,$B$18),$B100,INDEX(ALGO!$A$2:$BZ$20001,0,W$29),"&lt;&gt;"))</f>
        <v/>
      </c>
      <c r="AB100" s="22">
        <f>IF(OR($C100=1,X$29=""),0,COUNTIFS(INDEX(ALGO!$A$2:$BZ$20001,0,$B$19),$B$1,INDEX(ALGO!$A$2:$BZ$20001,0,$B$20),"*",INDEX(ALGO!$A$2:$BZ$20001,0,$B$18),$B100,INDEX(ALGO!$A$2:$BZ$20001,0,X$29),"&lt;&gt;"))</f>
        <v/>
      </c>
      <c r="AC100" s="22">
        <f>IF(OR($C100=1,Y$29=""),0,COUNTIFS(INDEX(ALGO!$A$2:$BZ$20001,0,$B$19),$B$1,INDEX(ALGO!$A$2:$BZ$20001,0,$B$20),"*",INDEX(ALGO!$A$2:$BZ$20001,0,$B$18),$B100,INDEX(ALGO!$A$2:$BZ$20001,0,Y$29),"&lt;&gt;"))</f>
        <v/>
      </c>
      <c r="AD100" s="22">
        <f>IF(OR($C100=1,Z$29=""),0,COUNTIFS(INDEX(ALGO!$A$2:$BZ$20001,0,$B$19),$B$1,INDEX(ALGO!$A$2:$BZ$20001,0,$B$20),"*",INDEX(ALGO!$A$2:$BZ$20001,0,$B$18),$B100,INDEX(ALGO!$A$2:$BZ$20001,0,Z$29),"&lt;&gt;"))</f>
        <v/>
      </c>
      <c r="AE100" s="22">
        <f>IF(OR($C100=1,AA$29=""),0,COUNTIFS(INDEX(ALGO!$A$2:$BZ$20001,0,$B$19),$B$1,INDEX(ALGO!$A$2:$BZ$20001,0,$B$20),"*",INDEX(ALGO!$A$2:$BZ$20001,0,$B$18),$B100,INDEX(ALGO!$A$2:$BZ$20001,0,AA$29),"&lt;&gt;"))</f>
        <v/>
      </c>
      <c r="AF100" s="22">
        <f>IF(OR($C100=1,AB$29=""),0,COUNTIFS(INDEX(ALGO!$A$2:$BZ$20001,0,$B$19),$B$1,INDEX(ALGO!$A$2:$BZ$20001,0,$B$20),"*",INDEX(ALGO!$A$2:$BZ$20001,0,$B$18),$B100,INDEX(ALGO!$A$2:$BZ$20001,0,AB$29),"&lt;&gt;"))</f>
        <v/>
      </c>
      <c r="AG100" s="22">
        <f>IF(OR($C100=1,AC$29=""),0,COUNTIFS(INDEX(ALGO!$A$2:$BZ$20001,0,$B$19),$B$1,INDEX(ALGO!$A$2:$BZ$20001,0,$B$20),"*",INDEX(ALGO!$A$2:$BZ$20001,0,$B$18),$B100,INDEX(ALGO!$A$2:$BZ$20001,0,AC$29),"&lt;&gt;"))</f>
        <v/>
      </c>
      <c r="AH100" s="22">
        <f>IF(OR($C100=1,AD$29=""),0,COUNTIFS(INDEX(ALGO!$A$2:$BZ$20001,0,$B$19),$B$1,INDEX(ALGO!$A$2:$BZ$20001,0,$B$20),"*",INDEX(ALGO!$A$2:$BZ$20001,0,$B$18),$B100,INDEX(ALGO!$A$2:$BZ$20001,0,AD$29),"&lt;&gt;"))</f>
        <v/>
      </c>
      <c r="AI100" s="22">
        <f>IF(OR($C100=1,AE$29=""),0,COUNTIFS(INDEX(ALGO!$A$2:$BZ$20001,0,$B$19),$B$1,INDEX(ALGO!$A$2:$BZ$20001,0,$B$20),"*",INDEX(ALGO!$A$2:$BZ$20001,0,$B$18),$B100,INDEX(ALGO!$A$2:$BZ$20001,0,AE$29),"&lt;&gt;"))</f>
        <v/>
      </c>
      <c r="AJ100" s="22">
        <f>IF(OR($C100=1,AF$29=""),0,COUNTIFS(INDEX(ALGO!$A$2:$BZ$20001,0,$B$19),$B$1,INDEX(ALGO!$A$2:$BZ$20001,0,$B$20),"*",INDEX(ALGO!$A$2:$BZ$20001,0,$B$18),$B100,INDEX(ALGO!$A$2:$BZ$20001,0,AF$29),"&lt;&gt;"))</f>
        <v/>
      </c>
      <c r="AK100" s="22">
        <f>IF(OR($C100=1,AG$29=""),0,COUNTIFS(INDEX(ALGO!$A$2:$BZ$20001,0,$B$19),$B$1,INDEX(ALGO!$A$2:$BZ$20001,0,$B$20),"*",INDEX(ALGO!$A$2:$BZ$20001,0,$B$18),$B100,INDEX(ALGO!$A$2:$BZ$20001,0,AG$29),"&lt;&gt;"))</f>
        <v/>
      </c>
      <c r="AL100" s="22">
        <f>IF(OR($C100=1,AH$29=""),0,COUNTIFS(INDEX(ALGO!$A$2:$BZ$20001,0,$B$19),$B$1,INDEX(ALGO!$A$2:$BZ$20001,0,$B$20),"*",INDEX(ALGO!$A$2:$BZ$20001,0,$B$18),$B100,INDEX(ALGO!$A$2:$BZ$20001,0,AH$29),"&lt;&gt;"))</f>
        <v/>
      </c>
      <c r="AM100" s="22">
        <f>IF(OR($C100=1,AI$29=""),0,COUNTIFS(INDEX(ALGO!$A$2:$BZ$20001,0,$B$19),$B$1,INDEX(ALGO!$A$2:$BZ$20001,0,$B$20),"*",INDEX(ALGO!$A$2:$BZ$20001,0,$B$18),$B100,INDEX(ALGO!$A$2:$BZ$20001,0,AI$29),"&lt;&gt;"))</f>
        <v/>
      </c>
      <c r="AN100" s="22">
        <f>IF(OR($C100=1,AJ$29=""),0,COUNTIFS(INDEX(ALGO!$A$2:$BZ$20001,0,$B$19),$B$1,INDEX(ALGO!$A$2:$BZ$20001,0,$B$20),"*",INDEX(ALGO!$A$2:$BZ$20001,0,$B$18),$B100,INDEX(ALGO!$A$2:$BZ$20001,0,AJ$29),"&lt;&gt;"))</f>
        <v/>
      </c>
      <c r="AO100" s="22">
        <f>IF(OR($C100=1,AK$29=""),0,COUNTIFS(INDEX(ALGO!$A$2:$BZ$20001,0,$B$19),$B$1,INDEX(ALGO!$A$2:$BZ$20001,0,$B$20),"*",INDEX(ALGO!$A$2:$BZ$20001,0,$B$18),$B100,INDEX(ALGO!$A$2:$BZ$20001,0,AK$29),"&lt;&gt;"))</f>
        <v/>
      </c>
      <c r="AP100" s="22">
        <f>IF(OR($C100=1,AL$29=""),0,COUNTIFS(INDEX(ALGO!$A$2:$BZ$20001,0,$B$19),$B$1,INDEX(ALGO!$A$2:$BZ$20001,0,$B$20),"*",INDEX(ALGO!$A$2:$BZ$20001,0,$B$18),$B100,INDEX(ALGO!$A$2:$BZ$20001,0,AL$29),"&lt;&gt;"))</f>
        <v/>
      </c>
      <c r="AQ100" s="22">
        <f>IF(OR($C100=1,AM$29=""),0,COUNTIFS(INDEX(ALGO!$A$2:$BZ$20001,0,$B$19),$B$1,INDEX(ALGO!$A$2:$BZ$20001,0,$B$20),"*",INDEX(ALGO!$A$2:$BZ$20001,0,$B$18),$B100,INDEX(ALGO!$A$2:$BZ$20001,0,AM$29),"&lt;&gt;"))</f>
        <v/>
      </c>
    </row>
    <row r="101">
      <c r="A101" s="20" t="n">
        <v>22</v>
      </c>
      <c r="B101" s="20">
        <f>IF($A101&gt;$B$77,"",IFERROR(INDEX(ALGO!$A$1:$BZ$20001,1+$A101,$B$18),""))</f>
        <v/>
      </c>
      <c r="C101" s="20">
        <f>IF($B101="",1,IF(COUNTIF($A$200:$A$202,$B101)&gt;0,1,0))</f>
        <v/>
      </c>
      <c r="D101" s="20">
        <f>IF($C101=1,0,SUM($H101:$AQ101))</f>
        <v/>
      </c>
      <c r="E101" s="20">
        <f>$E100+IF($D101&gt;0,1,0)</f>
        <v/>
      </c>
      <c r="H101" s="22">
        <f>IF(OR($C101=1,D$29=""),0,COUNTIFS(INDEX(ALGO!$A$2:$BZ$20001,0,$B$19),$B$1,INDEX(ALGO!$A$2:$BZ$20001,0,$B$20),"*",INDEX(ALGO!$A$2:$BZ$20001,0,$B$18),$B101,INDEX(ALGO!$A$2:$BZ$20001,0,D$29),"&lt;&gt;"))</f>
        <v/>
      </c>
      <c r="I101" s="22">
        <f>IF(OR($C101=1,E$29=""),0,COUNTIFS(INDEX(ALGO!$A$2:$BZ$20001,0,$B$19),$B$1,INDEX(ALGO!$A$2:$BZ$20001,0,$B$20),"*",INDEX(ALGO!$A$2:$BZ$20001,0,$B$18),$B101,INDEX(ALGO!$A$2:$BZ$20001,0,E$29),"&lt;&gt;"))</f>
        <v/>
      </c>
      <c r="J101" s="22">
        <f>IF(OR($C101=1,F$29=""),0,COUNTIFS(INDEX(ALGO!$A$2:$BZ$20001,0,$B$19),$B$1,INDEX(ALGO!$A$2:$BZ$20001,0,$B$20),"*",INDEX(ALGO!$A$2:$BZ$20001,0,$B$18),$B101,INDEX(ALGO!$A$2:$BZ$20001,0,F$29),"&lt;&gt;"))</f>
        <v/>
      </c>
      <c r="K101" s="22">
        <f>IF(OR($C101=1,G$29=""),0,COUNTIFS(INDEX(ALGO!$A$2:$BZ$20001,0,$B$19),$B$1,INDEX(ALGO!$A$2:$BZ$20001,0,$B$20),"*",INDEX(ALGO!$A$2:$BZ$20001,0,$B$18),$B101,INDEX(ALGO!$A$2:$BZ$20001,0,G$29),"&lt;&gt;"))</f>
        <v/>
      </c>
      <c r="L101" s="22">
        <f>IF(OR($C101=1,H$29=""),0,COUNTIFS(INDEX(ALGO!$A$2:$BZ$20001,0,$B$19),$B$1,INDEX(ALGO!$A$2:$BZ$20001,0,$B$20),"*",INDEX(ALGO!$A$2:$BZ$20001,0,$B$18),$B101,INDEX(ALGO!$A$2:$BZ$20001,0,H$29),"&lt;&gt;"))</f>
        <v/>
      </c>
      <c r="M101" s="22">
        <f>IF(OR($C101=1,I$29=""),0,COUNTIFS(INDEX(ALGO!$A$2:$BZ$20001,0,$B$19),$B$1,INDEX(ALGO!$A$2:$BZ$20001,0,$B$20),"*",INDEX(ALGO!$A$2:$BZ$20001,0,$B$18),$B101,INDEX(ALGO!$A$2:$BZ$20001,0,I$29),"&lt;&gt;"))</f>
        <v/>
      </c>
      <c r="N101" s="22">
        <f>IF(OR($C101=1,J$29=""),0,COUNTIFS(INDEX(ALGO!$A$2:$BZ$20001,0,$B$19),$B$1,INDEX(ALGO!$A$2:$BZ$20001,0,$B$20),"*",INDEX(ALGO!$A$2:$BZ$20001,0,$B$18),$B101,INDEX(ALGO!$A$2:$BZ$20001,0,J$29),"&lt;&gt;"))</f>
        <v/>
      </c>
      <c r="O101" s="22">
        <f>IF(OR($C101=1,K$29=""),0,COUNTIFS(INDEX(ALGO!$A$2:$BZ$20001,0,$B$19),$B$1,INDEX(ALGO!$A$2:$BZ$20001,0,$B$20),"*",INDEX(ALGO!$A$2:$BZ$20001,0,$B$18),$B101,INDEX(ALGO!$A$2:$BZ$20001,0,K$29),"&lt;&gt;"))</f>
        <v/>
      </c>
      <c r="P101" s="22">
        <f>IF(OR($C101=1,L$29=""),0,COUNTIFS(INDEX(ALGO!$A$2:$BZ$20001,0,$B$19),$B$1,INDEX(ALGO!$A$2:$BZ$20001,0,$B$20),"*",INDEX(ALGO!$A$2:$BZ$20001,0,$B$18),$B101,INDEX(ALGO!$A$2:$BZ$20001,0,L$29),"&lt;&gt;"))</f>
        <v/>
      </c>
      <c r="Q101" s="22">
        <f>IF(OR($C101=1,M$29=""),0,COUNTIFS(INDEX(ALGO!$A$2:$BZ$20001,0,$B$19),$B$1,INDEX(ALGO!$A$2:$BZ$20001,0,$B$20),"*",INDEX(ALGO!$A$2:$BZ$20001,0,$B$18),$B101,INDEX(ALGO!$A$2:$BZ$20001,0,M$29),"&lt;&gt;"))</f>
        <v/>
      </c>
      <c r="R101" s="22">
        <f>IF(OR($C101=1,N$29=""),0,COUNTIFS(INDEX(ALGO!$A$2:$BZ$20001,0,$B$19),$B$1,INDEX(ALGO!$A$2:$BZ$20001,0,$B$20),"*",INDEX(ALGO!$A$2:$BZ$20001,0,$B$18),$B101,INDEX(ALGO!$A$2:$BZ$20001,0,N$29),"&lt;&gt;"))</f>
        <v/>
      </c>
      <c r="S101" s="22">
        <f>IF(OR($C101=1,O$29=""),0,COUNTIFS(INDEX(ALGO!$A$2:$BZ$20001,0,$B$19),$B$1,INDEX(ALGO!$A$2:$BZ$20001,0,$B$20),"*",INDEX(ALGO!$A$2:$BZ$20001,0,$B$18),$B101,INDEX(ALGO!$A$2:$BZ$20001,0,O$29),"&lt;&gt;"))</f>
        <v/>
      </c>
      <c r="T101" s="22">
        <f>IF(OR($C101=1,P$29=""),0,COUNTIFS(INDEX(ALGO!$A$2:$BZ$20001,0,$B$19),$B$1,INDEX(ALGO!$A$2:$BZ$20001,0,$B$20),"*",INDEX(ALGO!$A$2:$BZ$20001,0,$B$18),$B101,INDEX(ALGO!$A$2:$BZ$20001,0,P$29),"&lt;&gt;"))</f>
        <v/>
      </c>
      <c r="U101" s="22">
        <f>IF(OR($C101=1,Q$29=""),0,COUNTIFS(INDEX(ALGO!$A$2:$BZ$20001,0,$B$19),$B$1,INDEX(ALGO!$A$2:$BZ$20001,0,$B$20),"*",INDEX(ALGO!$A$2:$BZ$20001,0,$B$18),$B101,INDEX(ALGO!$A$2:$BZ$20001,0,Q$29),"&lt;&gt;"))</f>
        <v/>
      </c>
      <c r="V101" s="22">
        <f>IF(OR($C101=1,R$29=""),0,COUNTIFS(INDEX(ALGO!$A$2:$BZ$20001,0,$B$19),$B$1,INDEX(ALGO!$A$2:$BZ$20001,0,$B$20),"*",INDEX(ALGO!$A$2:$BZ$20001,0,$B$18),$B101,INDEX(ALGO!$A$2:$BZ$20001,0,R$29),"&lt;&gt;"))</f>
        <v/>
      </c>
      <c r="W101" s="22">
        <f>IF(OR($C101=1,S$29=""),0,COUNTIFS(INDEX(ALGO!$A$2:$BZ$20001,0,$B$19),$B$1,INDEX(ALGO!$A$2:$BZ$20001,0,$B$20),"*",INDEX(ALGO!$A$2:$BZ$20001,0,$B$18),$B101,INDEX(ALGO!$A$2:$BZ$20001,0,S$29),"&lt;&gt;"))</f>
        <v/>
      </c>
      <c r="X101" s="22">
        <f>IF(OR($C101=1,T$29=""),0,COUNTIFS(INDEX(ALGO!$A$2:$BZ$20001,0,$B$19),$B$1,INDEX(ALGO!$A$2:$BZ$20001,0,$B$20),"*",INDEX(ALGO!$A$2:$BZ$20001,0,$B$18),$B101,INDEX(ALGO!$A$2:$BZ$20001,0,T$29),"&lt;&gt;"))</f>
        <v/>
      </c>
      <c r="Y101" s="22">
        <f>IF(OR($C101=1,U$29=""),0,COUNTIFS(INDEX(ALGO!$A$2:$BZ$20001,0,$B$19),$B$1,INDEX(ALGO!$A$2:$BZ$20001,0,$B$20),"*",INDEX(ALGO!$A$2:$BZ$20001,0,$B$18),$B101,INDEX(ALGO!$A$2:$BZ$20001,0,U$29),"&lt;&gt;"))</f>
        <v/>
      </c>
      <c r="Z101" s="22">
        <f>IF(OR($C101=1,V$29=""),0,COUNTIFS(INDEX(ALGO!$A$2:$BZ$20001,0,$B$19),$B$1,INDEX(ALGO!$A$2:$BZ$20001,0,$B$20),"*",INDEX(ALGO!$A$2:$BZ$20001,0,$B$18),$B101,INDEX(ALGO!$A$2:$BZ$20001,0,V$29),"&lt;&gt;"))</f>
        <v/>
      </c>
      <c r="AA101" s="22">
        <f>IF(OR($C101=1,W$29=""),0,COUNTIFS(INDEX(ALGO!$A$2:$BZ$20001,0,$B$19),$B$1,INDEX(ALGO!$A$2:$BZ$20001,0,$B$20),"*",INDEX(ALGO!$A$2:$BZ$20001,0,$B$18),$B101,INDEX(ALGO!$A$2:$BZ$20001,0,W$29),"&lt;&gt;"))</f>
        <v/>
      </c>
      <c r="AB101" s="22">
        <f>IF(OR($C101=1,X$29=""),0,COUNTIFS(INDEX(ALGO!$A$2:$BZ$20001,0,$B$19),$B$1,INDEX(ALGO!$A$2:$BZ$20001,0,$B$20),"*",INDEX(ALGO!$A$2:$BZ$20001,0,$B$18),$B101,INDEX(ALGO!$A$2:$BZ$20001,0,X$29),"&lt;&gt;"))</f>
        <v/>
      </c>
      <c r="AC101" s="22">
        <f>IF(OR($C101=1,Y$29=""),0,COUNTIFS(INDEX(ALGO!$A$2:$BZ$20001,0,$B$19),$B$1,INDEX(ALGO!$A$2:$BZ$20001,0,$B$20),"*",INDEX(ALGO!$A$2:$BZ$20001,0,$B$18),$B101,INDEX(ALGO!$A$2:$BZ$20001,0,Y$29),"&lt;&gt;"))</f>
        <v/>
      </c>
      <c r="AD101" s="22">
        <f>IF(OR($C101=1,Z$29=""),0,COUNTIFS(INDEX(ALGO!$A$2:$BZ$20001,0,$B$19),$B$1,INDEX(ALGO!$A$2:$BZ$20001,0,$B$20),"*",INDEX(ALGO!$A$2:$BZ$20001,0,$B$18),$B101,INDEX(ALGO!$A$2:$BZ$20001,0,Z$29),"&lt;&gt;"))</f>
        <v/>
      </c>
      <c r="AE101" s="22">
        <f>IF(OR($C101=1,AA$29=""),0,COUNTIFS(INDEX(ALGO!$A$2:$BZ$20001,0,$B$19),$B$1,INDEX(ALGO!$A$2:$BZ$20001,0,$B$20),"*",INDEX(ALGO!$A$2:$BZ$20001,0,$B$18),$B101,INDEX(ALGO!$A$2:$BZ$20001,0,AA$29),"&lt;&gt;"))</f>
        <v/>
      </c>
      <c r="AF101" s="22">
        <f>IF(OR($C101=1,AB$29=""),0,COUNTIFS(INDEX(ALGO!$A$2:$BZ$20001,0,$B$19),$B$1,INDEX(ALGO!$A$2:$BZ$20001,0,$B$20),"*",INDEX(ALGO!$A$2:$BZ$20001,0,$B$18),$B101,INDEX(ALGO!$A$2:$BZ$20001,0,AB$29),"&lt;&gt;"))</f>
        <v/>
      </c>
      <c r="AG101" s="22">
        <f>IF(OR($C101=1,AC$29=""),0,COUNTIFS(INDEX(ALGO!$A$2:$BZ$20001,0,$B$19),$B$1,INDEX(ALGO!$A$2:$BZ$20001,0,$B$20),"*",INDEX(ALGO!$A$2:$BZ$20001,0,$B$18),$B101,INDEX(ALGO!$A$2:$BZ$20001,0,AC$29),"&lt;&gt;"))</f>
        <v/>
      </c>
      <c r="AH101" s="22">
        <f>IF(OR($C101=1,AD$29=""),0,COUNTIFS(INDEX(ALGO!$A$2:$BZ$20001,0,$B$19),$B$1,INDEX(ALGO!$A$2:$BZ$20001,0,$B$20),"*",INDEX(ALGO!$A$2:$BZ$20001,0,$B$18),$B101,INDEX(ALGO!$A$2:$BZ$20001,0,AD$29),"&lt;&gt;"))</f>
        <v/>
      </c>
      <c r="AI101" s="22">
        <f>IF(OR($C101=1,AE$29=""),0,COUNTIFS(INDEX(ALGO!$A$2:$BZ$20001,0,$B$19),$B$1,INDEX(ALGO!$A$2:$BZ$20001,0,$B$20),"*",INDEX(ALGO!$A$2:$BZ$20001,0,$B$18),$B101,INDEX(ALGO!$A$2:$BZ$20001,0,AE$29),"&lt;&gt;"))</f>
        <v/>
      </c>
      <c r="AJ101" s="22">
        <f>IF(OR($C101=1,AF$29=""),0,COUNTIFS(INDEX(ALGO!$A$2:$BZ$20001,0,$B$19),$B$1,INDEX(ALGO!$A$2:$BZ$20001,0,$B$20),"*",INDEX(ALGO!$A$2:$BZ$20001,0,$B$18),$B101,INDEX(ALGO!$A$2:$BZ$20001,0,AF$29),"&lt;&gt;"))</f>
        <v/>
      </c>
      <c r="AK101" s="22">
        <f>IF(OR($C101=1,AG$29=""),0,COUNTIFS(INDEX(ALGO!$A$2:$BZ$20001,0,$B$19),$B$1,INDEX(ALGO!$A$2:$BZ$20001,0,$B$20),"*",INDEX(ALGO!$A$2:$BZ$20001,0,$B$18),$B101,INDEX(ALGO!$A$2:$BZ$20001,0,AG$29),"&lt;&gt;"))</f>
        <v/>
      </c>
      <c r="AL101" s="22">
        <f>IF(OR($C101=1,AH$29=""),0,COUNTIFS(INDEX(ALGO!$A$2:$BZ$20001,0,$B$19),$B$1,INDEX(ALGO!$A$2:$BZ$20001,0,$B$20),"*",INDEX(ALGO!$A$2:$BZ$20001,0,$B$18),$B101,INDEX(ALGO!$A$2:$BZ$20001,0,AH$29),"&lt;&gt;"))</f>
        <v/>
      </c>
      <c r="AM101" s="22">
        <f>IF(OR($C101=1,AI$29=""),0,COUNTIFS(INDEX(ALGO!$A$2:$BZ$20001,0,$B$19),$B$1,INDEX(ALGO!$A$2:$BZ$20001,0,$B$20),"*",INDEX(ALGO!$A$2:$BZ$20001,0,$B$18),$B101,INDEX(ALGO!$A$2:$BZ$20001,0,AI$29),"&lt;&gt;"))</f>
        <v/>
      </c>
      <c r="AN101" s="22">
        <f>IF(OR($C101=1,AJ$29=""),0,COUNTIFS(INDEX(ALGO!$A$2:$BZ$20001,0,$B$19),$B$1,INDEX(ALGO!$A$2:$BZ$20001,0,$B$20),"*",INDEX(ALGO!$A$2:$BZ$20001,0,$B$18),$B101,INDEX(ALGO!$A$2:$BZ$20001,0,AJ$29),"&lt;&gt;"))</f>
        <v/>
      </c>
      <c r="AO101" s="22">
        <f>IF(OR($C101=1,AK$29=""),0,COUNTIFS(INDEX(ALGO!$A$2:$BZ$20001,0,$B$19),$B$1,INDEX(ALGO!$A$2:$BZ$20001,0,$B$20),"*",INDEX(ALGO!$A$2:$BZ$20001,0,$B$18),$B101,INDEX(ALGO!$A$2:$BZ$20001,0,AK$29),"&lt;&gt;"))</f>
        <v/>
      </c>
      <c r="AP101" s="22">
        <f>IF(OR($C101=1,AL$29=""),0,COUNTIFS(INDEX(ALGO!$A$2:$BZ$20001,0,$B$19),$B$1,INDEX(ALGO!$A$2:$BZ$20001,0,$B$20),"*",INDEX(ALGO!$A$2:$BZ$20001,0,$B$18),$B101,INDEX(ALGO!$A$2:$BZ$20001,0,AL$29),"&lt;&gt;"))</f>
        <v/>
      </c>
      <c r="AQ101" s="22">
        <f>IF(OR($C101=1,AM$29=""),0,COUNTIFS(INDEX(ALGO!$A$2:$BZ$20001,0,$B$19),$B$1,INDEX(ALGO!$A$2:$BZ$20001,0,$B$20),"*",INDEX(ALGO!$A$2:$BZ$20001,0,$B$18),$B101,INDEX(ALGO!$A$2:$BZ$20001,0,AM$29),"&lt;&gt;"))</f>
        <v/>
      </c>
    </row>
    <row r="102">
      <c r="A102" s="20" t="n">
        <v>23</v>
      </c>
      <c r="B102" s="20">
        <f>IF($A102&gt;$B$77,"",IFERROR(INDEX(ALGO!$A$1:$BZ$20001,1+$A102,$B$18),""))</f>
        <v/>
      </c>
      <c r="C102" s="20">
        <f>IF($B102="",1,IF(COUNTIF($A$200:$A$202,$B102)&gt;0,1,0))</f>
        <v/>
      </c>
      <c r="D102" s="20">
        <f>IF($C102=1,0,SUM($H102:$AQ102))</f>
        <v/>
      </c>
      <c r="E102" s="20">
        <f>$E101+IF($D102&gt;0,1,0)</f>
        <v/>
      </c>
      <c r="H102" s="22">
        <f>IF(OR($C102=1,D$29=""),0,COUNTIFS(INDEX(ALGO!$A$2:$BZ$20001,0,$B$19),$B$1,INDEX(ALGO!$A$2:$BZ$20001,0,$B$20),"*",INDEX(ALGO!$A$2:$BZ$20001,0,$B$18),$B102,INDEX(ALGO!$A$2:$BZ$20001,0,D$29),"&lt;&gt;"))</f>
        <v/>
      </c>
      <c r="I102" s="22">
        <f>IF(OR($C102=1,E$29=""),0,COUNTIFS(INDEX(ALGO!$A$2:$BZ$20001,0,$B$19),$B$1,INDEX(ALGO!$A$2:$BZ$20001,0,$B$20),"*",INDEX(ALGO!$A$2:$BZ$20001,0,$B$18),$B102,INDEX(ALGO!$A$2:$BZ$20001,0,E$29),"&lt;&gt;"))</f>
        <v/>
      </c>
      <c r="J102" s="22">
        <f>IF(OR($C102=1,F$29=""),0,COUNTIFS(INDEX(ALGO!$A$2:$BZ$20001,0,$B$19),$B$1,INDEX(ALGO!$A$2:$BZ$20001,0,$B$20),"*",INDEX(ALGO!$A$2:$BZ$20001,0,$B$18),$B102,INDEX(ALGO!$A$2:$BZ$20001,0,F$29),"&lt;&gt;"))</f>
        <v/>
      </c>
      <c r="K102" s="22">
        <f>IF(OR($C102=1,G$29=""),0,COUNTIFS(INDEX(ALGO!$A$2:$BZ$20001,0,$B$19),$B$1,INDEX(ALGO!$A$2:$BZ$20001,0,$B$20),"*",INDEX(ALGO!$A$2:$BZ$20001,0,$B$18),$B102,INDEX(ALGO!$A$2:$BZ$20001,0,G$29),"&lt;&gt;"))</f>
        <v/>
      </c>
      <c r="L102" s="22">
        <f>IF(OR($C102=1,H$29=""),0,COUNTIFS(INDEX(ALGO!$A$2:$BZ$20001,0,$B$19),$B$1,INDEX(ALGO!$A$2:$BZ$20001,0,$B$20),"*",INDEX(ALGO!$A$2:$BZ$20001,0,$B$18),$B102,INDEX(ALGO!$A$2:$BZ$20001,0,H$29),"&lt;&gt;"))</f>
        <v/>
      </c>
      <c r="M102" s="22">
        <f>IF(OR($C102=1,I$29=""),0,COUNTIFS(INDEX(ALGO!$A$2:$BZ$20001,0,$B$19),$B$1,INDEX(ALGO!$A$2:$BZ$20001,0,$B$20),"*",INDEX(ALGO!$A$2:$BZ$20001,0,$B$18),$B102,INDEX(ALGO!$A$2:$BZ$20001,0,I$29),"&lt;&gt;"))</f>
        <v/>
      </c>
      <c r="N102" s="22">
        <f>IF(OR($C102=1,J$29=""),0,COUNTIFS(INDEX(ALGO!$A$2:$BZ$20001,0,$B$19),$B$1,INDEX(ALGO!$A$2:$BZ$20001,0,$B$20),"*",INDEX(ALGO!$A$2:$BZ$20001,0,$B$18),$B102,INDEX(ALGO!$A$2:$BZ$20001,0,J$29),"&lt;&gt;"))</f>
        <v/>
      </c>
      <c r="O102" s="22">
        <f>IF(OR($C102=1,K$29=""),0,COUNTIFS(INDEX(ALGO!$A$2:$BZ$20001,0,$B$19),$B$1,INDEX(ALGO!$A$2:$BZ$20001,0,$B$20),"*",INDEX(ALGO!$A$2:$BZ$20001,0,$B$18),$B102,INDEX(ALGO!$A$2:$BZ$20001,0,K$29),"&lt;&gt;"))</f>
        <v/>
      </c>
      <c r="P102" s="22">
        <f>IF(OR($C102=1,L$29=""),0,COUNTIFS(INDEX(ALGO!$A$2:$BZ$20001,0,$B$19),$B$1,INDEX(ALGO!$A$2:$BZ$20001,0,$B$20),"*",INDEX(ALGO!$A$2:$BZ$20001,0,$B$18),$B102,INDEX(ALGO!$A$2:$BZ$20001,0,L$29),"&lt;&gt;"))</f>
        <v/>
      </c>
      <c r="Q102" s="22">
        <f>IF(OR($C102=1,M$29=""),0,COUNTIFS(INDEX(ALGO!$A$2:$BZ$20001,0,$B$19),$B$1,INDEX(ALGO!$A$2:$BZ$20001,0,$B$20),"*",INDEX(ALGO!$A$2:$BZ$20001,0,$B$18),$B102,INDEX(ALGO!$A$2:$BZ$20001,0,M$29),"&lt;&gt;"))</f>
        <v/>
      </c>
      <c r="R102" s="22">
        <f>IF(OR($C102=1,N$29=""),0,COUNTIFS(INDEX(ALGO!$A$2:$BZ$20001,0,$B$19),$B$1,INDEX(ALGO!$A$2:$BZ$20001,0,$B$20),"*",INDEX(ALGO!$A$2:$BZ$20001,0,$B$18),$B102,INDEX(ALGO!$A$2:$BZ$20001,0,N$29),"&lt;&gt;"))</f>
        <v/>
      </c>
      <c r="S102" s="22">
        <f>IF(OR($C102=1,O$29=""),0,COUNTIFS(INDEX(ALGO!$A$2:$BZ$20001,0,$B$19),$B$1,INDEX(ALGO!$A$2:$BZ$20001,0,$B$20),"*",INDEX(ALGO!$A$2:$BZ$20001,0,$B$18),$B102,INDEX(ALGO!$A$2:$BZ$20001,0,O$29),"&lt;&gt;"))</f>
        <v/>
      </c>
      <c r="T102" s="22">
        <f>IF(OR($C102=1,P$29=""),0,COUNTIFS(INDEX(ALGO!$A$2:$BZ$20001,0,$B$19),$B$1,INDEX(ALGO!$A$2:$BZ$20001,0,$B$20),"*",INDEX(ALGO!$A$2:$BZ$20001,0,$B$18),$B102,INDEX(ALGO!$A$2:$BZ$20001,0,P$29),"&lt;&gt;"))</f>
        <v/>
      </c>
      <c r="U102" s="22">
        <f>IF(OR($C102=1,Q$29=""),0,COUNTIFS(INDEX(ALGO!$A$2:$BZ$20001,0,$B$19),$B$1,INDEX(ALGO!$A$2:$BZ$20001,0,$B$20),"*",INDEX(ALGO!$A$2:$BZ$20001,0,$B$18),$B102,INDEX(ALGO!$A$2:$BZ$20001,0,Q$29),"&lt;&gt;"))</f>
        <v/>
      </c>
      <c r="V102" s="22">
        <f>IF(OR($C102=1,R$29=""),0,COUNTIFS(INDEX(ALGO!$A$2:$BZ$20001,0,$B$19),$B$1,INDEX(ALGO!$A$2:$BZ$20001,0,$B$20),"*",INDEX(ALGO!$A$2:$BZ$20001,0,$B$18),$B102,INDEX(ALGO!$A$2:$BZ$20001,0,R$29),"&lt;&gt;"))</f>
        <v/>
      </c>
      <c r="W102" s="22">
        <f>IF(OR($C102=1,S$29=""),0,COUNTIFS(INDEX(ALGO!$A$2:$BZ$20001,0,$B$19),$B$1,INDEX(ALGO!$A$2:$BZ$20001,0,$B$20),"*",INDEX(ALGO!$A$2:$BZ$20001,0,$B$18),$B102,INDEX(ALGO!$A$2:$BZ$20001,0,S$29),"&lt;&gt;"))</f>
        <v/>
      </c>
      <c r="X102" s="22">
        <f>IF(OR($C102=1,T$29=""),0,COUNTIFS(INDEX(ALGO!$A$2:$BZ$20001,0,$B$19),$B$1,INDEX(ALGO!$A$2:$BZ$20001,0,$B$20),"*",INDEX(ALGO!$A$2:$BZ$20001,0,$B$18),$B102,INDEX(ALGO!$A$2:$BZ$20001,0,T$29),"&lt;&gt;"))</f>
        <v/>
      </c>
      <c r="Y102" s="22">
        <f>IF(OR($C102=1,U$29=""),0,COUNTIFS(INDEX(ALGO!$A$2:$BZ$20001,0,$B$19),$B$1,INDEX(ALGO!$A$2:$BZ$20001,0,$B$20),"*",INDEX(ALGO!$A$2:$BZ$20001,0,$B$18),$B102,INDEX(ALGO!$A$2:$BZ$20001,0,U$29),"&lt;&gt;"))</f>
        <v/>
      </c>
      <c r="Z102" s="22">
        <f>IF(OR($C102=1,V$29=""),0,COUNTIFS(INDEX(ALGO!$A$2:$BZ$20001,0,$B$19),$B$1,INDEX(ALGO!$A$2:$BZ$20001,0,$B$20),"*",INDEX(ALGO!$A$2:$BZ$20001,0,$B$18),$B102,INDEX(ALGO!$A$2:$BZ$20001,0,V$29),"&lt;&gt;"))</f>
        <v/>
      </c>
      <c r="AA102" s="22">
        <f>IF(OR($C102=1,W$29=""),0,COUNTIFS(INDEX(ALGO!$A$2:$BZ$20001,0,$B$19),$B$1,INDEX(ALGO!$A$2:$BZ$20001,0,$B$20),"*",INDEX(ALGO!$A$2:$BZ$20001,0,$B$18),$B102,INDEX(ALGO!$A$2:$BZ$20001,0,W$29),"&lt;&gt;"))</f>
        <v/>
      </c>
      <c r="AB102" s="22">
        <f>IF(OR($C102=1,X$29=""),0,COUNTIFS(INDEX(ALGO!$A$2:$BZ$20001,0,$B$19),$B$1,INDEX(ALGO!$A$2:$BZ$20001,0,$B$20),"*",INDEX(ALGO!$A$2:$BZ$20001,0,$B$18),$B102,INDEX(ALGO!$A$2:$BZ$20001,0,X$29),"&lt;&gt;"))</f>
        <v/>
      </c>
      <c r="AC102" s="22">
        <f>IF(OR($C102=1,Y$29=""),0,COUNTIFS(INDEX(ALGO!$A$2:$BZ$20001,0,$B$19),$B$1,INDEX(ALGO!$A$2:$BZ$20001,0,$B$20),"*",INDEX(ALGO!$A$2:$BZ$20001,0,$B$18),$B102,INDEX(ALGO!$A$2:$BZ$20001,0,Y$29),"&lt;&gt;"))</f>
        <v/>
      </c>
      <c r="AD102" s="22">
        <f>IF(OR($C102=1,Z$29=""),0,COUNTIFS(INDEX(ALGO!$A$2:$BZ$20001,0,$B$19),$B$1,INDEX(ALGO!$A$2:$BZ$20001,0,$B$20),"*",INDEX(ALGO!$A$2:$BZ$20001,0,$B$18),$B102,INDEX(ALGO!$A$2:$BZ$20001,0,Z$29),"&lt;&gt;"))</f>
        <v/>
      </c>
      <c r="AE102" s="22">
        <f>IF(OR($C102=1,AA$29=""),0,COUNTIFS(INDEX(ALGO!$A$2:$BZ$20001,0,$B$19),$B$1,INDEX(ALGO!$A$2:$BZ$20001,0,$B$20),"*",INDEX(ALGO!$A$2:$BZ$20001,0,$B$18),$B102,INDEX(ALGO!$A$2:$BZ$20001,0,AA$29),"&lt;&gt;"))</f>
        <v/>
      </c>
      <c r="AF102" s="22">
        <f>IF(OR($C102=1,AB$29=""),0,COUNTIFS(INDEX(ALGO!$A$2:$BZ$20001,0,$B$19),$B$1,INDEX(ALGO!$A$2:$BZ$20001,0,$B$20),"*",INDEX(ALGO!$A$2:$BZ$20001,0,$B$18),$B102,INDEX(ALGO!$A$2:$BZ$20001,0,AB$29),"&lt;&gt;"))</f>
        <v/>
      </c>
      <c r="AG102" s="22">
        <f>IF(OR($C102=1,AC$29=""),0,COUNTIFS(INDEX(ALGO!$A$2:$BZ$20001,0,$B$19),$B$1,INDEX(ALGO!$A$2:$BZ$20001,0,$B$20),"*",INDEX(ALGO!$A$2:$BZ$20001,0,$B$18),$B102,INDEX(ALGO!$A$2:$BZ$20001,0,AC$29),"&lt;&gt;"))</f>
        <v/>
      </c>
      <c r="AH102" s="22">
        <f>IF(OR($C102=1,AD$29=""),0,COUNTIFS(INDEX(ALGO!$A$2:$BZ$20001,0,$B$19),$B$1,INDEX(ALGO!$A$2:$BZ$20001,0,$B$20),"*",INDEX(ALGO!$A$2:$BZ$20001,0,$B$18),$B102,INDEX(ALGO!$A$2:$BZ$20001,0,AD$29),"&lt;&gt;"))</f>
        <v/>
      </c>
      <c r="AI102" s="22">
        <f>IF(OR($C102=1,AE$29=""),0,COUNTIFS(INDEX(ALGO!$A$2:$BZ$20001,0,$B$19),$B$1,INDEX(ALGO!$A$2:$BZ$20001,0,$B$20),"*",INDEX(ALGO!$A$2:$BZ$20001,0,$B$18),$B102,INDEX(ALGO!$A$2:$BZ$20001,0,AE$29),"&lt;&gt;"))</f>
        <v/>
      </c>
      <c r="AJ102" s="22">
        <f>IF(OR($C102=1,AF$29=""),0,COUNTIFS(INDEX(ALGO!$A$2:$BZ$20001,0,$B$19),$B$1,INDEX(ALGO!$A$2:$BZ$20001,0,$B$20),"*",INDEX(ALGO!$A$2:$BZ$20001,0,$B$18),$B102,INDEX(ALGO!$A$2:$BZ$20001,0,AF$29),"&lt;&gt;"))</f>
        <v/>
      </c>
      <c r="AK102" s="22">
        <f>IF(OR($C102=1,AG$29=""),0,COUNTIFS(INDEX(ALGO!$A$2:$BZ$20001,0,$B$19),$B$1,INDEX(ALGO!$A$2:$BZ$20001,0,$B$20),"*",INDEX(ALGO!$A$2:$BZ$20001,0,$B$18),$B102,INDEX(ALGO!$A$2:$BZ$20001,0,AG$29),"&lt;&gt;"))</f>
        <v/>
      </c>
      <c r="AL102" s="22">
        <f>IF(OR($C102=1,AH$29=""),0,COUNTIFS(INDEX(ALGO!$A$2:$BZ$20001,0,$B$19),$B$1,INDEX(ALGO!$A$2:$BZ$20001,0,$B$20),"*",INDEX(ALGO!$A$2:$BZ$20001,0,$B$18),$B102,INDEX(ALGO!$A$2:$BZ$20001,0,AH$29),"&lt;&gt;"))</f>
        <v/>
      </c>
      <c r="AM102" s="22">
        <f>IF(OR($C102=1,AI$29=""),0,COUNTIFS(INDEX(ALGO!$A$2:$BZ$20001,0,$B$19),$B$1,INDEX(ALGO!$A$2:$BZ$20001,0,$B$20),"*",INDEX(ALGO!$A$2:$BZ$20001,0,$B$18),$B102,INDEX(ALGO!$A$2:$BZ$20001,0,AI$29),"&lt;&gt;"))</f>
        <v/>
      </c>
      <c r="AN102" s="22">
        <f>IF(OR($C102=1,AJ$29=""),0,COUNTIFS(INDEX(ALGO!$A$2:$BZ$20001,0,$B$19),$B$1,INDEX(ALGO!$A$2:$BZ$20001,0,$B$20),"*",INDEX(ALGO!$A$2:$BZ$20001,0,$B$18),$B102,INDEX(ALGO!$A$2:$BZ$20001,0,AJ$29),"&lt;&gt;"))</f>
        <v/>
      </c>
      <c r="AO102" s="22">
        <f>IF(OR($C102=1,AK$29=""),0,COUNTIFS(INDEX(ALGO!$A$2:$BZ$20001,0,$B$19),$B$1,INDEX(ALGO!$A$2:$BZ$20001,0,$B$20),"*",INDEX(ALGO!$A$2:$BZ$20001,0,$B$18),$B102,INDEX(ALGO!$A$2:$BZ$20001,0,AK$29),"&lt;&gt;"))</f>
        <v/>
      </c>
      <c r="AP102" s="22">
        <f>IF(OR($C102=1,AL$29=""),0,COUNTIFS(INDEX(ALGO!$A$2:$BZ$20001,0,$B$19),$B$1,INDEX(ALGO!$A$2:$BZ$20001,0,$B$20),"*",INDEX(ALGO!$A$2:$BZ$20001,0,$B$18),$B102,INDEX(ALGO!$A$2:$BZ$20001,0,AL$29),"&lt;&gt;"))</f>
        <v/>
      </c>
      <c r="AQ102" s="22">
        <f>IF(OR($C102=1,AM$29=""),0,COUNTIFS(INDEX(ALGO!$A$2:$BZ$20001,0,$B$19),$B$1,INDEX(ALGO!$A$2:$BZ$20001,0,$B$20),"*",INDEX(ALGO!$A$2:$BZ$20001,0,$B$18),$B102,INDEX(ALGO!$A$2:$BZ$20001,0,AM$29),"&lt;&gt;"))</f>
        <v/>
      </c>
    </row>
    <row r="103">
      <c r="A103" s="20" t="n">
        <v>24</v>
      </c>
      <c r="B103" s="20">
        <f>IF($A103&gt;$B$77,"",IFERROR(INDEX(ALGO!$A$1:$BZ$20001,1+$A103,$B$18),""))</f>
        <v/>
      </c>
      <c r="C103" s="20">
        <f>IF($B103="",1,IF(COUNTIF($A$200:$A$202,$B103)&gt;0,1,0))</f>
        <v/>
      </c>
      <c r="D103" s="20">
        <f>IF($C103=1,0,SUM($H103:$AQ103))</f>
        <v/>
      </c>
      <c r="E103" s="20">
        <f>$E102+IF($D103&gt;0,1,0)</f>
        <v/>
      </c>
      <c r="H103" s="22">
        <f>IF(OR($C103=1,D$29=""),0,COUNTIFS(INDEX(ALGO!$A$2:$BZ$20001,0,$B$19),$B$1,INDEX(ALGO!$A$2:$BZ$20001,0,$B$20),"*",INDEX(ALGO!$A$2:$BZ$20001,0,$B$18),$B103,INDEX(ALGO!$A$2:$BZ$20001,0,D$29),"&lt;&gt;"))</f>
        <v/>
      </c>
      <c r="I103" s="22">
        <f>IF(OR($C103=1,E$29=""),0,COUNTIFS(INDEX(ALGO!$A$2:$BZ$20001,0,$B$19),$B$1,INDEX(ALGO!$A$2:$BZ$20001,0,$B$20),"*",INDEX(ALGO!$A$2:$BZ$20001,0,$B$18),$B103,INDEX(ALGO!$A$2:$BZ$20001,0,E$29),"&lt;&gt;"))</f>
        <v/>
      </c>
      <c r="J103" s="22">
        <f>IF(OR($C103=1,F$29=""),0,COUNTIFS(INDEX(ALGO!$A$2:$BZ$20001,0,$B$19),$B$1,INDEX(ALGO!$A$2:$BZ$20001,0,$B$20),"*",INDEX(ALGO!$A$2:$BZ$20001,0,$B$18),$B103,INDEX(ALGO!$A$2:$BZ$20001,0,F$29),"&lt;&gt;"))</f>
        <v/>
      </c>
      <c r="K103" s="22">
        <f>IF(OR($C103=1,G$29=""),0,COUNTIFS(INDEX(ALGO!$A$2:$BZ$20001,0,$B$19),$B$1,INDEX(ALGO!$A$2:$BZ$20001,0,$B$20),"*",INDEX(ALGO!$A$2:$BZ$20001,0,$B$18),$B103,INDEX(ALGO!$A$2:$BZ$20001,0,G$29),"&lt;&gt;"))</f>
        <v/>
      </c>
      <c r="L103" s="22">
        <f>IF(OR($C103=1,H$29=""),0,COUNTIFS(INDEX(ALGO!$A$2:$BZ$20001,0,$B$19),$B$1,INDEX(ALGO!$A$2:$BZ$20001,0,$B$20),"*",INDEX(ALGO!$A$2:$BZ$20001,0,$B$18),$B103,INDEX(ALGO!$A$2:$BZ$20001,0,H$29),"&lt;&gt;"))</f>
        <v/>
      </c>
      <c r="M103" s="22">
        <f>IF(OR($C103=1,I$29=""),0,COUNTIFS(INDEX(ALGO!$A$2:$BZ$20001,0,$B$19),$B$1,INDEX(ALGO!$A$2:$BZ$20001,0,$B$20),"*",INDEX(ALGO!$A$2:$BZ$20001,0,$B$18),$B103,INDEX(ALGO!$A$2:$BZ$20001,0,I$29),"&lt;&gt;"))</f>
        <v/>
      </c>
      <c r="N103" s="22">
        <f>IF(OR($C103=1,J$29=""),0,COUNTIFS(INDEX(ALGO!$A$2:$BZ$20001,0,$B$19),$B$1,INDEX(ALGO!$A$2:$BZ$20001,0,$B$20),"*",INDEX(ALGO!$A$2:$BZ$20001,0,$B$18),$B103,INDEX(ALGO!$A$2:$BZ$20001,0,J$29),"&lt;&gt;"))</f>
        <v/>
      </c>
      <c r="O103" s="22">
        <f>IF(OR($C103=1,K$29=""),0,COUNTIFS(INDEX(ALGO!$A$2:$BZ$20001,0,$B$19),$B$1,INDEX(ALGO!$A$2:$BZ$20001,0,$B$20),"*",INDEX(ALGO!$A$2:$BZ$20001,0,$B$18),$B103,INDEX(ALGO!$A$2:$BZ$20001,0,K$29),"&lt;&gt;"))</f>
        <v/>
      </c>
      <c r="P103" s="22">
        <f>IF(OR($C103=1,L$29=""),0,COUNTIFS(INDEX(ALGO!$A$2:$BZ$20001,0,$B$19),$B$1,INDEX(ALGO!$A$2:$BZ$20001,0,$B$20),"*",INDEX(ALGO!$A$2:$BZ$20001,0,$B$18),$B103,INDEX(ALGO!$A$2:$BZ$20001,0,L$29),"&lt;&gt;"))</f>
        <v/>
      </c>
      <c r="Q103" s="22">
        <f>IF(OR($C103=1,M$29=""),0,COUNTIFS(INDEX(ALGO!$A$2:$BZ$20001,0,$B$19),$B$1,INDEX(ALGO!$A$2:$BZ$20001,0,$B$20),"*",INDEX(ALGO!$A$2:$BZ$20001,0,$B$18),$B103,INDEX(ALGO!$A$2:$BZ$20001,0,M$29),"&lt;&gt;"))</f>
        <v/>
      </c>
      <c r="R103" s="22">
        <f>IF(OR($C103=1,N$29=""),0,COUNTIFS(INDEX(ALGO!$A$2:$BZ$20001,0,$B$19),$B$1,INDEX(ALGO!$A$2:$BZ$20001,0,$B$20),"*",INDEX(ALGO!$A$2:$BZ$20001,0,$B$18),$B103,INDEX(ALGO!$A$2:$BZ$20001,0,N$29),"&lt;&gt;"))</f>
        <v/>
      </c>
      <c r="S103" s="22">
        <f>IF(OR($C103=1,O$29=""),0,COUNTIFS(INDEX(ALGO!$A$2:$BZ$20001,0,$B$19),$B$1,INDEX(ALGO!$A$2:$BZ$20001,0,$B$20),"*",INDEX(ALGO!$A$2:$BZ$20001,0,$B$18),$B103,INDEX(ALGO!$A$2:$BZ$20001,0,O$29),"&lt;&gt;"))</f>
        <v/>
      </c>
      <c r="T103" s="22">
        <f>IF(OR($C103=1,P$29=""),0,COUNTIFS(INDEX(ALGO!$A$2:$BZ$20001,0,$B$19),$B$1,INDEX(ALGO!$A$2:$BZ$20001,0,$B$20),"*",INDEX(ALGO!$A$2:$BZ$20001,0,$B$18),$B103,INDEX(ALGO!$A$2:$BZ$20001,0,P$29),"&lt;&gt;"))</f>
        <v/>
      </c>
      <c r="U103" s="22">
        <f>IF(OR($C103=1,Q$29=""),0,COUNTIFS(INDEX(ALGO!$A$2:$BZ$20001,0,$B$19),$B$1,INDEX(ALGO!$A$2:$BZ$20001,0,$B$20),"*",INDEX(ALGO!$A$2:$BZ$20001,0,$B$18),$B103,INDEX(ALGO!$A$2:$BZ$20001,0,Q$29),"&lt;&gt;"))</f>
        <v/>
      </c>
      <c r="V103" s="22">
        <f>IF(OR($C103=1,R$29=""),0,COUNTIFS(INDEX(ALGO!$A$2:$BZ$20001,0,$B$19),$B$1,INDEX(ALGO!$A$2:$BZ$20001,0,$B$20),"*",INDEX(ALGO!$A$2:$BZ$20001,0,$B$18),$B103,INDEX(ALGO!$A$2:$BZ$20001,0,R$29),"&lt;&gt;"))</f>
        <v/>
      </c>
      <c r="W103" s="22">
        <f>IF(OR($C103=1,S$29=""),0,COUNTIFS(INDEX(ALGO!$A$2:$BZ$20001,0,$B$19),$B$1,INDEX(ALGO!$A$2:$BZ$20001,0,$B$20),"*",INDEX(ALGO!$A$2:$BZ$20001,0,$B$18),$B103,INDEX(ALGO!$A$2:$BZ$20001,0,S$29),"&lt;&gt;"))</f>
        <v/>
      </c>
      <c r="X103" s="22">
        <f>IF(OR($C103=1,T$29=""),0,COUNTIFS(INDEX(ALGO!$A$2:$BZ$20001,0,$B$19),$B$1,INDEX(ALGO!$A$2:$BZ$20001,0,$B$20),"*",INDEX(ALGO!$A$2:$BZ$20001,0,$B$18),$B103,INDEX(ALGO!$A$2:$BZ$20001,0,T$29),"&lt;&gt;"))</f>
        <v/>
      </c>
      <c r="Y103" s="22">
        <f>IF(OR($C103=1,U$29=""),0,COUNTIFS(INDEX(ALGO!$A$2:$BZ$20001,0,$B$19),$B$1,INDEX(ALGO!$A$2:$BZ$20001,0,$B$20),"*",INDEX(ALGO!$A$2:$BZ$20001,0,$B$18),$B103,INDEX(ALGO!$A$2:$BZ$20001,0,U$29),"&lt;&gt;"))</f>
        <v/>
      </c>
      <c r="Z103" s="22">
        <f>IF(OR($C103=1,V$29=""),0,COUNTIFS(INDEX(ALGO!$A$2:$BZ$20001,0,$B$19),$B$1,INDEX(ALGO!$A$2:$BZ$20001,0,$B$20),"*",INDEX(ALGO!$A$2:$BZ$20001,0,$B$18),$B103,INDEX(ALGO!$A$2:$BZ$20001,0,V$29),"&lt;&gt;"))</f>
        <v/>
      </c>
      <c r="AA103" s="22">
        <f>IF(OR($C103=1,W$29=""),0,COUNTIFS(INDEX(ALGO!$A$2:$BZ$20001,0,$B$19),$B$1,INDEX(ALGO!$A$2:$BZ$20001,0,$B$20),"*",INDEX(ALGO!$A$2:$BZ$20001,0,$B$18),$B103,INDEX(ALGO!$A$2:$BZ$20001,0,W$29),"&lt;&gt;"))</f>
        <v/>
      </c>
      <c r="AB103" s="22">
        <f>IF(OR($C103=1,X$29=""),0,COUNTIFS(INDEX(ALGO!$A$2:$BZ$20001,0,$B$19),$B$1,INDEX(ALGO!$A$2:$BZ$20001,0,$B$20),"*",INDEX(ALGO!$A$2:$BZ$20001,0,$B$18),$B103,INDEX(ALGO!$A$2:$BZ$20001,0,X$29),"&lt;&gt;"))</f>
        <v/>
      </c>
      <c r="AC103" s="22">
        <f>IF(OR($C103=1,Y$29=""),0,COUNTIFS(INDEX(ALGO!$A$2:$BZ$20001,0,$B$19),$B$1,INDEX(ALGO!$A$2:$BZ$20001,0,$B$20),"*",INDEX(ALGO!$A$2:$BZ$20001,0,$B$18),$B103,INDEX(ALGO!$A$2:$BZ$20001,0,Y$29),"&lt;&gt;"))</f>
        <v/>
      </c>
      <c r="AD103" s="22">
        <f>IF(OR($C103=1,Z$29=""),0,COUNTIFS(INDEX(ALGO!$A$2:$BZ$20001,0,$B$19),$B$1,INDEX(ALGO!$A$2:$BZ$20001,0,$B$20),"*",INDEX(ALGO!$A$2:$BZ$20001,0,$B$18),$B103,INDEX(ALGO!$A$2:$BZ$20001,0,Z$29),"&lt;&gt;"))</f>
        <v/>
      </c>
      <c r="AE103" s="22">
        <f>IF(OR($C103=1,AA$29=""),0,COUNTIFS(INDEX(ALGO!$A$2:$BZ$20001,0,$B$19),$B$1,INDEX(ALGO!$A$2:$BZ$20001,0,$B$20),"*",INDEX(ALGO!$A$2:$BZ$20001,0,$B$18),$B103,INDEX(ALGO!$A$2:$BZ$20001,0,AA$29),"&lt;&gt;"))</f>
        <v/>
      </c>
      <c r="AF103" s="22">
        <f>IF(OR($C103=1,AB$29=""),0,COUNTIFS(INDEX(ALGO!$A$2:$BZ$20001,0,$B$19),$B$1,INDEX(ALGO!$A$2:$BZ$20001,0,$B$20),"*",INDEX(ALGO!$A$2:$BZ$20001,0,$B$18),$B103,INDEX(ALGO!$A$2:$BZ$20001,0,AB$29),"&lt;&gt;"))</f>
        <v/>
      </c>
      <c r="AG103" s="22">
        <f>IF(OR($C103=1,AC$29=""),0,COUNTIFS(INDEX(ALGO!$A$2:$BZ$20001,0,$B$19),$B$1,INDEX(ALGO!$A$2:$BZ$20001,0,$B$20),"*",INDEX(ALGO!$A$2:$BZ$20001,0,$B$18),$B103,INDEX(ALGO!$A$2:$BZ$20001,0,AC$29),"&lt;&gt;"))</f>
        <v/>
      </c>
      <c r="AH103" s="22">
        <f>IF(OR($C103=1,AD$29=""),0,COUNTIFS(INDEX(ALGO!$A$2:$BZ$20001,0,$B$19),$B$1,INDEX(ALGO!$A$2:$BZ$20001,0,$B$20),"*",INDEX(ALGO!$A$2:$BZ$20001,0,$B$18),$B103,INDEX(ALGO!$A$2:$BZ$20001,0,AD$29),"&lt;&gt;"))</f>
        <v/>
      </c>
      <c r="AI103" s="22">
        <f>IF(OR($C103=1,AE$29=""),0,COUNTIFS(INDEX(ALGO!$A$2:$BZ$20001,0,$B$19),$B$1,INDEX(ALGO!$A$2:$BZ$20001,0,$B$20),"*",INDEX(ALGO!$A$2:$BZ$20001,0,$B$18),$B103,INDEX(ALGO!$A$2:$BZ$20001,0,AE$29),"&lt;&gt;"))</f>
        <v/>
      </c>
      <c r="AJ103" s="22">
        <f>IF(OR($C103=1,AF$29=""),0,COUNTIFS(INDEX(ALGO!$A$2:$BZ$20001,0,$B$19),$B$1,INDEX(ALGO!$A$2:$BZ$20001,0,$B$20),"*",INDEX(ALGO!$A$2:$BZ$20001,0,$B$18),$B103,INDEX(ALGO!$A$2:$BZ$20001,0,AF$29),"&lt;&gt;"))</f>
        <v/>
      </c>
      <c r="AK103" s="22">
        <f>IF(OR($C103=1,AG$29=""),0,COUNTIFS(INDEX(ALGO!$A$2:$BZ$20001,0,$B$19),$B$1,INDEX(ALGO!$A$2:$BZ$20001,0,$B$20),"*",INDEX(ALGO!$A$2:$BZ$20001,0,$B$18),$B103,INDEX(ALGO!$A$2:$BZ$20001,0,AG$29),"&lt;&gt;"))</f>
        <v/>
      </c>
      <c r="AL103" s="22">
        <f>IF(OR($C103=1,AH$29=""),0,COUNTIFS(INDEX(ALGO!$A$2:$BZ$20001,0,$B$19),$B$1,INDEX(ALGO!$A$2:$BZ$20001,0,$B$20),"*",INDEX(ALGO!$A$2:$BZ$20001,0,$B$18),$B103,INDEX(ALGO!$A$2:$BZ$20001,0,AH$29),"&lt;&gt;"))</f>
        <v/>
      </c>
      <c r="AM103" s="22">
        <f>IF(OR($C103=1,AI$29=""),0,COUNTIFS(INDEX(ALGO!$A$2:$BZ$20001,0,$B$19),$B$1,INDEX(ALGO!$A$2:$BZ$20001,0,$B$20),"*",INDEX(ALGO!$A$2:$BZ$20001,0,$B$18),$B103,INDEX(ALGO!$A$2:$BZ$20001,0,AI$29),"&lt;&gt;"))</f>
        <v/>
      </c>
      <c r="AN103" s="22">
        <f>IF(OR($C103=1,AJ$29=""),0,COUNTIFS(INDEX(ALGO!$A$2:$BZ$20001,0,$B$19),$B$1,INDEX(ALGO!$A$2:$BZ$20001,0,$B$20),"*",INDEX(ALGO!$A$2:$BZ$20001,0,$B$18),$B103,INDEX(ALGO!$A$2:$BZ$20001,0,AJ$29),"&lt;&gt;"))</f>
        <v/>
      </c>
      <c r="AO103" s="22">
        <f>IF(OR($C103=1,AK$29=""),0,COUNTIFS(INDEX(ALGO!$A$2:$BZ$20001,0,$B$19),$B$1,INDEX(ALGO!$A$2:$BZ$20001,0,$B$20),"*",INDEX(ALGO!$A$2:$BZ$20001,0,$B$18),$B103,INDEX(ALGO!$A$2:$BZ$20001,0,AK$29),"&lt;&gt;"))</f>
        <v/>
      </c>
      <c r="AP103" s="22">
        <f>IF(OR($C103=1,AL$29=""),0,COUNTIFS(INDEX(ALGO!$A$2:$BZ$20001,0,$B$19),$B$1,INDEX(ALGO!$A$2:$BZ$20001,0,$B$20),"*",INDEX(ALGO!$A$2:$BZ$20001,0,$B$18),$B103,INDEX(ALGO!$A$2:$BZ$20001,0,AL$29),"&lt;&gt;"))</f>
        <v/>
      </c>
      <c r="AQ103" s="22">
        <f>IF(OR($C103=1,AM$29=""),0,COUNTIFS(INDEX(ALGO!$A$2:$BZ$20001,0,$B$19),$B$1,INDEX(ALGO!$A$2:$BZ$20001,0,$B$20),"*",INDEX(ALGO!$A$2:$BZ$20001,0,$B$18),$B103,INDEX(ALGO!$A$2:$BZ$20001,0,AM$29),"&lt;&gt;"))</f>
        <v/>
      </c>
    </row>
    <row r="104">
      <c r="A104" s="20" t="n">
        <v>25</v>
      </c>
      <c r="B104" s="20">
        <f>IF($A104&gt;$B$77,"",IFERROR(INDEX(ALGO!$A$1:$BZ$20001,1+$A104,$B$18),""))</f>
        <v/>
      </c>
      <c r="C104" s="20">
        <f>IF($B104="",1,IF(COUNTIF($A$200:$A$202,$B104)&gt;0,1,0))</f>
        <v/>
      </c>
      <c r="D104" s="20">
        <f>IF($C104=1,0,SUM($H104:$AQ104))</f>
        <v/>
      </c>
      <c r="E104" s="20">
        <f>$E103+IF($D104&gt;0,1,0)</f>
        <v/>
      </c>
      <c r="H104" s="22">
        <f>IF(OR($C104=1,D$29=""),0,COUNTIFS(INDEX(ALGO!$A$2:$BZ$20001,0,$B$19),$B$1,INDEX(ALGO!$A$2:$BZ$20001,0,$B$20),"*",INDEX(ALGO!$A$2:$BZ$20001,0,$B$18),$B104,INDEX(ALGO!$A$2:$BZ$20001,0,D$29),"&lt;&gt;"))</f>
        <v/>
      </c>
      <c r="I104" s="22">
        <f>IF(OR($C104=1,E$29=""),0,COUNTIFS(INDEX(ALGO!$A$2:$BZ$20001,0,$B$19),$B$1,INDEX(ALGO!$A$2:$BZ$20001,0,$B$20),"*",INDEX(ALGO!$A$2:$BZ$20001,0,$B$18),$B104,INDEX(ALGO!$A$2:$BZ$20001,0,E$29),"&lt;&gt;"))</f>
        <v/>
      </c>
      <c r="J104" s="22">
        <f>IF(OR($C104=1,F$29=""),0,COUNTIFS(INDEX(ALGO!$A$2:$BZ$20001,0,$B$19),$B$1,INDEX(ALGO!$A$2:$BZ$20001,0,$B$20),"*",INDEX(ALGO!$A$2:$BZ$20001,0,$B$18),$B104,INDEX(ALGO!$A$2:$BZ$20001,0,F$29),"&lt;&gt;"))</f>
        <v/>
      </c>
      <c r="K104" s="22">
        <f>IF(OR($C104=1,G$29=""),0,COUNTIFS(INDEX(ALGO!$A$2:$BZ$20001,0,$B$19),$B$1,INDEX(ALGO!$A$2:$BZ$20001,0,$B$20),"*",INDEX(ALGO!$A$2:$BZ$20001,0,$B$18),$B104,INDEX(ALGO!$A$2:$BZ$20001,0,G$29),"&lt;&gt;"))</f>
        <v/>
      </c>
      <c r="L104" s="22">
        <f>IF(OR($C104=1,H$29=""),0,COUNTIFS(INDEX(ALGO!$A$2:$BZ$20001,0,$B$19),$B$1,INDEX(ALGO!$A$2:$BZ$20001,0,$B$20),"*",INDEX(ALGO!$A$2:$BZ$20001,0,$B$18),$B104,INDEX(ALGO!$A$2:$BZ$20001,0,H$29),"&lt;&gt;"))</f>
        <v/>
      </c>
      <c r="M104" s="22">
        <f>IF(OR($C104=1,I$29=""),0,COUNTIFS(INDEX(ALGO!$A$2:$BZ$20001,0,$B$19),$B$1,INDEX(ALGO!$A$2:$BZ$20001,0,$B$20),"*",INDEX(ALGO!$A$2:$BZ$20001,0,$B$18),$B104,INDEX(ALGO!$A$2:$BZ$20001,0,I$29),"&lt;&gt;"))</f>
        <v/>
      </c>
      <c r="N104" s="22">
        <f>IF(OR($C104=1,J$29=""),0,COUNTIFS(INDEX(ALGO!$A$2:$BZ$20001,0,$B$19),$B$1,INDEX(ALGO!$A$2:$BZ$20001,0,$B$20),"*",INDEX(ALGO!$A$2:$BZ$20001,0,$B$18),$B104,INDEX(ALGO!$A$2:$BZ$20001,0,J$29),"&lt;&gt;"))</f>
        <v/>
      </c>
      <c r="O104" s="22">
        <f>IF(OR($C104=1,K$29=""),0,COUNTIFS(INDEX(ALGO!$A$2:$BZ$20001,0,$B$19),$B$1,INDEX(ALGO!$A$2:$BZ$20001,0,$B$20),"*",INDEX(ALGO!$A$2:$BZ$20001,0,$B$18),$B104,INDEX(ALGO!$A$2:$BZ$20001,0,K$29),"&lt;&gt;"))</f>
        <v/>
      </c>
      <c r="P104" s="22">
        <f>IF(OR($C104=1,L$29=""),0,COUNTIFS(INDEX(ALGO!$A$2:$BZ$20001,0,$B$19),$B$1,INDEX(ALGO!$A$2:$BZ$20001,0,$B$20),"*",INDEX(ALGO!$A$2:$BZ$20001,0,$B$18),$B104,INDEX(ALGO!$A$2:$BZ$20001,0,L$29),"&lt;&gt;"))</f>
        <v/>
      </c>
      <c r="Q104" s="22">
        <f>IF(OR($C104=1,M$29=""),0,COUNTIFS(INDEX(ALGO!$A$2:$BZ$20001,0,$B$19),$B$1,INDEX(ALGO!$A$2:$BZ$20001,0,$B$20),"*",INDEX(ALGO!$A$2:$BZ$20001,0,$B$18),$B104,INDEX(ALGO!$A$2:$BZ$20001,0,M$29),"&lt;&gt;"))</f>
        <v/>
      </c>
      <c r="R104" s="22">
        <f>IF(OR($C104=1,N$29=""),0,COUNTIFS(INDEX(ALGO!$A$2:$BZ$20001,0,$B$19),$B$1,INDEX(ALGO!$A$2:$BZ$20001,0,$B$20),"*",INDEX(ALGO!$A$2:$BZ$20001,0,$B$18),$B104,INDEX(ALGO!$A$2:$BZ$20001,0,N$29),"&lt;&gt;"))</f>
        <v/>
      </c>
      <c r="S104" s="22">
        <f>IF(OR($C104=1,O$29=""),0,COUNTIFS(INDEX(ALGO!$A$2:$BZ$20001,0,$B$19),$B$1,INDEX(ALGO!$A$2:$BZ$20001,0,$B$20),"*",INDEX(ALGO!$A$2:$BZ$20001,0,$B$18),$B104,INDEX(ALGO!$A$2:$BZ$20001,0,O$29),"&lt;&gt;"))</f>
        <v/>
      </c>
      <c r="T104" s="22">
        <f>IF(OR($C104=1,P$29=""),0,COUNTIFS(INDEX(ALGO!$A$2:$BZ$20001,0,$B$19),$B$1,INDEX(ALGO!$A$2:$BZ$20001,0,$B$20),"*",INDEX(ALGO!$A$2:$BZ$20001,0,$B$18),$B104,INDEX(ALGO!$A$2:$BZ$20001,0,P$29),"&lt;&gt;"))</f>
        <v/>
      </c>
      <c r="U104" s="22">
        <f>IF(OR($C104=1,Q$29=""),0,COUNTIFS(INDEX(ALGO!$A$2:$BZ$20001,0,$B$19),$B$1,INDEX(ALGO!$A$2:$BZ$20001,0,$B$20),"*",INDEX(ALGO!$A$2:$BZ$20001,0,$B$18),$B104,INDEX(ALGO!$A$2:$BZ$20001,0,Q$29),"&lt;&gt;"))</f>
        <v/>
      </c>
      <c r="V104" s="22">
        <f>IF(OR($C104=1,R$29=""),0,COUNTIFS(INDEX(ALGO!$A$2:$BZ$20001,0,$B$19),$B$1,INDEX(ALGO!$A$2:$BZ$20001,0,$B$20),"*",INDEX(ALGO!$A$2:$BZ$20001,0,$B$18),$B104,INDEX(ALGO!$A$2:$BZ$20001,0,R$29),"&lt;&gt;"))</f>
        <v/>
      </c>
      <c r="W104" s="22">
        <f>IF(OR($C104=1,S$29=""),0,COUNTIFS(INDEX(ALGO!$A$2:$BZ$20001,0,$B$19),$B$1,INDEX(ALGO!$A$2:$BZ$20001,0,$B$20),"*",INDEX(ALGO!$A$2:$BZ$20001,0,$B$18),$B104,INDEX(ALGO!$A$2:$BZ$20001,0,S$29),"&lt;&gt;"))</f>
        <v/>
      </c>
      <c r="X104" s="22">
        <f>IF(OR($C104=1,T$29=""),0,COUNTIFS(INDEX(ALGO!$A$2:$BZ$20001,0,$B$19),$B$1,INDEX(ALGO!$A$2:$BZ$20001,0,$B$20),"*",INDEX(ALGO!$A$2:$BZ$20001,0,$B$18),$B104,INDEX(ALGO!$A$2:$BZ$20001,0,T$29),"&lt;&gt;"))</f>
        <v/>
      </c>
      <c r="Y104" s="22">
        <f>IF(OR($C104=1,U$29=""),0,COUNTIFS(INDEX(ALGO!$A$2:$BZ$20001,0,$B$19),$B$1,INDEX(ALGO!$A$2:$BZ$20001,0,$B$20),"*",INDEX(ALGO!$A$2:$BZ$20001,0,$B$18),$B104,INDEX(ALGO!$A$2:$BZ$20001,0,U$29),"&lt;&gt;"))</f>
        <v/>
      </c>
      <c r="Z104" s="22">
        <f>IF(OR($C104=1,V$29=""),0,COUNTIFS(INDEX(ALGO!$A$2:$BZ$20001,0,$B$19),$B$1,INDEX(ALGO!$A$2:$BZ$20001,0,$B$20),"*",INDEX(ALGO!$A$2:$BZ$20001,0,$B$18),$B104,INDEX(ALGO!$A$2:$BZ$20001,0,V$29),"&lt;&gt;"))</f>
        <v/>
      </c>
      <c r="AA104" s="22">
        <f>IF(OR($C104=1,W$29=""),0,COUNTIFS(INDEX(ALGO!$A$2:$BZ$20001,0,$B$19),$B$1,INDEX(ALGO!$A$2:$BZ$20001,0,$B$20),"*",INDEX(ALGO!$A$2:$BZ$20001,0,$B$18),$B104,INDEX(ALGO!$A$2:$BZ$20001,0,W$29),"&lt;&gt;"))</f>
        <v/>
      </c>
      <c r="AB104" s="22">
        <f>IF(OR($C104=1,X$29=""),0,COUNTIFS(INDEX(ALGO!$A$2:$BZ$20001,0,$B$19),$B$1,INDEX(ALGO!$A$2:$BZ$20001,0,$B$20),"*",INDEX(ALGO!$A$2:$BZ$20001,0,$B$18),$B104,INDEX(ALGO!$A$2:$BZ$20001,0,X$29),"&lt;&gt;"))</f>
        <v/>
      </c>
      <c r="AC104" s="22">
        <f>IF(OR($C104=1,Y$29=""),0,COUNTIFS(INDEX(ALGO!$A$2:$BZ$20001,0,$B$19),$B$1,INDEX(ALGO!$A$2:$BZ$20001,0,$B$20),"*",INDEX(ALGO!$A$2:$BZ$20001,0,$B$18),$B104,INDEX(ALGO!$A$2:$BZ$20001,0,Y$29),"&lt;&gt;"))</f>
        <v/>
      </c>
      <c r="AD104" s="22">
        <f>IF(OR($C104=1,Z$29=""),0,COUNTIFS(INDEX(ALGO!$A$2:$BZ$20001,0,$B$19),$B$1,INDEX(ALGO!$A$2:$BZ$20001,0,$B$20),"*",INDEX(ALGO!$A$2:$BZ$20001,0,$B$18),$B104,INDEX(ALGO!$A$2:$BZ$20001,0,Z$29),"&lt;&gt;"))</f>
        <v/>
      </c>
      <c r="AE104" s="22">
        <f>IF(OR($C104=1,AA$29=""),0,COUNTIFS(INDEX(ALGO!$A$2:$BZ$20001,0,$B$19),$B$1,INDEX(ALGO!$A$2:$BZ$20001,0,$B$20),"*",INDEX(ALGO!$A$2:$BZ$20001,0,$B$18),$B104,INDEX(ALGO!$A$2:$BZ$20001,0,AA$29),"&lt;&gt;"))</f>
        <v/>
      </c>
      <c r="AF104" s="22">
        <f>IF(OR($C104=1,AB$29=""),0,COUNTIFS(INDEX(ALGO!$A$2:$BZ$20001,0,$B$19),$B$1,INDEX(ALGO!$A$2:$BZ$20001,0,$B$20),"*",INDEX(ALGO!$A$2:$BZ$20001,0,$B$18),$B104,INDEX(ALGO!$A$2:$BZ$20001,0,AB$29),"&lt;&gt;"))</f>
        <v/>
      </c>
      <c r="AG104" s="22">
        <f>IF(OR($C104=1,AC$29=""),0,COUNTIFS(INDEX(ALGO!$A$2:$BZ$20001,0,$B$19),$B$1,INDEX(ALGO!$A$2:$BZ$20001,0,$B$20),"*",INDEX(ALGO!$A$2:$BZ$20001,0,$B$18),$B104,INDEX(ALGO!$A$2:$BZ$20001,0,AC$29),"&lt;&gt;"))</f>
        <v/>
      </c>
      <c r="AH104" s="22">
        <f>IF(OR($C104=1,AD$29=""),0,COUNTIFS(INDEX(ALGO!$A$2:$BZ$20001,0,$B$19),$B$1,INDEX(ALGO!$A$2:$BZ$20001,0,$B$20),"*",INDEX(ALGO!$A$2:$BZ$20001,0,$B$18),$B104,INDEX(ALGO!$A$2:$BZ$20001,0,AD$29),"&lt;&gt;"))</f>
        <v/>
      </c>
      <c r="AI104" s="22">
        <f>IF(OR($C104=1,AE$29=""),0,COUNTIFS(INDEX(ALGO!$A$2:$BZ$20001,0,$B$19),$B$1,INDEX(ALGO!$A$2:$BZ$20001,0,$B$20),"*",INDEX(ALGO!$A$2:$BZ$20001,0,$B$18),$B104,INDEX(ALGO!$A$2:$BZ$20001,0,AE$29),"&lt;&gt;"))</f>
        <v/>
      </c>
      <c r="AJ104" s="22">
        <f>IF(OR($C104=1,AF$29=""),0,COUNTIFS(INDEX(ALGO!$A$2:$BZ$20001,0,$B$19),$B$1,INDEX(ALGO!$A$2:$BZ$20001,0,$B$20),"*",INDEX(ALGO!$A$2:$BZ$20001,0,$B$18),$B104,INDEX(ALGO!$A$2:$BZ$20001,0,AF$29),"&lt;&gt;"))</f>
        <v/>
      </c>
      <c r="AK104" s="22">
        <f>IF(OR($C104=1,AG$29=""),0,COUNTIFS(INDEX(ALGO!$A$2:$BZ$20001,0,$B$19),$B$1,INDEX(ALGO!$A$2:$BZ$20001,0,$B$20),"*",INDEX(ALGO!$A$2:$BZ$20001,0,$B$18),$B104,INDEX(ALGO!$A$2:$BZ$20001,0,AG$29),"&lt;&gt;"))</f>
        <v/>
      </c>
      <c r="AL104" s="22">
        <f>IF(OR($C104=1,AH$29=""),0,COUNTIFS(INDEX(ALGO!$A$2:$BZ$20001,0,$B$19),$B$1,INDEX(ALGO!$A$2:$BZ$20001,0,$B$20),"*",INDEX(ALGO!$A$2:$BZ$20001,0,$B$18),$B104,INDEX(ALGO!$A$2:$BZ$20001,0,AH$29),"&lt;&gt;"))</f>
        <v/>
      </c>
      <c r="AM104" s="22">
        <f>IF(OR($C104=1,AI$29=""),0,COUNTIFS(INDEX(ALGO!$A$2:$BZ$20001,0,$B$19),$B$1,INDEX(ALGO!$A$2:$BZ$20001,0,$B$20),"*",INDEX(ALGO!$A$2:$BZ$20001,0,$B$18),$B104,INDEX(ALGO!$A$2:$BZ$20001,0,AI$29),"&lt;&gt;"))</f>
        <v/>
      </c>
      <c r="AN104" s="22">
        <f>IF(OR($C104=1,AJ$29=""),0,COUNTIFS(INDEX(ALGO!$A$2:$BZ$20001,0,$B$19),$B$1,INDEX(ALGO!$A$2:$BZ$20001,0,$B$20),"*",INDEX(ALGO!$A$2:$BZ$20001,0,$B$18),$B104,INDEX(ALGO!$A$2:$BZ$20001,0,AJ$29),"&lt;&gt;"))</f>
        <v/>
      </c>
      <c r="AO104" s="22">
        <f>IF(OR($C104=1,AK$29=""),0,COUNTIFS(INDEX(ALGO!$A$2:$BZ$20001,0,$B$19),$B$1,INDEX(ALGO!$A$2:$BZ$20001,0,$B$20),"*",INDEX(ALGO!$A$2:$BZ$20001,0,$B$18),$B104,INDEX(ALGO!$A$2:$BZ$20001,0,AK$29),"&lt;&gt;"))</f>
        <v/>
      </c>
      <c r="AP104" s="22">
        <f>IF(OR($C104=1,AL$29=""),0,COUNTIFS(INDEX(ALGO!$A$2:$BZ$20001,0,$B$19),$B$1,INDEX(ALGO!$A$2:$BZ$20001,0,$B$20),"*",INDEX(ALGO!$A$2:$BZ$20001,0,$B$18),$B104,INDEX(ALGO!$A$2:$BZ$20001,0,AL$29),"&lt;&gt;"))</f>
        <v/>
      </c>
      <c r="AQ104" s="22">
        <f>IF(OR($C104=1,AM$29=""),0,COUNTIFS(INDEX(ALGO!$A$2:$BZ$20001,0,$B$19),$B$1,INDEX(ALGO!$A$2:$BZ$20001,0,$B$20),"*",INDEX(ALGO!$A$2:$BZ$20001,0,$B$18),$B104,INDEX(ALGO!$A$2:$BZ$20001,0,AM$29),"&lt;&gt;"))</f>
        <v/>
      </c>
    </row>
    <row r="105">
      <c r="A105" s="20" t="n">
        <v>26</v>
      </c>
      <c r="B105" s="20">
        <f>IF($A105&gt;$B$77,"",IFERROR(INDEX(ALGO!$A$1:$BZ$20001,1+$A105,$B$18),""))</f>
        <v/>
      </c>
      <c r="C105" s="20">
        <f>IF($B105="",1,IF(COUNTIF($A$200:$A$202,$B105)&gt;0,1,0))</f>
        <v/>
      </c>
      <c r="D105" s="20">
        <f>IF($C105=1,0,SUM($H105:$AQ105))</f>
        <v/>
      </c>
      <c r="E105" s="20">
        <f>$E104+IF($D105&gt;0,1,0)</f>
        <v/>
      </c>
      <c r="H105" s="22">
        <f>IF(OR($C105=1,D$29=""),0,COUNTIFS(INDEX(ALGO!$A$2:$BZ$20001,0,$B$19),$B$1,INDEX(ALGO!$A$2:$BZ$20001,0,$B$20),"*",INDEX(ALGO!$A$2:$BZ$20001,0,$B$18),$B105,INDEX(ALGO!$A$2:$BZ$20001,0,D$29),"&lt;&gt;"))</f>
        <v/>
      </c>
      <c r="I105" s="22">
        <f>IF(OR($C105=1,E$29=""),0,COUNTIFS(INDEX(ALGO!$A$2:$BZ$20001,0,$B$19),$B$1,INDEX(ALGO!$A$2:$BZ$20001,0,$B$20),"*",INDEX(ALGO!$A$2:$BZ$20001,0,$B$18),$B105,INDEX(ALGO!$A$2:$BZ$20001,0,E$29),"&lt;&gt;"))</f>
        <v/>
      </c>
      <c r="J105" s="22">
        <f>IF(OR($C105=1,F$29=""),0,COUNTIFS(INDEX(ALGO!$A$2:$BZ$20001,0,$B$19),$B$1,INDEX(ALGO!$A$2:$BZ$20001,0,$B$20),"*",INDEX(ALGO!$A$2:$BZ$20001,0,$B$18),$B105,INDEX(ALGO!$A$2:$BZ$20001,0,F$29),"&lt;&gt;"))</f>
        <v/>
      </c>
      <c r="K105" s="22">
        <f>IF(OR($C105=1,G$29=""),0,COUNTIFS(INDEX(ALGO!$A$2:$BZ$20001,0,$B$19),$B$1,INDEX(ALGO!$A$2:$BZ$20001,0,$B$20),"*",INDEX(ALGO!$A$2:$BZ$20001,0,$B$18),$B105,INDEX(ALGO!$A$2:$BZ$20001,0,G$29),"&lt;&gt;"))</f>
        <v/>
      </c>
      <c r="L105" s="22">
        <f>IF(OR($C105=1,H$29=""),0,COUNTIFS(INDEX(ALGO!$A$2:$BZ$20001,0,$B$19),$B$1,INDEX(ALGO!$A$2:$BZ$20001,0,$B$20),"*",INDEX(ALGO!$A$2:$BZ$20001,0,$B$18),$B105,INDEX(ALGO!$A$2:$BZ$20001,0,H$29),"&lt;&gt;"))</f>
        <v/>
      </c>
      <c r="M105" s="22">
        <f>IF(OR($C105=1,I$29=""),0,COUNTIFS(INDEX(ALGO!$A$2:$BZ$20001,0,$B$19),$B$1,INDEX(ALGO!$A$2:$BZ$20001,0,$B$20),"*",INDEX(ALGO!$A$2:$BZ$20001,0,$B$18),$B105,INDEX(ALGO!$A$2:$BZ$20001,0,I$29),"&lt;&gt;"))</f>
        <v/>
      </c>
      <c r="N105" s="22">
        <f>IF(OR($C105=1,J$29=""),0,COUNTIFS(INDEX(ALGO!$A$2:$BZ$20001,0,$B$19),$B$1,INDEX(ALGO!$A$2:$BZ$20001,0,$B$20),"*",INDEX(ALGO!$A$2:$BZ$20001,0,$B$18),$B105,INDEX(ALGO!$A$2:$BZ$20001,0,J$29),"&lt;&gt;"))</f>
        <v/>
      </c>
      <c r="O105" s="22">
        <f>IF(OR($C105=1,K$29=""),0,COUNTIFS(INDEX(ALGO!$A$2:$BZ$20001,0,$B$19),$B$1,INDEX(ALGO!$A$2:$BZ$20001,0,$B$20),"*",INDEX(ALGO!$A$2:$BZ$20001,0,$B$18),$B105,INDEX(ALGO!$A$2:$BZ$20001,0,K$29),"&lt;&gt;"))</f>
        <v/>
      </c>
      <c r="P105" s="22">
        <f>IF(OR($C105=1,L$29=""),0,COUNTIFS(INDEX(ALGO!$A$2:$BZ$20001,0,$B$19),$B$1,INDEX(ALGO!$A$2:$BZ$20001,0,$B$20),"*",INDEX(ALGO!$A$2:$BZ$20001,0,$B$18),$B105,INDEX(ALGO!$A$2:$BZ$20001,0,L$29),"&lt;&gt;"))</f>
        <v/>
      </c>
      <c r="Q105" s="22">
        <f>IF(OR($C105=1,M$29=""),0,COUNTIFS(INDEX(ALGO!$A$2:$BZ$20001,0,$B$19),$B$1,INDEX(ALGO!$A$2:$BZ$20001,0,$B$20),"*",INDEX(ALGO!$A$2:$BZ$20001,0,$B$18),$B105,INDEX(ALGO!$A$2:$BZ$20001,0,M$29),"&lt;&gt;"))</f>
        <v/>
      </c>
      <c r="R105" s="22">
        <f>IF(OR($C105=1,N$29=""),0,COUNTIFS(INDEX(ALGO!$A$2:$BZ$20001,0,$B$19),$B$1,INDEX(ALGO!$A$2:$BZ$20001,0,$B$20),"*",INDEX(ALGO!$A$2:$BZ$20001,0,$B$18),$B105,INDEX(ALGO!$A$2:$BZ$20001,0,N$29),"&lt;&gt;"))</f>
        <v/>
      </c>
      <c r="S105" s="22">
        <f>IF(OR($C105=1,O$29=""),0,COUNTIFS(INDEX(ALGO!$A$2:$BZ$20001,0,$B$19),$B$1,INDEX(ALGO!$A$2:$BZ$20001,0,$B$20),"*",INDEX(ALGO!$A$2:$BZ$20001,0,$B$18),$B105,INDEX(ALGO!$A$2:$BZ$20001,0,O$29),"&lt;&gt;"))</f>
        <v/>
      </c>
      <c r="T105" s="22">
        <f>IF(OR($C105=1,P$29=""),0,COUNTIFS(INDEX(ALGO!$A$2:$BZ$20001,0,$B$19),$B$1,INDEX(ALGO!$A$2:$BZ$20001,0,$B$20),"*",INDEX(ALGO!$A$2:$BZ$20001,0,$B$18),$B105,INDEX(ALGO!$A$2:$BZ$20001,0,P$29),"&lt;&gt;"))</f>
        <v/>
      </c>
      <c r="U105" s="22">
        <f>IF(OR($C105=1,Q$29=""),0,COUNTIFS(INDEX(ALGO!$A$2:$BZ$20001,0,$B$19),$B$1,INDEX(ALGO!$A$2:$BZ$20001,0,$B$20),"*",INDEX(ALGO!$A$2:$BZ$20001,0,$B$18),$B105,INDEX(ALGO!$A$2:$BZ$20001,0,Q$29),"&lt;&gt;"))</f>
        <v/>
      </c>
      <c r="V105" s="22">
        <f>IF(OR($C105=1,R$29=""),0,COUNTIFS(INDEX(ALGO!$A$2:$BZ$20001,0,$B$19),$B$1,INDEX(ALGO!$A$2:$BZ$20001,0,$B$20),"*",INDEX(ALGO!$A$2:$BZ$20001,0,$B$18),$B105,INDEX(ALGO!$A$2:$BZ$20001,0,R$29),"&lt;&gt;"))</f>
        <v/>
      </c>
      <c r="W105" s="22">
        <f>IF(OR($C105=1,S$29=""),0,COUNTIFS(INDEX(ALGO!$A$2:$BZ$20001,0,$B$19),$B$1,INDEX(ALGO!$A$2:$BZ$20001,0,$B$20),"*",INDEX(ALGO!$A$2:$BZ$20001,0,$B$18),$B105,INDEX(ALGO!$A$2:$BZ$20001,0,S$29),"&lt;&gt;"))</f>
        <v/>
      </c>
      <c r="X105" s="22">
        <f>IF(OR($C105=1,T$29=""),0,COUNTIFS(INDEX(ALGO!$A$2:$BZ$20001,0,$B$19),$B$1,INDEX(ALGO!$A$2:$BZ$20001,0,$B$20),"*",INDEX(ALGO!$A$2:$BZ$20001,0,$B$18),$B105,INDEX(ALGO!$A$2:$BZ$20001,0,T$29),"&lt;&gt;"))</f>
        <v/>
      </c>
      <c r="Y105" s="22">
        <f>IF(OR($C105=1,U$29=""),0,COUNTIFS(INDEX(ALGO!$A$2:$BZ$20001,0,$B$19),$B$1,INDEX(ALGO!$A$2:$BZ$20001,0,$B$20),"*",INDEX(ALGO!$A$2:$BZ$20001,0,$B$18),$B105,INDEX(ALGO!$A$2:$BZ$20001,0,U$29),"&lt;&gt;"))</f>
        <v/>
      </c>
      <c r="Z105" s="22">
        <f>IF(OR($C105=1,V$29=""),0,COUNTIFS(INDEX(ALGO!$A$2:$BZ$20001,0,$B$19),$B$1,INDEX(ALGO!$A$2:$BZ$20001,0,$B$20),"*",INDEX(ALGO!$A$2:$BZ$20001,0,$B$18),$B105,INDEX(ALGO!$A$2:$BZ$20001,0,V$29),"&lt;&gt;"))</f>
        <v/>
      </c>
      <c r="AA105" s="22">
        <f>IF(OR($C105=1,W$29=""),0,COUNTIFS(INDEX(ALGO!$A$2:$BZ$20001,0,$B$19),$B$1,INDEX(ALGO!$A$2:$BZ$20001,0,$B$20),"*",INDEX(ALGO!$A$2:$BZ$20001,0,$B$18),$B105,INDEX(ALGO!$A$2:$BZ$20001,0,W$29),"&lt;&gt;"))</f>
        <v/>
      </c>
      <c r="AB105" s="22">
        <f>IF(OR($C105=1,X$29=""),0,COUNTIFS(INDEX(ALGO!$A$2:$BZ$20001,0,$B$19),$B$1,INDEX(ALGO!$A$2:$BZ$20001,0,$B$20),"*",INDEX(ALGO!$A$2:$BZ$20001,0,$B$18),$B105,INDEX(ALGO!$A$2:$BZ$20001,0,X$29),"&lt;&gt;"))</f>
        <v/>
      </c>
      <c r="AC105" s="22">
        <f>IF(OR($C105=1,Y$29=""),0,COUNTIFS(INDEX(ALGO!$A$2:$BZ$20001,0,$B$19),$B$1,INDEX(ALGO!$A$2:$BZ$20001,0,$B$20),"*",INDEX(ALGO!$A$2:$BZ$20001,0,$B$18),$B105,INDEX(ALGO!$A$2:$BZ$20001,0,Y$29),"&lt;&gt;"))</f>
        <v/>
      </c>
      <c r="AD105" s="22">
        <f>IF(OR($C105=1,Z$29=""),0,COUNTIFS(INDEX(ALGO!$A$2:$BZ$20001,0,$B$19),$B$1,INDEX(ALGO!$A$2:$BZ$20001,0,$B$20),"*",INDEX(ALGO!$A$2:$BZ$20001,0,$B$18),$B105,INDEX(ALGO!$A$2:$BZ$20001,0,Z$29),"&lt;&gt;"))</f>
        <v/>
      </c>
      <c r="AE105" s="22">
        <f>IF(OR($C105=1,AA$29=""),0,COUNTIFS(INDEX(ALGO!$A$2:$BZ$20001,0,$B$19),$B$1,INDEX(ALGO!$A$2:$BZ$20001,0,$B$20),"*",INDEX(ALGO!$A$2:$BZ$20001,0,$B$18),$B105,INDEX(ALGO!$A$2:$BZ$20001,0,AA$29),"&lt;&gt;"))</f>
        <v/>
      </c>
      <c r="AF105" s="22">
        <f>IF(OR($C105=1,AB$29=""),0,COUNTIFS(INDEX(ALGO!$A$2:$BZ$20001,0,$B$19),$B$1,INDEX(ALGO!$A$2:$BZ$20001,0,$B$20),"*",INDEX(ALGO!$A$2:$BZ$20001,0,$B$18),$B105,INDEX(ALGO!$A$2:$BZ$20001,0,AB$29),"&lt;&gt;"))</f>
        <v/>
      </c>
      <c r="AG105" s="22">
        <f>IF(OR($C105=1,AC$29=""),0,COUNTIFS(INDEX(ALGO!$A$2:$BZ$20001,0,$B$19),$B$1,INDEX(ALGO!$A$2:$BZ$20001,0,$B$20),"*",INDEX(ALGO!$A$2:$BZ$20001,0,$B$18),$B105,INDEX(ALGO!$A$2:$BZ$20001,0,AC$29),"&lt;&gt;"))</f>
        <v/>
      </c>
      <c r="AH105" s="22">
        <f>IF(OR($C105=1,AD$29=""),0,COUNTIFS(INDEX(ALGO!$A$2:$BZ$20001,0,$B$19),$B$1,INDEX(ALGO!$A$2:$BZ$20001,0,$B$20),"*",INDEX(ALGO!$A$2:$BZ$20001,0,$B$18),$B105,INDEX(ALGO!$A$2:$BZ$20001,0,AD$29),"&lt;&gt;"))</f>
        <v/>
      </c>
      <c r="AI105" s="22">
        <f>IF(OR($C105=1,AE$29=""),0,COUNTIFS(INDEX(ALGO!$A$2:$BZ$20001,0,$B$19),$B$1,INDEX(ALGO!$A$2:$BZ$20001,0,$B$20),"*",INDEX(ALGO!$A$2:$BZ$20001,0,$B$18),$B105,INDEX(ALGO!$A$2:$BZ$20001,0,AE$29),"&lt;&gt;"))</f>
        <v/>
      </c>
      <c r="AJ105" s="22">
        <f>IF(OR($C105=1,AF$29=""),0,COUNTIFS(INDEX(ALGO!$A$2:$BZ$20001,0,$B$19),$B$1,INDEX(ALGO!$A$2:$BZ$20001,0,$B$20),"*",INDEX(ALGO!$A$2:$BZ$20001,0,$B$18),$B105,INDEX(ALGO!$A$2:$BZ$20001,0,AF$29),"&lt;&gt;"))</f>
        <v/>
      </c>
      <c r="AK105" s="22">
        <f>IF(OR($C105=1,AG$29=""),0,COUNTIFS(INDEX(ALGO!$A$2:$BZ$20001,0,$B$19),$B$1,INDEX(ALGO!$A$2:$BZ$20001,0,$B$20),"*",INDEX(ALGO!$A$2:$BZ$20001,0,$B$18),$B105,INDEX(ALGO!$A$2:$BZ$20001,0,AG$29),"&lt;&gt;"))</f>
        <v/>
      </c>
      <c r="AL105" s="22">
        <f>IF(OR($C105=1,AH$29=""),0,COUNTIFS(INDEX(ALGO!$A$2:$BZ$20001,0,$B$19),$B$1,INDEX(ALGO!$A$2:$BZ$20001,0,$B$20),"*",INDEX(ALGO!$A$2:$BZ$20001,0,$B$18),$B105,INDEX(ALGO!$A$2:$BZ$20001,0,AH$29),"&lt;&gt;"))</f>
        <v/>
      </c>
      <c r="AM105" s="22">
        <f>IF(OR($C105=1,AI$29=""),0,COUNTIFS(INDEX(ALGO!$A$2:$BZ$20001,0,$B$19),$B$1,INDEX(ALGO!$A$2:$BZ$20001,0,$B$20),"*",INDEX(ALGO!$A$2:$BZ$20001,0,$B$18),$B105,INDEX(ALGO!$A$2:$BZ$20001,0,AI$29),"&lt;&gt;"))</f>
        <v/>
      </c>
      <c r="AN105" s="22">
        <f>IF(OR($C105=1,AJ$29=""),0,COUNTIFS(INDEX(ALGO!$A$2:$BZ$20001,0,$B$19),$B$1,INDEX(ALGO!$A$2:$BZ$20001,0,$B$20),"*",INDEX(ALGO!$A$2:$BZ$20001,0,$B$18),$B105,INDEX(ALGO!$A$2:$BZ$20001,0,AJ$29),"&lt;&gt;"))</f>
        <v/>
      </c>
      <c r="AO105" s="22">
        <f>IF(OR($C105=1,AK$29=""),0,COUNTIFS(INDEX(ALGO!$A$2:$BZ$20001,0,$B$19),$B$1,INDEX(ALGO!$A$2:$BZ$20001,0,$B$20),"*",INDEX(ALGO!$A$2:$BZ$20001,0,$B$18),$B105,INDEX(ALGO!$A$2:$BZ$20001,0,AK$29),"&lt;&gt;"))</f>
        <v/>
      </c>
      <c r="AP105" s="22">
        <f>IF(OR($C105=1,AL$29=""),0,COUNTIFS(INDEX(ALGO!$A$2:$BZ$20001,0,$B$19),$B$1,INDEX(ALGO!$A$2:$BZ$20001,0,$B$20),"*",INDEX(ALGO!$A$2:$BZ$20001,0,$B$18),$B105,INDEX(ALGO!$A$2:$BZ$20001,0,AL$29),"&lt;&gt;"))</f>
        <v/>
      </c>
      <c r="AQ105" s="22">
        <f>IF(OR($C105=1,AM$29=""),0,COUNTIFS(INDEX(ALGO!$A$2:$BZ$20001,0,$B$19),$B$1,INDEX(ALGO!$A$2:$BZ$20001,0,$B$20),"*",INDEX(ALGO!$A$2:$BZ$20001,0,$B$18),$B105,INDEX(ALGO!$A$2:$BZ$20001,0,AM$29),"&lt;&gt;"))</f>
        <v/>
      </c>
    </row>
    <row r="106">
      <c r="A106" s="20" t="n">
        <v>27</v>
      </c>
      <c r="B106" s="20">
        <f>IF($A106&gt;$B$77,"",IFERROR(INDEX(ALGO!$A$1:$BZ$20001,1+$A106,$B$18),""))</f>
        <v/>
      </c>
      <c r="C106" s="20">
        <f>IF($B106="",1,IF(COUNTIF($A$200:$A$202,$B106)&gt;0,1,0))</f>
        <v/>
      </c>
      <c r="D106" s="20">
        <f>IF($C106=1,0,SUM($H106:$AQ106))</f>
        <v/>
      </c>
      <c r="E106" s="20">
        <f>$E105+IF($D106&gt;0,1,0)</f>
        <v/>
      </c>
      <c r="H106" s="22">
        <f>IF(OR($C106=1,D$29=""),0,COUNTIFS(INDEX(ALGO!$A$2:$BZ$20001,0,$B$19),$B$1,INDEX(ALGO!$A$2:$BZ$20001,0,$B$20),"*",INDEX(ALGO!$A$2:$BZ$20001,0,$B$18),$B106,INDEX(ALGO!$A$2:$BZ$20001,0,D$29),"&lt;&gt;"))</f>
        <v/>
      </c>
      <c r="I106" s="22">
        <f>IF(OR($C106=1,E$29=""),0,COUNTIFS(INDEX(ALGO!$A$2:$BZ$20001,0,$B$19),$B$1,INDEX(ALGO!$A$2:$BZ$20001,0,$B$20),"*",INDEX(ALGO!$A$2:$BZ$20001,0,$B$18),$B106,INDEX(ALGO!$A$2:$BZ$20001,0,E$29),"&lt;&gt;"))</f>
        <v/>
      </c>
      <c r="J106" s="22">
        <f>IF(OR($C106=1,F$29=""),0,COUNTIFS(INDEX(ALGO!$A$2:$BZ$20001,0,$B$19),$B$1,INDEX(ALGO!$A$2:$BZ$20001,0,$B$20),"*",INDEX(ALGO!$A$2:$BZ$20001,0,$B$18),$B106,INDEX(ALGO!$A$2:$BZ$20001,0,F$29),"&lt;&gt;"))</f>
        <v/>
      </c>
      <c r="K106" s="22">
        <f>IF(OR($C106=1,G$29=""),0,COUNTIFS(INDEX(ALGO!$A$2:$BZ$20001,0,$B$19),$B$1,INDEX(ALGO!$A$2:$BZ$20001,0,$B$20),"*",INDEX(ALGO!$A$2:$BZ$20001,0,$B$18),$B106,INDEX(ALGO!$A$2:$BZ$20001,0,G$29),"&lt;&gt;"))</f>
        <v/>
      </c>
      <c r="L106" s="22">
        <f>IF(OR($C106=1,H$29=""),0,COUNTIFS(INDEX(ALGO!$A$2:$BZ$20001,0,$B$19),$B$1,INDEX(ALGO!$A$2:$BZ$20001,0,$B$20),"*",INDEX(ALGO!$A$2:$BZ$20001,0,$B$18),$B106,INDEX(ALGO!$A$2:$BZ$20001,0,H$29),"&lt;&gt;"))</f>
        <v/>
      </c>
      <c r="M106" s="22">
        <f>IF(OR($C106=1,I$29=""),0,COUNTIFS(INDEX(ALGO!$A$2:$BZ$20001,0,$B$19),$B$1,INDEX(ALGO!$A$2:$BZ$20001,0,$B$20),"*",INDEX(ALGO!$A$2:$BZ$20001,0,$B$18),$B106,INDEX(ALGO!$A$2:$BZ$20001,0,I$29),"&lt;&gt;"))</f>
        <v/>
      </c>
      <c r="N106" s="22">
        <f>IF(OR($C106=1,J$29=""),0,COUNTIFS(INDEX(ALGO!$A$2:$BZ$20001,0,$B$19),$B$1,INDEX(ALGO!$A$2:$BZ$20001,0,$B$20),"*",INDEX(ALGO!$A$2:$BZ$20001,0,$B$18),$B106,INDEX(ALGO!$A$2:$BZ$20001,0,J$29),"&lt;&gt;"))</f>
        <v/>
      </c>
      <c r="O106" s="22">
        <f>IF(OR($C106=1,K$29=""),0,COUNTIFS(INDEX(ALGO!$A$2:$BZ$20001,0,$B$19),$B$1,INDEX(ALGO!$A$2:$BZ$20001,0,$B$20),"*",INDEX(ALGO!$A$2:$BZ$20001,0,$B$18),$B106,INDEX(ALGO!$A$2:$BZ$20001,0,K$29),"&lt;&gt;"))</f>
        <v/>
      </c>
      <c r="P106" s="22">
        <f>IF(OR($C106=1,L$29=""),0,COUNTIFS(INDEX(ALGO!$A$2:$BZ$20001,0,$B$19),$B$1,INDEX(ALGO!$A$2:$BZ$20001,0,$B$20),"*",INDEX(ALGO!$A$2:$BZ$20001,0,$B$18),$B106,INDEX(ALGO!$A$2:$BZ$20001,0,L$29),"&lt;&gt;"))</f>
        <v/>
      </c>
      <c r="Q106" s="22">
        <f>IF(OR($C106=1,M$29=""),0,COUNTIFS(INDEX(ALGO!$A$2:$BZ$20001,0,$B$19),$B$1,INDEX(ALGO!$A$2:$BZ$20001,0,$B$20),"*",INDEX(ALGO!$A$2:$BZ$20001,0,$B$18),$B106,INDEX(ALGO!$A$2:$BZ$20001,0,M$29),"&lt;&gt;"))</f>
        <v/>
      </c>
      <c r="R106" s="22">
        <f>IF(OR($C106=1,N$29=""),0,COUNTIFS(INDEX(ALGO!$A$2:$BZ$20001,0,$B$19),$B$1,INDEX(ALGO!$A$2:$BZ$20001,0,$B$20),"*",INDEX(ALGO!$A$2:$BZ$20001,0,$B$18),$B106,INDEX(ALGO!$A$2:$BZ$20001,0,N$29),"&lt;&gt;"))</f>
        <v/>
      </c>
      <c r="S106" s="22">
        <f>IF(OR($C106=1,O$29=""),0,COUNTIFS(INDEX(ALGO!$A$2:$BZ$20001,0,$B$19),$B$1,INDEX(ALGO!$A$2:$BZ$20001,0,$B$20),"*",INDEX(ALGO!$A$2:$BZ$20001,0,$B$18),$B106,INDEX(ALGO!$A$2:$BZ$20001,0,O$29),"&lt;&gt;"))</f>
        <v/>
      </c>
      <c r="T106" s="22">
        <f>IF(OR($C106=1,P$29=""),0,COUNTIFS(INDEX(ALGO!$A$2:$BZ$20001,0,$B$19),$B$1,INDEX(ALGO!$A$2:$BZ$20001,0,$B$20),"*",INDEX(ALGO!$A$2:$BZ$20001,0,$B$18),$B106,INDEX(ALGO!$A$2:$BZ$20001,0,P$29),"&lt;&gt;"))</f>
        <v/>
      </c>
      <c r="U106" s="22">
        <f>IF(OR($C106=1,Q$29=""),0,COUNTIFS(INDEX(ALGO!$A$2:$BZ$20001,0,$B$19),$B$1,INDEX(ALGO!$A$2:$BZ$20001,0,$B$20),"*",INDEX(ALGO!$A$2:$BZ$20001,0,$B$18),$B106,INDEX(ALGO!$A$2:$BZ$20001,0,Q$29),"&lt;&gt;"))</f>
        <v/>
      </c>
      <c r="V106" s="22">
        <f>IF(OR($C106=1,R$29=""),0,COUNTIFS(INDEX(ALGO!$A$2:$BZ$20001,0,$B$19),$B$1,INDEX(ALGO!$A$2:$BZ$20001,0,$B$20),"*",INDEX(ALGO!$A$2:$BZ$20001,0,$B$18),$B106,INDEX(ALGO!$A$2:$BZ$20001,0,R$29),"&lt;&gt;"))</f>
        <v/>
      </c>
      <c r="W106" s="22">
        <f>IF(OR($C106=1,S$29=""),0,COUNTIFS(INDEX(ALGO!$A$2:$BZ$20001,0,$B$19),$B$1,INDEX(ALGO!$A$2:$BZ$20001,0,$B$20),"*",INDEX(ALGO!$A$2:$BZ$20001,0,$B$18),$B106,INDEX(ALGO!$A$2:$BZ$20001,0,S$29),"&lt;&gt;"))</f>
        <v/>
      </c>
      <c r="X106" s="22">
        <f>IF(OR($C106=1,T$29=""),0,COUNTIFS(INDEX(ALGO!$A$2:$BZ$20001,0,$B$19),$B$1,INDEX(ALGO!$A$2:$BZ$20001,0,$B$20),"*",INDEX(ALGO!$A$2:$BZ$20001,0,$B$18),$B106,INDEX(ALGO!$A$2:$BZ$20001,0,T$29),"&lt;&gt;"))</f>
        <v/>
      </c>
      <c r="Y106" s="22">
        <f>IF(OR($C106=1,U$29=""),0,COUNTIFS(INDEX(ALGO!$A$2:$BZ$20001,0,$B$19),$B$1,INDEX(ALGO!$A$2:$BZ$20001,0,$B$20),"*",INDEX(ALGO!$A$2:$BZ$20001,0,$B$18),$B106,INDEX(ALGO!$A$2:$BZ$20001,0,U$29),"&lt;&gt;"))</f>
        <v/>
      </c>
      <c r="Z106" s="22">
        <f>IF(OR($C106=1,V$29=""),0,COUNTIFS(INDEX(ALGO!$A$2:$BZ$20001,0,$B$19),$B$1,INDEX(ALGO!$A$2:$BZ$20001,0,$B$20),"*",INDEX(ALGO!$A$2:$BZ$20001,0,$B$18),$B106,INDEX(ALGO!$A$2:$BZ$20001,0,V$29),"&lt;&gt;"))</f>
        <v/>
      </c>
      <c r="AA106" s="22">
        <f>IF(OR($C106=1,W$29=""),0,COUNTIFS(INDEX(ALGO!$A$2:$BZ$20001,0,$B$19),$B$1,INDEX(ALGO!$A$2:$BZ$20001,0,$B$20),"*",INDEX(ALGO!$A$2:$BZ$20001,0,$B$18),$B106,INDEX(ALGO!$A$2:$BZ$20001,0,W$29),"&lt;&gt;"))</f>
        <v/>
      </c>
      <c r="AB106" s="22">
        <f>IF(OR($C106=1,X$29=""),0,COUNTIFS(INDEX(ALGO!$A$2:$BZ$20001,0,$B$19),$B$1,INDEX(ALGO!$A$2:$BZ$20001,0,$B$20),"*",INDEX(ALGO!$A$2:$BZ$20001,0,$B$18),$B106,INDEX(ALGO!$A$2:$BZ$20001,0,X$29),"&lt;&gt;"))</f>
        <v/>
      </c>
      <c r="AC106" s="22">
        <f>IF(OR($C106=1,Y$29=""),0,COUNTIFS(INDEX(ALGO!$A$2:$BZ$20001,0,$B$19),$B$1,INDEX(ALGO!$A$2:$BZ$20001,0,$B$20),"*",INDEX(ALGO!$A$2:$BZ$20001,0,$B$18),$B106,INDEX(ALGO!$A$2:$BZ$20001,0,Y$29),"&lt;&gt;"))</f>
        <v/>
      </c>
      <c r="AD106" s="22">
        <f>IF(OR($C106=1,Z$29=""),0,COUNTIFS(INDEX(ALGO!$A$2:$BZ$20001,0,$B$19),$B$1,INDEX(ALGO!$A$2:$BZ$20001,0,$B$20),"*",INDEX(ALGO!$A$2:$BZ$20001,0,$B$18),$B106,INDEX(ALGO!$A$2:$BZ$20001,0,Z$29),"&lt;&gt;"))</f>
        <v/>
      </c>
      <c r="AE106" s="22">
        <f>IF(OR($C106=1,AA$29=""),0,COUNTIFS(INDEX(ALGO!$A$2:$BZ$20001,0,$B$19),$B$1,INDEX(ALGO!$A$2:$BZ$20001,0,$B$20),"*",INDEX(ALGO!$A$2:$BZ$20001,0,$B$18),$B106,INDEX(ALGO!$A$2:$BZ$20001,0,AA$29),"&lt;&gt;"))</f>
        <v/>
      </c>
      <c r="AF106" s="22">
        <f>IF(OR($C106=1,AB$29=""),0,COUNTIFS(INDEX(ALGO!$A$2:$BZ$20001,0,$B$19),$B$1,INDEX(ALGO!$A$2:$BZ$20001,0,$B$20),"*",INDEX(ALGO!$A$2:$BZ$20001,0,$B$18),$B106,INDEX(ALGO!$A$2:$BZ$20001,0,AB$29),"&lt;&gt;"))</f>
        <v/>
      </c>
      <c r="AG106" s="22">
        <f>IF(OR($C106=1,AC$29=""),0,COUNTIFS(INDEX(ALGO!$A$2:$BZ$20001,0,$B$19),$B$1,INDEX(ALGO!$A$2:$BZ$20001,0,$B$20),"*",INDEX(ALGO!$A$2:$BZ$20001,0,$B$18),$B106,INDEX(ALGO!$A$2:$BZ$20001,0,AC$29),"&lt;&gt;"))</f>
        <v/>
      </c>
      <c r="AH106" s="22">
        <f>IF(OR($C106=1,AD$29=""),0,COUNTIFS(INDEX(ALGO!$A$2:$BZ$20001,0,$B$19),$B$1,INDEX(ALGO!$A$2:$BZ$20001,0,$B$20),"*",INDEX(ALGO!$A$2:$BZ$20001,0,$B$18),$B106,INDEX(ALGO!$A$2:$BZ$20001,0,AD$29),"&lt;&gt;"))</f>
        <v/>
      </c>
      <c r="AI106" s="22">
        <f>IF(OR($C106=1,AE$29=""),0,COUNTIFS(INDEX(ALGO!$A$2:$BZ$20001,0,$B$19),$B$1,INDEX(ALGO!$A$2:$BZ$20001,0,$B$20),"*",INDEX(ALGO!$A$2:$BZ$20001,0,$B$18),$B106,INDEX(ALGO!$A$2:$BZ$20001,0,AE$29),"&lt;&gt;"))</f>
        <v/>
      </c>
      <c r="AJ106" s="22">
        <f>IF(OR($C106=1,AF$29=""),0,COUNTIFS(INDEX(ALGO!$A$2:$BZ$20001,0,$B$19),$B$1,INDEX(ALGO!$A$2:$BZ$20001,0,$B$20),"*",INDEX(ALGO!$A$2:$BZ$20001,0,$B$18),$B106,INDEX(ALGO!$A$2:$BZ$20001,0,AF$29),"&lt;&gt;"))</f>
        <v/>
      </c>
      <c r="AK106" s="22">
        <f>IF(OR($C106=1,AG$29=""),0,COUNTIFS(INDEX(ALGO!$A$2:$BZ$20001,0,$B$19),$B$1,INDEX(ALGO!$A$2:$BZ$20001,0,$B$20),"*",INDEX(ALGO!$A$2:$BZ$20001,0,$B$18),$B106,INDEX(ALGO!$A$2:$BZ$20001,0,AG$29),"&lt;&gt;"))</f>
        <v/>
      </c>
      <c r="AL106" s="22">
        <f>IF(OR($C106=1,AH$29=""),0,COUNTIFS(INDEX(ALGO!$A$2:$BZ$20001,0,$B$19),$B$1,INDEX(ALGO!$A$2:$BZ$20001,0,$B$20),"*",INDEX(ALGO!$A$2:$BZ$20001,0,$B$18),$B106,INDEX(ALGO!$A$2:$BZ$20001,0,AH$29),"&lt;&gt;"))</f>
        <v/>
      </c>
      <c r="AM106" s="22">
        <f>IF(OR($C106=1,AI$29=""),0,COUNTIFS(INDEX(ALGO!$A$2:$BZ$20001,0,$B$19),$B$1,INDEX(ALGO!$A$2:$BZ$20001,0,$B$20),"*",INDEX(ALGO!$A$2:$BZ$20001,0,$B$18),$B106,INDEX(ALGO!$A$2:$BZ$20001,0,AI$29),"&lt;&gt;"))</f>
        <v/>
      </c>
      <c r="AN106" s="22">
        <f>IF(OR($C106=1,AJ$29=""),0,COUNTIFS(INDEX(ALGO!$A$2:$BZ$20001,0,$B$19),$B$1,INDEX(ALGO!$A$2:$BZ$20001,0,$B$20),"*",INDEX(ALGO!$A$2:$BZ$20001,0,$B$18),$B106,INDEX(ALGO!$A$2:$BZ$20001,0,AJ$29),"&lt;&gt;"))</f>
        <v/>
      </c>
      <c r="AO106" s="22">
        <f>IF(OR($C106=1,AK$29=""),0,COUNTIFS(INDEX(ALGO!$A$2:$BZ$20001,0,$B$19),$B$1,INDEX(ALGO!$A$2:$BZ$20001,0,$B$20),"*",INDEX(ALGO!$A$2:$BZ$20001,0,$B$18),$B106,INDEX(ALGO!$A$2:$BZ$20001,0,AK$29),"&lt;&gt;"))</f>
        <v/>
      </c>
      <c r="AP106" s="22">
        <f>IF(OR($C106=1,AL$29=""),0,COUNTIFS(INDEX(ALGO!$A$2:$BZ$20001,0,$B$19),$B$1,INDEX(ALGO!$A$2:$BZ$20001,0,$B$20),"*",INDEX(ALGO!$A$2:$BZ$20001,0,$B$18),$B106,INDEX(ALGO!$A$2:$BZ$20001,0,AL$29),"&lt;&gt;"))</f>
        <v/>
      </c>
      <c r="AQ106" s="22">
        <f>IF(OR($C106=1,AM$29=""),0,COUNTIFS(INDEX(ALGO!$A$2:$BZ$20001,0,$B$19),$B$1,INDEX(ALGO!$A$2:$BZ$20001,0,$B$20),"*",INDEX(ALGO!$A$2:$BZ$20001,0,$B$18),$B106,INDEX(ALGO!$A$2:$BZ$20001,0,AM$29),"&lt;&gt;"))</f>
        <v/>
      </c>
    </row>
    <row r="107">
      <c r="A107" s="20" t="n">
        <v>28</v>
      </c>
      <c r="B107" s="20">
        <f>IF($A107&gt;$B$77,"",IFERROR(INDEX(ALGO!$A$1:$BZ$20001,1+$A107,$B$18),""))</f>
        <v/>
      </c>
      <c r="C107" s="20">
        <f>IF($B107="",1,IF(COUNTIF($A$200:$A$202,$B107)&gt;0,1,0))</f>
        <v/>
      </c>
      <c r="D107" s="20">
        <f>IF($C107=1,0,SUM($H107:$AQ107))</f>
        <v/>
      </c>
      <c r="E107" s="20">
        <f>$E106+IF($D107&gt;0,1,0)</f>
        <v/>
      </c>
      <c r="H107" s="22">
        <f>IF(OR($C107=1,D$29=""),0,COUNTIFS(INDEX(ALGO!$A$2:$BZ$20001,0,$B$19),$B$1,INDEX(ALGO!$A$2:$BZ$20001,0,$B$20),"*",INDEX(ALGO!$A$2:$BZ$20001,0,$B$18),$B107,INDEX(ALGO!$A$2:$BZ$20001,0,D$29),"&lt;&gt;"))</f>
        <v/>
      </c>
      <c r="I107" s="22">
        <f>IF(OR($C107=1,E$29=""),0,COUNTIFS(INDEX(ALGO!$A$2:$BZ$20001,0,$B$19),$B$1,INDEX(ALGO!$A$2:$BZ$20001,0,$B$20),"*",INDEX(ALGO!$A$2:$BZ$20001,0,$B$18),$B107,INDEX(ALGO!$A$2:$BZ$20001,0,E$29),"&lt;&gt;"))</f>
        <v/>
      </c>
      <c r="J107" s="22">
        <f>IF(OR($C107=1,F$29=""),0,COUNTIFS(INDEX(ALGO!$A$2:$BZ$20001,0,$B$19),$B$1,INDEX(ALGO!$A$2:$BZ$20001,0,$B$20),"*",INDEX(ALGO!$A$2:$BZ$20001,0,$B$18),$B107,INDEX(ALGO!$A$2:$BZ$20001,0,F$29),"&lt;&gt;"))</f>
        <v/>
      </c>
      <c r="K107" s="22">
        <f>IF(OR($C107=1,G$29=""),0,COUNTIFS(INDEX(ALGO!$A$2:$BZ$20001,0,$B$19),$B$1,INDEX(ALGO!$A$2:$BZ$20001,0,$B$20),"*",INDEX(ALGO!$A$2:$BZ$20001,0,$B$18),$B107,INDEX(ALGO!$A$2:$BZ$20001,0,G$29),"&lt;&gt;"))</f>
        <v/>
      </c>
      <c r="L107" s="22">
        <f>IF(OR($C107=1,H$29=""),0,COUNTIFS(INDEX(ALGO!$A$2:$BZ$20001,0,$B$19),$B$1,INDEX(ALGO!$A$2:$BZ$20001,0,$B$20),"*",INDEX(ALGO!$A$2:$BZ$20001,0,$B$18),$B107,INDEX(ALGO!$A$2:$BZ$20001,0,H$29),"&lt;&gt;"))</f>
        <v/>
      </c>
      <c r="M107" s="22">
        <f>IF(OR($C107=1,I$29=""),0,COUNTIFS(INDEX(ALGO!$A$2:$BZ$20001,0,$B$19),$B$1,INDEX(ALGO!$A$2:$BZ$20001,0,$B$20),"*",INDEX(ALGO!$A$2:$BZ$20001,0,$B$18),$B107,INDEX(ALGO!$A$2:$BZ$20001,0,I$29),"&lt;&gt;"))</f>
        <v/>
      </c>
      <c r="N107" s="22">
        <f>IF(OR($C107=1,J$29=""),0,COUNTIFS(INDEX(ALGO!$A$2:$BZ$20001,0,$B$19),$B$1,INDEX(ALGO!$A$2:$BZ$20001,0,$B$20),"*",INDEX(ALGO!$A$2:$BZ$20001,0,$B$18),$B107,INDEX(ALGO!$A$2:$BZ$20001,0,J$29),"&lt;&gt;"))</f>
        <v/>
      </c>
      <c r="O107" s="22">
        <f>IF(OR($C107=1,K$29=""),0,COUNTIFS(INDEX(ALGO!$A$2:$BZ$20001,0,$B$19),$B$1,INDEX(ALGO!$A$2:$BZ$20001,0,$B$20),"*",INDEX(ALGO!$A$2:$BZ$20001,0,$B$18),$B107,INDEX(ALGO!$A$2:$BZ$20001,0,K$29),"&lt;&gt;"))</f>
        <v/>
      </c>
      <c r="P107" s="22">
        <f>IF(OR($C107=1,L$29=""),0,COUNTIFS(INDEX(ALGO!$A$2:$BZ$20001,0,$B$19),$B$1,INDEX(ALGO!$A$2:$BZ$20001,0,$B$20),"*",INDEX(ALGO!$A$2:$BZ$20001,0,$B$18),$B107,INDEX(ALGO!$A$2:$BZ$20001,0,L$29),"&lt;&gt;"))</f>
        <v/>
      </c>
      <c r="Q107" s="22">
        <f>IF(OR($C107=1,M$29=""),0,COUNTIFS(INDEX(ALGO!$A$2:$BZ$20001,0,$B$19),$B$1,INDEX(ALGO!$A$2:$BZ$20001,0,$B$20),"*",INDEX(ALGO!$A$2:$BZ$20001,0,$B$18),$B107,INDEX(ALGO!$A$2:$BZ$20001,0,M$29),"&lt;&gt;"))</f>
        <v/>
      </c>
      <c r="R107" s="22">
        <f>IF(OR($C107=1,N$29=""),0,COUNTIFS(INDEX(ALGO!$A$2:$BZ$20001,0,$B$19),$B$1,INDEX(ALGO!$A$2:$BZ$20001,0,$B$20),"*",INDEX(ALGO!$A$2:$BZ$20001,0,$B$18),$B107,INDEX(ALGO!$A$2:$BZ$20001,0,N$29),"&lt;&gt;"))</f>
        <v/>
      </c>
      <c r="S107" s="22">
        <f>IF(OR($C107=1,O$29=""),0,COUNTIFS(INDEX(ALGO!$A$2:$BZ$20001,0,$B$19),$B$1,INDEX(ALGO!$A$2:$BZ$20001,0,$B$20),"*",INDEX(ALGO!$A$2:$BZ$20001,0,$B$18),$B107,INDEX(ALGO!$A$2:$BZ$20001,0,O$29),"&lt;&gt;"))</f>
        <v/>
      </c>
      <c r="T107" s="22">
        <f>IF(OR($C107=1,P$29=""),0,COUNTIFS(INDEX(ALGO!$A$2:$BZ$20001,0,$B$19),$B$1,INDEX(ALGO!$A$2:$BZ$20001,0,$B$20),"*",INDEX(ALGO!$A$2:$BZ$20001,0,$B$18),$B107,INDEX(ALGO!$A$2:$BZ$20001,0,P$29),"&lt;&gt;"))</f>
        <v/>
      </c>
      <c r="U107" s="22">
        <f>IF(OR($C107=1,Q$29=""),0,COUNTIFS(INDEX(ALGO!$A$2:$BZ$20001,0,$B$19),$B$1,INDEX(ALGO!$A$2:$BZ$20001,0,$B$20),"*",INDEX(ALGO!$A$2:$BZ$20001,0,$B$18),$B107,INDEX(ALGO!$A$2:$BZ$20001,0,Q$29),"&lt;&gt;"))</f>
        <v/>
      </c>
      <c r="V107" s="22">
        <f>IF(OR($C107=1,R$29=""),0,COUNTIFS(INDEX(ALGO!$A$2:$BZ$20001,0,$B$19),$B$1,INDEX(ALGO!$A$2:$BZ$20001,0,$B$20),"*",INDEX(ALGO!$A$2:$BZ$20001,0,$B$18),$B107,INDEX(ALGO!$A$2:$BZ$20001,0,R$29),"&lt;&gt;"))</f>
        <v/>
      </c>
      <c r="W107" s="22">
        <f>IF(OR($C107=1,S$29=""),0,COUNTIFS(INDEX(ALGO!$A$2:$BZ$20001,0,$B$19),$B$1,INDEX(ALGO!$A$2:$BZ$20001,0,$B$20),"*",INDEX(ALGO!$A$2:$BZ$20001,0,$B$18),$B107,INDEX(ALGO!$A$2:$BZ$20001,0,S$29),"&lt;&gt;"))</f>
        <v/>
      </c>
      <c r="X107" s="22">
        <f>IF(OR($C107=1,T$29=""),0,COUNTIFS(INDEX(ALGO!$A$2:$BZ$20001,0,$B$19),$B$1,INDEX(ALGO!$A$2:$BZ$20001,0,$B$20),"*",INDEX(ALGO!$A$2:$BZ$20001,0,$B$18),$B107,INDEX(ALGO!$A$2:$BZ$20001,0,T$29),"&lt;&gt;"))</f>
        <v/>
      </c>
      <c r="Y107" s="22">
        <f>IF(OR($C107=1,U$29=""),0,COUNTIFS(INDEX(ALGO!$A$2:$BZ$20001,0,$B$19),$B$1,INDEX(ALGO!$A$2:$BZ$20001,0,$B$20),"*",INDEX(ALGO!$A$2:$BZ$20001,0,$B$18),$B107,INDEX(ALGO!$A$2:$BZ$20001,0,U$29),"&lt;&gt;"))</f>
        <v/>
      </c>
      <c r="Z107" s="22">
        <f>IF(OR($C107=1,V$29=""),0,COUNTIFS(INDEX(ALGO!$A$2:$BZ$20001,0,$B$19),$B$1,INDEX(ALGO!$A$2:$BZ$20001,0,$B$20),"*",INDEX(ALGO!$A$2:$BZ$20001,0,$B$18),$B107,INDEX(ALGO!$A$2:$BZ$20001,0,V$29),"&lt;&gt;"))</f>
        <v/>
      </c>
      <c r="AA107" s="22">
        <f>IF(OR($C107=1,W$29=""),0,COUNTIFS(INDEX(ALGO!$A$2:$BZ$20001,0,$B$19),$B$1,INDEX(ALGO!$A$2:$BZ$20001,0,$B$20),"*",INDEX(ALGO!$A$2:$BZ$20001,0,$B$18),$B107,INDEX(ALGO!$A$2:$BZ$20001,0,W$29),"&lt;&gt;"))</f>
        <v/>
      </c>
      <c r="AB107" s="22">
        <f>IF(OR($C107=1,X$29=""),0,COUNTIFS(INDEX(ALGO!$A$2:$BZ$20001,0,$B$19),$B$1,INDEX(ALGO!$A$2:$BZ$20001,0,$B$20),"*",INDEX(ALGO!$A$2:$BZ$20001,0,$B$18),$B107,INDEX(ALGO!$A$2:$BZ$20001,0,X$29),"&lt;&gt;"))</f>
        <v/>
      </c>
      <c r="AC107" s="22">
        <f>IF(OR($C107=1,Y$29=""),0,COUNTIFS(INDEX(ALGO!$A$2:$BZ$20001,0,$B$19),$B$1,INDEX(ALGO!$A$2:$BZ$20001,0,$B$20),"*",INDEX(ALGO!$A$2:$BZ$20001,0,$B$18),$B107,INDEX(ALGO!$A$2:$BZ$20001,0,Y$29),"&lt;&gt;"))</f>
        <v/>
      </c>
      <c r="AD107" s="22">
        <f>IF(OR($C107=1,Z$29=""),0,COUNTIFS(INDEX(ALGO!$A$2:$BZ$20001,0,$B$19),$B$1,INDEX(ALGO!$A$2:$BZ$20001,0,$B$20),"*",INDEX(ALGO!$A$2:$BZ$20001,0,$B$18),$B107,INDEX(ALGO!$A$2:$BZ$20001,0,Z$29),"&lt;&gt;"))</f>
        <v/>
      </c>
      <c r="AE107" s="22">
        <f>IF(OR($C107=1,AA$29=""),0,COUNTIFS(INDEX(ALGO!$A$2:$BZ$20001,0,$B$19),$B$1,INDEX(ALGO!$A$2:$BZ$20001,0,$B$20),"*",INDEX(ALGO!$A$2:$BZ$20001,0,$B$18),$B107,INDEX(ALGO!$A$2:$BZ$20001,0,AA$29),"&lt;&gt;"))</f>
        <v/>
      </c>
      <c r="AF107" s="22">
        <f>IF(OR($C107=1,AB$29=""),0,COUNTIFS(INDEX(ALGO!$A$2:$BZ$20001,0,$B$19),$B$1,INDEX(ALGO!$A$2:$BZ$20001,0,$B$20),"*",INDEX(ALGO!$A$2:$BZ$20001,0,$B$18),$B107,INDEX(ALGO!$A$2:$BZ$20001,0,AB$29),"&lt;&gt;"))</f>
        <v/>
      </c>
      <c r="AG107" s="22">
        <f>IF(OR($C107=1,AC$29=""),0,COUNTIFS(INDEX(ALGO!$A$2:$BZ$20001,0,$B$19),$B$1,INDEX(ALGO!$A$2:$BZ$20001,0,$B$20),"*",INDEX(ALGO!$A$2:$BZ$20001,0,$B$18),$B107,INDEX(ALGO!$A$2:$BZ$20001,0,AC$29),"&lt;&gt;"))</f>
        <v/>
      </c>
      <c r="AH107" s="22">
        <f>IF(OR($C107=1,AD$29=""),0,COUNTIFS(INDEX(ALGO!$A$2:$BZ$20001,0,$B$19),$B$1,INDEX(ALGO!$A$2:$BZ$20001,0,$B$20),"*",INDEX(ALGO!$A$2:$BZ$20001,0,$B$18),$B107,INDEX(ALGO!$A$2:$BZ$20001,0,AD$29),"&lt;&gt;"))</f>
        <v/>
      </c>
      <c r="AI107" s="22">
        <f>IF(OR($C107=1,AE$29=""),0,COUNTIFS(INDEX(ALGO!$A$2:$BZ$20001,0,$B$19),$B$1,INDEX(ALGO!$A$2:$BZ$20001,0,$B$20),"*",INDEX(ALGO!$A$2:$BZ$20001,0,$B$18),$B107,INDEX(ALGO!$A$2:$BZ$20001,0,AE$29),"&lt;&gt;"))</f>
        <v/>
      </c>
      <c r="AJ107" s="22">
        <f>IF(OR($C107=1,AF$29=""),0,COUNTIFS(INDEX(ALGO!$A$2:$BZ$20001,0,$B$19),$B$1,INDEX(ALGO!$A$2:$BZ$20001,0,$B$20),"*",INDEX(ALGO!$A$2:$BZ$20001,0,$B$18),$B107,INDEX(ALGO!$A$2:$BZ$20001,0,AF$29),"&lt;&gt;"))</f>
        <v/>
      </c>
      <c r="AK107" s="22">
        <f>IF(OR($C107=1,AG$29=""),0,COUNTIFS(INDEX(ALGO!$A$2:$BZ$20001,0,$B$19),$B$1,INDEX(ALGO!$A$2:$BZ$20001,0,$B$20),"*",INDEX(ALGO!$A$2:$BZ$20001,0,$B$18),$B107,INDEX(ALGO!$A$2:$BZ$20001,0,AG$29),"&lt;&gt;"))</f>
        <v/>
      </c>
      <c r="AL107" s="22">
        <f>IF(OR($C107=1,AH$29=""),0,COUNTIFS(INDEX(ALGO!$A$2:$BZ$20001,0,$B$19),$B$1,INDEX(ALGO!$A$2:$BZ$20001,0,$B$20),"*",INDEX(ALGO!$A$2:$BZ$20001,0,$B$18),$B107,INDEX(ALGO!$A$2:$BZ$20001,0,AH$29),"&lt;&gt;"))</f>
        <v/>
      </c>
      <c r="AM107" s="22">
        <f>IF(OR($C107=1,AI$29=""),0,COUNTIFS(INDEX(ALGO!$A$2:$BZ$20001,0,$B$19),$B$1,INDEX(ALGO!$A$2:$BZ$20001,0,$B$20),"*",INDEX(ALGO!$A$2:$BZ$20001,0,$B$18),$B107,INDEX(ALGO!$A$2:$BZ$20001,0,AI$29),"&lt;&gt;"))</f>
        <v/>
      </c>
      <c r="AN107" s="22">
        <f>IF(OR($C107=1,AJ$29=""),0,COUNTIFS(INDEX(ALGO!$A$2:$BZ$20001,0,$B$19),$B$1,INDEX(ALGO!$A$2:$BZ$20001,0,$B$20),"*",INDEX(ALGO!$A$2:$BZ$20001,0,$B$18),$B107,INDEX(ALGO!$A$2:$BZ$20001,0,AJ$29),"&lt;&gt;"))</f>
        <v/>
      </c>
      <c r="AO107" s="22">
        <f>IF(OR($C107=1,AK$29=""),0,COUNTIFS(INDEX(ALGO!$A$2:$BZ$20001,0,$B$19),$B$1,INDEX(ALGO!$A$2:$BZ$20001,0,$B$20),"*",INDEX(ALGO!$A$2:$BZ$20001,0,$B$18),$B107,INDEX(ALGO!$A$2:$BZ$20001,0,AK$29),"&lt;&gt;"))</f>
        <v/>
      </c>
      <c r="AP107" s="22">
        <f>IF(OR($C107=1,AL$29=""),0,COUNTIFS(INDEX(ALGO!$A$2:$BZ$20001,0,$B$19),$B$1,INDEX(ALGO!$A$2:$BZ$20001,0,$B$20),"*",INDEX(ALGO!$A$2:$BZ$20001,0,$B$18),$B107,INDEX(ALGO!$A$2:$BZ$20001,0,AL$29),"&lt;&gt;"))</f>
        <v/>
      </c>
      <c r="AQ107" s="22">
        <f>IF(OR($C107=1,AM$29=""),0,COUNTIFS(INDEX(ALGO!$A$2:$BZ$20001,0,$B$19),$B$1,INDEX(ALGO!$A$2:$BZ$20001,0,$B$20),"*",INDEX(ALGO!$A$2:$BZ$20001,0,$B$18),$B107,INDEX(ALGO!$A$2:$BZ$20001,0,AM$29),"&lt;&gt;"))</f>
        <v/>
      </c>
    </row>
    <row r="108">
      <c r="A108" s="20" t="n">
        <v>29</v>
      </c>
      <c r="B108" s="20">
        <f>IF($A108&gt;$B$77,"",IFERROR(INDEX(ALGO!$A$1:$BZ$20001,1+$A108,$B$18),""))</f>
        <v/>
      </c>
      <c r="C108" s="20">
        <f>IF($B108="",1,IF(COUNTIF($A$200:$A$202,$B108)&gt;0,1,0))</f>
        <v/>
      </c>
      <c r="D108" s="20">
        <f>IF($C108=1,0,SUM($H108:$AQ108))</f>
        <v/>
      </c>
      <c r="E108" s="20">
        <f>$E107+IF($D108&gt;0,1,0)</f>
        <v/>
      </c>
      <c r="H108" s="22">
        <f>IF(OR($C108=1,D$29=""),0,COUNTIFS(INDEX(ALGO!$A$2:$BZ$20001,0,$B$19),$B$1,INDEX(ALGO!$A$2:$BZ$20001,0,$B$20),"*",INDEX(ALGO!$A$2:$BZ$20001,0,$B$18),$B108,INDEX(ALGO!$A$2:$BZ$20001,0,D$29),"&lt;&gt;"))</f>
        <v/>
      </c>
      <c r="I108" s="22">
        <f>IF(OR($C108=1,E$29=""),0,COUNTIFS(INDEX(ALGO!$A$2:$BZ$20001,0,$B$19),$B$1,INDEX(ALGO!$A$2:$BZ$20001,0,$B$20),"*",INDEX(ALGO!$A$2:$BZ$20001,0,$B$18),$B108,INDEX(ALGO!$A$2:$BZ$20001,0,E$29),"&lt;&gt;"))</f>
        <v/>
      </c>
      <c r="J108" s="22">
        <f>IF(OR($C108=1,F$29=""),0,COUNTIFS(INDEX(ALGO!$A$2:$BZ$20001,0,$B$19),$B$1,INDEX(ALGO!$A$2:$BZ$20001,0,$B$20),"*",INDEX(ALGO!$A$2:$BZ$20001,0,$B$18),$B108,INDEX(ALGO!$A$2:$BZ$20001,0,F$29),"&lt;&gt;"))</f>
        <v/>
      </c>
      <c r="K108" s="22">
        <f>IF(OR($C108=1,G$29=""),0,COUNTIFS(INDEX(ALGO!$A$2:$BZ$20001,0,$B$19),$B$1,INDEX(ALGO!$A$2:$BZ$20001,0,$B$20),"*",INDEX(ALGO!$A$2:$BZ$20001,0,$B$18),$B108,INDEX(ALGO!$A$2:$BZ$20001,0,G$29),"&lt;&gt;"))</f>
        <v/>
      </c>
      <c r="L108" s="22">
        <f>IF(OR($C108=1,H$29=""),0,COUNTIFS(INDEX(ALGO!$A$2:$BZ$20001,0,$B$19),$B$1,INDEX(ALGO!$A$2:$BZ$20001,0,$B$20),"*",INDEX(ALGO!$A$2:$BZ$20001,0,$B$18),$B108,INDEX(ALGO!$A$2:$BZ$20001,0,H$29),"&lt;&gt;"))</f>
        <v/>
      </c>
      <c r="M108" s="22">
        <f>IF(OR($C108=1,I$29=""),0,COUNTIFS(INDEX(ALGO!$A$2:$BZ$20001,0,$B$19),$B$1,INDEX(ALGO!$A$2:$BZ$20001,0,$B$20),"*",INDEX(ALGO!$A$2:$BZ$20001,0,$B$18),$B108,INDEX(ALGO!$A$2:$BZ$20001,0,I$29),"&lt;&gt;"))</f>
        <v/>
      </c>
      <c r="N108" s="22">
        <f>IF(OR($C108=1,J$29=""),0,COUNTIFS(INDEX(ALGO!$A$2:$BZ$20001,0,$B$19),$B$1,INDEX(ALGO!$A$2:$BZ$20001,0,$B$20),"*",INDEX(ALGO!$A$2:$BZ$20001,0,$B$18),$B108,INDEX(ALGO!$A$2:$BZ$20001,0,J$29),"&lt;&gt;"))</f>
        <v/>
      </c>
      <c r="O108" s="22">
        <f>IF(OR($C108=1,K$29=""),0,COUNTIFS(INDEX(ALGO!$A$2:$BZ$20001,0,$B$19),$B$1,INDEX(ALGO!$A$2:$BZ$20001,0,$B$20),"*",INDEX(ALGO!$A$2:$BZ$20001,0,$B$18),$B108,INDEX(ALGO!$A$2:$BZ$20001,0,K$29),"&lt;&gt;"))</f>
        <v/>
      </c>
      <c r="P108" s="22">
        <f>IF(OR($C108=1,L$29=""),0,COUNTIFS(INDEX(ALGO!$A$2:$BZ$20001,0,$B$19),$B$1,INDEX(ALGO!$A$2:$BZ$20001,0,$B$20),"*",INDEX(ALGO!$A$2:$BZ$20001,0,$B$18),$B108,INDEX(ALGO!$A$2:$BZ$20001,0,L$29),"&lt;&gt;"))</f>
        <v/>
      </c>
      <c r="Q108" s="22">
        <f>IF(OR($C108=1,M$29=""),0,COUNTIFS(INDEX(ALGO!$A$2:$BZ$20001,0,$B$19),$B$1,INDEX(ALGO!$A$2:$BZ$20001,0,$B$20),"*",INDEX(ALGO!$A$2:$BZ$20001,0,$B$18),$B108,INDEX(ALGO!$A$2:$BZ$20001,0,M$29),"&lt;&gt;"))</f>
        <v/>
      </c>
      <c r="R108" s="22">
        <f>IF(OR($C108=1,N$29=""),0,COUNTIFS(INDEX(ALGO!$A$2:$BZ$20001,0,$B$19),$B$1,INDEX(ALGO!$A$2:$BZ$20001,0,$B$20),"*",INDEX(ALGO!$A$2:$BZ$20001,0,$B$18),$B108,INDEX(ALGO!$A$2:$BZ$20001,0,N$29),"&lt;&gt;"))</f>
        <v/>
      </c>
      <c r="S108" s="22">
        <f>IF(OR($C108=1,O$29=""),0,COUNTIFS(INDEX(ALGO!$A$2:$BZ$20001,0,$B$19),$B$1,INDEX(ALGO!$A$2:$BZ$20001,0,$B$20),"*",INDEX(ALGO!$A$2:$BZ$20001,0,$B$18),$B108,INDEX(ALGO!$A$2:$BZ$20001,0,O$29),"&lt;&gt;"))</f>
        <v/>
      </c>
      <c r="T108" s="22">
        <f>IF(OR($C108=1,P$29=""),0,COUNTIFS(INDEX(ALGO!$A$2:$BZ$20001,0,$B$19),$B$1,INDEX(ALGO!$A$2:$BZ$20001,0,$B$20),"*",INDEX(ALGO!$A$2:$BZ$20001,0,$B$18),$B108,INDEX(ALGO!$A$2:$BZ$20001,0,P$29),"&lt;&gt;"))</f>
        <v/>
      </c>
      <c r="U108" s="22">
        <f>IF(OR($C108=1,Q$29=""),0,COUNTIFS(INDEX(ALGO!$A$2:$BZ$20001,0,$B$19),$B$1,INDEX(ALGO!$A$2:$BZ$20001,0,$B$20),"*",INDEX(ALGO!$A$2:$BZ$20001,0,$B$18),$B108,INDEX(ALGO!$A$2:$BZ$20001,0,Q$29),"&lt;&gt;"))</f>
        <v/>
      </c>
      <c r="V108" s="22">
        <f>IF(OR($C108=1,R$29=""),0,COUNTIFS(INDEX(ALGO!$A$2:$BZ$20001,0,$B$19),$B$1,INDEX(ALGO!$A$2:$BZ$20001,0,$B$20),"*",INDEX(ALGO!$A$2:$BZ$20001,0,$B$18),$B108,INDEX(ALGO!$A$2:$BZ$20001,0,R$29),"&lt;&gt;"))</f>
        <v/>
      </c>
      <c r="W108" s="22">
        <f>IF(OR($C108=1,S$29=""),0,COUNTIFS(INDEX(ALGO!$A$2:$BZ$20001,0,$B$19),$B$1,INDEX(ALGO!$A$2:$BZ$20001,0,$B$20),"*",INDEX(ALGO!$A$2:$BZ$20001,0,$B$18),$B108,INDEX(ALGO!$A$2:$BZ$20001,0,S$29),"&lt;&gt;"))</f>
        <v/>
      </c>
      <c r="X108" s="22">
        <f>IF(OR($C108=1,T$29=""),0,COUNTIFS(INDEX(ALGO!$A$2:$BZ$20001,0,$B$19),$B$1,INDEX(ALGO!$A$2:$BZ$20001,0,$B$20),"*",INDEX(ALGO!$A$2:$BZ$20001,0,$B$18),$B108,INDEX(ALGO!$A$2:$BZ$20001,0,T$29),"&lt;&gt;"))</f>
        <v/>
      </c>
      <c r="Y108" s="22">
        <f>IF(OR($C108=1,U$29=""),0,COUNTIFS(INDEX(ALGO!$A$2:$BZ$20001,0,$B$19),$B$1,INDEX(ALGO!$A$2:$BZ$20001,0,$B$20),"*",INDEX(ALGO!$A$2:$BZ$20001,0,$B$18),$B108,INDEX(ALGO!$A$2:$BZ$20001,0,U$29),"&lt;&gt;"))</f>
        <v/>
      </c>
      <c r="Z108" s="22">
        <f>IF(OR($C108=1,V$29=""),0,COUNTIFS(INDEX(ALGO!$A$2:$BZ$20001,0,$B$19),$B$1,INDEX(ALGO!$A$2:$BZ$20001,0,$B$20),"*",INDEX(ALGO!$A$2:$BZ$20001,0,$B$18),$B108,INDEX(ALGO!$A$2:$BZ$20001,0,V$29),"&lt;&gt;"))</f>
        <v/>
      </c>
      <c r="AA108" s="22">
        <f>IF(OR($C108=1,W$29=""),0,COUNTIFS(INDEX(ALGO!$A$2:$BZ$20001,0,$B$19),$B$1,INDEX(ALGO!$A$2:$BZ$20001,0,$B$20),"*",INDEX(ALGO!$A$2:$BZ$20001,0,$B$18),$B108,INDEX(ALGO!$A$2:$BZ$20001,0,W$29),"&lt;&gt;"))</f>
        <v/>
      </c>
      <c r="AB108" s="22">
        <f>IF(OR($C108=1,X$29=""),0,COUNTIFS(INDEX(ALGO!$A$2:$BZ$20001,0,$B$19),$B$1,INDEX(ALGO!$A$2:$BZ$20001,0,$B$20),"*",INDEX(ALGO!$A$2:$BZ$20001,0,$B$18),$B108,INDEX(ALGO!$A$2:$BZ$20001,0,X$29),"&lt;&gt;"))</f>
        <v/>
      </c>
      <c r="AC108" s="22">
        <f>IF(OR($C108=1,Y$29=""),0,COUNTIFS(INDEX(ALGO!$A$2:$BZ$20001,0,$B$19),$B$1,INDEX(ALGO!$A$2:$BZ$20001,0,$B$20),"*",INDEX(ALGO!$A$2:$BZ$20001,0,$B$18),$B108,INDEX(ALGO!$A$2:$BZ$20001,0,Y$29),"&lt;&gt;"))</f>
        <v/>
      </c>
      <c r="AD108" s="22">
        <f>IF(OR($C108=1,Z$29=""),0,COUNTIFS(INDEX(ALGO!$A$2:$BZ$20001,0,$B$19),$B$1,INDEX(ALGO!$A$2:$BZ$20001,0,$B$20),"*",INDEX(ALGO!$A$2:$BZ$20001,0,$B$18),$B108,INDEX(ALGO!$A$2:$BZ$20001,0,Z$29),"&lt;&gt;"))</f>
        <v/>
      </c>
      <c r="AE108" s="22">
        <f>IF(OR($C108=1,AA$29=""),0,COUNTIFS(INDEX(ALGO!$A$2:$BZ$20001,0,$B$19),$B$1,INDEX(ALGO!$A$2:$BZ$20001,0,$B$20),"*",INDEX(ALGO!$A$2:$BZ$20001,0,$B$18),$B108,INDEX(ALGO!$A$2:$BZ$20001,0,AA$29),"&lt;&gt;"))</f>
        <v/>
      </c>
      <c r="AF108" s="22">
        <f>IF(OR($C108=1,AB$29=""),0,COUNTIFS(INDEX(ALGO!$A$2:$BZ$20001,0,$B$19),$B$1,INDEX(ALGO!$A$2:$BZ$20001,0,$B$20),"*",INDEX(ALGO!$A$2:$BZ$20001,0,$B$18),$B108,INDEX(ALGO!$A$2:$BZ$20001,0,AB$29),"&lt;&gt;"))</f>
        <v/>
      </c>
      <c r="AG108" s="22">
        <f>IF(OR($C108=1,AC$29=""),0,COUNTIFS(INDEX(ALGO!$A$2:$BZ$20001,0,$B$19),$B$1,INDEX(ALGO!$A$2:$BZ$20001,0,$B$20),"*",INDEX(ALGO!$A$2:$BZ$20001,0,$B$18),$B108,INDEX(ALGO!$A$2:$BZ$20001,0,AC$29),"&lt;&gt;"))</f>
        <v/>
      </c>
      <c r="AH108" s="22">
        <f>IF(OR($C108=1,AD$29=""),0,COUNTIFS(INDEX(ALGO!$A$2:$BZ$20001,0,$B$19),$B$1,INDEX(ALGO!$A$2:$BZ$20001,0,$B$20),"*",INDEX(ALGO!$A$2:$BZ$20001,0,$B$18),$B108,INDEX(ALGO!$A$2:$BZ$20001,0,AD$29),"&lt;&gt;"))</f>
        <v/>
      </c>
      <c r="AI108" s="22">
        <f>IF(OR($C108=1,AE$29=""),0,COUNTIFS(INDEX(ALGO!$A$2:$BZ$20001,0,$B$19),$B$1,INDEX(ALGO!$A$2:$BZ$20001,0,$B$20),"*",INDEX(ALGO!$A$2:$BZ$20001,0,$B$18),$B108,INDEX(ALGO!$A$2:$BZ$20001,0,AE$29),"&lt;&gt;"))</f>
        <v/>
      </c>
      <c r="AJ108" s="22">
        <f>IF(OR($C108=1,AF$29=""),0,COUNTIFS(INDEX(ALGO!$A$2:$BZ$20001,0,$B$19),$B$1,INDEX(ALGO!$A$2:$BZ$20001,0,$B$20),"*",INDEX(ALGO!$A$2:$BZ$20001,0,$B$18),$B108,INDEX(ALGO!$A$2:$BZ$20001,0,AF$29),"&lt;&gt;"))</f>
        <v/>
      </c>
      <c r="AK108" s="22">
        <f>IF(OR($C108=1,AG$29=""),0,COUNTIFS(INDEX(ALGO!$A$2:$BZ$20001,0,$B$19),$B$1,INDEX(ALGO!$A$2:$BZ$20001,0,$B$20),"*",INDEX(ALGO!$A$2:$BZ$20001,0,$B$18),$B108,INDEX(ALGO!$A$2:$BZ$20001,0,AG$29),"&lt;&gt;"))</f>
        <v/>
      </c>
      <c r="AL108" s="22">
        <f>IF(OR($C108=1,AH$29=""),0,COUNTIFS(INDEX(ALGO!$A$2:$BZ$20001,0,$B$19),$B$1,INDEX(ALGO!$A$2:$BZ$20001,0,$B$20),"*",INDEX(ALGO!$A$2:$BZ$20001,0,$B$18),$B108,INDEX(ALGO!$A$2:$BZ$20001,0,AH$29),"&lt;&gt;"))</f>
        <v/>
      </c>
      <c r="AM108" s="22">
        <f>IF(OR($C108=1,AI$29=""),0,COUNTIFS(INDEX(ALGO!$A$2:$BZ$20001,0,$B$19),$B$1,INDEX(ALGO!$A$2:$BZ$20001,0,$B$20),"*",INDEX(ALGO!$A$2:$BZ$20001,0,$B$18),$B108,INDEX(ALGO!$A$2:$BZ$20001,0,AI$29),"&lt;&gt;"))</f>
        <v/>
      </c>
      <c r="AN108" s="22">
        <f>IF(OR($C108=1,AJ$29=""),0,COUNTIFS(INDEX(ALGO!$A$2:$BZ$20001,0,$B$19),$B$1,INDEX(ALGO!$A$2:$BZ$20001,0,$B$20),"*",INDEX(ALGO!$A$2:$BZ$20001,0,$B$18),$B108,INDEX(ALGO!$A$2:$BZ$20001,0,AJ$29),"&lt;&gt;"))</f>
        <v/>
      </c>
      <c r="AO108" s="22">
        <f>IF(OR($C108=1,AK$29=""),0,COUNTIFS(INDEX(ALGO!$A$2:$BZ$20001,0,$B$19),$B$1,INDEX(ALGO!$A$2:$BZ$20001,0,$B$20),"*",INDEX(ALGO!$A$2:$BZ$20001,0,$B$18),$B108,INDEX(ALGO!$A$2:$BZ$20001,0,AK$29),"&lt;&gt;"))</f>
        <v/>
      </c>
      <c r="AP108" s="22">
        <f>IF(OR($C108=1,AL$29=""),0,COUNTIFS(INDEX(ALGO!$A$2:$BZ$20001,0,$B$19),$B$1,INDEX(ALGO!$A$2:$BZ$20001,0,$B$20),"*",INDEX(ALGO!$A$2:$BZ$20001,0,$B$18),$B108,INDEX(ALGO!$A$2:$BZ$20001,0,AL$29),"&lt;&gt;"))</f>
        <v/>
      </c>
      <c r="AQ108" s="22">
        <f>IF(OR($C108=1,AM$29=""),0,COUNTIFS(INDEX(ALGO!$A$2:$BZ$20001,0,$B$19),$B$1,INDEX(ALGO!$A$2:$BZ$20001,0,$B$20),"*",INDEX(ALGO!$A$2:$BZ$20001,0,$B$18),$B108,INDEX(ALGO!$A$2:$BZ$20001,0,AM$29),"&lt;&gt;"))</f>
        <v/>
      </c>
    </row>
    <row r="109">
      <c r="A109" s="20" t="n">
        <v>30</v>
      </c>
      <c r="B109" s="20">
        <f>IF($A109&gt;$B$77,"",IFERROR(INDEX(ALGO!$A$1:$BZ$20001,1+$A109,$B$18),""))</f>
        <v/>
      </c>
      <c r="C109" s="20">
        <f>IF($B109="",1,IF(COUNTIF($A$200:$A$202,$B109)&gt;0,1,0))</f>
        <v/>
      </c>
      <c r="D109" s="20">
        <f>IF($C109=1,0,SUM($H109:$AQ109))</f>
        <v/>
      </c>
      <c r="E109" s="20">
        <f>$E108+IF($D109&gt;0,1,0)</f>
        <v/>
      </c>
      <c r="H109" s="22">
        <f>IF(OR($C109=1,D$29=""),0,COUNTIFS(INDEX(ALGO!$A$2:$BZ$20001,0,$B$19),$B$1,INDEX(ALGO!$A$2:$BZ$20001,0,$B$20),"*",INDEX(ALGO!$A$2:$BZ$20001,0,$B$18),$B109,INDEX(ALGO!$A$2:$BZ$20001,0,D$29),"&lt;&gt;"))</f>
        <v/>
      </c>
      <c r="I109" s="22">
        <f>IF(OR($C109=1,E$29=""),0,COUNTIFS(INDEX(ALGO!$A$2:$BZ$20001,0,$B$19),$B$1,INDEX(ALGO!$A$2:$BZ$20001,0,$B$20),"*",INDEX(ALGO!$A$2:$BZ$20001,0,$B$18),$B109,INDEX(ALGO!$A$2:$BZ$20001,0,E$29),"&lt;&gt;"))</f>
        <v/>
      </c>
      <c r="J109" s="22">
        <f>IF(OR($C109=1,F$29=""),0,COUNTIFS(INDEX(ALGO!$A$2:$BZ$20001,0,$B$19),$B$1,INDEX(ALGO!$A$2:$BZ$20001,0,$B$20),"*",INDEX(ALGO!$A$2:$BZ$20001,0,$B$18),$B109,INDEX(ALGO!$A$2:$BZ$20001,0,F$29),"&lt;&gt;"))</f>
        <v/>
      </c>
      <c r="K109" s="22">
        <f>IF(OR($C109=1,G$29=""),0,COUNTIFS(INDEX(ALGO!$A$2:$BZ$20001,0,$B$19),$B$1,INDEX(ALGO!$A$2:$BZ$20001,0,$B$20),"*",INDEX(ALGO!$A$2:$BZ$20001,0,$B$18),$B109,INDEX(ALGO!$A$2:$BZ$20001,0,G$29),"&lt;&gt;"))</f>
        <v/>
      </c>
      <c r="L109" s="22">
        <f>IF(OR($C109=1,H$29=""),0,COUNTIFS(INDEX(ALGO!$A$2:$BZ$20001,0,$B$19),$B$1,INDEX(ALGO!$A$2:$BZ$20001,0,$B$20),"*",INDEX(ALGO!$A$2:$BZ$20001,0,$B$18),$B109,INDEX(ALGO!$A$2:$BZ$20001,0,H$29),"&lt;&gt;"))</f>
        <v/>
      </c>
      <c r="M109" s="22">
        <f>IF(OR($C109=1,I$29=""),0,COUNTIFS(INDEX(ALGO!$A$2:$BZ$20001,0,$B$19),$B$1,INDEX(ALGO!$A$2:$BZ$20001,0,$B$20),"*",INDEX(ALGO!$A$2:$BZ$20001,0,$B$18),$B109,INDEX(ALGO!$A$2:$BZ$20001,0,I$29),"&lt;&gt;"))</f>
        <v/>
      </c>
      <c r="N109" s="22">
        <f>IF(OR($C109=1,J$29=""),0,COUNTIFS(INDEX(ALGO!$A$2:$BZ$20001,0,$B$19),$B$1,INDEX(ALGO!$A$2:$BZ$20001,0,$B$20),"*",INDEX(ALGO!$A$2:$BZ$20001,0,$B$18),$B109,INDEX(ALGO!$A$2:$BZ$20001,0,J$29),"&lt;&gt;"))</f>
        <v/>
      </c>
      <c r="O109" s="22">
        <f>IF(OR($C109=1,K$29=""),0,COUNTIFS(INDEX(ALGO!$A$2:$BZ$20001,0,$B$19),$B$1,INDEX(ALGO!$A$2:$BZ$20001,0,$B$20),"*",INDEX(ALGO!$A$2:$BZ$20001,0,$B$18),$B109,INDEX(ALGO!$A$2:$BZ$20001,0,K$29),"&lt;&gt;"))</f>
        <v/>
      </c>
      <c r="P109" s="22">
        <f>IF(OR($C109=1,L$29=""),0,COUNTIFS(INDEX(ALGO!$A$2:$BZ$20001,0,$B$19),$B$1,INDEX(ALGO!$A$2:$BZ$20001,0,$B$20),"*",INDEX(ALGO!$A$2:$BZ$20001,0,$B$18),$B109,INDEX(ALGO!$A$2:$BZ$20001,0,L$29),"&lt;&gt;"))</f>
        <v/>
      </c>
      <c r="Q109" s="22">
        <f>IF(OR($C109=1,M$29=""),0,COUNTIFS(INDEX(ALGO!$A$2:$BZ$20001,0,$B$19),$B$1,INDEX(ALGO!$A$2:$BZ$20001,0,$B$20),"*",INDEX(ALGO!$A$2:$BZ$20001,0,$B$18),$B109,INDEX(ALGO!$A$2:$BZ$20001,0,M$29),"&lt;&gt;"))</f>
        <v/>
      </c>
      <c r="R109" s="22">
        <f>IF(OR($C109=1,N$29=""),0,COUNTIFS(INDEX(ALGO!$A$2:$BZ$20001,0,$B$19),$B$1,INDEX(ALGO!$A$2:$BZ$20001,0,$B$20),"*",INDEX(ALGO!$A$2:$BZ$20001,0,$B$18),$B109,INDEX(ALGO!$A$2:$BZ$20001,0,N$29),"&lt;&gt;"))</f>
        <v/>
      </c>
      <c r="S109" s="22">
        <f>IF(OR($C109=1,O$29=""),0,COUNTIFS(INDEX(ALGO!$A$2:$BZ$20001,0,$B$19),$B$1,INDEX(ALGO!$A$2:$BZ$20001,0,$B$20),"*",INDEX(ALGO!$A$2:$BZ$20001,0,$B$18),$B109,INDEX(ALGO!$A$2:$BZ$20001,0,O$29),"&lt;&gt;"))</f>
        <v/>
      </c>
      <c r="T109" s="22">
        <f>IF(OR($C109=1,P$29=""),0,COUNTIFS(INDEX(ALGO!$A$2:$BZ$20001,0,$B$19),$B$1,INDEX(ALGO!$A$2:$BZ$20001,0,$B$20),"*",INDEX(ALGO!$A$2:$BZ$20001,0,$B$18),$B109,INDEX(ALGO!$A$2:$BZ$20001,0,P$29),"&lt;&gt;"))</f>
        <v/>
      </c>
      <c r="U109" s="22">
        <f>IF(OR($C109=1,Q$29=""),0,COUNTIFS(INDEX(ALGO!$A$2:$BZ$20001,0,$B$19),$B$1,INDEX(ALGO!$A$2:$BZ$20001,0,$B$20),"*",INDEX(ALGO!$A$2:$BZ$20001,0,$B$18),$B109,INDEX(ALGO!$A$2:$BZ$20001,0,Q$29),"&lt;&gt;"))</f>
        <v/>
      </c>
      <c r="V109" s="22">
        <f>IF(OR($C109=1,R$29=""),0,COUNTIFS(INDEX(ALGO!$A$2:$BZ$20001,0,$B$19),$B$1,INDEX(ALGO!$A$2:$BZ$20001,0,$B$20),"*",INDEX(ALGO!$A$2:$BZ$20001,0,$B$18),$B109,INDEX(ALGO!$A$2:$BZ$20001,0,R$29),"&lt;&gt;"))</f>
        <v/>
      </c>
      <c r="W109" s="22">
        <f>IF(OR($C109=1,S$29=""),0,COUNTIFS(INDEX(ALGO!$A$2:$BZ$20001,0,$B$19),$B$1,INDEX(ALGO!$A$2:$BZ$20001,0,$B$20),"*",INDEX(ALGO!$A$2:$BZ$20001,0,$B$18),$B109,INDEX(ALGO!$A$2:$BZ$20001,0,S$29),"&lt;&gt;"))</f>
        <v/>
      </c>
      <c r="X109" s="22">
        <f>IF(OR($C109=1,T$29=""),0,COUNTIFS(INDEX(ALGO!$A$2:$BZ$20001,0,$B$19),$B$1,INDEX(ALGO!$A$2:$BZ$20001,0,$B$20),"*",INDEX(ALGO!$A$2:$BZ$20001,0,$B$18),$B109,INDEX(ALGO!$A$2:$BZ$20001,0,T$29),"&lt;&gt;"))</f>
        <v/>
      </c>
      <c r="Y109" s="22">
        <f>IF(OR($C109=1,U$29=""),0,COUNTIFS(INDEX(ALGO!$A$2:$BZ$20001,0,$B$19),$B$1,INDEX(ALGO!$A$2:$BZ$20001,0,$B$20),"*",INDEX(ALGO!$A$2:$BZ$20001,0,$B$18),$B109,INDEX(ALGO!$A$2:$BZ$20001,0,U$29),"&lt;&gt;"))</f>
        <v/>
      </c>
      <c r="Z109" s="22">
        <f>IF(OR($C109=1,V$29=""),0,COUNTIFS(INDEX(ALGO!$A$2:$BZ$20001,0,$B$19),$B$1,INDEX(ALGO!$A$2:$BZ$20001,0,$B$20),"*",INDEX(ALGO!$A$2:$BZ$20001,0,$B$18),$B109,INDEX(ALGO!$A$2:$BZ$20001,0,V$29),"&lt;&gt;"))</f>
        <v/>
      </c>
      <c r="AA109" s="22">
        <f>IF(OR($C109=1,W$29=""),0,COUNTIFS(INDEX(ALGO!$A$2:$BZ$20001,0,$B$19),$B$1,INDEX(ALGO!$A$2:$BZ$20001,0,$B$20),"*",INDEX(ALGO!$A$2:$BZ$20001,0,$B$18),$B109,INDEX(ALGO!$A$2:$BZ$20001,0,W$29),"&lt;&gt;"))</f>
        <v/>
      </c>
      <c r="AB109" s="22">
        <f>IF(OR($C109=1,X$29=""),0,COUNTIFS(INDEX(ALGO!$A$2:$BZ$20001,0,$B$19),$B$1,INDEX(ALGO!$A$2:$BZ$20001,0,$B$20),"*",INDEX(ALGO!$A$2:$BZ$20001,0,$B$18),$B109,INDEX(ALGO!$A$2:$BZ$20001,0,X$29),"&lt;&gt;"))</f>
        <v/>
      </c>
      <c r="AC109" s="22">
        <f>IF(OR($C109=1,Y$29=""),0,COUNTIFS(INDEX(ALGO!$A$2:$BZ$20001,0,$B$19),$B$1,INDEX(ALGO!$A$2:$BZ$20001,0,$B$20),"*",INDEX(ALGO!$A$2:$BZ$20001,0,$B$18),$B109,INDEX(ALGO!$A$2:$BZ$20001,0,Y$29),"&lt;&gt;"))</f>
        <v/>
      </c>
      <c r="AD109" s="22">
        <f>IF(OR($C109=1,Z$29=""),0,COUNTIFS(INDEX(ALGO!$A$2:$BZ$20001,0,$B$19),$B$1,INDEX(ALGO!$A$2:$BZ$20001,0,$B$20),"*",INDEX(ALGO!$A$2:$BZ$20001,0,$B$18),$B109,INDEX(ALGO!$A$2:$BZ$20001,0,Z$29),"&lt;&gt;"))</f>
        <v/>
      </c>
      <c r="AE109" s="22">
        <f>IF(OR($C109=1,AA$29=""),0,COUNTIFS(INDEX(ALGO!$A$2:$BZ$20001,0,$B$19),$B$1,INDEX(ALGO!$A$2:$BZ$20001,0,$B$20),"*",INDEX(ALGO!$A$2:$BZ$20001,0,$B$18),$B109,INDEX(ALGO!$A$2:$BZ$20001,0,AA$29),"&lt;&gt;"))</f>
        <v/>
      </c>
      <c r="AF109" s="22">
        <f>IF(OR($C109=1,AB$29=""),0,COUNTIFS(INDEX(ALGO!$A$2:$BZ$20001,0,$B$19),$B$1,INDEX(ALGO!$A$2:$BZ$20001,0,$B$20),"*",INDEX(ALGO!$A$2:$BZ$20001,0,$B$18),$B109,INDEX(ALGO!$A$2:$BZ$20001,0,AB$29),"&lt;&gt;"))</f>
        <v/>
      </c>
      <c r="AG109" s="22">
        <f>IF(OR($C109=1,AC$29=""),0,COUNTIFS(INDEX(ALGO!$A$2:$BZ$20001,0,$B$19),$B$1,INDEX(ALGO!$A$2:$BZ$20001,0,$B$20),"*",INDEX(ALGO!$A$2:$BZ$20001,0,$B$18),$B109,INDEX(ALGO!$A$2:$BZ$20001,0,AC$29),"&lt;&gt;"))</f>
        <v/>
      </c>
      <c r="AH109" s="22">
        <f>IF(OR($C109=1,AD$29=""),0,COUNTIFS(INDEX(ALGO!$A$2:$BZ$20001,0,$B$19),$B$1,INDEX(ALGO!$A$2:$BZ$20001,0,$B$20),"*",INDEX(ALGO!$A$2:$BZ$20001,0,$B$18),$B109,INDEX(ALGO!$A$2:$BZ$20001,0,AD$29),"&lt;&gt;"))</f>
        <v/>
      </c>
      <c r="AI109" s="22">
        <f>IF(OR($C109=1,AE$29=""),0,COUNTIFS(INDEX(ALGO!$A$2:$BZ$20001,0,$B$19),$B$1,INDEX(ALGO!$A$2:$BZ$20001,0,$B$20),"*",INDEX(ALGO!$A$2:$BZ$20001,0,$B$18),$B109,INDEX(ALGO!$A$2:$BZ$20001,0,AE$29),"&lt;&gt;"))</f>
        <v/>
      </c>
      <c r="AJ109" s="22">
        <f>IF(OR($C109=1,AF$29=""),0,COUNTIFS(INDEX(ALGO!$A$2:$BZ$20001,0,$B$19),$B$1,INDEX(ALGO!$A$2:$BZ$20001,0,$B$20),"*",INDEX(ALGO!$A$2:$BZ$20001,0,$B$18),$B109,INDEX(ALGO!$A$2:$BZ$20001,0,AF$29),"&lt;&gt;"))</f>
        <v/>
      </c>
      <c r="AK109" s="22">
        <f>IF(OR($C109=1,AG$29=""),0,COUNTIFS(INDEX(ALGO!$A$2:$BZ$20001,0,$B$19),$B$1,INDEX(ALGO!$A$2:$BZ$20001,0,$B$20),"*",INDEX(ALGO!$A$2:$BZ$20001,0,$B$18),$B109,INDEX(ALGO!$A$2:$BZ$20001,0,AG$29),"&lt;&gt;"))</f>
        <v/>
      </c>
      <c r="AL109" s="22">
        <f>IF(OR($C109=1,AH$29=""),0,COUNTIFS(INDEX(ALGO!$A$2:$BZ$20001,0,$B$19),$B$1,INDEX(ALGO!$A$2:$BZ$20001,0,$B$20),"*",INDEX(ALGO!$A$2:$BZ$20001,0,$B$18),$B109,INDEX(ALGO!$A$2:$BZ$20001,0,AH$29),"&lt;&gt;"))</f>
        <v/>
      </c>
      <c r="AM109" s="22">
        <f>IF(OR($C109=1,AI$29=""),0,COUNTIFS(INDEX(ALGO!$A$2:$BZ$20001,0,$B$19),$B$1,INDEX(ALGO!$A$2:$BZ$20001,0,$B$20),"*",INDEX(ALGO!$A$2:$BZ$20001,0,$B$18),$B109,INDEX(ALGO!$A$2:$BZ$20001,0,AI$29),"&lt;&gt;"))</f>
        <v/>
      </c>
      <c r="AN109" s="22">
        <f>IF(OR($C109=1,AJ$29=""),0,COUNTIFS(INDEX(ALGO!$A$2:$BZ$20001,0,$B$19),$B$1,INDEX(ALGO!$A$2:$BZ$20001,0,$B$20),"*",INDEX(ALGO!$A$2:$BZ$20001,0,$B$18),$B109,INDEX(ALGO!$A$2:$BZ$20001,0,AJ$29),"&lt;&gt;"))</f>
        <v/>
      </c>
      <c r="AO109" s="22">
        <f>IF(OR($C109=1,AK$29=""),0,COUNTIFS(INDEX(ALGO!$A$2:$BZ$20001,0,$B$19),$B$1,INDEX(ALGO!$A$2:$BZ$20001,0,$B$20),"*",INDEX(ALGO!$A$2:$BZ$20001,0,$B$18),$B109,INDEX(ALGO!$A$2:$BZ$20001,0,AK$29),"&lt;&gt;"))</f>
        <v/>
      </c>
      <c r="AP109" s="22">
        <f>IF(OR($C109=1,AL$29=""),0,COUNTIFS(INDEX(ALGO!$A$2:$BZ$20001,0,$B$19),$B$1,INDEX(ALGO!$A$2:$BZ$20001,0,$B$20),"*",INDEX(ALGO!$A$2:$BZ$20001,0,$B$18),$B109,INDEX(ALGO!$A$2:$BZ$20001,0,AL$29),"&lt;&gt;"))</f>
        <v/>
      </c>
      <c r="AQ109" s="22">
        <f>IF(OR($C109=1,AM$29=""),0,COUNTIFS(INDEX(ALGO!$A$2:$BZ$20001,0,$B$19),$B$1,INDEX(ALGO!$A$2:$BZ$20001,0,$B$20),"*",INDEX(ALGO!$A$2:$BZ$20001,0,$B$18),$B109,INDEX(ALGO!$A$2:$BZ$20001,0,AM$29),"&lt;&gt;"))</f>
        <v/>
      </c>
    </row>
    <row r="112">
      <c r="A112" s="7" t="inlineStr">
        <is>
          <t>#</t>
        </is>
      </c>
      <c r="B112" s="7" t="inlineStr">
        <is>
          <t>CFG</t>
        </is>
      </c>
      <c r="C112" s="7" t="inlineStr">
        <is>
          <t>fila ADHOC</t>
        </is>
      </c>
      <c r="D112" s="7" t="inlineStr">
        <is>
          <t>filas ALGO</t>
        </is>
      </c>
      <c r="E112" s="7" t="inlineStr">
        <is>
          <t>fila BESTFIT</t>
        </is>
      </c>
      <c r="F112" s="7" t="inlineStr">
        <is>
          <t>BestFit 1er mes fut.</t>
        </is>
      </c>
      <c r="G112" s="7" t="inlineStr">
        <is>
          <t>BestFit ult. mes</t>
        </is>
      </c>
      <c r="H112" s="7" t="inlineStr">
        <is>
          <t>BestFit actual</t>
        </is>
      </c>
      <c r="I112" s="7" t="inlineStr">
        <is>
          <t>Bucket elegido</t>
        </is>
      </c>
      <c r="J112" s="7" t="inlineStr">
        <is>
          <t>Algoritmo elegido</t>
        </is>
      </c>
      <c r="K112" s="7" t="inlineStr">
        <is>
          <t>Capa simulada</t>
        </is>
      </c>
      <c r="L112" s="7" t="inlineStr">
        <is>
          <t>usa ALGO</t>
        </is>
      </c>
      <c r="M112" s="7" t="inlineStr">
        <is>
          <t>Estado</t>
        </is>
      </c>
      <c r="N112" s="7" t="inlineStr">
        <is>
          <t>en el filtro</t>
        </is>
      </c>
    </row>
    <row r="113">
      <c r="A113" s="20" t="n">
        <v>1</v>
      </c>
      <c r="B113" s="19">
        <f>IFERROR(INDEX(INDEX(CONSENSUS!$A$2:$BZ$20001,0,$B$12),MATCH($B$1,INDEX(CONSENSUS!$A$2:$BZ$20001,0,$B$11),0)),"")</f>
        <v/>
      </c>
      <c r="C113" s="20">
        <f>IF($B113="",0,SUMPRODUCT((INDEX(ADHOC!$A$2:$BZ$20001,0,$B$21)=$B$1)*(INDEX(ADHOC!$A$2:$BZ$20001,0,$B$22)=$B113)*(ROW(ADHOC!$A$2:$A$20001)-1)))</f>
        <v/>
      </c>
      <c r="D113" s="20">
        <f>IF($B113="",0,COUNTIFS(INDEX(ALGO!$A$2:$BZ$20001,0,$B$19),$B$1,INDEX(ALGO!$A$2:$BZ$20001,0,$B$20),$B113))</f>
        <v/>
      </c>
      <c r="E113" s="20">
        <f>IF($B113="",0,SUMPRODUCT((INDEX(BESTFIT!$A$2:$BZ$20001,0,$B$15)=$B$1)*(INDEX(BESTFIT!$A$2:$BZ$20001,0,$B$16)=$B113)*(INDEX(BESTFIT!$A$2:$BZ$20001,0,$B$14)=$F$1)*(ROW(BESTFIT!$A$2:$A$20001)-1)))</f>
        <v/>
      </c>
      <c r="F113" s="20">
        <f>IF($E113=0,"",IFERROR(INDEX(BESTFIT!$A$2:$BZ$20001,$E113,INDEX($D$28:$AM$28,$F$10)),""))</f>
        <v/>
      </c>
      <c r="G113" s="20">
        <f>IF($E113=0,"",IFERROR(INDEX(BESTFIT!$A$2:$BZ$20001,$E113,INDEX($D$28:$AM$28,$F$11)),""))</f>
        <v/>
      </c>
      <c r="H113" s="20">
        <f>IF($F113="","n/d",IF($F113=$G113,$F113,$F113&amp;" -&gt; "&amp;$G113))</f>
        <v/>
      </c>
      <c r="I113" s="20">
        <f>DASHBOARD!$C$24</f>
        <v/>
      </c>
      <c r="J113" s="20">
        <f>DASHBOARD!$D$24</f>
        <v/>
      </c>
      <c r="K113" s="20">
        <f>IF($I113=$F$6,"",IF($I113=$F$7,IF(OR($J113="",$J113=$F$5),$F$2,$J113),IF($I113=$F$8,$F$3,IF($I113=$F$9,$F$4,""))))</f>
        <v/>
      </c>
      <c r="L113" s="20">
        <f>IF(AND($I113=$F$7,$J113&lt;&gt;"",$J113&lt;&gt;$F$5),1,0)</f>
        <v/>
      </c>
      <c r="M113" s="20">
        <f>IF($B113="","",IF($D113=0,"sin datos stat - no simulable",IF($K113="","sin cambio (sistema)","simulado con: "&amp;$K113)))</f>
        <v/>
      </c>
      <c r="N113" s="20">
        <f>IF($B113="",0,IF($B$3=1,1,IF($B113=$B$2,1,0)))</f>
        <v/>
      </c>
    </row>
    <row r="114">
      <c r="A114" s="20" t="n">
        <v>2</v>
      </c>
      <c r="B114" s="19">
        <f>IFERROR(IF(SUMPRODUCT(MIN(((INDEX(CONSENSUS!$A$2:$BZ$20001,0,$B$11)=$B$1)*(COUNTIF($B$113:B113,INDEX(CONSENSUS!$A$2:$BZ$20001,0,$B$12))=0))*(ROW(CONSENSUS!$A$2:$A$20001)-1)+(1-((INDEX(CONSENSUS!$A$2:$BZ$20001,0,$B$11)=$B$1)*(COUNTIF($B$113:B113,INDEX(CONSENSUS!$A$2:$BZ$20001,0,$B$12))=0)))*1000000))&gt;=1000000,"",INDEX(INDEX(CONSENSUS!$A$2:$BZ$20001,0,$B$12),SUMPRODUCT(MIN(((INDEX(CONSENSUS!$A$2:$BZ$20001,0,$B$11)=$B$1)*(COUNTIF($B$113:B113,INDEX(CONSENSUS!$A$2:$BZ$20001,0,$B$12))=0))*(ROW(CONSENSUS!$A$2:$A$20001)-1)+(1-((INDEX(CONSENSUS!$A$2:$BZ$20001,0,$B$11)=$B$1)*(COUNTIF($B$113:B113,INDEX(CONSENSUS!$A$2:$BZ$20001,0,$B$12))=0)))*1000000)))),"")</f>
        <v/>
      </c>
      <c r="C114" s="20">
        <f>IF($B114="",0,SUMPRODUCT((INDEX(ADHOC!$A$2:$BZ$20001,0,$B$21)=$B$1)*(INDEX(ADHOC!$A$2:$BZ$20001,0,$B$22)=$B114)*(ROW(ADHOC!$A$2:$A$20001)-1)))</f>
        <v/>
      </c>
      <c r="D114" s="20">
        <f>IF($B114="",0,COUNTIFS(INDEX(ALGO!$A$2:$BZ$20001,0,$B$19),$B$1,INDEX(ALGO!$A$2:$BZ$20001,0,$B$20),$B114))</f>
        <v/>
      </c>
      <c r="E114" s="20">
        <f>IF($B114="",0,SUMPRODUCT((INDEX(BESTFIT!$A$2:$BZ$20001,0,$B$15)=$B$1)*(INDEX(BESTFIT!$A$2:$BZ$20001,0,$B$16)=$B114)*(INDEX(BESTFIT!$A$2:$BZ$20001,0,$B$14)=$F$1)*(ROW(BESTFIT!$A$2:$A$20001)-1)))</f>
        <v/>
      </c>
      <c r="F114" s="20">
        <f>IF($E114=0,"",IFERROR(INDEX(BESTFIT!$A$2:$BZ$20001,$E114,INDEX($D$28:$AM$28,$F$10)),""))</f>
        <v/>
      </c>
      <c r="G114" s="20">
        <f>IF($E114=0,"",IFERROR(INDEX(BESTFIT!$A$2:$BZ$20001,$E114,INDEX($D$28:$AM$28,$F$11)),""))</f>
        <v/>
      </c>
      <c r="H114" s="20">
        <f>IF($F114="","n/d",IF($F114=$G114,$F114,$F114&amp;" -&gt; "&amp;$G114))</f>
        <v/>
      </c>
      <c r="I114" s="20">
        <f>DASHBOARD!$C$25</f>
        <v/>
      </c>
      <c r="J114" s="20">
        <f>DASHBOARD!$D$25</f>
        <v/>
      </c>
      <c r="K114" s="20">
        <f>IF($I114=$F$6,"",IF($I114=$F$7,IF(OR($J114="",$J114=$F$5),$F$2,$J114),IF($I114=$F$8,$F$3,IF($I114=$F$9,$F$4,""))))</f>
        <v/>
      </c>
      <c r="L114" s="20">
        <f>IF(AND($I114=$F$7,$J114&lt;&gt;"",$J114&lt;&gt;$F$5),1,0)</f>
        <v/>
      </c>
      <c r="M114" s="20">
        <f>IF($B114="","",IF($D114=0,"sin datos stat - no simulable",IF($K114="","sin cambio (sistema)","simulado con: "&amp;$K114)))</f>
        <v/>
      </c>
      <c r="N114" s="20">
        <f>IF($B114="",0,IF($B$3=1,1,IF($B114=$B$2,1,0)))</f>
        <v/>
      </c>
    </row>
    <row r="115">
      <c r="A115" s="20" t="n">
        <v>3</v>
      </c>
      <c r="B115" s="19">
        <f>IFERROR(IF(SUMPRODUCT(MIN(((INDEX(CONSENSUS!$A$2:$BZ$20001,0,$B$11)=$B$1)*(COUNTIF($B$113:B114,INDEX(CONSENSUS!$A$2:$BZ$20001,0,$B$12))=0))*(ROW(CONSENSUS!$A$2:$A$20001)-1)+(1-((INDEX(CONSENSUS!$A$2:$BZ$20001,0,$B$11)=$B$1)*(COUNTIF($B$113:B114,INDEX(CONSENSUS!$A$2:$BZ$20001,0,$B$12))=0)))*1000000))&gt;=1000000,"",INDEX(INDEX(CONSENSUS!$A$2:$BZ$20001,0,$B$12),SUMPRODUCT(MIN(((INDEX(CONSENSUS!$A$2:$BZ$20001,0,$B$11)=$B$1)*(COUNTIF($B$113:B114,INDEX(CONSENSUS!$A$2:$BZ$20001,0,$B$12))=0))*(ROW(CONSENSUS!$A$2:$A$20001)-1)+(1-((INDEX(CONSENSUS!$A$2:$BZ$20001,0,$B$11)=$B$1)*(COUNTIF($B$113:B114,INDEX(CONSENSUS!$A$2:$BZ$20001,0,$B$12))=0)))*1000000)))),"")</f>
        <v/>
      </c>
      <c r="C115" s="20">
        <f>IF($B115="",0,SUMPRODUCT((INDEX(ADHOC!$A$2:$BZ$20001,0,$B$21)=$B$1)*(INDEX(ADHOC!$A$2:$BZ$20001,0,$B$22)=$B115)*(ROW(ADHOC!$A$2:$A$20001)-1)))</f>
        <v/>
      </c>
      <c r="D115" s="20">
        <f>IF($B115="",0,COUNTIFS(INDEX(ALGO!$A$2:$BZ$20001,0,$B$19),$B$1,INDEX(ALGO!$A$2:$BZ$20001,0,$B$20),$B115))</f>
        <v/>
      </c>
      <c r="E115" s="20">
        <f>IF($B115="",0,SUMPRODUCT((INDEX(BESTFIT!$A$2:$BZ$20001,0,$B$15)=$B$1)*(INDEX(BESTFIT!$A$2:$BZ$20001,0,$B$16)=$B115)*(INDEX(BESTFIT!$A$2:$BZ$20001,0,$B$14)=$F$1)*(ROW(BESTFIT!$A$2:$A$20001)-1)))</f>
        <v/>
      </c>
      <c r="F115" s="20">
        <f>IF($E115=0,"",IFERROR(INDEX(BESTFIT!$A$2:$BZ$20001,$E115,INDEX($D$28:$AM$28,$F$10)),""))</f>
        <v/>
      </c>
      <c r="G115" s="20">
        <f>IF($E115=0,"",IFERROR(INDEX(BESTFIT!$A$2:$BZ$20001,$E115,INDEX($D$28:$AM$28,$F$11)),""))</f>
        <v/>
      </c>
      <c r="H115" s="20">
        <f>IF($F115="","n/d",IF($F115=$G115,$F115,$F115&amp;" -&gt; "&amp;$G115))</f>
        <v/>
      </c>
      <c r="I115" s="20">
        <f>DASHBOARD!$C$26</f>
        <v/>
      </c>
      <c r="J115" s="20">
        <f>DASHBOARD!$D$26</f>
        <v/>
      </c>
      <c r="K115" s="20">
        <f>IF($I115=$F$6,"",IF($I115=$F$7,IF(OR($J115="",$J115=$F$5),$F$2,$J115),IF($I115=$F$8,$F$3,IF($I115=$F$9,$F$4,""))))</f>
        <v/>
      </c>
      <c r="L115" s="20">
        <f>IF(AND($I115=$F$7,$J115&lt;&gt;"",$J115&lt;&gt;$F$5),1,0)</f>
        <v/>
      </c>
      <c r="M115" s="20">
        <f>IF($B115="","",IF($D115=0,"sin datos stat - no simulable",IF($K115="","sin cambio (sistema)","simulado con: "&amp;$K115)))</f>
        <v/>
      </c>
      <c r="N115" s="20">
        <f>IF($B115="",0,IF($B$3=1,1,IF($B115=$B$2,1,0)))</f>
        <v/>
      </c>
    </row>
    <row r="116">
      <c r="A116" s="20" t="n">
        <v>4</v>
      </c>
      <c r="B116" s="19">
        <f>IFERROR(IF(SUMPRODUCT(MIN(((INDEX(CONSENSUS!$A$2:$BZ$20001,0,$B$11)=$B$1)*(COUNTIF($B$113:B115,INDEX(CONSENSUS!$A$2:$BZ$20001,0,$B$12))=0))*(ROW(CONSENSUS!$A$2:$A$20001)-1)+(1-((INDEX(CONSENSUS!$A$2:$BZ$20001,0,$B$11)=$B$1)*(COUNTIF($B$113:B115,INDEX(CONSENSUS!$A$2:$BZ$20001,0,$B$12))=0)))*1000000))&gt;=1000000,"",INDEX(INDEX(CONSENSUS!$A$2:$BZ$20001,0,$B$12),SUMPRODUCT(MIN(((INDEX(CONSENSUS!$A$2:$BZ$20001,0,$B$11)=$B$1)*(COUNTIF($B$113:B115,INDEX(CONSENSUS!$A$2:$BZ$20001,0,$B$12))=0))*(ROW(CONSENSUS!$A$2:$A$20001)-1)+(1-((INDEX(CONSENSUS!$A$2:$BZ$20001,0,$B$11)=$B$1)*(COUNTIF($B$113:B115,INDEX(CONSENSUS!$A$2:$BZ$20001,0,$B$12))=0)))*1000000)))),"")</f>
        <v/>
      </c>
      <c r="C116" s="20">
        <f>IF($B116="",0,SUMPRODUCT((INDEX(ADHOC!$A$2:$BZ$20001,0,$B$21)=$B$1)*(INDEX(ADHOC!$A$2:$BZ$20001,0,$B$22)=$B116)*(ROW(ADHOC!$A$2:$A$20001)-1)))</f>
        <v/>
      </c>
      <c r="D116" s="20">
        <f>IF($B116="",0,COUNTIFS(INDEX(ALGO!$A$2:$BZ$20001,0,$B$19),$B$1,INDEX(ALGO!$A$2:$BZ$20001,0,$B$20),$B116))</f>
        <v/>
      </c>
      <c r="E116" s="20">
        <f>IF($B116="",0,SUMPRODUCT((INDEX(BESTFIT!$A$2:$BZ$20001,0,$B$15)=$B$1)*(INDEX(BESTFIT!$A$2:$BZ$20001,0,$B$16)=$B116)*(INDEX(BESTFIT!$A$2:$BZ$20001,0,$B$14)=$F$1)*(ROW(BESTFIT!$A$2:$A$20001)-1)))</f>
        <v/>
      </c>
      <c r="F116" s="20">
        <f>IF($E116=0,"",IFERROR(INDEX(BESTFIT!$A$2:$BZ$20001,$E116,INDEX($D$28:$AM$28,$F$10)),""))</f>
        <v/>
      </c>
      <c r="G116" s="20">
        <f>IF($E116=0,"",IFERROR(INDEX(BESTFIT!$A$2:$BZ$20001,$E116,INDEX($D$28:$AM$28,$F$11)),""))</f>
        <v/>
      </c>
      <c r="H116" s="20">
        <f>IF($F116="","n/d",IF($F116=$G116,$F116,$F116&amp;" -&gt; "&amp;$G116))</f>
        <v/>
      </c>
      <c r="I116" s="20">
        <f>DASHBOARD!$C$27</f>
        <v/>
      </c>
      <c r="J116" s="20">
        <f>DASHBOARD!$D$27</f>
        <v/>
      </c>
      <c r="K116" s="20">
        <f>IF($I116=$F$6,"",IF($I116=$F$7,IF(OR($J116="",$J116=$F$5),$F$2,$J116),IF($I116=$F$8,$F$3,IF($I116=$F$9,$F$4,""))))</f>
        <v/>
      </c>
      <c r="L116" s="20">
        <f>IF(AND($I116=$F$7,$J116&lt;&gt;"",$J116&lt;&gt;$F$5),1,0)</f>
        <v/>
      </c>
      <c r="M116" s="20">
        <f>IF($B116="","",IF($D116=0,"sin datos stat - no simulable",IF($K116="","sin cambio (sistema)","simulado con: "&amp;$K116)))</f>
        <v/>
      </c>
      <c r="N116" s="20">
        <f>IF($B116="",0,IF($B$3=1,1,IF($B116=$B$2,1,0)))</f>
        <v/>
      </c>
    </row>
    <row r="117">
      <c r="A117" s="20" t="n">
        <v>5</v>
      </c>
      <c r="B117" s="19">
        <f>IFERROR(IF(SUMPRODUCT(MIN(((INDEX(CONSENSUS!$A$2:$BZ$20001,0,$B$11)=$B$1)*(COUNTIF($B$113:B116,INDEX(CONSENSUS!$A$2:$BZ$20001,0,$B$12))=0))*(ROW(CONSENSUS!$A$2:$A$20001)-1)+(1-((INDEX(CONSENSUS!$A$2:$BZ$20001,0,$B$11)=$B$1)*(COUNTIF($B$113:B116,INDEX(CONSENSUS!$A$2:$BZ$20001,0,$B$12))=0)))*1000000))&gt;=1000000,"",INDEX(INDEX(CONSENSUS!$A$2:$BZ$20001,0,$B$12),SUMPRODUCT(MIN(((INDEX(CONSENSUS!$A$2:$BZ$20001,0,$B$11)=$B$1)*(COUNTIF($B$113:B116,INDEX(CONSENSUS!$A$2:$BZ$20001,0,$B$12))=0))*(ROW(CONSENSUS!$A$2:$A$20001)-1)+(1-((INDEX(CONSENSUS!$A$2:$BZ$20001,0,$B$11)=$B$1)*(COUNTIF($B$113:B116,INDEX(CONSENSUS!$A$2:$BZ$20001,0,$B$12))=0)))*1000000)))),"")</f>
        <v/>
      </c>
      <c r="C117" s="20">
        <f>IF($B117="",0,SUMPRODUCT((INDEX(ADHOC!$A$2:$BZ$20001,0,$B$21)=$B$1)*(INDEX(ADHOC!$A$2:$BZ$20001,0,$B$22)=$B117)*(ROW(ADHOC!$A$2:$A$20001)-1)))</f>
        <v/>
      </c>
      <c r="D117" s="20">
        <f>IF($B117="",0,COUNTIFS(INDEX(ALGO!$A$2:$BZ$20001,0,$B$19),$B$1,INDEX(ALGO!$A$2:$BZ$20001,0,$B$20),$B117))</f>
        <v/>
      </c>
      <c r="E117" s="20">
        <f>IF($B117="",0,SUMPRODUCT((INDEX(BESTFIT!$A$2:$BZ$20001,0,$B$15)=$B$1)*(INDEX(BESTFIT!$A$2:$BZ$20001,0,$B$16)=$B117)*(INDEX(BESTFIT!$A$2:$BZ$20001,0,$B$14)=$F$1)*(ROW(BESTFIT!$A$2:$A$20001)-1)))</f>
        <v/>
      </c>
      <c r="F117" s="20">
        <f>IF($E117=0,"",IFERROR(INDEX(BESTFIT!$A$2:$BZ$20001,$E117,INDEX($D$28:$AM$28,$F$10)),""))</f>
        <v/>
      </c>
      <c r="G117" s="20">
        <f>IF($E117=0,"",IFERROR(INDEX(BESTFIT!$A$2:$BZ$20001,$E117,INDEX($D$28:$AM$28,$F$11)),""))</f>
        <v/>
      </c>
      <c r="H117" s="20">
        <f>IF($F117="","n/d",IF($F117=$G117,$F117,$F117&amp;" -&gt; "&amp;$G117))</f>
        <v/>
      </c>
      <c r="I117" s="20">
        <f>DASHBOARD!$C$28</f>
        <v/>
      </c>
      <c r="J117" s="20">
        <f>DASHBOARD!$D$28</f>
        <v/>
      </c>
      <c r="K117" s="20">
        <f>IF($I117=$F$6,"",IF($I117=$F$7,IF(OR($J117="",$J117=$F$5),$F$2,$J117),IF($I117=$F$8,$F$3,IF($I117=$F$9,$F$4,""))))</f>
        <v/>
      </c>
      <c r="L117" s="20">
        <f>IF(AND($I117=$F$7,$J117&lt;&gt;"",$J117&lt;&gt;$F$5),1,0)</f>
        <v/>
      </c>
      <c r="M117" s="20">
        <f>IF($B117="","",IF($D117=0,"sin datos stat - no simulable",IF($K117="","sin cambio (sistema)","simulado con: "&amp;$K117)))</f>
        <v/>
      </c>
      <c r="N117" s="20">
        <f>IF($B117="",0,IF($B$3=1,1,IF($B117=$B$2,1,0)))</f>
        <v/>
      </c>
    </row>
    <row r="118">
      <c r="A118" s="20" t="n">
        <v>6</v>
      </c>
      <c r="B118" s="19">
        <f>IFERROR(IF(SUMPRODUCT(MIN(((INDEX(CONSENSUS!$A$2:$BZ$20001,0,$B$11)=$B$1)*(COUNTIF($B$113:B117,INDEX(CONSENSUS!$A$2:$BZ$20001,0,$B$12))=0))*(ROW(CONSENSUS!$A$2:$A$20001)-1)+(1-((INDEX(CONSENSUS!$A$2:$BZ$20001,0,$B$11)=$B$1)*(COUNTIF($B$113:B117,INDEX(CONSENSUS!$A$2:$BZ$20001,0,$B$12))=0)))*1000000))&gt;=1000000,"",INDEX(INDEX(CONSENSUS!$A$2:$BZ$20001,0,$B$12),SUMPRODUCT(MIN(((INDEX(CONSENSUS!$A$2:$BZ$20001,0,$B$11)=$B$1)*(COUNTIF($B$113:B117,INDEX(CONSENSUS!$A$2:$BZ$20001,0,$B$12))=0))*(ROW(CONSENSUS!$A$2:$A$20001)-1)+(1-((INDEX(CONSENSUS!$A$2:$BZ$20001,0,$B$11)=$B$1)*(COUNTIF($B$113:B117,INDEX(CONSENSUS!$A$2:$BZ$20001,0,$B$12))=0)))*1000000)))),"")</f>
        <v/>
      </c>
      <c r="C118" s="20">
        <f>IF($B118="",0,SUMPRODUCT((INDEX(ADHOC!$A$2:$BZ$20001,0,$B$21)=$B$1)*(INDEX(ADHOC!$A$2:$BZ$20001,0,$B$22)=$B118)*(ROW(ADHOC!$A$2:$A$20001)-1)))</f>
        <v/>
      </c>
      <c r="D118" s="20">
        <f>IF($B118="",0,COUNTIFS(INDEX(ALGO!$A$2:$BZ$20001,0,$B$19),$B$1,INDEX(ALGO!$A$2:$BZ$20001,0,$B$20),$B118))</f>
        <v/>
      </c>
      <c r="E118" s="20">
        <f>IF($B118="",0,SUMPRODUCT((INDEX(BESTFIT!$A$2:$BZ$20001,0,$B$15)=$B$1)*(INDEX(BESTFIT!$A$2:$BZ$20001,0,$B$16)=$B118)*(INDEX(BESTFIT!$A$2:$BZ$20001,0,$B$14)=$F$1)*(ROW(BESTFIT!$A$2:$A$20001)-1)))</f>
        <v/>
      </c>
      <c r="F118" s="20">
        <f>IF($E118=0,"",IFERROR(INDEX(BESTFIT!$A$2:$BZ$20001,$E118,INDEX($D$28:$AM$28,$F$10)),""))</f>
        <v/>
      </c>
      <c r="G118" s="20">
        <f>IF($E118=0,"",IFERROR(INDEX(BESTFIT!$A$2:$BZ$20001,$E118,INDEX($D$28:$AM$28,$F$11)),""))</f>
        <v/>
      </c>
      <c r="H118" s="20">
        <f>IF($F118="","n/d",IF($F118=$G118,$F118,$F118&amp;" -&gt; "&amp;$G118))</f>
        <v/>
      </c>
      <c r="I118" s="20">
        <f>DASHBOARD!$C$29</f>
        <v/>
      </c>
      <c r="J118" s="20">
        <f>DASHBOARD!$D$29</f>
        <v/>
      </c>
      <c r="K118" s="20">
        <f>IF($I118=$F$6,"",IF($I118=$F$7,IF(OR($J118="",$J118=$F$5),$F$2,$J118),IF($I118=$F$8,$F$3,IF($I118=$F$9,$F$4,""))))</f>
        <v/>
      </c>
      <c r="L118" s="20">
        <f>IF(AND($I118=$F$7,$J118&lt;&gt;"",$J118&lt;&gt;$F$5),1,0)</f>
        <v/>
      </c>
      <c r="M118" s="20">
        <f>IF($B118="","",IF($D118=0,"sin datos stat - no simulable",IF($K118="","sin cambio (sistema)","simulado con: "&amp;$K118)))</f>
        <v/>
      </c>
      <c r="N118" s="20">
        <f>IF($B118="",0,IF($B$3=1,1,IF($B118=$B$2,1,0)))</f>
        <v/>
      </c>
    </row>
    <row r="119">
      <c r="A119" s="20" t="n">
        <v>7</v>
      </c>
      <c r="B119" s="19">
        <f>IFERROR(IF(SUMPRODUCT(MIN(((INDEX(CONSENSUS!$A$2:$BZ$20001,0,$B$11)=$B$1)*(COUNTIF($B$113:B118,INDEX(CONSENSUS!$A$2:$BZ$20001,0,$B$12))=0))*(ROW(CONSENSUS!$A$2:$A$20001)-1)+(1-((INDEX(CONSENSUS!$A$2:$BZ$20001,0,$B$11)=$B$1)*(COUNTIF($B$113:B118,INDEX(CONSENSUS!$A$2:$BZ$20001,0,$B$12))=0)))*1000000))&gt;=1000000,"",INDEX(INDEX(CONSENSUS!$A$2:$BZ$20001,0,$B$12),SUMPRODUCT(MIN(((INDEX(CONSENSUS!$A$2:$BZ$20001,0,$B$11)=$B$1)*(COUNTIF($B$113:B118,INDEX(CONSENSUS!$A$2:$BZ$20001,0,$B$12))=0))*(ROW(CONSENSUS!$A$2:$A$20001)-1)+(1-((INDEX(CONSENSUS!$A$2:$BZ$20001,0,$B$11)=$B$1)*(COUNTIF($B$113:B118,INDEX(CONSENSUS!$A$2:$BZ$20001,0,$B$12))=0)))*1000000)))),"")</f>
        <v/>
      </c>
      <c r="C119" s="20">
        <f>IF($B119="",0,SUMPRODUCT((INDEX(ADHOC!$A$2:$BZ$20001,0,$B$21)=$B$1)*(INDEX(ADHOC!$A$2:$BZ$20001,0,$B$22)=$B119)*(ROW(ADHOC!$A$2:$A$20001)-1)))</f>
        <v/>
      </c>
      <c r="D119" s="20">
        <f>IF($B119="",0,COUNTIFS(INDEX(ALGO!$A$2:$BZ$20001,0,$B$19),$B$1,INDEX(ALGO!$A$2:$BZ$20001,0,$B$20),$B119))</f>
        <v/>
      </c>
      <c r="E119" s="20">
        <f>IF($B119="",0,SUMPRODUCT((INDEX(BESTFIT!$A$2:$BZ$20001,0,$B$15)=$B$1)*(INDEX(BESTFIT!$A$2:$BZ$20001,0,$B$16)=$B119)*(INDEX(BESTFIT!$A$2:$BZ$20001,0,$B$14)=$F$1)*(ROW(BESTFIT!$A$2:$A$20001)-1)))</f>
        <v/>
      </c>
      <c r="F119" s="20">
        <f>IF($E119=0,"",IFERROR(INDEX(BESTFIT!$A$2:$BZ$20001,$E119,INDEX($D$28:$AM$28,$F$10)),""))</f>
        <v/>
      </c>
      <c r="G119" s="20">
        <f>IF($E119=0,"",IFERROR(INDEX(BESTFIT!$A$2:$BZ$20001,$E119,INDEX($D$28:$AM$28,$F$11)),""))</f>
        <v/>
      </c>
      <c r="H119" s="20">
        <f>IF($F119="","n/d",IF($F119=$G119,$F119,$F119&amp;" -&gt; "&amp;$G119))</f>
        <v/>
      </c>
      <c r="I119" s="20">
        <f>DASHBOARD!$C$30</f>
        <v/>
      </c>
      <c r="J119" s="20">
        <f>DASHBOARD!$D$30</f>
        <v/>
      </c>
      <c r="K119" s="20">
        <f>IF($I119=$F$6,"",IF($I119=$F$7,IF(OR($J119="",$J119=$F$5),$F$2,$J119),IF($I119=$F$8,$F$3,IF($I119=$F$9,$F$4,""))))</f>
        <v/>
      </c>
      <c r="L119" s="20">
        <f>IF(AND($I119=$F$7,$J119&lt;&gt;"",$J119&lt;&gt;$F$5),1,0)</f>
        <v/>
      </c>
      <c r="M119" s="20">
        <f>IF($B119="","",IF($D119=0,"sin datos stat - no simulable",IF($K119="","sin cambio (sistema)","simulado con: "&amp;$K119)))</f>
        <v/>
      </c>
      <c r="N119" s="20">
        <f>IF($B119="",0,IF($B$3=1,1,IF($B119=$B$2,1,0)))</f>
        <v/>
      </c>
    </row>
    <row r="120">
      <c r="A120" s="20" t="n">
        <v>8</v>
      </c>
      <c r="B120" s="19">
        <f>IFERROR(IF(SUMPRODUCT(MIN(((INDEX(CONSENSUS!$A$2:$BZ$20001,0,$B$11)=$B$1)*(COUNTIF($B$113:B119,INDEX(CONSENSUS!$A$2:$BZ$20001,0,$B$12))=0))*(ROW(CONSENSUS!$A$2:$A$20001)-1)+(1-((INDEX(CONSENSUS!$A$2:$BZ$20001,0,$B$11)=$B$1)*(COUNTIF($B$113:B119,INDEX(CONSENSUS!$A$2:$BZ$20001,0,$B$12))=0)))*1000000))&gt;=1000000,"",INDEX(INDEX(CONSENSUS!$A$2:$BZ$20001,0,$B$12),SUMPRODUCT(MIN(((INDEX(CONSENSUS!$A$2:$BZ$20001,0,$B$11)=$B$1)*(COUNTIF($B$113:B119,INDEX(CONSENSUS!$A$2:$BZ$20001,0,$B$12))=0))*(ROW(CONSENSUS!$A$2:$A$20001)-1)+(1-((INDEX(CONSENSUS!$A$2:$BZ$20001,0,$B$11)=$B$1)*(COUNTIF($B$113:B119,INDEX(CONSENSUS!$A$2:$BZ$20001,0,$B$12))=0)))*1000000)))),"")</f>
        <v/>
      </c>
      <c r="C120" s="20">
        <f>IF($B120="",0,SUMPRODUCT((INDEX(ADHOC!$A$2:$BZ$20001,0,$B$21)=$B$1)*(INDEX(ADHOC!$A$2:$BZ$20001,0,$B$22)=$B120)*(ROW(ADHOC!$A$2:$A$20001)-1)))</f>
        <v/>
      </c>
      <c r="D120" s="20">
        <f>IF($B120="",0,COUNTIFS(INDEX(ALGO!$A$2:$BZ$20001,0,$B$19),$B$1,INDEX(ALGO!$A$2:$BZ$20001,0,$B$20),$B120))</f>
        <v/>
      </c>
      <c r="E120" s="20">
        <f>IF($B120="",0,SUMPRODUCT((INDEX(BESTFIT!$A$2:$BZ$20001,0,$B$15)=$B$1)*(INDEX(BESTFIT!$A$2:$BZ$20001,0,$B$16)=$B120)*(INDEX(BESTFIT!$A$2:$BZ$20001,0,$B$14)=$F$1)*(ROW(BESTFIT!$A$2:$A$20001)-1)))</f>
        <v/>
      </c>
      <c r="F120" s="20">
        <f>IF($E120=0,"",IFERROR(INDEX(BESTFIT!$A$2:$BZ$20001,$E120,INDEX($D$28:$AM$28,$F$10)),""))</f>
        <v/>
      </c>
      <c r="G120" s="20">
        <f>IF($E120=0,"",IFERROR(INDEX(BESTFIT!$A$2:$BZ$20001,$E120,INDEX($D$28:$AM$28,$F$11)),""))</f>
        <v/>
      </c>
      <c r="H120" s="20">
        <f>IF($F120="","n/d",IF($F120=$G120,$F120,$F120&amp;" -&gt; "&amp;$G120))</f>
        <v/>
      </c>
      <c r="I120" s="20">
        <f>DASHBOARD!$C$31</f>
        <v/>
      </c>
      <c r="J120" s="20">
        <f>DASHBOARD!$D$31</f>
        <v/>
      </c>
      <c r="K120" s="20">
        <f>IF($I120=$F$6,"",IF($I120=$F$7,IF(OR($J120="",$J120=$F$5),$F$2,$J120),IF($I120=$F$8,$F$3,IF($I120=$F$9,$F$4,""))))</f>
        <v/>
      </c>
      <c r="L120" s="20">
        <f>IF(AND($I120=$F$7,$J120&lt;&gt;"",$J120&lt;&gt;$F$5),1,0)</f>
        <v/>
      </c>
      <c r="M120" s="20">
        <f>IF($B120="","",IF($D120=0,"sin datos stat - no simulable",IF($K120="","sin cambio (sistema)","simulado con: "&amp;$K120)))</f>
        <v/>
      </c>
      <c r="N120" s="20">
        <f>IF($B120="",0,IF($B$3=1,1,IF($B120=$B$2,1,0)))</f>
        <v/>
      </c>
    </row>
    <row r="123">
      <c r="A123" s="23">
        <f>IF($B113="","System FC simulado","System FC simulado | "&amp;$B113)</f>
        <v/>
      </c>
      <c r="D123" s="21">
        <f>IF(OR($B113="",D$27=""),0,IF(OR($D113=0,$K113="",D$30=0),D133,IF($L113=1,IF(D$29="",0,SUMIFS(INDEX(ALGO!$A$2:$BZ$20001,0,D$29),INDEX(ALGO!$A$2:$BZ$20001,0,$B$19),$B$1,INDEX(ALGO!$A$2:$BZ$20001,0,$B$20),$B113,INDEX(ALGO!$A$2:$BZ$20001,0,$B$18),$K113)),IF(D$28="",0,SUMIFS(INDEX(BESTFIT!$A$2:$BZ$20001,0,D$28),INDEX(BESTFIT!$A$2:$BZ$20001,0,$B$15),$B$1,INDEX(BESTFIT!$A$2:$BZ$20001,0,$B$16),$B113,INDEX(BESTFIT!$A$2:$BZ$20001,0,$B$14),$K113)))))</f>
        <v/>
      </c>
      <c r="E123" s="21">
        <f>IF(OR($B113="",E$27=""),0,IF(OR($D113=0,$K113="",E$30=0),E133,IF($L113=1,IF(E$29="",0,SUMIFS(INDEX(ALGO!$A$2:$BZ$20001,0,E$29),INDEX(ALGO!$A$2:$BZ$20001,0,$B$19),$B$1,INDEX(ALGO!$A$2:$BZ$20001,0,$B$20),$B113,INDEX(ALGO!$A$2:$BZ$20001,0,$B$18),$K113)),IF(E$28="",0,SUMIFS(INDEX(BESTFIT!$A$2:$BZ$20001,0,E$28),INDEX(BESTFIT!$A$2:$BZ$20001,0,$B$15),$B$1,INDEX(BESTFIT!$A$2:$BZ$20001,0,$B$16),$B113,INDEX(BESTFIT!$A$2:$BZ$20001,0,$B$14),$K113)))))</f>
        <v/>
      </c>
      <c r="F123" s="21">
        <f>IF(OR($B113="",F$27=""),0,IF(OR($D113=0,$K113="",F$30=0),F133,IF($L113=1,IF(F$29="",0,SUMIFS(INDEX(ALGO!$A$2:$BZ$20001,0,F$29),INDEX(ALGO!$A$2:$BZ$20001,0,$B$19),$B$1,INDEX(ALGO!$A$2:$BZ$20001,0,$B$20),$B113,INDEX(ALGO!$A$2:$BZ$20001,0,$B$18),$K113)),IF(F$28="",0,SUMIFS(INDEX(BESTFIT!$A$2:$BZ$20001,0,F$28),INDEX(BESTFIT!$A$2:$BZ$20001,0,$B$15),$B$1,INDEX(BESTFIT!$A$2:$BZ$20001,0,$B$16),$B113,INDEX(BESTFIT!$A$2:$BZ$20001,0,$B$14),$K113)))))</f>
        <v/>
      </c>
      <c r="G123" s="21">
        <f>IF(OR($B113="",G$27=""),0,IF(OR($D113=0,$K113="",G$30=0),G133,IF($L113=1,IF(G$29="",0,SUMIFS(INDEX(ALGO!$A$2:$BZ$20001,0,G$29),INDEX(ALGO!$A$2:$BZ$20001,0,$B$19),$B$1,INDEX(ALGO!$A$2:$BZ$20001,0,$B$20),$B113,INDEX(ALGO!$A$2:$BZ$20001,0,$B$18),$K113)),IF(G$28="",0,SUMIFS(INDEX(BESTFIT!$A$2:$BZ$20001,0,G$28),INDEX(BESTFIT!$A$2:$BZ$20001,0,$B$15),$B$1,INDEX(BESTFIT!$A$2:$BZ$20001,0,$B$16),$B113,INDEX(BESTFIT!$A$2:$BZ$20001,0,$B$14),$K113)))))</f>
        <v/>
      </c>
      <c r="H123" s="21">
        <f>IF(OR($B113="",H$27=""),0,IF(OR($D113=0,$K113="",H$30=0),H133,IF($L113=1,IF(H$29="",0,SUMIFS(INDEX(ALGO!$A$2:$BZ$20001,0,H$29),INDEX(ALGO!$A$2:$BZ$20001,0,$B$19),$B$1,INDEX(ALGO!$A$2:$BZ$20001,0,$B$20),$B113,INDEX(ALGO!$A$2:$BZ$20001,0,$B$18),$K113)),IF(H$28="",0,SUMIFS(INDEX(BESTFIT!$A$2:$BZ$20001,0,H$28),INDEX(BESTFIT!$A$2:$BZ$20001,0,$B$15),$B$1,INDEX(BESTFIT!$A$2:$BZ$20001,0,$B$16),$B113,INDEX(BESTFIT!$A$2:$BZ$20001,0,$B$14),$K113)))))</f>
        <v/>
      </c>
      <c r="I123" s="21">
        <f>IF(OR($B113="",I$27=""),0,IF(OR($D113=0,$K113="",I$30=0),I133,IF($L113=1,IF(I$29="",0,SUMIFS(INDEX(ALGO!$A$2:$BZ$20001,0,I$29),INDEX(ALGO!$A$2:$BZ$20001,0,$B$19),$B$1,INDEX(ALGO!$A$2:$BZ$20001,0,$B$20),$B113,INDEX(ALGO!$A$2:$BZ$20001,0,$B$18),$K113)),IF(I$28="",0,SUMIFS(INDEX(BESTFIT!$A$2:$BZ$20001,0,I$28),INDEX(BESTFIT!$A$2:$BZ$20001,0,$B$15),$B$1,INDEX(BESTFIT!$A$2:$BZ$20001,0,$B$16),$B113,INDEX(BESTFIT!$A$2:$BZ$20001,0,$B$14),$K113)))))</f>
        <v/>
      </c>
      <c r="J123" s="21">
        <f>IF(OR($B113="",J$27=""),0,IF(OR($D113=0,$K113="",J$30=0),J133,IF($L113=1,IF(J$29="",0,SUMIFS(INDEX(ALGO!$A$2:$BZ$20001,0,J$29),INDEX(ALGO!$A$2:$BZ$20001,0,$B$19),$B$1,INDEX(ALGO!$A$2:$BZ$20001,0,$B$20),$B113,INDEX(ALGO!$A$2:$BZ$20001,0,$B$18),$K113)),IF(J$28="",0,SUMIFS(INDEX(BESTFIT!$A$2:$BZ$20001,0,J$28),INDEX(BESTFIT!$A$2:$BZ$20001,0,$B$15),$B$1,INDEX(BESTFIT!$A$2:$BZ$20001,0,$B$16),$B113,INDEX(BESTFIT!$A$2:$BZ$20001,0,$B$14),$K113)))))</f>
        <v/>
      </c>
      <c r="K123" s="21">
        <f>IF(OR($B113="",K$27=""),0,IF(OR($D113=0,$K113="",K$30=0),K133,IF($L113=1,IF(K$29="",0,SUMIFS(INDEX(ALGO!$A$2:$BZ$20001,0,K$29),INDEX(ALGO!$A$2:$BZ$20001,0,$B$19),$B$1,INDEX(ALGO!$A$2:$BZ$20001,0,$B$20),$B113,INDEX(ALGO!$A$2:$BZ$20001,0,$B$18),$K113)),IF(K$28="",0,SUMIFS(INDEX(BESTFIT!$A$2:$BZ$20001,0,K$28),INDEX(BESTFIT!$A$2:$BZ$20001,0,$B$15),$B$1,INDEX(BESTFIT!$A$2:$BZ$20001,0,$B$16),$B113,INDEX(BESTFIT!$A$2:$BZ$20001,0,$B$14),$K113)))))</f>
        <v/>
      </c>
      <c r="L123" s="21">
        <f>IF(OR($B113="",L$27=""),0,IF(OR($D113=0,$K113="",L$30=0),L133,IF($L113=1,IF(L$29="",0,SUMIFS(INDEX(ALGO!$A$2:$BZ$20001,0,L$29),INDEX(ALGO!$A$2:$BZ$20001,0,$B$19),$B$1,INDEX(ALGO!$A$2:$BZ$20001,0,$B$20),$B113,INDEX(ALGO!$A$2:$BZ$20001,0,$B$18),$K113)),IF(L$28="",0,SUMIFS(INDEX(BESTFIT!$A$2:$BZ$20001,0,L$28),INDEX(BESTFIT!$A$2:$BZ$20001,0,$B$15),$B$1,INDEX(BESTFIT!$A$2:$BZ$20001,0,$B$16),$B113,INDEX(BESTFIT!$A$2:$BZ$20001,0,$B$14),$K113)))))</f>
        <v/>
      </c>
      <c r="M123" s="21">
        <f>IF(OR($B113="",M$27=""),0,IF(OR($D113=0,$K113="",M$30=0),M133,IF($L113=1,IF(M$29="",0,SUMIFS(INDEX(ALGO!$A$2:$BZ$20001,0,M$29),INDEX(ALGO!$A$2:$BZ$20001,0,$B$19),$B$1,INDEX(ALGO!$A$2:$BZ$20001,0,$B$20),$B113,INDEX(ALGO!$A$2:$BZ$20001,0,$B$18),$K113)),IF(M$28="",0,SUMIFS(INDEX(BESTFIT!$A$2:$BZ$20001,0,M$28),INDEX(BESTFIT!$A$2:$BZ$20001,0,$B$15),$B$1,INDEX(BESTFIT!$A$2:$BZ$20001,0,$B$16),$B113,INDEX(BESTFIT!$A$2:$BZ$20001,0,$B$14),$K113)))))</f>
        <v/>
      </c>
      <c r="N123" s="21">
        <f>IF(OR($B113="",N$27=""),0,IF(OR($D113=0,$K113="",N$30=0),N133,IF($L113=1,IF(N$29="",0,SUMIFS(INDEX(ALGO!$A$2:$BZ$20001,0,N$29),INDEX(ALGO!$A$2:$BZ$20001,0,$B$19),$B$1,INDEX(ALGO!$A$2:$BZ$20001,0,$B$20),$B113,INDEX(ALGO!$A$2:$BZ$20001,0,$B$18),$K113)),IF(N$28="",0,SUMIFS(INDEX(BESTFIT!$A$2:$BZ$20001,0,N$28),INDEX(BESTFIT!$A$2:$BZ$20001,0,$B$15),$B$1,INDEX(BESTFIT!$A$2:$BZ$20001,0,$B$16),$B113,INDEX(BESTFIT!$A$2:$BZ$20001,0,$B$14),$K113)))))</f>
        <v/>
      </c>
      <c r="O123" s="21">
        <f>IF(OR($B113="",O$27=""),0,IF(OR($D113=0,$K113="",O$30=0),O133,IF($L113=1,IF(O$29="",0,SUMIFS(INDEX(ALGO!$A$2:$BZ$20001,0,O$29),INDEX(ALGO!$A$2:$BZ$20001,0,$B$19),$B$1,INDEX(ALGO!$A$2:$BZ$20001,0,$B$20),$B113,INDEX(ALGO!$A$2:$BZ$20001,0,$B$18),$K113)),IF(O$28="",0,SUMIFS(INDEX(BESTFIT!$A$2:$BZ$20001,0,O$28),INDEX(BESTFIT!$A$2:$BZ$20001,0,$B$15),$B$1,INDEX(BESTFIT!$A$2:$BZ$20001,0,$B$16),$B113,INDEX(BESTFIT!$A$2:$BZ$20001,0,$B$14),$K113)))))</f>
        <v/>
      </c>
      <c r="P123" s="21">
        <f>IF(OR($B113="",P$27=""),0,IF(OR($D113=0,$K113="",P$30=0),P133,IF($L113=1,IF(P$29="",0,SUMIFS(INDEX(ALGO!$A$2:$BZ$20001,0,P$29),INDEX(ALGO!$A$2:$BZ$20001,0,$B$19),$B$1,INDEX(ALGO!$A$2:$BZ$20001,0,$B$20),$B113,INDEX(ALGO!$A$2:$BZ$20001,0,$B$18),$K113)),IF(P$28="",0,SUMIFS(INDEX(BESTFIT!$A$2:$BZ$20001,0,P$28),INDEX(BESTFIT!$A$2:$BZ$20001,0,$B$15),$B$1,INDEX(BESTFIT!$A$2:$BZ$20001,0,$B$16),$B113,INDEX(BESTFIT!$A$2:$BZ$20001,0,$B$14),$K113)))))</f>
        <v/>
      </c>
      <c r="Q123" s="21">
        <f>IF(OR($B113="",Q$27=""),0,IF(OR($D113=0,$K113="",Q$30=0),Q133,IF($L113=1,IF(Q$29="",0,SUMIFS(INDEX(ALGO!$A$2:$BZ$20001,0,Q$29),INDEX(ALGO!$A$2:$BZ$20001,0,$B$19),$B$1,INDEX(ALGO!$A$2:$BZ$20001,0,$B$20),$B113,INDEX(ALGO!$A$2:$BZ$20001,0,$B$18),$K113)),IF(Q$28="",0,SUMIFS(INDEX(BESTFIT!$A$2:$BZ$20001,0,Q$28),INDEX(BESTFIT!$A$2:$BZ$20001,0,$B$15),$B$1,INDEX(BESTFIT!$A$2:$BZ$20001,0,$B$16),$B113,INDEX(BESTFIT!$A$2:$BZ$20001,0,$B$14),$K113)))))</f>
        <v/>
      </c>
      <c r="R123" s="21">
        <f>IF(OR($B113="",R$27=""),0,IF(OR($D113=0,$K113="",R$30=0),R133,IF($L113=1,IF(R$29="",0,SUMIFS(INDEX(ALGO!$A$2:$BZ$20001,0,R$29),INDEX(ALGO!$A$2:$BZ$20001,0,$B$19),$B$1,INDEX(ALGO!$A$2:$BZ$20001,0,$B$20),$B113,INDEX(ALGO!$A$2:$BZ$20001,0,$B$18),$K113)),IF(R$28="",0,SUMIFS(INDEX(BESTFIT!$A$2:$BZ$20001,0,R$28),INDEX(BESTFIT!$A$2:$BZ$20001,0,$B$15),$B$1,INDEX(BESTFIT!$A$2:$BZ$20001,0,$B$16),$B113,INDEX(BESTFIT!$A$2:$BZ$20001,0,$B$14),$K113)))))</f>
        <v/>
      </c>
      <c r="S123" s="21">
        <f>IF(OR($B113="",S$27=""),0,IF(OR($D113=0,$K113="",S$30=0),S133,IF($L113=1,IF(S$29="",0,SUMIFS(INDEX(ALGO!$A$2:$BZ$20001,0,S$29),INDEX(ALGO!$A$2:$BZ$20001,0,$B$19),$B$1,INDEX(ALGO!$A$2:$BZ$20001,0,$B$20),$B113,INDEX(ALGO!$A$2:$BZ$20001,0,$B$18),$K113)),IF(S$28="",0,SUMIFS(INDEX(BESTFIT!$A$2:$BZ$20001,0,S$28),INDEX(BESTFIT!$A$2:$BZ$20001,0,$B$15),$B$1,INDEX(BESTFIT!$A$2:$BZ$20001,0,$B$16),$B113,INDEX(BESTFIT!$A$2:$BZ$20001,0,$B$14),$K113)))))</f>
        <v/>
      </c>
      <c r="T123" s="21">
        <f>IF(OR($B113="",T$27=""),0,IF(OR($D113=0,$K113="",T$30=0),T133,IF($L113=1,IF(T$29="",0,SUMIFS(INDEX(ALGO!$A$2:$BZ$20001,0,T$29),INDEX(ALGO!$A$2:$BZ$20001,0,$B$19),$B$1,INDEX(ALGO!$A$2:$BZ$20001,0,$B$20),$B113,INDEX(ALGO!$A$2:$BZ$20001,0,$B$18),$K113)),IF(T$28="",0,SUMIFS(INDEX(BESTFIT!$A$2:$BZ$20001,0,T$28),INDEX(BESTFIT!$A$2:$BZ$20001,0,$B$15),$B$1,INDEX(BESTFIT!$A$2:$BZ$20001,0,$B$16),$B113,INDEX(BESTFIT!$A$2:$BZ$20001,0,$B$14),$K113)))))</f>
        <v/>
      </c>
      <c r="U123" s="21">
        <f>IF(OR($B113="",U$27=""),0,IF(OR($D113=0,$K113="",U$30=0),U133,IF($L113=1,IF(U$29="",0,SUMIFS(INDEX(ALGO!$A$2:$BZ$20001,0,U$29),INDEX(ALGO!$A$2:$BZ$20001,0,$B$19),$B$1,INDEX(ALGO!$A$2:$BZ$20001,0,$B$20),$B113,INDEX(ALGO!$A$2:$BZ$20001,0,$B$18),$K113)),IF(U$28="",0,SUMIFS(INDEX(BESTFIT!$A$2:$BZ$20001,0,U$28),INDEX(BESTFIT!$A$2:$BZ$20001,0,$B$15),$B$1,INDEX(BESTFIT!$A$2:$BZ$20001,0,$B$16),$B113,INDEX(BESTFIT!$A$2:$BZ$20001,0,$B$14),$K113)))))</f>
        <v/>
      </c>
      <c r="V123" s="21">
        <f>IF(OR($B113="",V$27=""),0,IF(OR($D113=0,$K113="",V$30=0),V133,IF($L113=1,IF(V$29="",0,SUMIFS(INDEX(ALGO!$A$2:$BZ$20001,0,V$29),INDEX(ALGO!$A$2:$BZ$20001,0,$B$19),$B$1,INDEX(ALGO!$A$2:$BZ$20001,0,$B$20),$B113,INDEX(ALGO!$A$2:$BZ$20001,0,$B$18),$K113)),IF(V$28="",0,SUMIFS(INDEX(BESTFIT!$A$2:$BZ$20001,0,V$28),INDEX(BESTFIT!$A$2:$BZ$20001,0,$B$15),$B$1,INDEX(BESTFIT!$A$2:$BZ$20001,0,$B$16),$B113,INDEX(BESTFIT!$A$2:$BZ$20001,0,$B$14),$K113)))))</f>
        <v/>
      </c>
      <c r="W123" s="21">
        <f>IF(OR($B113="",W$27=""),0,IF(OR($D113=0,$K113="",W$30=0),W133,IF($L113=1,IF(W$29="",0,SUMIFS(INDEX(ALGO!$A$2:$BZ$20001,0,W$29),INDEX(ALGO!$A$2:$BZ$20001,0,$B$19),$B$1,INDEX(ALGO!$A$2:$BZ$20001,0,$B$20),$B113,INDEX(ALGO!$A$2:$BZ$20001,0,$B$18),$K113)),IF(W$28="",0,SUMIFS(INDEX(BESTFIT!$A$2:$BZ$20001,0,W$28),INDEX(BESTFIT!$A$2:$BZ$20001,0,$B$15),$B$1,INDEX(BESTFIT!$A$2:$BZ$20001,0,$B$16),$B113,INDEX(BESTFIT!$A$2:$BZ$20001,0,$B$14),$K113)))))</f>
        <v/>
      </c>
      <c r="X123" s="21">
        <f>IF(OR($B113="",X$27=""),0,IF(OR($D113=0,$K113="",X$30=0),X133,IF($L113=1,IF(X$29="",0,SUMIFS(INDEX(ALGO!$A$2:$BZ$20001,0,X$29),INDEX(ALGO!$A$2:$BZ$20001,0,$B$19),$B$1,INDEX(ALGO!$A$2:$BZ$20001,0,$B$20),$B113,INDEX(ALGO!$A$2:$BZ$20001,0,$B$18),$K113)),IF(X$28="",0,SUMIFS(INDEX(BESTFIT!$A$2:$BZ$20001,0,X$28),INDEX(BESTFIT!$A$2:$BZ$20001,0,$B$15),$B$1,INDEX(BESTFIT!$A$2:$BZ$20001,0,$B$16),$B113,INDEX(BESTFIT!$A$2:$BZ$20001,0,$B$14),$K113)))))</f>
        <v/>
      </c>
      <c r="Y123" s="21">
        <f>IF(OR($B113="",Y$27=""),0,IF(OR($D113=0,$K113="",Y$30=0),Y133,IF($L113=1,IF(Y$29="",0,SUMIFS(INDEX(ALGO!$A$2:$BZ$20001,0,Y$29),INDEX(ALGO!$A$2:$BZ$20001,0,$B$19),$B$1,INDEX(ALGO!$A$2:$BZ$20001,0,$B$20),$B113,INDEX(ALGO!$A$2:$BZ$20001,0,$B$18),$K113)),IF(Y$28="",0,SUMIFS(INDEX(BESTFIT!$A$2:$BZ$20001,0,Y$28),INDEX(BESTFIT!$A$2:$BZ$20001,0,$B$15),$B$1,INDEX(BESTFIT!$A$2:$BZ$20001,0,$B$16),$B113,INDEX(BESTFIT!$A$2:$BZ$20001,0,$B$14),$K113)))))</f>
        <v/>
      </c>
      <c r="Z123" s="21">
        <f>IF(OR($B113="",Z$27=""),0,IF(OR($D113=0,$K113="",Z$30=0),Z133,IF($L113=1,IF(Z$29="",0,SUMIFS(INDEX(ALGO!$A$2:$BZ$20001,0,Z$29),INDEX(ALGO!$A$2:$BZ$20001,0,$B$19),$B$1,INDEX(ALGO!$A$2:$BZ$20001,0,$B$20),$B113,INDEX(ALGO!$A$2:$BZ$20001,0,$B$18),$K113)),IF(Z$28="",0,SUMIFS(INDEX(BESTFIT!$A$2:$BZ$20001,0,Z$28),INDEX(BESTFIT!$A$2:$BZ$20001,0,$B$15),$B$1,INDEX(BESTFIT!$A$2:$BZ$20001,0,$B$16),$B113,INDEX(BESTFIT!$A$2:$BZ$20001,0,$B$14),$K113)))))</f>
        <v/>
      </c>
      <c r="AA123" s="21">
        <f>IF(OR($B113="",AA$27=""),0,IF(OR($D113=0,$K113="",AA$30=0),AA133,IF($L113=1,IF(AA$29="",0,SUMIFS(INDEX(ALGO!$A$2:$BZ$20001,0,AA$29),INDEX(ALGO!$A$2:$BZ$20001,0,$B$19),$B$1,INDEX(ALGO!$A$2:$BZ$20001,0,$B$20),$B113,INDEX(ALGO!$A$2:$BZ$20001,0,$B$18),$K113)),IF(AA$28="",0,SUMIFS(INDEX(BESTFIT!$A$2:$BZ$20001,0,AA$28),INDEX(BESTFIT!$A$2:$BZ$20001,0,$B$15),$B$1,INDEX(BESTFIT!$A$2:$BZ$20001,0,$B$16),$B113,INDEX(BESTFIT!$A$2:$BZ$20001,0,$B$14),$K113)))))</f>
        <v/>
      </c>
      <c r="AB123" s="21">
        <f>IF(OR($B113="",AB$27=""),0,IF(OR($D113=0,$K113="",AB$30=0),AB133,IF($L113=1,IF(AB$29="",0,SUMIFS(INDEX(ALGO!$A$2:$BZ$20001,0,AB$29),INDEX(ALGO!$A$2:$BZ$20001,0,$B$19),$B$1,INDEX(ALGO!$A$2:$BZ$20001,0,$B$20),$B113,INDEX(ALGO!$A$2:$BZ$20001,0,$B$18),$K113)),IF(AB$28="",0,SUMIFS(INDEX(BESTFIT!$A$2:$BZ$20001,0,AB$28),INDEX(BESTFIT!$A$2:$BZ$20001,0,$B$15),$B$1,INDEX(BESTFIT!$A$2:$BZ$20001,0,$B$16),$B113,INDEX(BESTFIT!$A$2:$BZ$20001,0,$B$14),$K113)))))</f>
        <v/>
      </c>
      <c r="AC123" s="21">
        <f>IF(OR($B113="",AC$27=""),0,IF(OR($D113=0,$K113="",AC$30=0),AC133,IF($L113=1,IF(AC$29="",0,SUMIFS(INDEX(ALGO!$A$2:$BZ$20001,0,AC$29),INDEX(ALGO!$A$2:$BZ$20001,0,$B$19),$B$1,INDEX(ALGO!$A$2:$BZ$20001,0,$B$20),$B113,INDEX(ALGO!$A$2:$BZ$20001,0,$B$18),$K113)),IF(AC$28="",0,SUMIFS(INDEX(BESTFIT!$A$2:$BZ$20001,0,AC$28),INDEX(BESTFIT!$A$2:$BZ$20001,0,$B$15),$B$1,INDEX(BESTFIT!$A$2:$BZ$20001,0,$B$16),$B113,INDEX(BESTFIT!$A$2:$BZ$20001,0,$B$14),$K113)))))</f>
        <v/>
      </c>
      <c r="AD123" s="21">
        <f>IF(OR($B113="",AD$27=""),0,IF(OR($D113=0,$K113="",AD$30=0),AD133,IF($L113=1,IF(AD$29="",0,SUMIFS(INDEX(ALGO!$A$2:$BZ$20001,0,AD$29),INDEX(ALGO!$A$2:$BZ$20001,0,$B$19),$B$1,INDEX(ALGO!$A$2:$BZ$20001,0,$B$20),$B113,INDEX(ALGO!$A$2:$BZ$20001,0,$B$18),$K113)),IF(AD$28="",0,SUMIFS(INDEX(BESTFIT!$A$2:$BZ$20001,0,AD$28),INDEX(BESTFIT!$A$2:$BZ$20001,0,$B$15),$B$1,INDEX(BESTFIT!$A$2:$BZ$20001,0,$B$16),$B113,INDEX(BESTFIT!$A$2:$BZ$20001,0,$B$14),$K113)))))</f>
        <v/>
      </c>
      <c r="AE123" s="21">
        <f>IF(OR($B113="",AE$27=""),0,IF(OR($D113=0,$K113="",AE$30=0),AE133,IF($L113=1,IF(AE$29="",0,SUMIFS(INDEX(ALGO!$A$2:$BZ$20001,0,AE$29),INDEX(ALGO!$A$2:$BZ$20001,0,$B$19),$B$1,INDEX(ALGO!$A$2:$BZ$20001,0,$B$20),$B113,INDEX(ALGO!$A$2:$BZ$20001,0,$B$18),$K113)),IF(AE$28="",0,SUMIFS(INDEX(BESTFIT!$A$2:$BZ$20001,0,AE$28),INDEX(BESTFIT!$A$2:$BZ$20001,0,$B$15),$B$1,INDEX(BESTFIT!$A$2:$BZ$20001,0,$B$16),$B113,INDEX(BESTFIT!$A$2:$BZ$20001,0,$B$14),$K113)))))</f>
        <v/>
      </c>
      <c r="AF123" s="21">
        <f>IF(OR($B113="",AF$27=""),0,IF(OR($D113=0,$K113="",AF$30=0),AF133,IF($L113=1,IF(AF$29="",0,SUMIFS(INDEX(ALGO!$A$2:$BZ$20001,0,AF$29),INDEX(ALGO!$A$2:$BZ$20001,0,$B$19),$B$1,INDEX(ALGO!$A$2:$BZ$20001,0,$B$20),$B113,INDEX(ALGO!$A$2:$BZ$20001,0,$B$18),$K113)),IF(AF$28="",0,SUMIFS(INDEX(BESTFIT!$A$2:$BZ$20001,0,AF$28),INDEX(BESTFIT!$A$2:$BZ$20001,0,$B$15),$B$1,INDEX(BESTFIT!$A$2:$BZ$20001,0,$B$16),$B113,INDEX(BESTFIT!$A$2:$BZ$20001,0,$B$14),$K113)))))</f>
        <v/>
      </c>
      <c r="AG123" s="21">
        <f>IF(OR($B113="",AG$27=""),0,IF(OR($D113=0,$K113="",AG$30=0),AG133,IF($L113=1,IF(AG$29="",0,SUMIFS(INDEX(ALGO!$A$2:$BZ$20001,0,AG$29),INDEX(ALGO!$A$2:$BZ$20001,0,$B$19),$B$1,INDEX(ALGO!$A$2:$BZ$20001,0,$B$20),$B113,INDEX(ALGO!$A$2:$BZ$20001,0,$B$18),$K113)),IF(AG$28="",0,SUMIFS(INDEX(BESTFIT!$A$2:$BZ$20001,0,AG$28),INDEX(BESTFIT!$A$2:$BZ$20001,0,$B$15),$B$1,INDEX(BESTFIT!$A$2:$BZ$20001,0,$B$16),$B113,INDEX(BESTFIT!$A$2:$BZ$20001,0,$B$14),$K113)))))</f>
        <v/>
      </c>
      <c r="AH123" s="21">
        <f>IF(OR($B113="",AH$27=""),0,IF(OR($D113=0,$K113="",AH$30=0),AH133,IF($L113=1,IF(AH$29="",0,SUMIFS(INDEX(ALGO!$A$2:$BZ$20001,0,AH$29),INDEX(ALGO!$A$2:$BZ$20001,0,$B$19),$B$1,INDEX(ALGO!$A$2:$BZ$20001,0,$B$20),$B113,INDEX(ALGO!$A$2:$BZ$20001,0,$B$18),$K113)),IF(AH$28="",0,SUMIFS(INDEX(BESTFIT!$A$2:$BZ$20001,0,AH$28),INDEX(BESTFIT!$A$2:$BZ$20001,0,$B$15),$B$1,INDEX(BESTFIT!$A$2:$BZ$20001,0,$B$16),$B113,INDEX(BESTFIT!$A$2:$BZ$20001,0,$B$14),$K113)))))</f>
        <v/>
      </c>
      <c r="AI123" s="21">
        <f>IF(OR($B113="",AI$27=""),0,IF(OR($D113=0,$K113="",AI$30=0),AI133,IF($L113=1,IF(AI$29="",0,SUMIFS(INDEX(ALGO!$A$2:$BZ$20001,0,AI$29),INDEX(ALGO!$A$2:$BZ$20001,0,$B$19),$B$1,INDEX(ALGO!$A$2:$BZ$20001,0,$B$20),$B113,INDEX(ALGO!$A$2:$BZ$20001,0,$B$18),$K113)),IF(AI$28="",0,SUMIFS(INDEX(BESTFIT!$A$2:$BZ$20001,0,AI$28),INDEX(BESTFIT!$A$2:$BZ$20001,0,$B$15),$B$1,INDEX(BESTFIT!$A$2:$BZ$20001,0,$B$16),$B113,INDEX(BESTFIT!$A$2:$BZ$20001,0,$B$14),$K113)))))</f>
        <v/>
      </c>
      <c r="AJ123" s="21">
        <f>IF(OR($B113="",AJ$27=""),0,IF(OR($D113=0,$K113="",AJ$30=0),AJ133,IF($L113=1,IF(AJ$29="",0,SUMIFS(INDEX(ALGO!$A$2:$BZ$20001,0,AJ$29),INDEX(ALGO!$A$2:$BZ$20001,0,$B$19),$B$1,INDEX(ALGO!$A$2:$BZ$20001,0,$B$20),$B113,INDEX(ALGO!$A$2:$BZ$20001,0,$B$18),$K113)),IF(AJ$28="",0,SUMIFS(INDEX(BESTFIT!$A$2:$BZ$20001,0,AJ$28),INDEX(BESTFIT!$A$2:$BZ$20001,0,$B$15),$B$1,INDEX(BESTFIT!$A$2:$BZ$20001,0,$B$16),$B113,INDEX(BESTFIT!$A$2:$BZ$20001,0,$B$14),$K113)))))</f>
        <v/>
      </c>
      <c r="AK123" s="21">
        <f>IF(OR($B113="",AK$27=""),0,IF(OR($D113=0,$K113="",AK$30=0),AK133,IF($L113=1,IF(AK$29="",0,SUMIFS(INDEX(ALGO!$A$2:$BZ$20001,0,AK$29),INDEX(ALGO!$A$2:$BZ$20001,0,$B$19),$B$1,INDEX(ALGO!$A$2:$BZ$20001,0,$B$20),$B113,INDEX(ALGO!$A$2:$BZ$20001,0,$B$18),$K113)),IF(AK$28="",0,SUMIFS(INDEX(BESTFIT!$A$2:$BZ$20001,0,AK$28),INDEX(BESTFIT!$A$2:$BZ$20001,0,$B$15),$B$1,INDEX(BESTFIT!$A$2:$BZ$20001,0,$B$16),$B113,INDEX(BESTFIT!$A$2:$BZ$20001,0,$B$14),$K113)))))</f>
        <v/>
      </c>
      <c r="AL123" s="21">
        <f>IF(OR($B113="",AL$27=""),0,IF(OR($D113=0,$K113="",AL$30=0),AL133,IF($L113=1,IF(AL$29="",0,SUMIFS(INDEX(ALGO!$A$2:$BZ$20001,0,AL$29),INDEX(ALGO!$A$2:$BZ$20001,0,$B$19),$B$1,INDEX(ALGO!$A$2:$BZ$20001,0,$B$20),$B113,INDEX(ALGO!$A$2:$BZ$20001,0,$B$18),$K113)),IF(AL$28="",0,SUMIFS(INDEX(BESTFIT!$A$2:$BZ$20001,0,AL$28),INDEX(BESTFIT!$A$2:$BZ$20001,0,$B$15),$B$1,INDEX(BESTFIT!$A$2:$BZ$20001,0,$B$16),$B113,INDEX(BESTFIT!$A$2:$BZ$20001,0,$B$14),$K113)))))</f>
        <v/>
      </c>
      <c r="AM123" s="21">
        <f>IF(OR($B113="",AM$27=""),0,IF(OR($D113=0,$K113="",AM$30=0),AM133,IF($L113=1,IF(AM$29="",0,SUMIFS(INDEX(ALGO!$A$2:$BZ$20001,0,AM$29),INDEX(ALGO!$A$2:$BZ$20001,0,$B$19),$B$1,INDEX(ALGO!$A$2:$BZ$20001,0,$B$20),$B113,INDEX(ALGO!$A$2:$BZ$20001,0,$B$18),$K113)),IF(AM$28="",0,SUMIFS(INDEX(BESTFIT!$A$2:$BZ$20001,0,AM$28),INDEX(BESTFIT!$A$2:$BZ$20001,0,$B$15),$B$1,INDEX(BESTFIT!$A$2:$BZ$20001,0,$B$16),$B113,INDEX(BESTFIT!$A$2:$BZ$20001,0,$B$14),$K113)))))</f>
        <v/>
      </c>
    </row>
    <row r="124">
      <c r="A124" s="23">
        <f>IF($B114="","System FC simulado","System FC simulado | "&amp;$B114)</f>
        <v/>
      </c>
      <c r="D124" s="21">
        <f>IF(OR($B114="",D$27=""),0,IF(OR($D114=0,$K114="",D$30=0),D134,IF($L114=1,IF(D$29="",0,SUMIFS(INDEX(ALGO!$A$2:$BZ$20001,0,D$29),INDEX(ALGO!$A$2:$BZ$20001,0,$B$19),$B$1,INDEX(ALGO!$A$2:$BZ$20001,0,$B$20),$B114,INDEX(ALGO!$A$2:$BZ$20001,0,$B$18),$K114)),IF(D$28="",0,SUMIFS(INDEX(BESTFIT!$A$2:$BZ$20001,0,D$28),INDEX(BESTFIT!$A$2:$BZ$20001,0,$B$15),$B$1,INDEX(BESTFIT!$A$2:$BZ$20001,0,$B$16),$B114,INDEX(BESTFIT!$A$2:$BZ$20001,0,$B$14),$K114)))))</f>
        <v/>
      </c>
      <c r="E124" s="21">
        <f>IF(OR($B114="",E$27=""),0,IF(OR($D114=0,$K114="",E$30=0),E134,IF($L114=1,IF(E$29="",0,SUMIFS(INDEX(ALGO!$A$2:$BZ$20001,0,E$29),INDEX(ALGO!$A$2:$BZ$20001,0,$B$19),$B$1,INDEX(ALGO!$A$2:$BZ$20001,0,$B$20),$B114,INDEX(ALGO!$A$2:$BZ$20001,0,$B$18),$K114)),IF(E$28="",0,SUMIFS(INDEX(BESTFIT!$A$2:$BZ$20001,0,E$28),INDEX(BESTFIT!$A$2:$BZ$20001,0,$B$15),$B$1,INDEX(BESTFIT!$A$2:$BZ$20001,0,$B$16),$B114,INDEX(BESTFIT!$A$2:$BZ$20001,0,$B$14),$K114)))))</f>
        <v/>
      </c>
      <c r="F124" s="21">
        <f>IF(OR($B114="",F$27=""),0,IF(OR($D114=0,$K114="",F$30=0),F134,IF($L114=1,IF(F$29="",0,SUMIFS(INDEX(ALGO!$A$2:$BZ$20001,0,F$29),INDEX(ALGO!$A$2:$BZ$20001,0,$B$19),$B$1,INDEX(ALGO!$A$2:$BZ$20001,0,$B$20),$B114,INDEX(ALGO!$A$2:$BZ$20001,0,$B$18),$K114)),IF(F$28="",0,SUMIFS(INDEX(BESTFIT!$A$2:$BZ$20001,0,F$28),INDEX(BESTFIT!$A$2:$BZ$20001,0,$B$15),$B$1,INDEX(BESTFIT!$A$2:$BZ$20001,0,$B$16),$B114,INDEX(BESTFIT!$A$2:$BZ$20001,0,$B$14),$K114)))))</f>
        <v/>
      </c>
      <c r="G124" s="21">
        <f>IF(OR($B114="",G$27=""),0,IF(OR($D114=0,$K114="",G$30=0),G134,IF($L114=1,IF(G$29="",0,SUMIFS(INDEX(ALGO!$A$2:$BZ$20001,0,G$29),INDEX(ALGO!$A$2:$BZ$20001,0,$B$19),$B$1,INDEX(ALGO!$A$2:$BZ$20001,0,$B$20),$B114,INDEX(ALGO!$A$2:$BZ$20001,0,$B$18),$K114)),IF(G$28="",0,SUMIFS(INDEX(BESTFIT!$A$2:$BZ$20001,0,G$28),INDEX(BESTFIT!$A$2:$BZ$20001,0,$B$15),$B$1,INDEX(BESTFIT!$A$2:$BZ$20001,0,$B$16),$B114,INDEX(BESTFIT!$A$2:$BZ$20001,0,$B$14),$K114)))))</f>
        <v/>
      </c>
      <c r="H124" s="21">
        <f>IF(OR($B114="",H$27=""),0,IF(OR($D114=0,$K114="",H$30=0),H134,IF($L114=1,IF(H$29="",0,SUMIFS(INDEX(ALGO!$A$2:$BZ$20001,0,H$29),INDEX(ALGO!$A$2:$BZ$20001,0,$B$19),$B$1,INDEX(ALGO!$A$2:$BZ$20001,0,$B$20),$B114,INDEX(ALGO!$A$2:$BZ$20001,0,$B$18),$K114)),IF(H$28="",0,SUMIFS(INDEX(BESTFIT!$A$2:$BZ$20001,0,H$28),INDEX(BESTFIT!$A$2:$BZ$20001,0,$B$15),$B$1,INDEX(BESTFIT!$A$2:$BZ$20001,0,$B$16),$B114,INDEX(BESTFIT!$A$2:$BZ$20001,0,$B$14),$K114)))))</f>
        <v/>
      </c>
      <c r="I124" s="21">
        <f>IF(OR($B114="",I$27=""),0,IF(OR($D114=0,$K114="",I$30=0),I134,IF($L114=1,IF(I$29="",0,SUMIFS(INDEX(ALGO!$A$2:$BZ$20001,0,I$29),INDEX(ALGO!$A$2:$BZ$20001,0,$B$19),$B$1,INDEX(ALGO!$A$2:$BZ$20001,0,$B$20),$B114,INDEX(ALGO!$A$2:$BZ$20001,0,$B$18),$K114)),IF(I$28="",0,SUMIFS(INDEX(BESTFIT!$A$2:$BZ$20001,0,I$28),INDEX(BESTFIT!$A$2:$BZ$20001,0,$B$15),$B$1,INDEX(BESTFIT!$A$2:$BZ$20001,0,$B$16),$B114,INDEX(BESTFIT!$A$2:$BZ$20001,0,$B$14),$K114)))))</f>
        <v/>
      </c>
      <c r="J124" s="21">
        <f>IF(OR($B114="",J$27=""),0,IF(OR($D114=0,$K114="",J$30=0),J134,IF($L114=1,IF(J$29="",0,SUMIFS(INDEX(ALGO!$A$2:$BZ$20001,0,J$29),INDEX(ALGO!$A$2:$BZ$20001,0,$B$19),$B$1,INDEX(ALGO!$A$2:$BZ$20001,0,$B$20),$B114,INDEX(ALGO!$A$2:$BZ$20001,0,$B$18),$K114)),IF(J$28="",0,SUMIFS(INDEX(BESTFIT!$A$2:$BZ$20001,0,J$28),INDEX(BESTFIT!$A$2:$BZ$20001,0,$B$15),$B$1,INDEX(BESTFIT!$A$2:$BZ$20001,0,$B$16),$B114,INDEX(BESTFIT!$A$2:$BZ$20001,0,$B$14),$K114)))))</f>
        <v/>
      </c>
      <c r="K124" s="21">
        <f>IF(OR($B114="",K$27=""),0,IF(OR($D114=0,$K114="",K$30=0),K134,IF($L114=1,IF(K$29="",0,SUMIFS(INDEX(ALGO!$A$2:$BZ$20001,0,K$29),INDEX(ALGO!$A$2:$BZ$20001,0,$B$19),$B$1,INDEX(ALGO!$A$2:$BZ$20001,0,$B$20),$B114,INDEX(ALGO!$A$2:$BZ$20001,0,$B$18),$K114)),IF(K$28="",0,SUMIFS(INDEX(BESTFIT!$A$2:$BZ$20001,0,K$28),INDEX(BESTFIT!$A$2:$BZ$20001,0,$B$15),$B$1,INDEX(BESTFIT!$A$2:$BZ$20001,0,$B$16),$B114,INDEX(BESTFIT!$A$2:$BZ$20001,0,$B$14),$K114)))))</f>
        <v/>
      </c>
      <c r="L124" s="21">
        <f>IF(OR($B114="",L$27=""),0,IF(OR($D114=0,$K114="",L$30=0),L134,IF($L114=1,IF(L$29="",0,SUMIFS(INDEX(ALGO!$A$2:$BZ$20001,0,L$29),INDEX(ALGO!$A$2:$BZ$20001,0,$B$19),$B$1,INDEX(ALGO!$A$2:$BZ$20001,0,$B$20),$B114,INDEX(ALGO!$A$2:$BZ$20001,0,$B$18),$K114)),IF(L$28="",0,SUMIFS(INDEX(BESTFIT!$A$2:$BZ$20001,0,L$28),INDEX(BESTFIT!$A$2:$BZ$20001,0,$B$15),$B$1,INDEX(BESTFIT!$A$2:$BZ$20001,0,$B$16),$B114,INDEX(BESTFIT!$A$2:$BZ$20001,0,$B$14),$K114)))))</f>
        <v/>
      </c>
      <c r="M124" s="21">
        <f>IF(OR($B114="",M$27=""),0,IF(OR($D114=0,$K114="",M$30=0),M134,IF($L114=1,IF(M$29="",0,SUMIFS(INDEX(ALGO!$A$2:$BZ$20001,0,M$29),INDEX(ALGO!$A$2:$BZ$20001,0,$B$19),$B$1,INDEX(ALGO!$A$2:$BZ$20001,0,$B$20),$B114,INDEX(ALGO!$A$2:$BZ$20001,0,$B$18),$K114)),IF(M$28="",0,SUMIFS(INDEX(BESTFIT!$A$2:$BZ$20001,0,M$28),INDEX(BESTFIT!$A$2:$BZ$20001,0,$B$15),$B$1,INDEX(BESTFIT!$A$2:$BZ$20001,0,$B$16),$B114,INDEX(BESTFIT!$A$2:$BZ$20001,0,$B$14),$K114)))))</f>
        <v/>
      </c>
      <c r="N124" s="21">
        <f>IF(OR($B114="",N$27=""),0,IF(OR($D114=0,$K114="",N$30=0),N134,IF($L114=1,IF(N$29="",0,SUMIFS(INDEX(ALGO!$A$2:$BZ$20001,0,N$29),INDEX(ALGO!$A$2:$BZ$20001,0,$B$19),$B$1,INDEX(ALGO!$A$2:$BZ$20001,0,$B$20),$B114,INDEX(ALGO!$A$2:$BZ$20001,0,$B$18),$K114)),IF(N$28="",0,SUMIFS(INDEX(BESTFIT!$A$2:$BZ$20001,0,N$28),INDEX(BESTFIT!$A$2:$BZ$20001,0,$B$15),$B$1,INDEX(BESTFIT!$A$2:$BZ$20001,0,$B$16),$B114,INDEX(BESTFIT!$A$2:$BZ$20001,0,$B$14),$K114)))))</f>
        <v/>
      </c>
      <c r="O124" s="21">
        <f>IF(OR($B114="",O$27=""),0,IF(OR($D114=0,$K114="",O$30=0),O134,IF($L114=1,IF(O$29="",0,SUMIFS(INDEX(ALGO!$A$2:$BZ$20001,0,O$29),INDEX(ALGO!$A$2:$BZ$20001,0,$B$19),$B$1,INDEX(ALGO!$A$2:$BZ$20001,0,$B$20),$B114,INDEX(ALGO!$A$2:$BZ$20001,0,$B$18),$K114)),IF(O$28="",0,SUMIFS(INDEX(BESTFIT!$A$2:$BZ$20001,0,O$28),INDEX(BESTFIT!$A$2:$BZ$20001,0,$B$15),$B$1,INDEX(BESTFIT!$A$2:$BZ$20001,0,$B$16),$B114,INDEX(BESTFIT!$A$2:$BZ$20001,0,$B$14),$K114)))))</f>
        <v/>
      </c>
      <c r="P124" s="21">
        <f>IF(OR($B114="",P$27=""),0,IF(OR($D114=0,$K114="",P$30=0),P134,IF($L114=1,IF(P$29="",0,SUMIFS(INDEX(ALGO!$A$2:$BZ$20001,0,P$29),INDEX(ALGO!$A$2:$BZ$20001,0,$B$19),$B$1,INDEX(ALGO!$A$2:$BZ$20001,0,$B$20),$B114,INDEX(ALGO!$A$2:$BZ$20001,0,$B$18),$K114)),IF(P$28="",0,SUMIFS(INDEX(BESTFIT!$A$2:$BZ$20001,0,P$28),INDEX(BESTFIT!$A$2:$BZ$20001,0,$B$15),$B$1,INDEX(BESTFIT!$A$2:$BZ$20001,0,$B$16),$B114,INDEX(BESTFIT!$A$2:$BZ$20001,0,$B$14),$K114)))))</f>
        <v/>
      </c>
      <c r="Q124" s="21">
        <f>IF(OR($B114="",Q$27=""),0,IF(OR($D114=0,$K114="",Q$30=0),Q134,IF($L114=1,IF(Q$29="",0,SUMIFS(INDEX(ALGO!$A$2:$BZ$20001,0,Q$29),INDEX(ALGO!$A$2:$BZ$20001,0,$B$19),$B$1,INDEX(ALGO!$A$2:$BZ$20001,0,$B$20),$B114,INDEX(ALGO!$A$2:$BZ$20001,0,$B$18),$K114)),IF(Q$28="",0,SUMIFS(INDEX(BESTFIT!$A$2:$BZ$20001,0,Q$28),INDEX(BESTFIT!$A$2:$BZ$20001,0,$B$15),$B$1,INDEX(BESTFIT!$A$2:$BZ$20001,0,$B$16),$B114,INDEX(BESTFIT!$A$2:$BZ$20001,0,$B$14),$K114)))))</f>
        <v/>
      </c>
      <c r="R124" s="21">
        <f>IF(OR($B114="",R$27=""),0,IF(OR($D114=0,$K114="",R$30=0),R134,IF($L114=1,IF(R$29="",0,SUMIFS(INDEX(ALGO!$A$2:$BZ$20001,0,R$29),INDEX(ALGO!$A$2:$BZ$20001,0,$B$19),$B$1,INDEX(ALGO!$A$2:$BZ$20001,0,$B$20),$B114,INDEX(ALGO!$A$2:$BZ$20001,0,$B$18),$K114)),IF(R$28="",0,SUMIFS(INDEX(BESTFIT!$A$2:$BZ$20001,0,R$28),INDEX(BESTFIT!$A$2:$BZ$20001,0,$B$15),$B$1,INDEX(BESTFIT!$A$2:$BZ$20001,0,$B$16),$B114,INDEX(BESTFIT!$A$2:$BZ$20001,0,$B$14),$K114)))))</f>
        <v/>
      </c>
      <c r="S124" s="21">
        <f>IF(OR($B114="",S$27=""),0,IF(OR($D114=0,$K114="",S$30=0),S134,IF($L114=1,IF(S$29="",0,SUMIFS(INDEX(ALGO!$A$2:$BZ$20001,0,S$29),INDEX(ALGO!$A$2:$BZ$20001,0,$B$19),$B$1,INDEX(ALGO!$A$2:$BZ$20001,0,$B$20),$B114,INDEX(ALGO!$A$2:$BZ$20001,0,$B$18),$K114)),IF(S$28="",0,SUMIFS(INDEX(BESTFIT!$A$2:$BZ$20001,0,S$28),INDEX(BESTFIT!$A$2:$BZ$20001,0,$B$15),$B$1,INDEX(BESTFIT!$A$2:$BZ$20001,0,$B$16),$B114,INDEX(BESTFIT!$A$2:$BZ$20001,0,$B$14),$K114)))))</f>
        <v/>
      </c>
      <c r="T124" s="21">
        <f>IF(OR($B114="",T$27=""),0,IF(OR($D114=0,$K114="",T$30=0),T134,IF($L114=1,IF(T$29="",0,SUMIFS(INDEX(ALGO!$A$2:$BZ$20001,0,T$29),INDEX(ALGO!$A$2:$BZ$20001,0,$B$19),$B$1,INDEX(ALGO!$A$2:$BZ$20001,0,$B$20),$B114,INDEX(ALGO!$A$2:$BZ$20001,0,$B$18),$K114)),IF(T$28="",0,SUMIFS(INDEX(BESTFIT!$A$2:$BZ$20001,0,T$28),INDEX(BESTFIT!$A$2:$BZ$20001,0,$B$15),$B$1,INDEX(BESTFIT!$A$2:$BZ$20001,0,$B$16),$B114,INDEX(BESTFIT!$A$2:$BZ$20001,0,$B$14),$K114)))))</f>
        <v/>
      </c>
      <c r="U124" s="21">
        <f>IF(OR($B114="",U$27=""),0,IF(OR($D114=0,$K114="",U$30=0),U134,IF($L114=1,IF(U$29="",0,SUMIFS(INDEX(ALGO!$A$2:$BZ$20001,0,U$29),INDEX(ALGO!$A$2:$BZ$20001,0,$B$19),$B$1,INDEX(ALGO!$A$2:$BZ$20001,0,$B$20),$B114,INDEX(ALGO!$A$2:$BZ$20001,0,$B$18),$K114)),IF(U$28="",0,SUMIFS(INDEX(BESTFIT!$A$2:$BZ$20001,0,U$28),INDEX(BESTFIT!$A$2:$BZ$20001,0,$B$15),$B$1,INDEX(BESTFIT!$A$2:$BZ$20001,0,$B$16),$B114,INDEX(BESTFIT!$A$2:$BZ$20001,0,$B$14),$K114)))))</f>
        <v/>
      </c>
      <c r="V124" s="21">
        <f>IF(OR($B114="",V$27=""),0,IF(OR($D114=0,$K114="",V$30=0),V134,IF($L114=1,IF(V$29="",0,SUMIFS(INDEX(ALGO!$A$2:$BZ$20001,0,V$29),INDEX(ALGO!$A$2:$BZ$20001,0,$B$19),$B$1,INDEX(ALGO!$A$2:$BZ$20001,0,$B$20),$B114,INDEX(ALGO!$A$2:$BZ$20001,0,$B$18),$K114)),IF(V$28="",0,SUMIFS(INDEX(BESTFIT!$A$2:$BZ$20001,0,V$28),INDEX(BESTFIT!$A$2:$BZ$20001,0,$B$15),$B$1,INDEX(BESTFIT!$A$2:$BZ$20001,0,$B$16),$B114,INDEX(BESTFIT!$A$2:$BZ$20001,0,$B$14),$K114)))))</f>
        <v/>
      </c>
      <c r="W124" s="21">
        <f>IF(OR($B114="",W$27=""),0,IF(OR($D114=0,$K114="",W$30=0),W134,IF($L114=1,IF(W$29="",0,SUMIFS(INDEX(ALGO!$A$2:$BZ$20001,0,W$29),INDEX(ALGO!$A$2:$BZ$20001,0,$B$19),$B$1,INDEX(ALGO!$A$2:$BZ$20001,0,$B$20),$B114,INDEX(ALGO!$A$2:$BZ$20001,0,$B$18),$K114)),IF(W$28="",0,SUMIFS(INDEX(BESTFIT!$A$2:$BZ$20001,0,W$28),INDEX(BESTFIT!$A$2:$BZ$20001,0,$B$15),$B$1,INDEX(BESTFIT!$A$2:$BZ$20001,0,$B$16),$B114,INDEX(BESTFIT!$A$2:$BZ$20001,0,$B$14),$K114)))))</f>
        <v/>
      </c>
      <c r="X124" s="21">
        <f>IF(OR($B114="",X$27=""),0,IF(OR($D114=0,$K114="",X$30=0),X134,IF($L114=1,IF(X$29="",0,SUMIFS(INDEX(ALGO!$A$2:$BZ$20001,0,X$29),INDEX(ALGO!$A$2:$BZ$20001,0,$B$19),$B$1,INDEX(ALGO!$A$2:$BZ$20001,0,$B$20),$B114,INDEX(ALGO!$A$2:$BZ$20001,0,$B$18),$K114)),IF(X$28="",0,SUMIFS(INDEX(BESTFIT!$A$2:$BZ$20001,0,X$28),INDEX(BESTFIT!$A$2:$BZ$20001,0,$B$15),$B$1,INDEX(BESTFIT!$A$2:$BZ$20001,0,$B$16),$B114,INDEX(BESTFIT!$A$2:$BZ$20001,0,$B$14),$K114)))))</f>
        <v/>
      </c>
      <c r="Y124" s="21">
        <f>IF(OR($B114="",Y$27=""),0,IF(OR($D114=0,$K114="",Y$30=0),Y134,IF($L114=1,IF(Y$29="",0,SUMIFS(INDEX(ALGO!$A$2:$BZ$20001,0,Y$29),INDEX(ALGO!$A$2:$BZ$20001,0,$B$19),$B$1,INDEX(ALGO!$A$2:$BZ$20001,0,$B$20),$B114,INDEX(ALGO!$A$2:$BZ$20001,0,$B$18),$K114)),IF(Y$28="",0,SUMIFS(INDEX(BESTFIT!$A$2:$BZ$20001,0,Y$28),INDEX(BESTFIT!$A$2:$BZ$20001,0,$B$15),$B$1,INDEX(BESTFIT!$A$2:$BZ$20001,0,$B$16),$B114,INDEX(BESTFIT!$A$2:$BZ$20001,0,$B$14),$K114)))))</f>
        <v/>
      </c>
      <c r="Z124" s="21">
        <f>IF(OR($B114="",Z$27=""),0,IF(OR($D114=0,$K114="",Z$30=0),Z134,IF($L114=1,IF(Z$29="",0,SUMIFS(INDEX(ALGO!$A$2:$BZ$20001,0,Z$29),INDEX(ALGO!$A$2:$BZ$20001,0,$B$19),$B$1,INDEX(ALGO!$A$2:$BZ$20001,0,$B$20),$B114,INDEX(ALGO!$A$2:$BZ$20001,0,$B$18),$K114)),IF(Z$28="",0,SUMIFS(INDEX(BESTFIT!$A$2:$BZ$20001,0,Z$28),INDEX(BESTFIT!$A$2:$BZ$20001,0,$B$15),$B$1,INDEX(BESTFIT!$A$2:$BZ$20001,0,$B$16),$B114,INDEX(BESTFIT!$A$2:$BZ$20001,0,$B$14),$K114)))))</f>
        <v/>
      </c>
      <c r="AA124" s="21">
        <f>IF(OR($B114="",AA$27=""),0,IF(OR($D114=0,$K114="",AA$30=0),AA134,IF($L114=1,IF(AA$29="",0,SUMIFS(INDEX(ALGO!$A$2:$BZ$20001,0,AA$29),INDEX(ALGO!$A$2:$BZ$20001,0,$B$19),$B$1,INDEX(ALGO!$A$2:$BZ$20001,0,$B$20),$B114,INDEX(ALGO!$A$2:$BZ$20001,0,$B$18),$K114)),IF(AA$28="",0,SUMIFS(INDEX(BESTFIT!$A$2:$BZ$20001,0,AA$28),INDEX(BESTFIT!$A$2:$BZ$20001,0,$B$15),$B$1,INDEX(BESTFIT!$A$2:$BZ$20001,0,$B$16),$B114,INDEX(BESTFIT!$A$2:$BZ$20001,0,$B$14),$K114)))))</f>
        <v/>
      </c>
      <c r="AB124" s="21">
        <f>IF(OR($B114="",AB$27=""),0,IF(OR($D114=0,$K114="",AB$30=0),AB134,IF($L114=1,IF(AB$29="",0,SUMIFS(INDEX(ALGO!$A$2:$BZ$20001,0,AB$29),INDEX(ALGO!$A$2:$BZ$20001,0,$B$19),$B$1,INDEX(ALGO!$A$2:$BZ$20001,0,$B$20),$B114,INDEX(ALGO!$A$2:$BZ$20001,0,$B$18),$K114)),IF(AB$28="",0,SUMIFS(INDEX(BESTFIT!$A$2:$BZ$20001,0,AB$28),INDEX(BESTFIT!$A$2:$BZ$20001,0,$B$15),$B$1,INDEX(BESTFIT!$A$2:$BZ$20001,0,$B$16),$B114,INDEX(BESTFIT!$A$2:$BZ$20001,0,$B$14),$K114)))))</f>
        <v/>
      </c>
      <c r="AC124" s="21">
        <f>IF(OR($B114="",AC$27=""),0,IF(OR($D114=0,$K114="",AC$30=0),AC134,IF($L114=1,IF(AC$29="",0,SUMIFS(INDEX(ALGO!$A$2:$BZ$20001,0,AC$29),INDEX(ALGO!$A$2:$BZ$20001,0,$B$19),$B$1,INDEX(ALGO!$A$2:$BZ$20001,0,$B$20),$B114,INDEX(ALGO!$A$2:$BZ$20001,0,$B$18),$K114)),IF(AC$28="",0,SUMIFS(INDEX(BESTFIT!$A$2:$BZ$20001,0,AC$28),INDEX(BESTFIT!$A$2:$BZ$20001,0,$B$15),$B$1,INDEX(BESTFIT!$A$2:$BZ$20001,0,$B$16),$B114,INDEX(BESTFIT!$A$2:$BZ$20001,0,$B$14),$K114)))))</f>
        <v/>
      </c>
      <c r="AD124" s="21">
        <f>IF(OR($B114="",AD$27=""),0,IF(OR($D114=0,$K114="",AD$30=0),AD134,IF($L114=1,IF(AD$29="",0,SUMIFS(INDEX(ALGO!$A$2:$BZ$20001,0,AD$29),INDEX(ALGO!$A$2:$BZ$20001,0,$B$19),$B$1,INDEX(ALGO!$A$2:$BZ$20001,0,$B$20),$B114,INDEX(ALGO!$A$2:$BZ$20001,0,$B$18),$K114)),IF(AD$28="",0,SUMIFS(INDEX(BESTFIT!$A$2:$BZ$20001,0,AD$28),INDEX(BESTFIT!$A$2:$BZ$20001,0,$B$15),$B$1,INDEX(BESTFIT!$A$2:$BZ$20001,0,$B$16),$B114,INDEX(BESTFIT!$A$2:$BZ$20001,0,$B$14),$K114)))))</f>
        <v/>
      </c>
      <c r="AE124" s="21">
        <f>IF(OR($B114="",AE$27=""),0,IF(OR($D114=0,$K114="",AE$30=0),AE134,IF($L114=1,IF(AE$29="",0,SUMIFS(INDEX(ALGO!$A$2:$BZ$20001,0,AE$29),INDEX(ALGO!$A$2:$BZ$20001,0,$B$19),$B$1,INDEX(ALGO!$A$2:$BZ$20001,0,$B$20),$B114,INDEX(ALGO!$A$2:$BZ$20001,0,$B$18),$K114)),IF(AE$28="",0,SUMIFS(INDEX(BESTFIT!$A$2:$BZ$20001,0,AE$28),INDEX(BESTFIT!$A$2:$BZ$20001,0,$B$15),$B$1,INDEX(BESTFIT!$A$2:$BZ$20001,0,$B$16),$B114,INDEX(BESTFIT!$A$2:$BZ$20001,0,$B$14),$K114)))))</f>
        <v/>
      </c>
      <c r="AF124" s="21">
        <f>IF(OR($B114="",AF$27=""),0,IF(OR($D114=0,$K114="",AF$30=0),AF134,IF($L114=1,IF(AF$29="",0,SUMIFS(INDEX(ALGO!$A$2:$BZ$20001,0,AF$29),INDEX(ALGO!$A$2:$BZ$20001,0,$B$19),$B$1,INDEX(ALGO!$A$2:$BZ$20001,0,$B$20),$B114,INDEX(ALGO!$A$2:$BZ$20001,0,$B$18),$K114)),IF(AF$28="",0,SUMIFS(INDEX(BESTFIT!$A$2:$BZ$20001,0,AF$28),INDEX(BESTFIT!$A$2:$BZ$20001,0,$B$15),$B$1,INDEX(BESTFIT!$A$2:$BZ$20001,0,$B$16),$B114,INDEX(BESTFIT!$A$2:$BZ$20001,0,$B$14),$K114)))))</f>
        <v/>
      </c>
      <c r="AG124" s="21">
        <f>IF(OR($B114="",AG$27=""),0,IF(OR($D114=0,$K114="",AG$30=0),AG134,IF($L114=1,IF(AG$29="",0,SUMIFS(INDEX(ALGO!$A$2:$BZ$20001,0,AG$29),INDEX(ALGO!$A$2:$BZ$20001,0,$B$19),$B$1,INDEX(ALGO!$A$2:$BZ$20001,0,$B$20),$B114,INDEX(ALGO!$A$2:$BZ$20001,0,$B$18),$K114)),IF(AG$28="",0,SUMIFS(INDEX(BESTFIT!$A$2:$BZ$20001,0,AG$28),INDEX(BESTFIT!$A$2:$BZ$20001,0,$B$15),$B$1,INDEX(BESTFIT!$A$2:$BZ$20001,0,$B$16),$B114,INDEX(BESTFIT!$A$2:$BZ$20001,0,$B$14),$K114)))))</f>
        <v/>
      </c>
      <c r="AH124" s="21">
        <f>IF(OR($B114="",AH$27=""),0,IF(OR($D114=0,$K114="",AH$30=0),AH134,IF($L114=1,IF(AH$29="",0,SUMIFS(INDEX(ALGO!$A$2:$BZ$20001,0,AH$29),INDEX(ALGO!$A$2:$BZ$20001,0,$B$19),$B$1,INDEX(ALGO!$A$2:$BZ$20001,0,$B$20),$B114,INDEX(ALGO!$A$2:$BZ$20001,0,$B$18),$K114)),IF(AH$28="",0,SUMIFS(INDEX(BESTFIT!$A$2:$BZ$20001,0,AH$28),INDEX(BESTFIT!$A$2:$BZ$20001,0,$B$15),$B$1,INDEX(BESTFIT!$A$2:$BZ$20001,0,$B$16),$B114,INDEX(BESTFIT!$A$2:$BZ$20001,0,$B$14),$K114)))))</f>
        <v/>
      </c>
      <c r="AI124" s="21">
        <f>IF(OR($B114="",AI$27=""),0,IF(OR($D114=0,$K114="",AI$30=0),AI134,IF($L114=1,IF(AI$29="",0,SUMIFS(INDEX(ALGO!$A$2:$BZ$20001,0,AI$29),INDEX(ALGO!$A$2:$BZ$20001,0,$B$19),$B$1,INDEX(ALGO!$A$2:$BZ$20001,0,$B$20),$B114,INDEX(ALGO!$A$2:$BZ$20001,0,$B$18),$K114)),IF(AI$28="",0,SUMIFS(INDEX(BESTFIT!$A$2:$BZ$20001,0,AI$28),INDEX(BESTFIT!$A$2:$BZ$20001,0,$B$15),$B$1,INDEX(BESTFIT!$A$2:$BZ$20001,0,$B$16),$B114,INDEX(BESTFIT!$A$2:$BZ$20001,0,$B$14),$K114)))))</f>
        <v/>
      </c>
      <c r="AJ124" s="21">
        <f>IF(OR($B114="",AJ$27=""),0,IF(OR($D114=0,$K114="",AJ$30=0),AJ134,IF($L114=1,IF(AJ$29="",0,SUMIFS(INDEX(ALGO!$A$2:$BZ$20001,0,AJ$29),INDEX(ALGO!$A$2:$BZ$20001,0,$B$19),$B$1,INDEX(ALGO!$A$2:$BZ$20001,0,$B$20),$B114,INDEX(ALGO!$A$2:$BZ$20001,0,$B$18),$K114)),IF(AJ$28="",0,SUMIFS(INDEX(BESTFIT!$A$2:$BZ$20001,0,AJ$28),INDEX(BESTFIT!$A$2:$BZ$20001,0,$B$15),$B$1,INDEX(BESTFIT!$A$2:$BZ$20001,0,$B$16),$B114,INDEX(BESTFIT!$A$2:$BZ$20001,0,$B$14),$K114)))))</f>
        <v/>
      </c>
      <c r="AK124" s="21">
        <f>IF(OR($B114="",AK$27=""),0,IF(OR($D114=0,$K114="",AK$30=0),AK134,IF($L114=1,IF(AK$29="",0,SUMIFS(INDEX(ALGO!$A$2:$BZ$20001,0,AK$29),INDEX(ALGO!$A$2:$BZ$20001,0,$B$19),$B$1,INDEX(ALGO!$A$2:$BZ$20001,0,$B$20),$B114,INDEX(ALGO!$A$2:$BZ$20001,0,$B$18),$K114)),IF(AK$28="",0,SUMIFS(INDEX(BESTFIT!$A$2:$BZ$20001,0,AK$28),INDEX(BESTFIT!$A$2:$BZ$20001,0,$B$15),$B$1,INDEX(BESTFIT!$A$2:$BZ$20001,0,$B$16),$B114,INDEX(BESTFIT!$A$2:$BZ$20001,0,$B$14),$K114)))))</f>
        <v/>
      </c>
      <c r="AL124" s="21">
        <f>IF(OR($B114="",AL$27=""),0,IF(OR($D114=0,$K114="",AL$30=0),AL134,IF($L114=1,IF(AL$29="",0,SUMIFS(INDEX(ALGO!$A$2:$BZ$20001,0,AL$29),INDEX(ALGO!$A$2:$BZ$20001,0,$B$19),$B$1,INDEX(ALGO!$A$2:$BZ$20001,0,$B$20),$B114,INDEX(ALGO!$A$2:$BZ$20001,0,$B$18),$K114)),IF(AL$28="",0,SUMIFS(INDEX(BESTFIT!$A$2:$BZ$20001,0,AL$28),INDEX(BESTFIT!$A$2:$BZ$20001,0,$B$15),$B$1,INDEX(BESTFIT!$A$2:$BZ$20001,0,$B$16),$B114,INDEX(BESTFIT!$A$2:$BZ$20001,0,$B$14),$K114)))))</f>
        <v/>
      </c>
      <c r="AM124" s="21">
        <f>IF(OR($B114="",AM$27=""),0,IF(OR($D114=0,$K114="",AM$30=0),AM134,IF($L114=1,IF(AM$29="",0,SUMIFS(INDEX(ALGO!$A$2:$BZ$20001,0,AM$29),INDEX(ALGO!$A$2:$BZ$20001,0,$B$19),$B$1,INDEX(ALGO!$A$2:$BZ$20001,0,$B$20),$B114,INDEX(ALGO!$A$2:$BZ$20001,0,$B$18),$K114)),IF(AM$28="",0,SUMIFS(INDEX(BESTFIT!$A$2:$BZ$20001,0,AM$28),INDEX(BESTFIT!$A$2:$BZ$20001,0,$B$15),$B$1,INDEX(BESTFIT!$A$2:$BZ$20001,0,$B$16),$B114,INDEX(BESTFIT!$A$2:$BZ$20001,0,$B$14),$K114)))))</f>
        <v/>
      </c>
    </row>
    <row r="125">
      <c r="A125" s="23">
        <f>IF($B115="","System FC simulado","System FC simulado | "&amp;$B115)</f>
        <v/>
      </c>
      <c r="D125" s="21">
        <f>IF(OR($B115="",D$27=""),0,IF(OR($D115=0,$K115="",D$30=0),D135,IF($L115=1,IF(D$29="",0,SUMIFS(INDEX(ALGO!$A$2:$BZ$20001,0,D$29),INDEX(ALGO!$A$2:$BZ$20001,0,$B$19),$B$1,INDEX(ALGO!$A$2:$BZ$20001,0,$B$20),$B115,INDEX(ALGO!$A$2:$BZ$20001,0,$B$18),$K115)),IF(D$28="",0,SUMIFS(INDEX(BESTFIT!$A$2:$BZ$20001,0,D$28),INDEX(BESTFIT!$A$2:$BZ$20001,0,$B$15),$B$1,INDEX(BESTFIT!$A$2:$BZ$20001,0,$B$16),$B115,INDEX(BESTFIT!$A$2:$BZ$20001,0,$B$14),$K115)))))</f>
        <v/>
      </c>
      <c r="E125" s="21">
        <f>IF(OR($B115="",E$27=""),0,IF(OR($D115=0,$K115="",E$30=0),E135,IF($L115=1,IF(E$29="",0,SUMIFS(INDEX(ALGO!$A$2:$BZ$20001,0,E$29),INDEX(ALGO!$A$2:$BZ$20001,0,$B$19),$B$1,INDEX(ALGO!$A$2:$BZ$20001,0,$B$20),$B115,INDEX(ALGO!$A$2:$BZ$20001,0,$B$18),$K115)),IF(E$28="",0,SUMIFS(INDEX(BESTFIT!$A$2:$BZ$20001,0,E$28),INDEX(BESTFIT!$A$2:$BZ$20001,0,$B$15),$B$1,INDEX(BESTFIT!$A$2:$BZ$20001,0,$B$16),$B115,INDEX(BESTFIT!$A$2:$BZ$20001,0,$B$14),$K115)))))</f>
        <v/>
      </c>
      <c r="F125" s="21">
        <f>IF(OR($B115="",F$27=""),0,IF(OR($D115=0,$K115="",F$30=0),F135,IF($L115=1,IF(F$29="",0,SUMIFS(INDEX(ALGO!$A$2:$BZ$20001,0,F$29),INDEX(ALGO!$A$2:$BZ$20001,0,$B$19),$B$1,INDEX(ALGO!$A$2:$BZ$20001,0,$B$20),$B115,INDEX(ALGO!$A$2:$BZ$20001,0,$B$18),$K115)),IF(F$28="",0,SUMIFS(INDEX(BESTFIT!$A$2:$BZ$20001,0,F$28),INDEX(BESTFIT!$A$2:$BZ$20001,0,$B$15),$B$1,INDEX(BESTFIT!$A$2:$BZ$20001,0,$B$16),$B115,INDEX(BESTFIT!$A$2:$BZ$20001,0,$B$14),$K115)))))</f>
        <v/>
      </c>
      <c r="G125" s="21">
        <f>IF(OR($B115="",G$27=""),0,IF(OR($D115=0,$K115="",G$30=0),G135,IF($L115=1,IF(G$29="",0,SUMIFS(INDEX(ALGO!$A$2:$BZ$20001,0,G$29),INDEX(ALGO!$A$2:$BZ$20001,0,$B$19),$B$1,INDEX(ALGO!$A$2:$BZ$20001,0,$B$20),$B115,INDEX(ALGO!$A$2:$BZ$20001,0,$B$18),$K115)),IF(G$28="",0,SUMIFS(INDEX(BESTFIT!$A$2:$BZ$20001,0,G$28),INDEX(BESTFIT!$A$2:$BZ$20001,0,$B$15),$B$1,INDEX(BESTFIT!$A$2:$BZ$20001,0,$B$16),$B115,INDEX(BESTFIT!$A$2:$BZ$20001,0,$B$14),$K115)))))</f>
        <v/>
      </c>
      <c r="H125" s="21">
        <f>IF(OR($B115="",H$27=""),0,IF(OR($D115=0,$K115="",H$30=0),H135,IF($L115=1,IF(H$29="",0,SUMIFS(INDEX(ALGO!$A$2:$BZ$20001,0,H$29),INDEX(ALGO!$A$2:$BZ$20001,0,$B$19),$B$1,INDEX(ALGO!$A$2:$BZ$20001,0,$B$20),$B115,INDEX(ALGO!$A$2:$BZ$20001,0,$B$18),$K115)),IF(H$28="",0,SUMIFS(INDEX(BESTFIT!$A$2:$BZ$20001,0,H$28),INDEX(BESTFIT!$A$2:$BZ$20001,0,$B$15),$B$1,INDEX(BESTFIT!$A$2:$BZ$20001,0,$B$16),$B115,INDEX(BESTFIT!$A$2:$BZ$20001,0,$B$14),$K115)))))</f>
        <v/>
      </c>
      <c r="I125" s="21">
        <f>IF(OR($B115="",I$27=""),0,IF(OR($D115=0,$K115="",I$30=0),I135,IF($L115=1,IF(I$29="",0,SUMIFS(INDEX(ALGO!$A$2:$BZ$20001,0,I$29),INDEX(ALGO!$A$2:$BZ$20001,0,$B$19),$B$1,INDEX(ALGO!$A$2:$BZ$20001,0,$B$20),$B115,INDEX(ALGO!$A$2:$BZ$20001,0,$B$18),$K115)),IF(I$28="",0,SUMIFS(INDEX(BESTFIT!$A$2:$BZ$20001,0,I$28),INDEX(BESTFIT!$A$2:$BZ$20001,0,$B$15),$B$1,INDEX(BESTFIT!$A$2:$BZ$20001,0,$B$16),$B115,INDEX(BESTFIT!$A$2:$BZ$20001,0,$B$14),$K115)))))</f>
        <v/>
      </c>
      <c r="J125" s="21">
        <f>IF(OR($B115="",J$27=""),0,IF(OR($D115=0,$K115="",J$30=0),J135,IF($L115=1,IF(J$29="",0,SUMIFS(INDEX(ALGO!$A$2:$BZ$20001,0,J$29),INDEX(ALGO!$A$2:$BZ$20001,0,$B$19),$B$1,INDEX(ALGO!$A$2:$BZ$20001,0,$B$20),$B115,INDEX(ALGO!$A$2:$BZ$20001,0,$B$18),$K115)),IF(J$28="",0,SUMIFS(INDEX(BESTFIT!$A$2:$BZ$20001,0,J$28),INDEX(BESTFIT!$A$2:$BZ$20001,0,$B$15),$B$1,INDEX(BESTFIT!$A$2:$BZ$20001,0,$B$16),$B115,INDEX(BESTFIT!$A$2:$BZ$20001,0,$B$14),$K115)))))</f>
        <v/>
      </c>
      <c r="K125" s="21">
        <f>IF(OR($B115="",K$27=""),0,IF(OR($D115=0,$K115="",K$30=0),K135,IF($L115=1,IF(K$29="",0,SUMIFS(INDEX(ALGO!$A$2:$BZ$20001,0,K$29),INDEX(ALGO!$A$2:$BZ$20001,0,$B$19),$B$1,INDEX(ALGO!$A$2:$BZ$20001,0,$B$20),$B115,INDEX(ALGO!$A$2:$BZ$20001,0,$B$18),$K115)),IF(K$28="",0,SUMIFS(INDEX(BESTFIT!$A$2:$BZ$20001,0,K$28),INDEX(BESTFIT!$A$2:$BZ$20001,0,$B$15),$B$1,INDEX(BESTFIT!$A$2:$BZ$20001,0,$B$16),$B115,INDEX(BESTFIT!$A$2:$BZ$20001,0,$B$14),$K115)))))</f>
        <v/>
      </c>
      <c r="L125" s="21">
        <f>IF(OR($B115="",L$27=""),0,IF(OR($D115=0,$K115="",L$30=0),L135,IF($L115=1,IF(L$29="",0,SUMIFS(INDEX(ALGO!$A$2:$BZ$20001,0,L$29),INDEX(ALGO!$A$2:$BZ$20001,0,$B$19),$B$1,INDEX(ALGO!$A$2:$BZ$20001,0,$B$20),$B115,INDEX(ALGO!$A$2:$BZ$20001,0,$B$18),$K115)),IF(L$28="",0,SUMIFS(INDEX(BESTFIT!$A$2:$BZ$20001,0,L$28),INDEX(BESTFIT!$A$2:$BZ$20001,0,$B$15),$B$1,INDEX(BESTFIT!$A$2:$BZ$20001,0,$B$16),$B115,INDEX(BESTFIT!$A$2:$BZ$20001,0,$B$14),$K115)))))</f>
        <v/>
      </c>
      <c r="M125" s="21">
        <f>IF(OR($B115="",M$27=""),0,IF(OR($D115=0,$K115="",M$30=0),M135,IF($L115=1,IF(M$29="",0,SUMIFS(INDEX(ALGO!$A$2:$BZ$20001,0,M$29),INDEX(ALGO!$A$2:$BZ$20001,0,$B$19),$B$1,INDEX(ALGO!$A$2:$BZ$20001,0,$B$20),$B115,INDEX(ALGO!$A$2:$BZ$20001,0,$B$18),$K115)),IF(M$28="",0,SUMIFS(INDEX(BESTFIT!$A$2:$BZ$20001,0,M$28),INDEX(BESTFIT!$A$2:$BZ$20001,0,$B$15),$B$1,INDEX(BESTFIT!$A$2:$BZ$20001,0,$B$16),$B115,INDEX(BESTFIT!$A$2:$BZ$20001,0,$B$14),$K115)))))</f>
        <v/>
      </c>
      <c r="N125" s="21">
        <f>IF(OR($B115="",N$27=""),0,IF(OR($D115=0,$K115="",N$30=0),N135,IF($L115=1,IF(N$29="",0,SUMIFS(INDEX(ALGO!$A$2:$BZ$20001,0,N$29),INDEX(ALGO!$A$2:$BZ$20001,0,$B$19),$B$1,INDEX(ALGO!$A$2:$BZ$20001,0,$B$20),$B115,INDEX(ALGO!$A$2:$BZ$20001,0,$B$18),$K115)),IF(N$28="",0,SUMIFS(INDEX(BESTFIT!$A$2:$BZ$20001,0,N$28),INDEX(BESTFIT!$A$2:$BZ$20001,0,$B$15),$B$1,INDEX(BESTFIT!$A$2:$BZ$20001,0,$B$16),$B115,INDEX(BESTFIT!$A$2:$BZ$20001,0,$B$14),$K115)))))</f>
        <v/>
      </c>
      <c r="O125" s="21">
        <f>IF(OR($B115="",O$27=""),0,IF(OR($D115=0,$K115="",O$30=0),O135,IF($L115=1,IF(O$29="",0,SUMIFS(INDEX(ALGO!$A$2:$BZ$20001,0,O$29),INDEX(ALGO!$A$2:$BZ$20001,0,$B$19),$B$1,INDEX(ALGO!$A$2:$BZ$20001,0,$B$20),$B115,INDEX(ALGO!$A$2:$BZ$20001,0,$B$18),$K115)),IF(O$28="",0,SUMIFS(INDEX(BESTFIT!$A$2:$BZ$20001,0,O$28),INDEX(BESTFIT!$A$2:$BZ$20001,0,$B$15),$B$1,INDEX(BESTFIT!$A$2:$BZ$20001,0,$B$16),$B115,INDEX(BESTFIT!$A$2:$BZ$20001,0,$B$14),$K115)))))</f>
        <v/>
      </c>
      <c r="P125" s="21">
        <f>IF(OR($B115="",P$27=""),0,IF(OR($D115=0,$K115="",P$30=0),P135,IF($L115=1,IF(P$29="",0,SUMIFS(INDEX(ALGO!$A$2:$BZ$20001,0,P$29),INDEX(ALGO!$A$2:$BZ$20001,0,$B$19),$B$1,INDEX(ALGO!$A$2:$BZ$20001,0,$B$20),$B115,INDEX(ALGO!$A$2:$BZ$20001,0,$B$18),$K115)),IF(P$28="",0,SUMIFS(INDEX(BESTFIT!$A$2:$BZ$20001,0,P$28),INDEX(BESTFIT!$A$2:$BZ$20001,0,$B$15),$B$1,INDEX(BESTFIT!$A$2:$BZ$20001,0,$B$16),$B115,INDEX(BESTFIT!$A$2:$BZ$20001,0,$B$14),$K115)))))</f>
        <v/>
      </c>
      <c r="Q125" s="21">
        <f>IF(OR($B115="",Q$27=""),0,IF(OR($D115=0,$K115="",Q$30=0),Q135,IF($L115=1,IF(Q$29="",0,SUMIFS(INDEX(ALGO!$A$2:$BZ$20001,0,Q$29),INDEX(ALGO!$A$2:$BZ$20001,0,$B$19),$B$1,INDEX(ALGO!$A$2:$BZ$20001,0,$B$20),$B115,INDEX(ALGO!$A$2:$BZ$20001,0,$B$18),$K115)),IF(Q$28="",0,SUMIFS(INDEX(BESTFIT!$A$2:$BZ$20001,0,Q$28),INDEX(BESTFIT!$A$2:$BZ$20001,0,$B$15),$B$1,INDEX(BESTFIT!$A$2:$BZ$20001,0,$B$16),$B115,INDEX(BESTFIT!$A$2:$BZ$20001,0,$B$14),$K115)))))</f>
        <v/>
      </c>
      <c r="R125" s="21">
        <f>IF(OR($B115="",R$27=""),0,IF(OR($D115=0,$K115="",R$30=0),R135,IF($L115=1,IF(R$29="",0,SUMIFS(INDEX(ALGO!$A$2:$BZ$20001,0,R$29),INDEX(ALGO!$A$2:$BZ$20001,0,$B$19),$B$1,INDEX(ALGO!$A$2:$BZ$20001,0,$B$20),$B115,INDEX(ALGO!$A$2:$BZ$20001,0,$B$18),$K115)),IF(R$28="",0,SUMIFS(INDEX(BESTFIT!$A$2:$BZ$20001,0,R$28),INDEX(BESTFIT!$A$2:$BZ$20001,0,$B$15),$B$1,INDEX(BESTFIT!$A$2:$BZ$20001,0,$B$16),$B115,INDEX(BESTFIT!$A$2:$BZ$20001,0,$B$14),$K115)))))</f>
        <v/>
      </c>
      <c r="S125" s="21">
        <f>IF(OR($B115="",S$27=""),0,IF(OR($D115=0,$K115="",S$30=0),S135,IF($L115=1,IF(S$29="",0,SUMIFS(INDEX(ALGO!$A$2:$BZ$20001,0,S$29),INDEX(ALGO!$A$2:$BZ$20001,0,$B$19),$B$1,INDEX(ALGO!$A$2:$BZ$20001,0,$B$20),$B115,INDEX(ALGO!$A$2:$BZ$20001,0,$B$18),$K115)),IF(S$28="",0,SUMIFS(INDEX(BESTFIT!$A$2:$BZ$20001,0,S$28),INDEX(BESTFIT!$A$2:$BZ$20001,0,$B$15),$B$1,INDEX(BESTFIT!$A$2:$BZ$20001,0,$B$16),$B115,INDEX(BESTFIT!$A$2:$BZ$20001,0,$B$14),$K115)))))</f>
        <v/>
      </c>
      <c r="T125" s="21">
        <f>IF(OR($B115="",T$27=""),0,IF(OR($D115=0,$K115="",T$30=0),T135,IF($L115=1,IF(T$29="",0,SUMIFS(INDEX(ALGO!$A$2:$BZ$20001,0,T$29),INDEX(ALGO!$A$2:$BZ$20001,0,$B$19),$B$1,INDEX(ALGO!$A$2:$BZ$20001,0,$B$20),$B115,INDEX(ALGO!$A$2:$BZ$20001,0,$B$18),$K115)),IF(T$28="",0,SUMIFS(INDEX(BESTFIT!$A$2:$BZ$20001,0,T$28),INDEX(BESTFIT!$A$2:$BZ$20001,0,$B$15),$B$1,INDEX(BESTFIT!$A$2:$BZ$20001,0,$B$16),$B115,INDEX(BESTFIT!$A$2:$BZ$20001,0,$B$14),$K115)))))</f>
        <v/>
      </c>
      <c r="U125" s="21">
        <f>IF(OR($B115="",U$27=""),0,IF(OR($D115=0,$K115="",U$30=0),U135,IF($L115=1,IF(U$29="",0,SUMIFS(INDEX(ALGO!$A$2:$BZ$20001,0,U$29),INDEX(ALGO!$A$2:$BZ$20001,0,$B$19),$B$1,INDEX(ALGO!$A$2:$BZ$20001,0,$B$20),$B115,INDEX(ALGO!$A$2:$BZ$20001,0,$B$18),$K115)),IF(U$28="",0,SUMIFS(INDEX(BESTFIT!$A$2:$BZ$20001,0,U$28),INDEX(BESTFIT!$A$2:$BZ$20001,0,$B$15),$B$1,INDEX(BESTFIT!$A$2:$BZ$20001,0,$B$16),$B115,INDEX(BESTFIT!$A$2:$BZ$20001,0,$B$14),$K115)))))</f>
        <v/>
      </c>
      <c r="V125" s="21">
        <f>IF(OR($B115="",V$27=""),0,IF(OR($D115=0,$K115="",V$30=0),V135,IF($L115=1,IF(V$29="",0,SUMIFS(INDEX(ALGO!$A$2:$BZ$20001,0,V$29),INDEX(ALGO!$A$2:$BZ$20001,0,$B$19),$B$1,INDEX(ALGO!$A$2:$BZ$20001,0,$B$20),$B115,INDEX(ALGO!$A$2:$BZ$20001,0,$B$18),$K115)),IF(V$28="",0,SUMIFS(INDEX(BESTFIT!$A$2:$BZ$20001,0,V$28),INDEX(BESTFIT!$A$2:$BZ$20001,0,$B$15),$B$1,INDEX(BESTFIT!$A$2:$BZ$20001,0,$B$16),$B115,INDEX(BESTFIT!$A$2:$BZ$20001,0,$B$14),$K115)))))</f>
        <v/>
      </c>
      <c r="W125" s="21">
        <f>IF(OR($B115="",W$27=""),0,IF(OR($D115=0,$K115="",W$30=0),W135,IF($L115=1,IF(W$29="",0,SUMIFS(INDEX(ALGO!$A$2:$BZ$20001,0,W$29),INDEX(ALGO!$A$2:$BZ$20001,0,$B$19),$B$1,INDEX(ALGO!$A$2:$BZ$20001,0,$B$20),$B115,INDEX(ALGO!$A$2:$BZ$20001,0,$B$18),$K115)),IF(W$28="",0,SUMIFS(INDEX(BESTFIT!$A$2:$BZ$20001,0,W$28),INDEX(BESTFIT!$A$2:$BZ$20001,0,$B$15),$B$1,INDEX(BESTFIT!$A$2:$BZ$20001,0,$B$16),$B115,INDEX(BESTFIT!$A$2:$BZ$20001,0,$B$14),$K115)))))</f>
        <v/>
      </c>
      <c r="X125" s="21">
        <f>IF(OR($B115="",X$27=""),0,IF(OR($D115=0,$K115="",X$30=0),X135,IF($L115=1,IF(X$29="",0,SUMIFS(INDEX(ALGO!$A$2:$BZ$20001,0,X$29),INDEX(ALGO!$A$2:$BZ$20001,0,$B$19),$B$1,INDEX(ALGO!$A$2:$BZ$20001,0,$B$20),$B115,INDEX(ALGO!$A$2:$BZ$20001,0,$B$18),$K115)),IF(X$28="",0,SUMIFS(INDEX(BESTFIT!$A$2:$BZ$20001,0,X$28),INDEX(BESTFIT!$A$2:$BZ$20001,0,$B$15),$B$1,INDEX(BESTFIT!$A$2:$BZ$20001,0,$B$16),$B115,INDEX(BESTFIT!$A$2:$BZ$20001,0,$B$14),$K115)))))</f>
        <v/>
      </c>
      <c r="Y125" s="21">
        <f>IF(OR($B115="",Y$27=""),0,IF(OR($D115=0,$K115="",Y$30=0),Y135,IF($L115=1,IF(Y$29="",0,SUMIFS(INDEX(ALGO!$A$2:$BZ$20001,0,Y$29),INDEX(ALGO!$A$2:$BZ$20001,0,$B$19),$B$1,INDEX(ALGO!$A$2:$BZ$20001,0,$B$20),$B115,INDEX(ALGO!$A$2:$BZ$20001,0,$B$18),$K115)),IF(Y$28="",0,SUMIFS(INDEX(BESTFIT!$A$2:$BZ$20001,0,Y$28),INDEX(BESTFIT!$A$2:$BZ$20001,0,$B$15),$B$1,INDEX(BESTFIT!$A$2:$BZ$20001,0,$B$16),$B115,INDEX(BESTFIT!$A$2:$BZ$20001,0,$B$14),$K115)))))</f>
        <v/>
      </c>
      <c r="Z125" s="21">
        <f>IF(OR($B115="",Z$27=""),0,IF(OR($D115=0,$K115="",Z$30=0),Z135,IF($L115=1,IF(Z$29="",0,SUMIFS(INDEX(ALGO!$A$2:$BZ$20001,0,Z$29),INDEX(ALGO!$A$2:$BZ$20001,0,$B$19),$B$1,INDEX(ALGO!$A$2:$BZ$20001,0,$B$20),$B115,INDEX(ALGO!$A$2:$BZ$20001,0,$B$18),$K115)),IF(Z$28="",0,SUMIFS(INDEX(BESTFIT!$A$2:$BZ$20001,0,Z$28),INDEX(BESTFIT!$A$2:$BZ$20001,0,$B$15),$B$1,INDEX(BESTFIT!$A$2:$BZ$20001,0,$B$16),$B115,INDEX(BESTFIT!$A$2:$BZ$20001,0,$B$14),$K115)))))</f>
        <v/>
      </c>
      <c r="AA125" s="21">
        <f>IF(OR($B115="",AA$27=""),0,IF(OR($D115=0,$K115="",AA$30=0),AA135,IF($L115=1,IF(AA$29="",0,SUMIFS(INDEX(ALGO!$A$2:$BZ$20001,0,AA$29),INDEX(ALGO!$A$2:$BZ$20001,0,$B$19),$B$1,INDEX(ALGO!$A$2:$BZ$20001,0,$B$20),$B115,INDEX(ALGO!$A$2:$BZ$20001,0,$B$18),$K115)),IF(AA$28="",0,SUMIFS(INDEX(BESTFIT!$A$2:$BZ$20001,0,AA$28),INDEX(BESTFIT!$A$2:$BZ$20001,0,$B$15),$B$1,INDEX(BESTFIT!$A$2:$BZ$20001,0,$B$16),$B115,INDEX(BESTFIT!$A$2:$BZ$20001,0,$B$14),$K115)))))</f>
        <v/>
      </c>
      <c r="AB125" s="21">
        <f>IF(OR($B115="",AB$27=""),0,IF(OR($D115=0,$K115="",AB$30=0),AB135,IF($L115=1,IF(AB$29="",0,SUMIFS(INDEX(ALGO!$A$2:$BZ$20001,0,AB$29),INDEX(ALGO!$A$2:$BZ$20001,0,$B$19),$B$1,INDEX(ALGO!$A$2:$BZ$20001,0,$B$20),$B115,INDEX(ALGO!$A$2:$BZ$20001,0,$B$18),$K115)),IF(AB$28="",0,SUMIFS(INDEX(BESTFIT!$A$2:$BZ$20001,0,AB$28),INDEX(BESTFIT!$A$2:$BZ$20001,0,$B$15),$B$1,INDEX(BESTFIT!$A$2:$BZ$20001,0,$B$16),$B115,INDEX(BESTFIT!$A$2:$BZ$20001,0,$B$14),$K115)))))</f>
        <v/>
      </c>
      <c r="AC125" s="21">
        <f>IF(OR($B115="",AC$27=""),0,IF(OR($D115=0,$K115="",AC$30=0),AC135,IF($L115=1,IF(AC$29="",0,SUMIFS(INDEX(ALGO!$A$2:$BZ$20001,0,AC$29),INDEX(ALGO!$A$2:$BZ$20001,0,$B$19),$B$1,INDEX(ALGO!$A$2:$BZ$20001,0,$B$20),$B115,INDEX(ALGO!$A$2:$BZ$20001,0,$B$18),$K115)),IF(AC$28="",0,SUMIFS(INDEX(BESTFIT!$A$2:$BZ$20001,0,AC$28),INDEX(BESTFIT!$A$2:$BZ$20001,0,$B$15),$B$1,INDEX(BESTFIT!$A$2:$BZ$20001,0,$B$16),$B115,INDEX(BESTFIT!$A$2:$BZ$20001,0,$B$14),$K115)))))</f>
        <v/>
      </c>
      <c r="AD125" s="21">
        <f>IF(OR($B115="",AD$27=""),0,IF(OR($D115=0,$K115="",AD$30=0),AD135,IF($L115=1,IF(AD$29="",0,SUMIFS(INDEX(ALGO!$A$2:$BZ$20001,0,AD$29),INDEX(ALGO!$A$2:$BZ$20001,0,$B$19),$B$1,INDEX(ALGO!$A$2:$BZ$20001,0,$B$20),$B115,INDEX(ALGO!$A$2:$BZ$20001,0,$B$18),$K115)),IF(AD$28="",0,SUMIFS(INDEX(BESTFIT!$A$2:$BZ$20001,0,AD$28),INDEX(BESTFIT!$A$2:$BZ$20001,0,$B$15),$B$1,INDEX(BESTFIT!$A$2:$BZ$20001,0,$B$16),$B115,INDEX(BESTFIT!$A$2:$BZ$20001,0,$B$14),$K115)))))</f>
        <v/>
      </c>
      <c r="AE125" s="21">
        <f>IF(OR($B115="",AE$27=""),0,IF(OR($D115=0,$K115="",AE$30=0),AE135,IF($L115=1,IF(AE$29="",0,SUMIFS(INDEX(ALGO!$A$2:$BZ$20001,0,AE$29),INDEX(ALGO!$A$2:$BZ$20001,0,$B$19),$B$1,INDEX(ALGO!$A$2:$BZ$20001,0,$B$20),$B115,INDEX(ALGO!$A$2:$BZ$20001,0,$B$18),$K115)),IF(AE$28="",0,SUMIFS(INDEX(BESTFIT!$A$2:$BZ$20001,0,AE$28),INDEX(BESTFIT!$A$2:$BZ$20001,0,$B$15),$B$1,INDEX(BESTFIT!$A$2:$BZ$20001,0,$B$16),$B115,INDEX(BESTFIT!$A$2:$BZ$20001,0,$B$14),$K115)))))</f>
        <v/>
      </c>
      <c r="AF125" s="21">
        <f>IF(OR($B115="",AF$27=""),0,IF(OR($D115=0,$K115="",AF$30=0),AF135,IF($L115=1,IF(AF$29="",0,SUMIFS(INDEX(ALGO!$A$2:$BZ$20001,0,AF$29),INDEX(ALGO!$A$2:$BZ$20001,0,$B$19),$B$1,INDEX(ALGO!$A$2:$BZ$20001,0,$B$20),$B115,INDEX(ALGO!$A$2:$BZ$20001,0,$B$18),$K115)),IF(AF$28="",0,SUMIFS(INDEX(BESTFIT!$A$2:$BZ$20001,0,AF$28),INDEX(BESTFIT!$A$2:$BZ$20001,0,$B$15),$B$1,INDEX(BESTFIT!$A$2:$BZ$20001,0,$B$16),$B115,INDEX(BESTFIT!$A$2:$BZ$20001,0,$B$14),$K115)))))</f>
        <v/>
      </c>
      <c r="AG125" s="21">
        <f>IF(OR($B115="",AG$27=""),0,IF(OR($D115=0,$K115="",AG$30=0),AG135,IF($L115=1,IF(AG$29="",0,SUMIFS(INDEX(ALGO!$A$2:$BZ$20001,0,AG$29),INDEX(ALGO!$A$2:$BZ$20001,0,$B$19),$B$1,INDEX(ALGO!$A$2:$BZ$20001,0,$B$20),$B115,INDEX(ALGO!$A$2:$BZ$20001,0,$B$18),$K115)),IF(AG$28="",0,SUMIFS(INDEX(BESTFIT!$A$2:$BZ$20001,0,AG$28),INDEX(BESTFIT!$A$2:$BZ$20001,0,$B$15),$B$1,INDEX(BESTFIT!$A$2:$BZ$20001,0,$B$16),$B115,INDEX(BESTFIT!$A$2:$BZ$20001,0,$B$14),$K115)))))</f>
        <v/>
      </c>
      <c r="AH125" s="21">
        <f>IF(OR($B115="",AH$27=""),0,IF(OR($D115=0,$K115="",AH$30=0),AH135,IF($L115=1,IF(AH$29="",0,SUMIFS(INDEX(ALGO!$A$2:$BZ$20001,0,AH$29),INDEX(ALGO!$A$2:$BZ$20001,0,$B$19),$B$1,INDEX(ALGO!$A$2:$BZ$20001,0,$B$20),$B115,INDEX(ALGO!$A$2:$BZ$20001,0,$B$18),$K115)),IF(AH$28="",0,SUMIFS(INDEX(BESTFIT!$A$2:$BZ$20001,0,AH$28),INDEX(BESTFIT!$A$2:$BZ$20001,0,$B$15),$B$1,INDEX(BESTFIT!$A$2:$BZ$20001,0,$B$16),$B115,INDEX(BESTFIT!$A$2:$BZ$20001,0,$B$14),$K115)))))</f>
        <v/>
      </c>
      <c r="AI125" s="21">
        <f>IF(OR($B115="",AI$27=""),0,IF(OR($D115=0,$K115="",AI$30=0),AI135,IF($L115=1,IF(AI$29="",0,SUMIFS(INDEX(ALGO!$A$2:$BZ$20001,0,AI$29),INDEX(ALGO!$A$2:$BZ$20001,0,$B$19),$B$1,INDEX(ALGO!$A$2:$BZ$20001,0,$B$20),$B115,INDEX(ALGO!$A$2:$BZ$20001,0,$B$18),$K115)),IF(AI$28="",0,SUMIFS(INDEX(BESTFIT!$A$2:$BZ$20001,0,AI$28),INDEX(BESTFIT!$A$2:$BZ$20001,0,$B$15),$B$1,INDEX(BESTFIT!$A$2:$BZ$20001,0,$B$16),$B115,INDEX(BESTFIT!$A$2:$BZ$20001,0,$B$14),$K115)))))</f>
        <v/>
      </c>
      <c r="AJ125" s="21">
        <f>IF(OR($B115="",AJ$27=""),0,IF(OR($D115=0,$K115="",AJ$30=0),AJ135,IF($L115=1,IF(AJ$29="",0,SUMIFS(INDEX(ALGO!$A$2:$BZ$20001,0,AJ$29),INDEX(ALGO!$A$2:$BZ$20001,0,$B$19),$B$1,INDEX(ALGO!$A$2:$BZ$20001,0,$B$20),$B115,INDEX(ALGO!$A$2:$BZ$20001,0,$B$18),$K115)),IF(AJ$28="",0,SUMIFS(INDEX(BESTFIT!$A$2:$BZ$20001,0,AJ$28),INDEX(BESTFIT!$A$2:$BZ$20001,0,$B$15),$B$1,INDEX(BESTFIT!$A$2:$BZ$20001,0,$B$16),$B115,INDEX(BESTFIT!$A$2:$BZ$20001,0,$B$14),$K115)))))</f>
        <v/>
      </c>
      <c r="AK125" s="21">
        <f>IF(OR($B115="",AK$27=""),0,IF(OR($D115=0,$K115="",AK$30=0),AK135,IF($L115=1,IF(AK$29="",0,SUMIFS(INDEX(ALGO!$A$2:$BZ$20001,0,AK$29),INDEX(ALGO!$A$2:$BZ$20001,0,$B$19),$B$1,INDEX(ALGO!$A$2:$BZ$20001,0,$B$20),$B115,INDEX(ALGO!$A$2:$BZ$20001,0,$B$18),$K115)),IF(AK$28="",0,SUMIFS(INDEX(BESTFIT!$A$2:$BZ$20001,0,AK$28),INDEX(BESTFIT!$A$2:$BZ$20001,0,$B$15),$B$1,INDEX(BESTFIT!$A$2:$BZ$20001,0,$B$16),$B115,INDEX(BESTFIT!$A$2:$BZ$20001,0,$B$14),$K115)))))</f>
        <v/>
      </c>
      <c r="AL125" s="21">
        <f>IF(OR($B115="",AL$27=""),0,IF(OR($D115=0,$K115="",AL$30=0),AL135,IF($L115=1,IF(AL$29="",0,SUMIFS(INDEX(ALGO!$A$2:$BZ$20001,0,AL$29),INDEX(ALGO!$A$2:$BZ$20001,0,$B$19),$B$1,INDEX(ALGO!$A$2:$BZ$20001,0,$B$20),$B115,INDEX(ALGO!$A$2:$BZ$20001,0,$B$18),$K115)),IF(AL$28="",0,SUMIFS(INDEX(BESTFIT!$A$2:$BZ$20001,0,AL$28),INDEX(BESTFIT!$A$2:$BZ$20001,0,$B$15),$B$1,INDEX(BESTFIT!$A$2:$BZ$20001,0,$B$16),$B115,INDEX(BESTFIT!$A$2:$BZ$20001,0,$B$14),$K115)))))</f>
        <v/>
      </c>
      <c r="AM125" s="21">
        <f>IF(OR($B115="",AM$27=""),0,IF(OR($D115=0,$K115="",AM$30=0),AM135,IF($L115=1,IF(AM$29="",0,SUMIFS(INDEX(ALGO!$A$2:$BZ$20001,0,AM$29),INDEX(ALGO!$A$2:$BZ$20001,0,$B$19),$B$1,INDEX(ALGO!$A$2:$BZ$20001,0,$B$20),$B115,INDEX(ALGO!$A$2:$BZ$20001,0,$B$18),$K115)),IF(AM$28="",0,SUMIFS(INDEX(BESTFIT!$A$2:$BZ$20001,0,AM$28),INDEX(BESTFIT!$A$2:$BZ$20001,0,$B$15),$B$1,INDEX(BESTFIT!$A$2:$BZ$20001,0,$B$16),$B115,INDEX(BESTFIT!$A$2:$BZ$20001,0,$B$14),$K115)))))</f>
        <v/>
      </c>
    </row>
    <row r="126">
      <c r="A126" s="23">
        <f>IF($B116="","System FC simulado","System FC simulado | "&amp;$B116)</f>
        <v/>
      </c>
      <c r="D126" s="21">
        <f>IF(OR($B116="",D$27=""),0,IF(OR($D116=0,$K116="",D$30=0),D136,IF($L116=1,IF(D$29="",0,SUMIFS(INDEX(ALGO!$A$2:$BZ$20001,0,D$29),INDEX(ALGO!$A$2:$BZ$20001,0,$B$19),$B$1,INDEX(ALGO!$A$2:$BZ$20001,0,$B$20),$B116,INDEX(ALGO!$A$2:$BZ$20001,0,$B$18),$K116)),IF(D$28="",0,SUMIFS(INDEX(BESTFIT!$A$2:$BZ$20001,0,D$28),INDEX(BESTFIT!$A$2:$BZ$20001,0,$B$15),$B$1,INDEX(BESTFIT!$A$2:$BZ$20001,0,$B$16),$B116,INDEX(BESTFIT!$A$2:$BZ$20001,0,$B$14),$K116)))))</f>
        <v/>
      </c>
      <c r="E126" s="21">
        <f>IF(OR($B116="",E$27=""),0,IF(OR($D116=0,$K116="",E$30=0),E136,IF($L116=1,IF(E$29="",0,SUMIFS(INDEX(ALGO!$A$2:$BZ$20001,0,E$29),INDEX(ALGO!$A$2:$BZ$20001,0,$B$19),$B$1,INDEX(ALGO!$A$2:$BZ$20001,0,$B$20),$B116,INDEX(ALGO!$A$2:$BZ$20001,0,$B$18),$K116)),IF(E$28="",0,SUMIFS(INDEX(BESTFIT!$A$2:$BZ$20001,0,E$28),INDEX(BESTFIT!$A$2:$BZ$20001,0,$B$15),$B$1,INDEX(BESTFIT!$A$2:$BZ$20001,0,$B$16),$B116,INDEX(BESTFIT!$A$2:$BZ$20001,0,$B$14),$K116)))))</f>
        <v/>
      </c>
      <c r="F126" s="21">
        <f>IF(OR($B116="",F$27=""),0,IF(OR($D116=0,$K116="",F$30=0),F136,IF($L116=1,IF(F$29="",0,SUMIFS(INDEX(ALGO!$A$2:$BZ$20001,0,F$29),INDEX(ALGO!$A$2:$BZ$20001,0,$B$19),$B$1,INDEX(ALGO!$A$2:$BZ$20001,0,$B$20),$B116,INDEX(ALGO!$A$2:$BZ$20001,0,$B$18),$K116)),IF(F$28="",0,SUMIFS(INDEX(BESTFIT!$A$2:$BZ$20001,0,F$28),INDEX(BESTFIT!$A$2:$BZ$20001,0,$B$15),$B$1,INDEX(BESTFIT!$A$2:$BZ$20001,0,$B$16),$B116,INDEX(BESTFIT!$A$2:$BZ$20001,0,$B$14),$K116)))))</f>
        <v/>
      </c>
      <c r="G126" s="21">
        <f>IF(OR($B116="",G$27=""),0,IF(OR($D116=0,$K116="",G$30=0),G136,IF($L116=1,IF(G$29="",0,SUMIFS(INDEX(ALGO!$A$2:$BZ$20001,0,G$29),INDEX(ALGO!$A$2:$BZ$20001,0,$B$19),$B$1,INDEX(ALGO!$A$2:$BZ$20001,0,$B$20),$B116,INDEX(ALGO!$A$2:$BZ$20001,0,$B$18),$K116)),IF(G$28="",0,SUMIFS(INDEX(BESTFIT!$A$2:$BZ$20001,0,G$28),INDEX(BESTFIT!$A$2:$BZ$20001,0,$B$15),$B$1,INDEX(BESTFIT!$A$2:$BZ$20001,0,$B$16),$B116,INDEX(BESTFIT!$A$2:$BZ$20001,0,$B$14),$K116)))))</f>
        <v/>
      </c>
      <c r="H126" s="21">
        <f>IF(OR($B116="",H$27=""),0,IF(OR($D116=0,$K116="",H$30=0),H136,IF($L116=1,IF(H$29="",0,SUMIFS(INDEX(ALGO!$A$2:$BZ$20001,0,H$29),INDEX(ALGO!$A$2:$BZ$20001,0,$B$19),$B$1,INDEX(ALGO!$A$2:$BZ$20001,0,$B$20),$B116,INDEX(ALGO!$A$2:$BZ$20001,0,$B$18),$K116)),IF(H$28="",0,SUMIFS(INDEX(BESTFIT!$A$2:$BZ$20001,0,H$28),INDEX(BESTFIT!$A$2:$BZ$20001,0,$B$15),$B$1,INDEX(BESTFIT!$A$2:$BZ$20001,0,$B$16),$B116,INDEX(BESTFIT!$A$2:$BZ$20001,0,$B$14),$K116)))))</f>
        <v/>
      </c>
      <c r="I126" s="21">
        <f>IF(OR($B116="",I$27=""),0,IF(OR($D116=0,$K116="",I$30=0),I136,IF($L116=1,IF(I$29="",0,SUMIFS(INDEX(ALGO!$A$2:$BZ$20001,0,I$29),INDEX(ALGO!$A$2:$BZ$20001,0,$B$19),$B$1,INDEX(ALGO!$A$2:$BZ$20001,0,$B$20),$B116,INDEX(ALGO!$A$2:$BZ$20001,0,$B$18),$K116)),IF(I$28="",0,SUMIFS(INDEX(BESTFIT!$A$2:$BZ$20001,0,I$28),INDEX(BESTFIT!$A$2:$BZ$20001,0,$B$15),$B$1,INDEX(BESTFIT!$A$2:$BZ$20001,0,$B$16),$B116,INDEX(BESTFIT!$A$2:$BZ$20001,0,$B$14),$K116)))))</f>
        <v/>
      </c>
      <c r="J126" s="21">
        <f>IF(OR($B116="",J$27=""),0,IF(OR($D116=0,$K116="",J$30=0),J136,IF($L116=1,IF(J$29="",0,SUMIFS(INDEX(ALGO!$A$2:$BZ$20001,0,J$29),INDEX(ALGO!$A$2:$BZ$20001,0,$B$19),$B$1,INDEX(ALGO!$A$2:$BZ$20001,0,$B$20),$B116,INDEX(ALGO!$A$2:$BZ$20001,0,$B$18),$K116)),IF(J$28="",0,SUMIFS(INDEX(BESTFIT!$A$2:$BZ$20001,0,J$28),INDEX(BESTFIT!$A$2:$BZ$20001,0,$B$15),$B$1,INDEX(BESTFIT!$A$2:$BZ$20001,0,$B$16),$B116,INDEX(BESTFIT!$A$2:$BZ$20001,0,$B$14),$K116)))))</f>
        <v/>
      </c>
      <c r="K126" s="21">
        <f>IF(OR($B116="",K$27=""),0,IF(OR($D116=0,$K116="",K$30=0),K136,IF($L116=1,IF(K$29="",0,SUMIFS(INDEX(ALGO!$A$2:$BZ$20001,0,K$29),INDEX(ALGO!$A$2:$BZ$20001,0,$B$19),$B$1,INDEX(ALGO!$A$2:$BZ$20001,0,$B$20),$B116,INDEX(ALGO!$A$2:$BZ$20001,0,$B$18),$K116)),IF(K$28="",0,SUMIFS(INDEX(BESTFIT!$A$2:$BZ$20001,0,K$28),INDEX(BESTFIT!$A$2:$BZ$20001,0,$B$15),$B$1,INDEX(BESTFIT!$A$2:$BZ$20001,0,$B$16),$B116,INDEX(BESTFIT!$A$2:$BZ$20001,0,$B$14),$K116)))))</f>
        <v/>
      </c>
      <c r="L126" s="21">
        <f>IF(OR($B116="",L$27=""),0,IF(OR($D116=0,$K116="",L$30=0),L136,IF($L116=1,IF(L$29="",0,SUMIFS(INDEX(ALGO!$A$2:$BZ$20001,0,L$29),INDEX(ALGO!$A$2:$BZ$20001,0,$B$19),$B$1,INDEX(ALGO!$A$2:$BZ$20001,0,$B$20),$B116,INDEX(ALGO!$A$2:$BZ$20001,0,$B$18),$K116)),IF(L$28="",0,SUMIFS(INDEX(BESTFIT!$A$2:$BZ$20001,0,L$28),INDEX(BESTFIT!$A$2:$BZ$20001,0,$B$15),$B$1,INDEX(BESTFIT!$A$2:$BZ$20001,0,$B$16),$B116,INDEX(BESTFIT!$A$2:$BZ$20001,0,$B$14),$K116)))))</f>
        <v/>
      </c>
      <c r="M126" s="21">
        <f>IF(OR($B116="",M$27=""),0,IF(OR($D116=0,$K116="",M$30=0),M136,IF($L116=1,IF(M$29="",0,SUMIFS(INDEX(ALGO!$A$2:$BZ$20001,0,M$29),INDEX(ALGO!$A$2:$BZ$20001,0,$B$19),$B$1,INDEX(ALGO!$A$2:$BZ$20001,0,$B$20),$B116,INDEX(ALGO!$A$2:$BZ$20001,0,$B$18),$K116)),IF(M$28="",0,SUMIFS(INDEX(BESTFIT!$A$2:$BZ$20001,0,M$28),INDEX(BESTFIT!$A$2:$BZ$20001,0,$B$15),$B$1,INDEX(BESTFIT!$A$2:$BZ$20001,0,$B$16),$B116,INDEX(BESTFIT!$A$2:$BZ$20001,0,$B$14),$K116)))))</f>
        <v/>
      </c>
      <c r="N126" s="21">
        <f>IF(OR($B116="",N$27=""),0,IF(OR($D116=0,$K116="",N$30=0),N136,IF($L116=1,IF(N$29="",0,SUMIFS(INDEX(ALGO!$A$2:$BZ$20001,0,N$29),INDEX(ALGO!$A$2:$BZ$20001,0,$B$19),$B$1,INDEX(ALGO!$A$2:$BZ$20001,0,$B$20),$B116,INDEX(ALGO!$A$2:$BZ$20001,0,$B$18),$K116)),IF(N$28="",0,SUMIFS(INDEX(BESTFIT!$A$2:$BZ$20001,0,N$28),INDEX(BESTFIT!$A$2:$BZ$20001,0,$B$15),$B$1,INDEX(BESTFIT!$A$2:$BZ$20001,0,$B$16),$B116,INDEX(BESTFIT!$A$2:$BZ$20001,0,$B$14),$K116)))))</f>
        <v/>
      </c>
      <c r="O126" s="21">
        <f>IF(OR($B116="",O$27=""),0,IF(OR($D116=0,$K116="",O$30=0),O136,IF($L116=1,IF(O$29="",0,SUMIFS(INDEX(ALGO!$A$2:$BZ$20001,0,O$29),INDEX(ALGO!$A$2:$BZ$20001,0,$B$19),$B$1,INDEX(ALGO!$A$2:$BZ$20001,0,$B$20),$B116,INDEX(ALGO!$A$2:$BZ$20001,0,$B$18),$K116)),IF(O$28="",0,SUMIFS(INDEX(BESTFIT!$A$2:$BZ$20001,0,O$28),INDEX(BESTFIT!$A$2:$BZ$20001,0,$B$15),$B$1,INDEX(BESTFIT!$A$2:$BZ$20001,0,$B$16),$B116,INDEX(BESTFIT!$A$2:$BZ$20001,0,$B$14),$K116)))))</f>
        <v/>
      </c>
      <c r="P126" s="21">
        <f>IF(OR($B116="",P$27=""),0,IF(OR($D116=0,$K116="",P$30=0),P136,IF($L116=1,IF(P$29="",0,SUMIFS(INDEX(ALGO!$A$2:$BZ$20001,0,P$29),INDEX(ALGO!$A$2:$BZ$20001,0,$B$19),$B$1,INDEX(ALGO!$A$2:$BZ$20001,0,$B$20),$B116,INDEX(ALGO!$A$2:$BZ$20001,0,$B$18),$K116)),IF(P$28="",0,SUMIFS(INDEX(BESTFIT!$A$2:$BZ$20001,0,P$28),INDEX(BESTFIT!$A$2:$BZ$20001,0,$B$15),$B$1,INDEX(BESTFIT!$A$2:$BZ$20001,0,$B$16),$B116,INDEX(BESTFIT!$A$2:$BZ$20001,0,$B$14),$K116)))))</f>
        <v/>
      </c>
      <c r="Q126" s="21">
        <f>IF(OR($B116="",Q$27=""),0,IF(OR($D116=0,$K116="",Q$30=0),Q136,IF($L116=1,IF(Q$29="",0,SUMIFS(INDEX(ALGO!$A$2:$BZ$20001,0,Q$29),INDEX(ALGO!$A$2:$BZ$20001,0,$B$19),$B$1,INDEX(ALGO!$A$2:$BZ$20001,0,$B$20),$B116,INDEX(ALGO!$A$2:$BZ$20001,0,$B$18),$K116)),IF(Q$28="",0,SUMIFS(INDEX(BESTFIT!$A$2:$BZ$20001,0,Q$28),INDEX(BESTFIT!$A$2:$BZ$20001,0,$B$15),$B$1,INDEX(BESTFIT!$A$2:$BZ$20001,0,$B$16),$B116,INDEX(BESTFIT!$A$2:$BZ$20001,0,$B$14),$K116)))))</f>
        <v/>
      </c>
      <c r="R126" s="21">
        <f>IF(OR($B116="",R$27=""),0,IF(OR($D116=0,$K116="",R$30=0),R136,IF($L116=1,IF(R$29="",0,SUMIFS(INDEX(ALGO!$A$2:$BZ$20001,0,R$29),INDEX(ALGO!$A$2:$BZ$20001,0,$B$19),$B$1,INDEX(ALGO!$A$2:$BZ$20001,0,$B$20),$B116,INDEX(ALGO!$A$2:$BZ$20001,0,$B$18),$K116)),IF(R$28="",0,SUMIFS(INDEX(BESTFIT!$A$2:$BZ$20001,0,R$28),INDEX(BESTFIT!$A$2:$BZ$20001,0,$B$15),$B$1,INDEX(BESTFIT!$A$2:$BZ$20001,0,$B$16),$B116,INDEX(BESTFIT!$A$2:$BZ$20001,0,$B$14),$K116)))))</f>
        <v/>
      </c>
      <c r="S126" s="21">
        <f>IF(OR($B116="",S$27=""),0,IF(OR($D116=0,$K116="",S$30=0),S136,IF($L116=1,IF(S$29="",0,SUMIFS(INDEX(ALGO!$A$2:$BZ$20001,0,S$29),INDEX(ALGO!$A$2:$BZ$20001,0,$B$19),$B$1,INDEX(ALGO!$A$2:$BZ$20001,0,$B$20),$B116,INDEX(ALGO!$A$2:$BZ$20001,0,$B$18),$K116)),IF(S$28="",0,SUMIFS(INDEX(BESTFIT!$A$2:$BZ$20001,0,S$28),INDEX(BESTFIT!$A$2:$BZ$20001,0,$B$15),$B$1,INDEX(BESTFIT!$A$2:$BZ$20001,0,$B$16),$B116,INDEX(BESTFIT!$A$2:$BZ$20001,0,$B$14),$K116)))))</f>
        <v/>
      </c>
      <c r="T126" s="21">
        <f>IF(OR($B116="",T$27=""),0,IF(OR($D116=0,$K116="",T$30=0),T136,IF($L116=1,IF(T$29="",0,SUMIFS(INDEX(ALGO!$A$2:$BZ$20001,0,T$29),INDEX(ALGO!$A$2:$BZ$20001,0,$B$19),$B$1,INDEX(ALGO!$A$2:$BZ$20001,0,$B$20),$B116,INDEX(ALGO!$A$2:$BZ$20001,0,$B$18),$K116)),IF(T$28="",0,SUMIFS(INDEX(BESTFIT!$A$2:$BZ$20001,0,T$28),INDEX(BESTFIT!$A$2:$BZ$20001,0,$B$15),$B$1,INDEX(BESTFIT!$A$2:$BZ$20001,0,$B$16),$B116,INDEX(BESTFIT!$A$2:$BZ$20001,0,$B$14),$K116)))))</f>
        <v/>
      </c>
      <c r="U126" s="21">
        <f>IF(OR($B116="",U$27=""),0,IF(OR($D116=0,$K116="",U$30=0),U136,IF($L116=1,IF(U$29="",0,SUMIFS(INDEX(ALGO!$A$2:$BZ$20001,0,U$29),INDEX(ALGO!$A$2:$BZ$20001,0,$B$19),$B$1,INDEX(ALGO!$A$2:$BZ$20001,0,$B$20),$B116,INDEX(ALGO!$A$2:$BZ$20001,0,$B$18),$K116)),IF(U$28="",0,SUMIFS(INDEX(BESTFIT!$A$2:$BZ$20001,0,U$28),INDEX(BESTFIT!$A$2:$BZ$20001,0,$B$15),$B$1,INDEX(BESTFIT!$A$2:$BZ$20001,0,$B$16),$B116,INDEX(BESTFIT!$A$2:$BZ$20001,0,$B$14),$K116)))))</f>
        <v/>
      </c>
      <c r="V126" s="21">
        <f>IF(OR($B116="",V$27=""),0,IF(OR($D116=0,$K116="",V$30=0),V136,IF($L116=1,IF(V$29="",0,SUMIFS(INDEX(ALGO!$A$2:$BZ$20001,0,V$29),INDEX(ALGO!$A$2:$BZ$20001,0,$B$19),$B$1,INDEX(ALGO!$A$2:$BZ$20001,0,$B$20),$B116,INDEX(ALGO!$A$2:$BZ$20001,0,$B$18),$K116)),IF(V$28="",0,SUMIFS(INDEX(BESTFIT!$A$2:$BZ$20001,0,V$28),INDEX(BESTFIT!$A$2:$BZ$20001,0,$B$15),$B$1,INDEX(BESTFIT!$A$2:$BZ$20001,0,$B$16),$B116,INDEX(BESTFIT!$A$2:$BZ$20001,0,$B$14),$K116)))))</f>
        <v/>
      </c>
      <c r="W126" s="21">
        <f>IF(OR($B116="",W$27=""),0,IF(OR($D116=0,$K116="",W$30=0),W136,IF($L116=1,IF(W$29="",0,SUMIFS(INDEX(ALGO!$A$2:$BZ$20001,0,W$29),INDEX(ALGO!$A$2:$BZ$20001,0,$B$19),$B$1,INDEX(ALGO!$A$2:$BZ$20001,0,$B$20),$B116,INDEX(ALGO!$A$2:$BZ$20001,0,$B$18),$K116)),IF(W$28="",0,SUMIFS(INDEX(BESTFIT!$A$2:$BZ$20001,0,W$28),INDEX(BESTFIT!$A$2:$BZ$20001,0,$B$15),$B$1,INDEX(BESTFIT!$A$2:$BZ$20001,0,$B$16),$B116,INDEX(BESTFIT!$A$2:$BZ$20001,0,$B$14),$K116)))))</f>
        <v/>
      </c>
      <c r="X126" s="21">
        <f>IF(OR($B116="",X$27=""),0,IF(OR($D116=0,$K116="",X$30=0),X136,IF($L116=1,IF(X$29="",0,SUMIFS(INDEX(ALGO!$A$2:$BZ$20001,0,X$29),INDEX(ALGO!$A$2:$BZ$20001,0,$B$19),$B$1,INDEX(ALGO!$A$2:$BZ$20001,0,$B$20),$B116,INDEX(ALGO!$A$2:$BZ$20001,0,$B$18),$K116)),IF(X$28="",0,SUMIFS(INDEX(BESTFIT!$A$2:$BZ$20001,0,X$28),INDEX(BESTFIT!$A$2:$BZ$20001,0,$B$15),$B$1,INDEX(BESTFIT!$A$2:$BZ$20001,0,$B$16),$B116,INDEX(BESTFIT!$A$2:$BZ$20001,0,$B$14),$K116)))))</f>
        <v/>
      </c>
      <c r="Y126" s="21">
        <f>IF(OR($B116="",Y$27=""),0,IF(OR($D116=0,$K116="",Y$30=0),Y136,IF($L116=1,IF(Y$29="",0,SUMIFS(INDEX(ALGO!$A$2:$BZ$20001,0,Y$29),INDEX(ALGO!$A$2:$BZ$20001,0,$B$19),$B$1,INDEX(ALGO!$A$2:$BZ$20001,0,$B$20),$B116,INDEX(ALGO!$A$2:$BZ$20001,0,$B$18),$K116)),IF(Y$28="",0,SUMIFS(INDEX(BESTFIT!$A$2:$BZ$20001,0,Y$28),INDEX(BESTFIT!$A$2:$BZ$20001,0,$B$15),$B$1,INDEX(BESTFIT!$A$2:$BZ$20001,0,$B$16),$B116,INDEX(BESTFIT!$A$2:$BZ$20001,0,$B$14),$K116)))))</f>
        <v/>
      </c>
      <c r="Z126" s="21">
        <f>IF(OR($B116="",Z$27=""),0,IF(OR($D116=0,$K116="",Z$30=0),Z136,IF($L116=1,IF(Z$29="",0,SUMIFS(INDEX(ALGO!$A$2:$BZ$20001,0,Z$29),INDEX(ALGO!$A$2:$BZ$20001,0,$B$19),$B$1,INDEX(ALGO!$A$2:$BZ$20001,0,$B$20),$B116,INDEX(ALGO!$A$2:$BZ$20001,0,$B$18),$K116)),IF(Z$28="",0,SUMIFS(INDEX(BESTFIT!$A$2:$BZ$20001,0,Z$28),INDEX(BESTFIT!$A$2:$BZ$20001,0,$B$15),$B$1,INDEX(BESTFIT!$A$2:$BZ$20001,0,$B$16),$B116,INDEX(BESTFIT!$A$2:$BZ$20001,0,$B$14),$K116)))))</f>
        <v/>
      </c>
      <c r="AA126" s="21">
        <f>IF(OR($B116="",AA$27=""),0,IF(OR($D116=0,$K116="",AA$30=0),AA136,IF($L116=1,IF(AA$29="",0,SUMIFS(INDEX(ALGO!$A$2:$BZ$20001,0,AA$29),INDEX(ALGO!$A$2:$BZ$20001,0,$B$19),$B$1,INDEX(ALGO!$A$2:$BZ$20001,0,$B$20),$B116,INDEX(ALGO!$A$2:$BZ$20001,0,$B$18),$K116)),IF(AA$28="",0,SUMIFS(INDEX(BESTFIT!$A$2:$BZ$20001,0,AA$28),INDEX(BESTFIT!$A$2:$BZ$20001,0,$B$15),$B$1,INDEX(BESTFIT!$A$2:$BZ$20001,0,$B$16),$B116,INDEX(BESTFIT!$A$2:$BZ$20001,0,$B$14),$K116)))))</f>
        <v/>
      </c>
      <c r="AB126" s="21">
        <f>IF(OR($B116="",AB$27=""),0,IF(OR($D116=0,$K116="",AB$30=0),AB136,IF($L116=1,IF(AB$29="",0,SUMIFS(INDEX(ALGO!$A$2:$BZ$20001,0,AB$29),INDEX(ALGO!$A$2:$BZ$20001,0,$B$19),$B$1,INDEX(ALGO!$A$2:$BZ$20001,0,$B$20),$B116,INDEX(ALGO!$A$2:$BZ$20001,0,$B$18),$K116)),IF(AB$28="",0,SUMIFS(INDEX(BESTFIT!$A$2:$BZ$20001,0,AB$28),INDEX(BESTFIT!$A$2:$BZ$20001,0,$B$15),$B$1,INDEX(BESTFIT!$A$2:$BZ$20001,0,$B$16),$B116,INDEX(BESTFIT!$A$2:$BZ$20001,0,$B$14),$K116)))))</f>
        <v/>
      </c>
      <c r="AC126" s="21">
        <f>IF(OR($B116="",AC$27=""),0,IF(OR($D116=0,$K116="",AC$30=0),AC136,IF($L116=1,IF(AC$29="",0,SUMIFS(INDEX(ALGO!$A$2:$BZ$20001,0,AC$29),INDEX(ALGO!$A$2:$BZ$20001,0,$B$19),$B$1,INDEX(ALGO!$A$2:$BZ$20001,0,$B$20),$B116,INDEX(ALGO!$A$2:$BZ$20001,0,$B$18),$K116)),IF(AC$28="",0,SUMIFS(INDEX(BESTFIT!$A$2:$BZ$20001,0,AC$28),INDEX(BESTFIT!$A$2:$BZ$20001,0,$B$15),$B$1,INDEX(BESTFIT!$A$2:$BZ$20001,0,$B$16),$B116,INDEX(BESTFIT!$A$2:$BZ$20001,0,$B$14),$K116)))))</f>
        <v/>
      </c>
      <c r="AD126" s="21">
        <f>IF(OR($B116="",AD$27=""),0,IF(OR($D116=0,$K116="",AD$30=0),AD136,IF($L116=1,IF(AD$29="",0,SUMIFS(INDEX(ALGO!$A$2:$BZ$20001,0,AD$29),INDEX(ALGO!$A$2:$BZ$20001,0,$B$19),$B$1,INDEX(ALGO!$A$2:$BZ$20001,0,$B$20),$B116,INDEX(ALGO!$A$2:$BZ$20001,0,$B$18),$K116)),IF(AD$28="",0,SUMIFS(INDEX(BESTFIT!$A$2:$BZ$20001,0,AD$28),INDEX(BESTFIT!$A$2:$BZ$20001,0,$B$15),$B$1,INDEX(BESTFIT!$A$2:$BZ$20001,0,$B$16),$B116,INDEX(BESTFIT!$A$2:$BZ$20001,0,$B$14),$K116)))))</f>
        <v/>
      </c>
      <c r="AE126" s="21">
        <f>IF(OR($B116="",AE$27=""),0,IF(OR($D116=0,$K116="",AE$30=0),AE136,IF($L116=1,IF(AE$29="",0,SUMIFS(INDEX(ALGO!$A$2:$BZ$20001,0,AE$29),INDEX(ALGO!$A$2:$BZ$20001,0,$B$19),$B$1,INDEX(ALGO!$A$2:$BZ$20001,0,$B$20),$B116,INDEX(ALGO!$A$2:$BZ$20001,0,$B$18),$K116)),IF(AE$28="",0,SUMIFS(INDEX(BESTFIT!$A$2:$BZ$20001,0,AE$28),INDEX(BESTFIT!$A$2:$BZ$20001,0,$B$15),$B$1,INDEX(BESTFIT!$A$2:$BZ$20001,0,$B$16),$B116,INDEX(BESTFIT!$A$2:$BZ$20001,0,$B$14),$K116)))))</f>
        <v/>
      </c>
      <c r="AF126" s="21">
        <f>IF(OR($B116="",AF$27=""),0,IF(OR($D116=0,$K116="",AF$30=0),AF136,IF($L116=1,IF(AF$29="",0,SUMIFS(INDEX(ALGO!$A$2:$BZ$20001,0,AF$29),INDEX(ALGO!$A$2:$BZ$20001,0,$B$19),$B$1,INDEX(ALGO!$A$2:$BZ$20001,0,$B$20),$B116,INDEX(ALGO!$A$2:$BZ$20001,0,$B$18),$K116)),IF(AF$28="",0,SUMIFS(INDEX(BESTFIT!$A$2:$BZ$20001,0,AF$28),INDEX(BESTFIT!$A$2:$BZ$20001,0,$B$15),$B$1,INDEX(BESTFIT!$A$2:$BZ$20001,0,$B$16),$B116,INDEX(BESTFIT!$A$2:$BZ$20001,0,$B$14),$K116)))))</f>
        <v/>
      </c>
      <c r="AG126" s="21">
        <f>IF(OR($B116="",AG$27=""),0,IF(OR($D116=0,$K116="",AG$30=0),AG136,IF($L116=1,IF(AG$29="",0,SUMIFS(INDEX(ALGO!$A$2:$BZ$20001,0,AG$29),INDEX(ALGO!$A$2:$BZ$20001,0,$B$19),$B$1,INDEX(ALGO!$A$2:$BZ$20001,0,$B$20),$B116,INDEX(ALGO!$A$2:$BZ$20001,0,$B$18),$K116)),IF(AG$28="",0,SUMIFS(INDEX(BESTFIT!$A$2:$BZ$20001,0,AG$28),INDEX(BESTFIT!$A$2:$BZ$20001,0,$B$15),$B$1,INDEX(BESTFIT!$A$2:$BZ$20001,0,$B$16),$B116,INDEX(BESTFIT!$A$2:$BZ$20001,0,$B$14),$K116)))))</f>
        <v/>
      </c>
      <c r="AH126" s="21">
        <f>IF(OR($B116="",AH$27=""),0,IF(OR($D116=0,$K116="",AH$30=0),AH136,IF($L116=1,IF(AH$29="",0,SUMIFS(INDEX(ALGO!$A$2:$BZ$20001,0,AH$29),INDEX(ALGO!$A$2:$BZ$20001,0,$B$19),$B$1,INDEX(ALGO!$A$2:$BZ$20001,0,$B$20),$B116,INDEX(ALGO!$A$2:$BZ$20001,0,$B$18),$K116)),IF(AH$28="",0,SUMIFS(INDEX(BESTFIT!$A$2:$BZ$20001,0,AH$28),INDEX(BESTFIT!$A$2:$BZ$20001,0,$B$15),$B$1,INDEX(BESTFIT!$A$2:$BZ$20001,0,$B$16),$B116,INDEX(BESTFIT!$A$2:$BZ$20001,0,$B$14),$K116)))))</f>
        <v/>
      </c>
      <c r="AI126" s="21">
        <f>IF(OR($B116="",AI$27=""),0,IF(OR($D116=0,$K116="",AI$30=0),AI136,IF($L116=1,IF(AI$29="",0,SUMIFS(INDEX(ALGO!$A$2:$BZ$20001,0,AI$29),INDEX(ALGO!$A$2:$BZ$20001,0,$B$19),$B$1,INDEX(ALGO!$A$2:$BZ$20001,0,$B$20),$B116,INDEX(ALGO!$A$2:$BZ$20001,0,$B$18),$K116)),IF(AI$28="",0,SUMIFS(INDEX(BESTFIT!$A$2:$BZ$20001,0,AI$28),INDEX(BESTFIT!$A$2:$BZ$20001,0,$B$15),$B$1,INDEX(BESTFIT!$A$2:$BZ$20001,0,$B$16),$B116,INDEX(BESTFIT!$A$2:$BZ$20001,0,$B$14),$K116)))))</f>
        <v/>
      </c>
      <c r="AJ126" s="21">
        <f>IF(OR($B116="",AJ$27=""),0,IF(OR($D116=0,$K116="",AJ$30=0),AJ136,IF($L116=1,IF(AJ$29="",0,SUMIFS(INDEX(ALGO!$A$2:$BZ$20001,0,AJ$29),INDEX(ALGO!$A$2:$BZ$20001,0,$B$19),$B$1,INDEX(ALGO!$A$2:$BZ$20001,0,$B$20),$B116,INDEX(ALGO!$A$2:$BZ$20001,0,$B$18),$K116)),IF(AJ$28="",0,SUMIFS(INDEX(BESTFIT!$A$2:$BZ$20001,0,AJ$28),INDEX(BESTFIT!$A$2:$BZ$20001,0,$B$15),$B$1,INDEX(BESTFIT!$A$2:$BZ$20001,0,$B$16),$B116,INDEX(BESTFIT!$A$2:$BZ$20001,0,$B$14),$K116)))))</f>
        <v/>
      </c>
      <c r="AK126" s="21">
        <f>IF(OR($B116="",AK$27=""),0,IF(OR($D116=0,$K116="",AK$30=0),AK136,IF($L116=1,IF(AK$29="",0,SUMIFS(INDEX(ALGO!$A$2:$BZ$20001,0,AK$29),INDEX(ALGO!$A$2:$BZ$20001,0,$B$19),$B$1,INDEX(ALGO!$A$2:$BZ$20001,0,$B$20),$B116,INDEX(ALGO!$A$2:$BZ$20001,0,$B$18),$K116)),IF(AK$28="",0,SUMIFS(INDEX(BESTFIT!$A$2:$BZ$20001,0,AK$28),INDEX(BESTFIT!$A$2:$BZ$20001,0,$B$15),$B$1,INDEX(BESTFIT!$A$2:$BZ$20001,0,$B$16),$B116,INDEX(BESTFIT!$A$2:$BZ$20001,0,$B$14),$K116)))))</f>
        <v/>
      </c>
      <c r="AL126" s="21">
        <f>IF(OR($B116="",AL$27=""),0,IF(OR($D116=0,$K116="",AL$30=0),AL136,IF($L116=1,IF(AL$29="",0,SUMIFS(INDEX(ALGO!$A$2:$BZ$20001,0,AL$29),INDEX(ALGO!$A$2:$BZ$20001,0,$B$19),$B$1,INDEX(ALGO!$A$2:$BZ$20001,0,$B$20),$B116,INDEX(ALGO!$A$2:$BZ$20001,0,$B$18),$K116)),IF(AL$28="",0,SUMIFS(INDEX(BESTFIT!$A$2:$BZ$20001,0,AL$28),INDEX(BESTFIT!$A$2:$BZ$20001,0,$B$15),$B$1,INDEX(BESTFIT!$A$2:$BZ$20001,0,$B$16),$B116,INDEX(BESTFIT!$A$2:$BZ$20001,0,$B$14),$K116)))))</f>
        <v/>
      </c>
      <c r="AM126" s="21">
        <f>IF(OR($B116="",AM$27=""),0,IF(OR($D116=0,$K116="",AM$30=0),AM136,IF($L116=1,IF(AM$29="",0,SUMIFS(INDEX(ALGO!$A$2:$BZ$20001,0,AM$29),INDEX(ALGO!$A$2:$BZ$20001,0,$B$19),$B$1,INDEX(ALGO!$A$2:$BZ$20001,0,$B$20),$B116,INDEX(ALGO!$A$2:$BZ$20001,0,$B$18),$K116)),IF(AM$28="",0,SUMIFS(INDEX(BESTFIT!$A$2:$BZ$20001,0,AM$28),INDEX(BESTFIT!$A$2:$BZ$20001,0,$B$15),$B$1,INDEX(BESTFIT!$A$2:$BZ$20001,0,$B$16),$B116,INDEX(BESTFIT!$A$2:$BZ$20001,0,$B$14),$K116)))))</f>
        <v/>
      </c>
    </row>
    <row r="127">
      <c r="A127" s="23">
        <f>IF($B117="","System FC simulado","System FC simulado | "&amp;$B117)</f>
        <v/>
      </c>
      <c r="D127" s="21">
        <f>IF(OR($B117="",D$27=""),0,IF(OR($D117=0,$K117="",D$30=0),D137,IF($L117=1,IF(D$29="",0,SUMIFS(INDEX(ALGO!$A$2:$BZ$20001,0,D$29),INDEX(ALGO!$A$2:$BZ$20001,0,$B$19),$B$1,INDEX(ALGO!$A$2:$BZ$20001,0,$B$20),$B117,INDEX(ALGO!$A$2:$BZ$20001,0,$B$18),$K117)),IF(D$28="",0,SUMIFS(INDEX(BESTFIT!$A$2:$BZ$20001,0,D$28),INDEX(BESTFIT!$A$2:$BZ$20001,0,$B$15),$B$1,INDEX(BESTFIT!$A$2:$BZ$20001,0,$B$16),$B117,INDEX(BESTFIT!$A$2:$BZ$20001,0,$B$14),$K117)))))</f>
        <v/>
      </c>
      <c r="E127" s="21">
        <f>IF(OR($B117="",E$27=""),0,IF(OR($D117=0,$K117="",E$30=0),E137,IF($L117=1,IF(E$29="",0,SUMIFS(INDEX(ALGO!$A$2:$BZ$20001,0,E$29),INDEX(ALGO!$A$2:$BZ$20001,0,$B$19),$B$1,INDEX(ALGO!$A$2:$BZ$20001,0,$B$20),$B117,INDEX(ALGO!$A$2:$BZ$20001,0,$B$18),$K117)),IF(E$28="",0,SUMIFS(INDEX(BESTFIT!$A$2:$BZ$20001,0,E$28),INDEX(BESTFIT!$A$2:$BZ$20001,0,$B$15),$B$1,INDEX(BESTFIT!$A$2:$BZ$20001,0,$B$16),$B117,INDEX(BESTFIT!$A$2:$BZ$20001,0,$B$14),$K117)))))</f>
        <v/>
      </c>
      <c r="F127" s="21">
        <f>IF(OR($B117="",F$27=""),0,IF(OR($D117=0,$K117="",F$30=0),F137,IF($L117=1,IF(F$29="",0,SUMIFS(INDEX(ALGO!$A$2:$BZ$20001,0,F$29),INDEX(ALGO!$A$2:$BZ$20001,0,$B$19),$B$1,INDEX(ALGO!$A$2:$BZ$20001,0,$B$20),$B117,INDEX(ALGO!$A$2:$BZ$20001,0,$B$18),$K117)),IF(F$28="",0,SUMIFS(INDEX(BESTFIT!$A$2:$BZ$20001,0,F$28),INDEX(BESTFIT!$A$2:$BZ$20001,0,$B$15),$B$1,INDEX(BESTFIT!$A$2:$BZ$20001,0,$B$16),$B117,INDEX(BESTFIT!$A$2:$BZ$20001,0,$B$14),$K117)))))</f>
        <v/>
      </c>
      <c r="G127" s="21">
        <f>IF(OR($B117="",G$27=""),0,IF(OR($D117=0,$K117="",G$30=0),G137,IF($L117=1,IF(G$29="",0,SUMIFS(INDEX(ALGO!$A$2:$BZ$20001,0,G$29),INDEX(ALGO!$A$2:$BZ$20001,0,$B$19),$B$1,INDEX(ALGO!$A$2:$BZ$20001,0,$B$20),$B117,INDEX(ALGO!$A$2:$BZ$20001,0,$B$18),$K117)),IF(G$28="",0,SUMIFS(INDEX(BESTFIT!$A$2:$BZ$20001,0,G$28),INDEX(BESTFIT!$A$2:$BZ$20001,0,$B$15),$B$1,INDEX(BESTFIT!$A$2:$BZ$20001,0,$B$16),$B117,INDEX(BESTFIT!$A$2:$BZ$20001,0,$B$14),$K117)))))</f>
        <v/>
      </c>
      <c r="H127" s="21">
        <f>IF(OR($B117="",H$27=""),0,IF(OR($D117=0,$K117="",H$30=0),H137,IF($L117=1,IF(H$29="",0,SUMIFS(INDEX(ALGO!$A$2:$BZ$20001,0,H$29),INDEX(ALGO!$A$2:$BZ$20001,0,$B$19),$B$1,INDEX(ALGO!$A$2:$BZ$20001,0,$B$20),$B117,INDEX(ALGO!$A$2:$BZ$20001,0,$B$18),$K117)),IF(H$28="",0,SUMIFS(INDEX(BESTFIT!$A$2:$BZ$20001,0,H$28),INDEX(BESTFIT!$A$2:$BZ$20001,0,$B$15),$B$1,INDEX(BESTFIT!$A$2:$BZ$20001,0,$B$16),$B117,INDEX(BESTFIT!$A$2:$BZ$20001,0,$B$14),$K117)))))</f>
        <v/>
      </c>
      <c r="I127" s="21">
        <f>IF(OR($B117="",I$27=""),0,IF(OR($D117=0,$K117="",I$30=0),I137,IF($L117=1,IF(I$29="",0,SUMIFS(INDEX(ALGO!$A$2:$BZ$20001,0,I$29),INDEX(ALGO!$A$2:$BZ$20001,0,$B$19),$B$1,INDEX(ALGO!$A$2:$BZ$20001,0,$B$20),$B117,INDEX(ALGO!$A$2:$BZ$20001,0,$B$18),$K117)),IF(I$28="",0,SUMIFS(INDEX(BESTFIT!$A$2:$BZ$20001,0,I$28),INDEX(BESTFIT!$A$2:$BZ$20001,0,$B$15),$B$1,INDEX(BESTFIT!$A$2:$BZ$20001,0,$B$16),$B117,INDEX(BESTFIT!$A$2:$BZ$20001,0,$B$14),$K117)))))</f>
        <v/>
      </c>
      <c r="J127" s="21">
        <f>IF(OR($B117="",J$27=""),0,IF(OR($D117=0,$K117="",J$30=0),J137,IF($L117=1,IF(J$29="",0,SUMIFS(INDEX(ALGO!$A$2:$BZ$20001,0,J$29),INDEX(ALGO!$A$2:$BZ$20001,0,$B$19),$B$1,INDEX(ALGO!$A$2:$BZ$20001,0,$B$20),$B117,INDEX(ALGO!$A$2:$BZ$20001,0,$B$18),$K117)),IF(J$28="",0,SUMIFS(INDEX(BESTFIT!$A$2:$BZ$20001,0,J$28),INDEX(BESTFIT!$A$2:$BZ$20001,0,$B$15),$B$1,INDEX(BESTFIT!$A$2:$BZ$20001,0,$B$16),$B117,INDEX(BESTFIT!$A$2:$BZ$20001,0,$B$14),$K117)))))</f>
        <v/>
      </c>
      <c r="K127" s="21">
        <f>IF(OR($B117="",K$27=""),0,IF(OR($D117=0,$K117="",K$30=0),K137,IF($L117=1,IF(K$29="",0,SUMIFS(INDEX(ALGO!$A$2:$BZ$20001,0,K$29),INDEX(ALGO!$A$2:$BZ$20001,0,$B$19),$B$1,INDEX(ALGO!$A$2:$BZ$20001,0,$B$20),$B117,INDEX(ALGO!$A$2:$BZ$20001,0,$B$18),$K117)),IF(K$28="",0,SUMIFS(INDEX(BESTFIT!$A$2:$BZ$20001,0,K$28),INDEX(BESTFIT!$A$2:$BZ$20001,0,$B$15),$B$1,INDEX(BESTFIT!$A$2:$BZ$20001,0,$B$16),$B117,INDEX(BESTFIT!$A$2:$BZ$20001,0,$B$14),$K117)))))</f>
        <v/>
      </c>
      <c r="L127" s="21">
        <f>IF(OR($B117="",L$27=""),0,IF(OR($D117=0,$K117="",L$30=0),L137,IF($L117=1,IF(L$29="",0,SUMIFS(INDEX(ALGO!$A$2:$BZ$20001,0,L$29),INDEX(ALGO!$A$2:$BZ$20001,0,$B$19),$B$1,INDEX(ALGO!$A$2:$BZ$20001,0,$B$20),$B117,INDEX(ALGO!$A$2:$BZ$20001,0,$B$18),$K117)),IF(L$28="",0,SUMIFS(INDEX(BESTFIT!$A$2:$BZ$20001,0,L$28),INDEX(BESTFIT!$A$2:$BZ$20001,0,$B$15),$B$1,INDEX(BESTFIT!$A$2:$BZ$20001,0,$B$16),$B117,INDEX(BESTFIT!$A$2:$BZ$20001,0,$B$14),$K117)))))</f>
        <v/>
      </c>
      <c r="M127" s="21">
        <f>IF(OR($B117="",M$27=""),0,IF(OR($D117=0,$K117="",M$30=0),M137,IF($L117=1,IF(M$29="",0,SUMIFS(INDEX(ALGO!$A$2:$BZ$20001,0,M$29),INDEX(ALGO!$A$2:$BZ$20001,0,$B$19),$B$1,INDEX(ALGO!$A$2:$BZ$20001,0,$B$20),$B117,INDEX(ALGO!$A$2:$BZ$20001,0,$B$18),$K117)),IF(M$28="",0,SUMIFS(INDEX(BESTFIT!$A$2:$BZ$20001,0,M$28),INDEX(BESTFIT!$A$2:$BZ$20001,0,$B$15),$B$1,INDEX(BESTFIT!$A$2:$BZ$20001,0,$B$16),$B117,INDEX(BESTFIT!$A$2:$BZ$20001,0,$B$14),$K117)))))</f>
        <v/>
      </c>
      <c r="N127" s="21">
        <f>IF(OR($B117="",N$27=""),0,IF(OR($D117=0,$K117="",N$30=0),N137,IF($L117=1,IF(N$29="",0,SUMIFS(INDEX(ALGO!$A$2:$BZ$20001,0,N$29),INDEX(ALGO!$A$2:$BZ$20001,0,$B$19),$B$1,INDEX(ALGO!$A$2:$BZ$20001,0,$B$20),$B117,INDEX(ALGO!$A$2:$BZ$20001,0,$B$18),$K117)),IF(N$28="",0,SUMIFS(INDEX(BESTFIT!$A$2:$BZ$20001,0,N$28),INDEX(BESTFIT!$A$2:$BZ$20001,0,$B$15),$B$1,INDEX(BESTFIT!$A$2:$BZ$20001,0,$B$16),$B117,INDEX(BESTFIT!$A$2:$BZ$20001,0,$B$14),$K117)))))</f>
        <v/>
      </c>
      <c r="O127" s="21">
        <f>IF(OR($B117="",O$27=""),0,IF(OR($D117=0,$K117="",O$30=0),O137,IF($L117=1,IF(O$29="",0,SUMIFS(INDEX(ALGO!$A$2:$BZ$20001,0,O$29),INDEX(ALGO!$A$2:$BZ$20001,0,$B$19),$B$1,INDEX(ALGO!$A$2:$BZ$20001,0,$B$20),$B117,INDEX(ALGO!$A$2:$BZ$20001,0,$B$18),$K117)),IF(O$28="",0,SUMIFS(INDEX(BESTFIT!$A$2:$BZ$20001,0,O$28),INDEX(BESTFIT!$A$2:$BZ$20001,0,$B$15),$B$1,INDEX(BESTFIT!$A$2:$BZ$20001,0,$B$16),$B117,INDEX(BESTFIT!$A$2:$BZ$20001,0,$B$14),$K117)))))</f>
        <v/>
      </c>
      <c r="P127" s="21">
        <f>IF(OR($B117="",P$27=""),0,IF(OR($D117=0,$K117="",P$30=0),P137,IF($L117=1,IF(P$29="",0,SUMIFS(INDEX(ALGO!$A$2:$BZ$20001,0,P$29),INDEX(ALGO!$A$2:$BZ$20001,0,$B$19),$B$1,INDEX(ALGO!$A$2:$BZ$20001,0,$B$20),$B117,INDEX(ALGO!$A$2:$BZ$20001,0,$B$18),$K117)),IF(P$28="",0,SUMIFS(INDEX(BESTFIT!$A$2:$BZ$20001,0,P$28),INDEX(BESTFIT!$A$2:$BZ$20001,0,$B$15),$B$1,INDEX(BESTFIT!$A$2:$BZ$20001,0,$B$16),$B117,INDEX(BESTFIT!$A$2:$BZ$20001,0,$B$14),$K117)))))</f>
        <v/>
      </c>
      <c r="Q127" s="21">
        <f>IF(OR($B117="",Q$27=""),0,IF(OR($D117=0,$K117="",Q$30=0),Q137,IF($L117=1,IF(Q$29="",0,SUMIFS(INDEX(ALGO!$A$2:$BZ$20001,0,Q$29),INDEX(ALGO!$A$2:$BZ$20001,0,$B$19),$B$1,INDEX(ALGO!$A$2:$BZ$20001,0,$B$20),$B117,INDEX(ALGO!$A$2:$BZ$20001,0,$B$18),$K117)),IF(Q$28="",0,SUMIFS(INDEX(BESTFIT!$A$2:$BZ$20001,0,Q$28),INDEX(BESTFIT!$A$2:$BZ$20001,0,$B$15),$B$1,INDEX(BESTFIT!$A$2:$BZ$20001,0,$B$16),$B117,INDEX(BESTFIT!$A$2:$BZ$20001,0,$B$14),$K117)))))</f>
        <v/>
      </c>
      <c r="R127" s="21">
        <f>IF(OR($B117="",R$27=""),0,IF(OR($D117=0,$K117="",R$30=0),R137,IF($L117=1,IF(R$29="",0,SUMIFS(INDEX(ALGO!$A$2:$BZ$20001,0,R$29),INDEX(ALGO!$A$2:$BZ$20001,0,$B$19),$B$1,INDEX(ALGO!$A$2:$BZ$20001,0,$B$20),$B117,INDEX(ALGO!$A$2:$BZ$20001,0,$B$18),$K117)),IF(R$28="",0,SUMIFS(INDEX(BESTFIT!$A$2:$BZ$20001,0,R$28),INDEX(BESTFIT!$A$2:$BZ$20001,0,$B$15),$B$1,INDEX(BESTFIT!$A$2:$BZ$20001,0,$B$16),$B117,INDEX(BESTFIT!$A$2:$BZ$20001,0,$B$14),$K117)))))</f>
        <v/>
      </c>
      <c r="S127" s="21">
        <f>IF(OR($B117="",S$27=""),0,IF(OR($D117=0,$K117="",S$30=0),S137,IF($L117=1,IF(S$29="",0,SUMIFS(INDEX(ALGO!$A$2:$BZ$20001,0,S$29),INDEX(ALGO!$A$2:$BZ$20001,0,$B$19),$B$1,INDEX(ALGO!$A$2:$BZ$20001,0,$B$20),$B117,INDEX(ALGO!$A$2:$BZ$20001,0,$B$18),$K117)),IF(S$28="",0,SUMIFS(INDEX(BESTFIT!$A$2:$BZ$20001,0,S$28),INDEX(BESTFIT!$A$2:$BZ$20001,0,$B$15),$B$1,INDEX(BESTFIT!$A$2:$BZ$20001,0,$B$16),$B117,INDEX(BESTFIT!$A$2:$BZ$20001,0,$B$14),$K117)))))</f>
        <v/>
      </c>
      <c r="T127" s="21">
        <f>IF(OR($B117="",T$27=""),0,IF(OR($D117=0,$K117="",T$30=0),T137,IF($L117=1,IF(T$29="",0,SUMIFS(INDEX(ALGO!$A$2:$BZ$20001,0,T$29),INDEX(ALGO!$A$2:$BZ$20001,0,$B$19),$B$1,INDEX(ALGO!$A$2:$BZ$20001,0,$B$20),$B117,INDEX(ALGO!$A$2:$BZ$20001,0,$B$18),$K117)),IF(T$28="",0,SUMIFS(INDEX(BESTFIT!$A$2:$BZ$20001,0,T$28),INDEX(BESTFIT!$A$2:$BZ$20001,0,$B$15),$B$1,INDEX(BESTFIT!$A$2:$BZ$20001,0,$B$16),$B117,INDEX(BESTFIT!$A$2:$BZ$20001,0,$B$14),$K117)))))</f>
        <v/>
      </c>
      <c r="U127" s="21">
        <f>IF(OR($B117="",U$27=""),0,IF(OR($D117=0,$K117="",U$30=0),U137,IF($L117=1,IF(U$29="",0,SUMIFS(INDEX(ALGO!$A$2:$BZ$20001,0,U$29),INDEX(ALGO!$A$2:$BZ$20001,0,$B$19),$B$1,INDEX(ALGO!$A$2:$BZ$20001,0,$B$20),$B117,INDEX(ALGO!$A$2:$BZ$20001,0,$B$18),$K117)),IF(U$28="",0,SUMIFS(INDEX(BESTFIT!$A$2:$BZ$20001,0,U$28),INDEX(BESTFIT!$A$2:$BZ$20001,0,$B$15),$B$1,INDEX(BESTFIT!$A$2:$BZ$20001,0,$B$16),$B117,INDEX(BESTFIT!$A$2:$BZ$20001,0,$B$14),$K117)))))</f>
        <v/>
      </c>
      <c r="V127" s="21">
        <f>IF(OR($B117="",V$27=""),0,IF(OR($D117=0,$K117="",V$30=0),V137,IF($L117=1,IF(V$29="",0,SUMIFS(INDEX(ALGO!$A$2:$BZ$20001,0,V$29),INDEX(ALGO!$A$2:$BZ$20001,0,$B$19),$B$1,INDEX(ALGO!$A$2:$BZ$20001,0,$B$20),$B117,INDEX(ALGO!$A$2:$BZ$20001,0,$B$18),$K117)),IF(V$28="",0,SUMIFS(INDEX(BESTFIT!$A$2:$BZ$20001,0,V$28),INDEX(BESTFIT!$A$2:$BZ$20001,0,$B$15),$B$1,INDEX(BESTFIT!$A$2:$BZ$20001,0,$B$16),$B117,INDEX(BESTFIT!$A$2:$BZ$20001,0,$B$14),$K117)))))</f>
        <v/>
      </c>
      <c r="W127" s="21">
        <f>IF(OR($B117="",W$27=""),0,IF(OR($D117=0,$K117="",W$30=0),W137,IF($L117=1,IF(W$29="",0,SUMIFS(INDEX(ALGO!$A$2:$BZ$20001,0,W$29),INDEX(ALGO!$A$2:$BZ$20001,0,$B$19),$B$1,INDEX(ALGO!$A$2:$BZ$20001,0,$B$20),$B117,INDEX(ALGO!$A$2:$BZ$20001,0,$B$18),$K117)),IF(W$28="",0,SUMIFS(INDEX(BESTFIT!$A$2:$BZ$20001,0,W$28),INDEX(BESTFIT!$A$2:$BZ$20001,0,$B$15),$B$1,INDEX(BESTFIT!$A$2:$BZ$20001,0,$B$16),$B117,INDEX(BESTFIT!$A$2:$BZ$20001,0,$B$14),$K117)))))</f>
        <v/>
      </c>
      <c r="X127" s="21">
        <f>IF(OR($B117="",X$27=""),0,IF(OR($D117=0,$K117="",X$30=0),X137,IF($L117=1,IF(X$29="",0,SUMIFS(INDEX(ALGO!$A$2:$BZ$20001,0,X$29),INDEX(ALGO!$A$2:$BZ$20001,0,$B$19),$B$1,INDEX(ALGO!$A$2:$BZ$20001,0,$B$20),$B117,INDEX(ALGO!$A$2:$BZ$20001,0,$B$18),$K117)),IF(X$28="",0,SUMIFS(INDEX(BESTFIT!$A$2:$BZ$20001,0,X$28),INDEX(BESTFIT!$A$2:$BZ$20001,0,$B$15),$B$1,INDEX(BESTFIT!$A$2:$BZ$20001,0,$B$16),$B117,INDEX(BESTFIT!$A$2:$BZ$20001,0,$B$14),$K117)))))</f>
        <v/>
      </c>
      <c r="Y127" s="21">
        <f>IF(OR($B117="",Y$27=""),0,IF(OR($D117=0,$K117="",Y$30=0),Y137,IF($L117=1,IF(Y$29="",0,SUMIFS(INDEX(ALGO!$A$2:$BZ$20001,0,Y$29),INDEX(ALGO!$A$2:$BZ$20001,0,$B$19),$B$1,INDEX(ALGO!$A$2:$BZ$20001,0,$B$20),$B117,INDEX(ALGO!$A$2:$BZ$20001,0,$B$18),$K117)),IF(Y$28="",0,SUMIFS(INDEX(BESTFIT!$A$2:$BZ$20001,0,Y$28),INDEX(BESTFIT!$A$2:$BZ$20001,0,$B$15),$B$1,INDEX(BESTFIT!$A$2:$BZ$20001,0,$B$16),$B117,INDEX(BESTFIT!$A$2:$BZ$20001,0,$B$14),$K117)))))</f>
        <v/>
      </c>
      <c r="Z127" s="21">
        <f>IF(OR($B117="",Z$27=""),0,IF(OR($D117=0,$K117="",Z$30=0),Z137,IF($L117=1,IF(Z$29="",0,SUMIFS(INDEX(ALGO!$A$2:$BZ$20001,0,Z$29),INDEX(ALGO!$A$2:$BZ$20001,0,$B$19),$B$1,INDEX(ALGO!$A$2:$BZ$20001,0,$B$20),$B117,INDEX(ALGO!$A$2:$BZ$20001,0,$B$18),$K117)),IF(Z$28="",0,SUMIFS(INDEX(BESTFIT!$A$2:$BZ$20001,0,Z$28),INDEX(BESTFIT!$A$2:$BZ$20001,0,$B$15),$B$1,INDEX(BESTFIT!$A$2:$BZ$20001,0,$B$16),$B117,INDEX(BESTFIT!$A$2:$BZ$20001,0,$B$14),$K117)))))</f>
        <v/>
      </c>
      <c r="AA127" s="21">
        <f>IF(OR($B117="",AA$27=""),0,IF(OR($D117=0,$K117="",AA$30=0),AA137,IF($L117=1,IF(AA$29="",0,SUMIFS(INDEX(ALGO!$A$2:$BZ$20001,0,AA$29),INDEX(ALGO!$A$2:$BZ$20001,0,$B$19),$B$1,INDEX(ALGO!$A$2:$BZ$20001,0,$B$20),$B117,INDEX(ALGO!$A$2:$BZ$20001,0,$B$18),$K117)),IF(AA$28="",0,SUMIFS(INDEX(BESTFIT!$A$2:$BZ$20001,0,AA$28),INDEX(BESTFIT!$A$2:$BZ$20001,0,$B$15),$B$1,INDEX(BESTFIT!$A$2:$BZ$20001,0,$B$16),$B117,INDEX(BESTFIT!$A$2:$BZ$20001,0,$B$14),$K117)))))</f>
        <v/>
      </c>
      <c r="AB127" s="21">
        <f>IF(OR($B117="",AB$27=""),0,IF(OR($D117=0,$K117="",AB$30=0),AB137,IF($L117=1,IF(AB$29="",0,SUMIFS(INDEX(ALGO!$A$2:$BZ$20001,0,AB$29),INDEX(ALGO!$A$2:$BZ$20001,0,$B$19),$B$1,INDEX(ALGO!$A$2:$BZ$20001,0,$B$20),$B117,INDEX(ALGO!$A$2:$BZ$20001,0,$B$18),$K117)),IF(AB$28="",0,SUMIFS(INDEX(BESTFIT!$A$2:$BZ$20001,0,AB$28),INDEX(BESTFIT!$A$2:$BZ$20001,0,$B$15),$B$1,INDEX(BESTFIT!$A$2:$BZ$20001,0,$B$16),$B117,INDEX(BESTFIT!$A$2:$BZ$20001,0,$B$14),$K117)))))</f>
        <v/>
      </c>
      <c r="AC127" s="21">
        <f>IF(OR($B117="",AC$27=""),0,IF(OR($D117=0,$K117="",AC$30=0),AC137,IF($L117=1,IF(AC$29="",0,SUMIFS(INDEX(ALGO!$A$2:$BZ$20001,0,AC$29),INDEX(ALGO!$A$2:$BZ$20001,0,$B$19),$B$1,INDEX(ALGO!$A$2:$BZ$20001,0,$B$20),$B117,INDEX(ALGO!$A$2:$BZ$20001,0,$B$18),$K117)),IF(AC$28="",0,SUMIFS(INDEX(BESTFIT!$A$2:$BZ$20001,0,AC$28),INDEX(BESTFIT!$A$2:$BZ$20001,0,$B$15),$B$1,INDEX(BESTFIT!$A$2:$BZ$20001,0,$B$16),$B117,INDEX(BESTFIT!$A$2:$BZ$20001,0,$B$14),$K117)))))</f>
        <v/>
      </c>
      <c r="AD127" s="21">
        <f>IF(OR($B117="",AD$27=""),0,IF(OR($D117=0,$K117="",AD$30=0),AD137,IF($L117=1,IF(AD$29="",0,SUMIFS(INDEX(ALGO!$A$2:$BZ$20001,0,AD$29),INDEX(ALGO!$A$2:$BZ$20001,0,$B$19),$B$1,INDEX(ALGO!$A$2:$BZ$20001,0,$B$20),$B117,INDEX(ALGO!$A$2:$BZ$20001,0,$B$18),$K117)),IF(AD$28="",0,SUMIFS(INDEX(BESTFIT!$A$2:$BZ$20001,0,AD$28),INDEX(BESTFIT!$A$2:$BZ$20001,0,$B$15),$B$1,INDEX(BESTFIT!$A$2:$BZ$20001,0,$B$16),$B117,INDEX(BESTFIT!$A$2:$BZ$20001,0,$B$14),$K117)))))</f>
        <v/>
      </c>
      <c r="AE127" s="21">
        <f>IF(OR($B117="",AE$27=""),0,IF(OR($D117=0,$K117="",AE$30=0),AE137,IF($L117=1,IF(AE$29="",0,SUMIFS(INDEX(ALGO!$A$2:$BZ$20001,0,AE$29),INDEX(ALGO!$A$2:$BZ$20001,0,$B$19),$B$1,INDEX(ALGO!$A$2:$BZ$20001,0,$B$20),$B117,INDEX(ALGO!$A$2:$BZ$20001,0,$B$18),$K117)),IF(AE$28="",0,SUMIFS(INDEX(BESTFIT!$A$2:$BZ$20001,0,AE$28),INDEX(BESTFIT!$A$2:$BZ$20001,0,$B$15),$B$1,INDEX(BESTFIT!$A$2:$BZ$20001,0,$B$16),$B117,INDEX(BESTFIT!$A$2:$BZ$20001,0,$B$14),$K117)))))</f>
        <v/>
      </c>
      <c r="AF127" s="21">
        <f>IF(OR($B117="",AF$27=""),0,IF(OR($D117=0,$K117="",AF$30=0),AF137,IF($L117=1,IF(AF$29="",0,SUMIFS(INDEX(ALGO!$A$2:$BZ$20001,0,AF$29),INDEX(ALGO!$A$2:$BZ$20001,0,$B$19),$B$1,INDEX(ALGO!$A$2:$BZ$20001,0,$B$20),$B117,INDEX(ALGO!$A$2:$BZ$20001,0,$B$18),$K117)),IF(AF$28="",0,SUMIFS(INDEX(BESTFIT!$A$2:$BZ$20001,0,AF$28),INDEX(BESTFIT!$A$2:$BZ$20001,0,$B$15),$B$1,INDEX(BESTFIT!$A$2:$BZ$20001,0,$B$16),$B117,INDEX(BESTFIT!$A$2:$BZ$20001,0,$B$14),$K117)))))</f>
        <v/>
      </c>
      <c r="AG127" s="21">
        <f>IF(OR($B117="",AG$27=""),0,IF(OR($D117=0,$K117="",AG$30=0),AG137,IF($L117=1,IF(AG$29="",0,SUMIFS(INDEX(ALGO!$A$2:$BZ$20001,0,AG$29),INDEX(ALGO!$A$2:$BZ$20001,0,$B$19),$B$1,INDEX(ALGO!$A$2:$BZ$20001,0,$B$20),$B117,INDEX(ALGO!$A$2:$BZ$20001,0,$B$18),$K117)),IF(AG$28="",0,SUMIFS(INDEX(BESTFIT!$A$2:$BZ$20001,0,AG$28),INDEX(BESTFIT!$A$2:$BZ$20001,0,$B$15),$B$1,INDEX(BESTFIT!$A$2:$BZ$20001,0,$B$16),$B117,INDEX(BESTFIT!$A$2:$BZ$20001,0,$B$14),$K117)))))</f>
        <v/>
      </c>
      <c r="AH127" s="21">
        <f>IF(OR($B117="",AH$27=""),0,IF(OR($D117=0,$K117="",AH$30=0),AH137,IF($L117=1,IF(AH$29="",0,SUMIFS(INDEX(ALGO!$A$2:$BZ$20001,0,AH$29),INDEX(ALGO!$A$2:$BZ$20001,0,$B$19),$B$1,INDEX(ALGO!$A$2:$BZ$20001,0,$B$20),$B117,INDEX(ALGO!$A$2:$BZ$20001,0,$B$18),$K117)),IF(AH$28="",0,SUMIFS(INDEX(BESTFIT!$A$2:$BZ$20001,0,AH$28),INDEX(BESTFIT!$A$2:$BZ$20001,0,$B$15),$B$1,INDEX(BESTFIT!$A$2:$BZ$20001,0,$B$16),$B117,INDEX(BESTFIT!$A$2:$BZ$20001,0,$B$14),$K117)))))</f>
        <v/>
      </c>
      <c r="AI127" s="21">
        <f>IF(OR($B117="",AI$27=""),0,IF(OR($D117=0,$K117="",AI$30=0),AI137,IF($L117=1,IF(AI$29="",0,SUMIFS(INDEX(ALGO!$A$2:$BZ$20001,0,AI$29),INDEX(ALGO!$A$2:$BZ$20001,0,$B$19),$B$1,INDEX(ALGO!$A$2:$BZ$20001,0,$B$20),$B117,INDEX(ALGO!$A$2:$BZ$20001,0,$B$18),$K117)),IF(AI$28="",0,SUMIFS(INDEX(BESTFIT!$A$2:$BZ$20001,0,AI$28),INDEX(BESTFIT!$A$2:$BZ$20001,0,$B$15),$B$1,INDEX(BESTFIT!$A$2:$BZ$20001,0,$B$16),$B117,INDEX(BESTFIT!$A$2:$BZ$20001,0,$B$14),$K117)))))</f>
        <v/>
      </c>
      <c r="AJ127" s="21">
        <f>IF(OR($B117="",AJ$27=""),0,IF(OR($D117=0,$K117="",AJ$30=0),AJ137,IF($L117=1,IF(AJ$29="",0,SUMIFS(INDEX(ALGO!$A$2:$BZ$20001,0,AJ$29),INDEX(ALGO!$A$2:$BZ$20001,0,$B$19),$B$1,INDEX(ALGO!$A$2:$BZ$20001,0,$B$20),$B117,INDEX(ALGO!$A$2:$BZ$20001,0,$B$18),$K117)),IF(AJ$28="",0,SUMIFS(INDEX(BESTFIT!$A$2:$BZ$20001,0,AJ$28),INDEX(BESTFIT!$A$2:$BZ$20001,0,$B$15),$B$1,INDEX(BESTFIT!$A$2:$BZ$20001,0,$B$16),$B117,INDEX(BESTFIT!$A$2:$BZ$20001,0,$B$14),$K117)))))</f>
        <v/>
      </c>
      <c r="AK127" s="21">
        <f>IF(OR($B117="",AK$27=""),0,IF(OR($D117=0,$K117="",AK$30=0),AK137,IF($L117=1,IF(AK$29="",0,SUMIFS(INDEX(ALGO!$A$2:$BZ$20001,0,AK$29),INDEX(ALGO!$A$2:$BZ$20001,0,$B$19),$B$1,INDEX(ALGO!$A$2:$BZ$20001,0,$B$20),$B117,INDEX(ALGO!$A$2:$BZ$20001,0,$B$18),$K117)),IF(AK$28="",0,SUMIFS(INDEX(BESTFIT!$A$2:$BZ$20001,0,AK$28),INDEX(BESTFIT!$A$2:$BZ$20001,0,$B$15),$B$1,INDEX(BESTFIT!$A$2:$BZ$20001,0,$B$16),$B117,INDEX(BESTFIT!$A$2:$BZ$20001,0,$B$14),$K117)))))</f>
        <v/>
      </c>
      <c r="AL127" s="21">
        <f>IF(OR($B117="",AL$27=""),0,IF(OR($D117=0,$K117="",AL$30=0),AL137,IF($L117=1,IF(AL$29="",0,SUMIFS(INDEX(ALGO!$A$2:$BZ$20001,0,AL$29),INDEX(ALGO!$A$2:$BZ$20001,0,$B$19),$B$1,INDEX(ALGO!$A$2:$BZ$20001,0,$B$20),$B117,INDEX(ALGO!$A$2:$BZ$20001,0,$B$18),$K117)),IF(AL$28="",0,SUMIFS(INDEX(BESTFIT!$A$2:$BZ$20001,0,AL$28),INDEX(BESTFIT!$A$2:$BZ$20001,0,$B$15),$B$1,INDEX(BESTFIT!$A$2:$BZ$20001,0,$B$16),$B117,INDEX(BESTFIT!$A$2:$BZ$20001,0,$B$14),$K117)))))</f>
        <v/>
      </c>
      <c r="AM127" s="21">
        <f>IF(OR($B117="",AM$27=""),0,IF(OR($D117=0,$K117="",AM$30=0),AM137,IF($L117=1,IF(AM$29="",0,SUMIFS(INDEX(ALGO!$A$2:$BZ$20001,0,AM$29),INDEX(ALGO!$A$2:$BZ$20001,0,$B$19),$B$1,INDEX(ALGO!$A$2:$BZ$20001,0,$B$20),$B117,INDEX(ALGO!$A$2:$BZ$20001,0,$B$18),$K117)),IF(AM$28="",0,SUMIFS(INDEX(BESTFIT!$A$2:$BZ$20001,0,AM$28),INDEX(BESTFIT!$A$2:$BZ$20001,0,$B$15),$B$1,INDEX(BESTFIT!$A$2:$BZ$20001,0,$B$16),$B117,INDEX(BESTFIT!$A$2:$BZ$20001,0,$B$14),$K117)))))</f>
        <v/>
      </c>
    </row>
    <row r="128">
      <c r="A128" s="23">
        <f>IF($B118="","System FC simulado","System FC simulado | "&amp;$B118)</f>
        <v/>
      </c>
      <c r="D128" s="21">
        <f>IF(OR($B118="",D$27=""),0,IF(OR($D118=0,$K118="",D$30=0),D138,IF($L118=1,IF(D$29="",0,SUMIFS(INDEX(ALGO!$A$2:$BZ$20001,0,D$29),INDEX(ALGO!$A$2:$BZ$20001,0,$B$19),$B$1,INDEX(ALGO!$A$2:$BZ$20001,0,$B$20),$B118,INDEX(ALGO!$A$2:$BZ$20001,0,$B$18),$K118)),IF(D$28="",0,SUMIFS(INDEX(BESTFIT!$A$2:$BZ$20001,0,D$28),INDEX(BESTFIT!$A$2:$BZ$20001,0,$B$15),$B$1,INDEX(BESTFIT!$A$2:$BZ$20001,0,$B$16),$B118,INDEX(BESTFIT!$A$2:$BZ$20001,0,$B$14),$K118)))))</f>
        <v/>
      </c>
      <c r="E128" s="21">
        <f>IF(OR($B118="",E$27=""),0,IF(OR($D118=0,$K118="",E$30=0),E138,IF($L118=1,IF(E$29="",0,SUMIFS(INDEX(ALGO!$A$2:$BZ$20001,0,E$29),INDEX(ALGO!$A$2:$BZ$20001,0,$B$19),$B$1,INDEX(ALGO!$A$2:$BZ$20001,0,$B$20),$B118,INDEX(ALGO!$A$2:$BZ$20001,0,$B$18),$K118)),IF(E$28="",0,SUMIFS(INDEX(BESTFIT!$A$2:$BZ$20001,0,E$28),INDEX(BESTFIT!$A$2:$BZ$20001,0,$B$15),$B$1,INDEX(BESTFIT!$A$2:$BZ$20001,0,$B$16),$B118,INDEX(BESTFIT!$A$2:$BZ$20001,0,$B$14),$K118)))))</f>
        <v/>
      </c>
      <c r="F128" s="21">
        <f>IF(OR($B118="",F$27=""),0,IF(OR($D118=0,$K118="",F$30=0),F138,IF($L118=1,IF(F$29="",0,SUMIFS(INDEX(ALGO!$A$2:$BZ$20001,0,F$29),INDEX(ALGO!$A$2:$BZ$20001,0,$B$19),$B$1,INDEX(ALGO!$A$2:$BZ$20001,0,$B$20),$B118,INDEX(ALGO!$A$2:$BZ$20001,0,$B$18),$K118)),IF(F$28="",0,SUMIFS(INDEX(BESTFIT!$A$2:$BZ$20001,0,F$28),INDEX(BESTFIT!$A$2:$BZ$20001,0,$B$15),$B$1,INDEX(BESTFIT!$A$2:$BZ$20001,0,$B$16),$B118,INDEX(BESTFIT!$A$2:$BZ$20001,0,$B$14),$K118)))))</f>
        <v/>
      </c>
      <c r="G128" s="21">
        <f>IF(OR($B118="",G$27=""),0,IF(OR($D118=0,$K118="",G$30=0),G138,IF($L118=1,IF(G$29="",0,SUMIFS(INDEX(ALGO!$A$2:$BZ$20001,0,G$29),INDEX(ALGO!$A$2:$BZ$20001,0,$B$19),$B$1,INDEX(ALGO!$A$2:$BZ$20001,0,$B$20),$B118,INDEX(ALGO!$A$2:$BZ$20001,0,$B$18),$K118)),IF(G$28="",0,SUMIFS(INDEX(BESTFIT!$A$2:$BZ$20001,0,G$28),INDEX(BESTFIT!$A$2:$BZ$20001,0,$B$15),$B$1,INDEX(BESTFIT!$A$2:$BZ$20001,0,$B$16),$B118,INDEX(BESTFIT!$A$2:$BZ$20001,0,$B$14),$K118)))))</f>
        <v/>
      </c>
      <c r="H128" s="21">
        <f>IF(OR($B118="",H$27=""),0,IF(OR($D118=0,$K118="",H$30=0),H138,IF($L118=1,IF(H$29="",0,SUMIFS(INDEX(ALGO!$A$2:$BZ$20001,0,H$29),INDEX(ALGO!$A$2:$BZ$20001,0,$B$19),$B$1,INDEX(ALGO!$A$2:$BZ$20001,0,$B$20),$B118,INDEX(ALGO!$A$2:$BZ$20001,0,$B$18),$K118)),IF(H$28="",0,SUMIFS(INDEX(BESTFIT!$A$2:$BZ$20001,0,H$28),INDEX(BESTFIT!$A$2:$BZ$20001,0,$B$15),$B$1,INDEX(BESTFIT!$A$2:$BZ$20001,0,$B$16),$B118,INDEX(BESTFIT!$A$2:$BZ$20001,0,$B$14),$K118)))))</f>
        <v/>
      </c>
      <c r="I128" s="21">
        <f>IF(OR($B118="",I$27=""),0,IF(OR($D118=0,$K118="",I$30=0),I138,IF($L118=1,IF(I$29="",0,SUMIFS(INDEX(ALGO!$A$2:$BZ$20001,0,I$29),INDEX(ALGO!$A$2:$BZ$20001,0,$B$19),$B$1,INDEX(ALGO!$A$2:$BZ$20001,0,$B$20),$B118,INDEX(ALGO!$A$2:$BZ$20001,0,$B$18),$K118)),IF(I$28="",0,SUMIFS(INDEX(BESTFIT!$A$2:$BZ$20001,0,I$28),INDEX(BESTFIT!$A$2:$BZ$20001,0,$B$15),$B$1,INDEX(BESTFIT!$A$2:$BZ$20001,0,$B$16),$B118,INDEX(BESTFIT!$A$2:$BZ$20001,0,$B$14),$K118)))))</f>
        <v/>
      </c>
      <c r="J128" s="21">
        <f>IF(OR($B118="",J$27=""),0,IF(OR($D118=0,$K118="",J$30=0),J138,IF($L118=1,IF(J$29="",0,SUMIFS(INDEX(ALGO!$A$2:$BZ$20001,0,J$29),INDEX(ALGO!$A$2:$BZ$20001,0,$B$19),$B$1,INDEX(ALGO!$A$2:$BZ$20001,0,$B$20),$B118,INDEX(ALGO!$A$2:$BZ$20001,0,$B$18),$K118)),IF(J$28="",0,SUMIFS(INDEX(BESTFIT!$A$2:$BZ$20001,0,J$28),INDEX(BESTFIT!$A$2:$BZ$20001,0,$B$15),$B$1,INDEX(BESTFIT!$A$2:$BZ$20001,0,$B$16),$B118,INDEX(BESTFIT!$A$2:$BZ$20001,0,$B$14),$K118)))))</f>
        <v/>
      </c>
      <c r="K128" s="21">
        <f>IF(OR($B118="",K$27=""),0,IF(OR($D118=0,$K118="",K$30=0),K138,IF($L118=1,IF(K$29="",0,SUMIFS(INDEX(ALGO!$A$2:$BZ$20001,0,K$29),INDEX(ALGO!$A$2:$BZ$20001,0,$B$19),$B$1,INDEX(ALGO!$A$2:$BZ$20001,0,$B$20),$B118,INDEX(ALGO!$A$2:$BZ$20001,0,$B$18),$K118)),IF(K$28="",0,SUMIFS(INDEX(BESTFIT!$A$2:$BZ$20001,0,K$28),INDEX(BESTFIT!$A$2:$BZ$20001,0,$B$15),$B$1,INDEX(BESTFIT!$A$2:$BZ$20001,0,$B$16),$B118,INDEX(BESTFIT!$A$2:$BZ$20001,0,$B$14),$K118)))))</f>
        <v/>
      </c>
      <c r="L128" s="21">
        <f>IF(OR($B118="",L$27=""),0,IF(OR($D118=0,$K118="",L$30=0),L138,IF($L118=1,IF(L$29="",0,SUMIFS(INDEX(ALGO!$A$2:$BZ$20001,0,L$29),INDEX(ALGO!$A$2:$BZ$20001,0,$B$19),$B$1,INDEX(ALGO!$A$2:$BZ$20001,0,$B$20),$B118,INDEX(ALGO!$A$2:$BZ$20001,0,$B$18),$K118)),IF(L$28="",0,SUMIFS(INDEX(BESTFIT!$A$2:$BZ$20001,0,L$28),INDEX(BESTFIT!$A$2:$BZ$20001,0,$B$15),$B$1,INDEX(BESTFIT!$A$2:$BZ$20001,0,$B$16),$B118,INDEX(BESTFIT!$A$2:$BZ$20001,0,$B$14),$K118)))))</f>
        <v/>
      </c>
      <c r="M128" s="21">
        <f>IF(OR($B118="",M$27=""),0,IF(OR($D118=0,$K118="",M$30=0),M138,IF($L118=1,IF(M$29="",0,SUMIFS(INDEX(ALGO!$A$2:$BZ$20001,0,M$29),INDEX(ALGO!$A$2:$BZ$20001,0,$B$19),$B$1,INDEX(ALGO!$A$2:$BZ$20001,0,$B$20),$B118,INDEX(ALGO!$A$2:$BZ$20001,0,$B$18),$K118)),IF(M$28="",0,SUMIFS(INDEX(BESTFIT!$A$2:$BZ$20001,0,M$28),INDEX(BESTFIT!$A$2:$BZ$20001,0,$B$15),$B$1,INDEX(BESTFIT!$A$2:$BZ$20001,0,$B$16),$B118,INDEX(BESTFIT!$A$2:$BZ$20001,0,$B$14),$K118)))))</f>
        <v/>
      </c>
      <c r="N128" s="21">
        <f>IF(OR($B118="",N$27=""),0,IF(OR($D118=0,$K118="",N$30=0),N138,IF($L118=1,IF(N$29="",0,SUMIFS(INDEX(ALGO!$A$2:$BZ$20001,0,N$29),INDEX(ALGO!$A$2:$BZ$20001,0,$B$19),$B$1,INDEX(ALGO!$A$2:$BZ$20001,0,$B$20),$B118,INDEX(ALGO!$A$2:$BZ$20001,0,$B$18),$K118)),IF(N$28="",0,SUMIFS(INDEX(BESTFIT!$A$2:$BZ$20001,0,N$28),INDEX(BESTFIT!$A$2:$BZ$20001,0,$B$15),$B$1,INDEX(BESTFIT!$A$2:$BZ$20001,0,$B$16),$B118,INDEX(BESTFIT!$A$2:$BZ$20001,0,$B$14),$K118)))))</f>
        <v/>
      </c>
      <c r="O128" s="21">
        <f>IF(OR($B118="",O$27=""),0,IF(OR($D118=0,$K118="",O$30=0),O138,IF($L118=1,IF(O$29="",0,SUMIFS(INDEX(ALGO!$A$2:$BZ$20001,0,O$29),INDEX(ALGO!$A$2:$BZ$20001,0,$B$19),$B$1,INDEX(ALGO!$A$2:$BZ$20001,0,$B$20),$B118,INDEX(ALGO!$A$2:$BZ$20001,0,$B$18),$K118)),IF(O$28="",0,SUMIFS(INDEX(BESTFIT!$A$2:$BZ$20001,0,O$28),INDEX(BESTFIT!$A$2:$BZ$20001,0,$B$15),$B$1,INDEX(BESTFIT!$A$2:$BZ$20001,0,$B$16),$B118,INDEX(BESTFIT!$A$2:$BZ$20001,0,$B$14),$K118)))))</f>
        <v/>
      </c>
      <c r="P128" s="21">
        <f>IF(OR($B118="",P$27=""),0,IF(OR($D118=0,$K118="",P$30=0),P138,IF($L118=1,IF(P$29="",0,SUMIFS(INDEX(ALGO!$A$2:$BZ$20001,0,P$29),INDEX(ALGO!$A$2:$BZ$20001,0,$B$19),$B$1,INDEX(ALGO!$A$2:$BZ$20001,0,$B$20),$B118,INDEX(ALGO!$A$2:$BZ$20001,0,$B$18),$K118)),IF(P$28="",0,SUMIFS(INDEX(BESTFIT!$A$2:$BZ$20001,0,P$28),INDEX(BESTFIT!$A$2:$BZ$20001,0,$B$15),$B$1,INDEX(BESTFIT!$A$2:$BZ$20001,0,$B$16),$B118,INDEX(BESTFIT!$A$2:$BZ$20001,0,$B$14),$K118)))))</f>
        <v/>
      </c>
      <c r="Q128" s="21">
        <f>IF(OR($B118="",Q$27=""),0,IF(OR($D118=0,$K118="",Q$30=0),Q138,IF($L118=1,IF(Q$29="",0,SUMIFS(INDEX(ALGO!$A$2:$BZ$20001,0,Q$29),INDEX(ALGO!$A$2:$BZ$20001,0,$B$19),$B$1,INDEX(ALGO!$A$2:$BZ$20001,0,$B$20),$B118,INDEX(ALGO!$A$2:$BZ$20001,0,$B$18),$K118)),IF(Q$28="",0,SUMIFS(INDEX(BESTFIT!$A$2:$BZ$20001,0,Q$28),INDEX(BESTFIT!$A$2:$BZ$20001,0,$B$15),$B$1,INDEX(BESTFIT!$A$2:$BZ$20001,0,$B$16),$B118,INDEX(BESTFIT!$A$2:$BZ$20001,0,$B$14),$K118)))))</f>
        <v/>
      </c>
      <c r="R128" s="21">
        <f>IF(OR($B118="",R$27=""),0,IF(OR($D118=0,$K118="",R$30=0),R138,IF($L118=1,IF(R$29="",0,SUMIFS(INDEX(ALGO!$A$2:$BZ$20001,0,R$29),INDEX(ALGO!$A$2:$BZ$20001,0,$B$19),$B$1,INDEX(ALGO!$A$2:$BZ$20001,0,$B$20),$B118,INDEX(ALGO!$A$2:$BZ$20001,0,$B$18),$K118)),IF(R$28="",0,SUMIFS(INDEX(BESTFIT!$A$2:$BZ$20001,0,R$28),INDEX(BESTFIT!$A$2:$BZ$20001,0,$B$15),$B$1,INDEX(BESTFIT!$A$2:$BZ$20001,0,$B$16),$B118,INDEX(BESTFIT!$A$2:$BZ$20001,0,$B$14),$K118)))))</f>
        <v/>
      </c>
      <c r="S128" s="21">
        <f>IF(OR($B118="",S$27=""),0,IF(OR($D118=0,$K118="",S$30=0),S138,IF($L118=1,IF(S$29="",0,SUMIFS(INDEX(ALGO!$A$2:$BZ$20001,0,S$29),INDEX(ALGO!$A$2:$BZ$20001,0,$B$19),$B$1,INDEX(ALGO!$A$2:$BZ$20001,0,$B$20),$B118,INDEX(ALGO!$A$2:$BZ$20001,0,$B$18),$K118)),IF(S$28="",0,SUMIFS(INDEX(BESTFIT!$A$2:$BZ$20001,0,S$28),INDEX(BESTFIT!$A$2:$BZ$20001,0,$B$15),$B$1,INDEX(BESTFIT!$A$2:$BZ$20001,0,$B$16),$B118,INDEX(BESTFIT!$A$2:$BZ$20001,0,$B$14),$K118)))))</f>
        <v/>
      </c>
      <c r="T128" s="21">
        <f>IF(OR($B118="",T$27=""),0,IF(OR($D118=0,$K118="",T$30=0),T138,IF($L118=1,IF(T$29="",0,SUMIFS(INDEX(ALGO!$A$2:$BZ$20001,0,T$29),INDEX(ALGO!$A$2:$BZ$20001,0,$B$19),$B$1,INDEX(ALGO!$A$2:$BZ$20001,0,$B$20),$B118,INDEX(ALGO!$A$2:$BZ$20001,0,$B$18),$K118)),IF(T$28="",0,SUMIFS(INDEX(BESTFIT!$A$2:$BZ$20001,0,T$28),INDEX(BESTFIT!$A$2:$BZ$20001,0,$B$15),$B$1,INDEX(BESTFIT!$A$2:$BZ$20001,0,$B$16),$B118,INDEX(BESTFIT!$A$2:$BZ$20001,0,$B$14),$K118)))))</f>
        <v/>
      </c>
      <c r="U128" s="21">
        <f>IF(OR($B118="",U$27=""),0,IF(OR($D118=0,$K118="",U$30=0),U138,IF($L118=1,IF(U$29="",0,SUMIFS(INDEX(ALGO!$A$2:$BZ$20001,0,U$29),INDEX(ALGO!$A$2:$BZ$20001,0,$B$19),$B$1,INDEX(ALGO!$A$2:$BZ$20001,0,$B$20),$B118,INDEX(ALGO!$A$2:$BZ$20001,0,$B$18),$K118)),IF(U$28="",0,SUMIFS(INDEX(BESTFIT!$A$2:$BZ$20001,0,U$28),INDEX(BESTFIT!$A$2:$BZ$20001,0,$B$15),$B$1,INDEX(BESTFIT!$A$2:$BZ$20001,0,$B$16),$B118,INDEX(BESTFIT!$A$2:$BZ$20001,0,$B$14),$K118)))))</f>
        <v/>
      </c>
      <c r="V128" s="21">
        <f>IF(OR($B118="",V$27=""),0,IF(OR($D118=0,$K118="",V$30=0),V138,IF($L118=1,IF(V$29="",0,SUMIFS(INDEX(ALGO!$A$2:$BZ$20001,0,V$29),INDEX(ALGO!$A$2:$BZ$20001,0,$B$19),$B$1,INDEX(ALGO!$A$2:$BZ$20001,0,$B$20),$B118,INDEX(ALGO!$A$2:$BZ$20001,0,$B$18),$K118)),IF(V$28="",0,SUMIFS(INDEX(BESTFIT!$A$2:$BZ$20001,0,V$28),INDEX(BESTFIT!$A$2:$BZ$20001,0,$B$15),$B$1,INDEX(BESTFIT!$A$2:$BZ$20001,0,$B$16),$B118,INDEX(BESTFIT!$A$2:$BZ$20001,0,$B$14),$K118)))))</f>
        <v/>
      </c>
      <c r="W128" s="21">
        <f>IF(OR($B118="",W$27=""),0,IF(OR($D118=0,$K118="",W$30=0),W138,IF($L118=1,IF(W$29="",0,SUMIFS(INDEX(ALGO!$A$2:$BZ$20001,0,W$29),INDEX(ALGO!$A$2:$BZ$20001,0,$B$19),$B$1,INDEX(ALGO!$A$2:$BZ$20001,0,$B$20),$B118,INDEX(ALGO!$A$2:$BZ$20001,0,$B$18),$K118)),IF(W$28="",0,SUMIFS(INDEX(BESTFIT!$A$2:$BZ$20001,0,W$28),INDEX(BESTFIT!$A$2:$BZ$20001,0,$B$15),$B$1,INDEX(BESTFIT!$A$2:$BZ$20001,0,$B$16),$B118,INDEX(BESTFIT!$A$2:$BZ$20001,0,$B$14),$K118)))))</f>
        <v/>
      </c>
      <c r="X128" s="21">
        <f>IF(OR($B118="",X$27=""),0,IF(OR($D118=0,$K118="",X$30=0),X138,IF($L118=1,IF(X$29="",0,SUMIFS(INDEX(ALGO!$A$2:$BZ$20001,0,X$29),INDEX(ALGO!$A$2:$BZ$20001,0,$B$19),$B$1,INDEX(ALGO!$A$2:$BZ$20001,0,$B$20),$B118,INDEX(ALGO!$A$2:$BZ$20001,0,$B$18),$K118)),IF(X$28="",0,SUMIFS(INDEX(BESTFIT!$A$2:$BZ$20001,0,X$28),INDEX(BESTFIT!$A$2:$BZ$20001,0,$B$15),$B$1,INDEX(BESTFIT!$A$2:$BZ$20001,0,$B$16),$B118,INDEX(BESTFIT!$A$2:$BZ$20001,0,$B$14),$K118)))))</f>
        <v/>
      </c>
      <c r="Y128" s="21">
        <f>IF(OR($B118="",Y$27=""),0,IF(OR($D118=0,$K118="",Y$30=0),Y138,IF($L118=1,IF(Y$29="",0,SUMIFS(INDEX(ALGO!$A$2:$BZ$20001,0,Y$29),INDEX(ALGO!$A$2:$BZ$20001,0,$B$19),$B$1,INDEX(ALGO!$A$2:$BZ$20001,0,$B$20),$B118,INDEX(ALGO!$A$2:$BZ$20001,0,$B$18),$K118)),IF(Y$28="",0,SUMIFS(INDEX(BESTFIT!$A$2:$BZ$20001,0,Y$28),INDEX(BESTFIT!$A$2:$BZ$20001,0,$B$15),$B$1,INDEX(BESTFIT!$A$2:$BZ$20001,0,$B$16),$B118,INDEX(BESTFIT!$A$2:$BZ$20001,0,$B$14),$K118)))))</f>
        <v/>
      </c>
      <c r="Z128" s="21">
        <f>IF(OR($B118="",Z$27=""),0,IF(OR($D118=0,$K118="",Z$30=0),Z138,IF($L118=1,IF(Z$29="",0,SUMIFS(INDEX(ALGO!$A$2:$BZ$20001,0,Z$29),INDEX(ALGO!$A$2:$BZ$20001,0,$B$19),$B$1,INDEX(ALGO!$A$2:$BZ$20001,0,$B$20),$B118,INDEX(ALGO!$A$2:$BZ$20001,0,$B$18),$K118)),IF(Z$28="",0,SUMIFS(INDEX(BESTFIT!$A$2:$BZ$20001,0,Z$28),INDEX(BESTFIT!$A$2:$BZ$20001,0,$B$15),$B$1,INDEX(BESTFIT!$A$2:$BZ$20001,0,$B$16),$B118,INDEX(BESTFIT!$A$2:$BZ$20001,0,$B$14),$K118)))))</f>
        <v/>
      </c>
      <c r="AA128" s="21">
        <f>IF(OR($B118="",AA$27=""),0,IF(OR($D118=0,$K118="",AA$30=0),AA138,IF($L118=1,IF(AA$29="",0,SUMIFS(INDEX(ALGO!$A$2:$BZ$20001,0,AA$29),INDEX(ALGO!$A$2:$BZ$20001,0,$B$19),$B$1,INDEX(ALGO!$A$2:$BZ$20001,0,$B$20),$B118,INDEX(ALGO!$A$2:$BZ$20001,0,$B$18),$K118)),IF(AA$28="",0,SUMIFS(INDEX(BESTFIT!$A$2:$BZ$20001,0,AA$28),INDEX(BESTFIT!$A$2:$BZ$20001,0,$B$15),$B$1,INDEX(BESTFIT!$A$2:$BZ$20001,0,$B$16),$B118,INDEX(BESTFIT!$A$2:$BZ$20001,0,$B$14),$K118)))))</f>
        <v/>
      </c>
      <c r="AB128" s="21">
        <f>IF(OR($B118="",AB$27=""),0,IF(OR($D118=0,$K118="",AB$30=0),AB138,IF($L118=1,IF(AB$29="",0,SUMIFS(INDEX(ALGO!$A$2:$BZ$20001,0,AB$29),INDEX(ALGO!$A$2:$BZ$20001,0,$B$19),$B$1,INDEX(ALGO!$A$2:$BZ$20001,0,$B$20),$B118,INDEX(ALGO!$A$2:$BZ$20001,0,$B$18),$K118)),IF(AB$28="",0,SUMIFS(INDEX(BESTFIT!$A$2:$BZ$20001,0,AB$28),INDEX(BESTFIT!$A$2:$BZ$20001,0,$B$15),$B$1,INDEX(BESTFIT!$A$2:$BZ$20001,0,$B$16),$B118,INDEX(BESTFIT!$A$2:$BZ$20001,0,$B$14),$K118)))))</f>
        <v/>
      </c>
      <c r="AC128" s="21">
        <f>IF(OR($B118="",AC$27=""),0,IF(OR($D118=0,$K118="",AC$30=0),AC138,IF($L118=1,IF(AC$29="",0,SUMIFS(INDEX(ALGO!$A$2:$BZ$20001,0,AC$29),INDEX(ALGO!$A$2:$BZ$20001,0,$B$19),$B$1,INDEX(ALGO!$A$2:$BZ$20001,0,$B$20),$B118,INDEX(ALGO!$A$2:$BZ$20001,0,$B$18),$K118)),IF(AC$28="",0,SUMIFS(INDEX(BESTFIT!$A$2:$BZ$20001,0,AC$28),INDEX(BESTFIT!$A$2:$BZ$20001,0,$B$15),$B$1,INDEX(BESTFIT!$A$2:$BZ$20001,0,$B$16),$B118,INDEX(BESTFIT!$A$2:$BZ$20001,0,$B$14),$K118)))))</f>
        <v/>
      </c>
      <c r="AD128" s="21">
        <f>IF(OR($B118="",AD$27=""),0,IF(OR($D118=0,$K118="",AD$30=0),AD138,IF($L118=1,IF(AD$29="",0,SUMIFS(INDEX(ALGO!$A$2:$BZ$20001,0,AD$29),INDEX(ALGO!$A$2:$BZ$20001,0,$B$19),$B$1,INDEX(ALGO!$A$2:$BZ$20001,0,$B$20),$B118,INDEX(ALGO!$A$2:$BZ$20001,0,$B$18),$K118)),IF(AD$28="",0,SUMIFS(INDEX(BESTFIT!$A$2:$BZ$20001,0,AD$28),INDEX(BESTFIT!$A$2:$BZ$20001,0,$B$15),$B$1,INDEX(BESTFIT!$A$2:$BZ$20001,0,$B$16),$B118,INDEX(BESTFIT!$A$2:$BZ$20001,0,$B$14),$K118)))))</f>
        <v/>
      </c>
      <c r="AE128" s="21">
        <f>IF(OR($B118="",AE$27=""),0,IF(OR($D118=0,$K118="",AE$30=0),AE138,IF($L118=1,IF(AE$29="",0,SUMIFS(INDEX(ALGO!$A$2:$BZ$20001,0,AE$29),INDEX(ALGO!$A$2:$BZ$20001,0,$B$19),$B$1,INDEX(ALGO!$A$2:$BZ$20001,0,$B$20),$B118,INDEX(ALGO!$A$2:$BZ$20001,0,$B$18),$K118)),IF(AE$28="",0,SUMIFS(INDEX(BESTFIT!$A$2:$BZ$20001,0,AE$28),INDEX(BESTFIT!$A$2:$BZ$20001,0,$B$15),$B$1,INDEX(BESTFIT!$A$2:$BZ$20001,0,$B$16),$B118,INDEX(BESTFIT!$A$2:$BZ$20001,0,$B$14),$K118)))))</f>
        <v/>
      </c>
      <c r="AF128" s="21">
        <f>IF(OR($B118="",AF$27=""),0,IF(OR($D118=0,$K118="",AF$30=0),AF138,IF($L118=1,IF(AF$29="",0,SUMIFS(INDEX(ALGO!$A$2:$BZ$20001,0,AF$29),INDEX(ALGO!$A$2:$BZ$20001,0,$B$19),$B$1,INDEX(ALGO!$A$2:$BZ$20001,0,$B$20),$B118,INDEX(ALGO!$A$2:$BZ$20001,0,$B$18),$K118)),IF(AF$28="",0,SUMIFS(INDEX(BESTFIT!$A$2:$BZ$20001,0,AF$28),INDEX(BESTFIT!$A$2:$BZ$20001,0,$B$15),$B$1,INDEX(BESTFIT!$A$2:$BZ$20001,0,$B$16),$B118,INDEX(BESTFIT!$A$2:$BZ$20001,0,$B$14),$K118)))))</f>
        <v/>
      </c>
      <c r="AG128" s="21">
        <f>IF(OR($B118="",AG$27=""),0,IF(OR($D118=0,$K118="",AG$30=0),AG138,IF($L118=1,IF(AG$29="",0,SUMIFS(INDEX(ALGO!$A$2:$BZ$20001,0,AG$29),INDEX(ALGO!$A$2:$BZ$20001,0,$B$19),$B$1,INDEX(ALGO!$A$2:$BZ$20001,0,$B$20),$B118,INDEX(ALGO!$A$2:$BZ$20001,0,$B$18),$K118)),IF(AG$28="",0,SUMIFS(INDEX(BESTFIT!$A$2:$BZ$20001,0,AG$28),INDEX(BESTFIT!$A$2:$BZ$20001,0,$B$15),$B$1,INDEX(BESTFIT!$A$2:$BZ$20001,0,$B$16),$B118,INDEX(BESTFIT!$A$2:$BZ$20001,0,$B$14),$K118)))))</f>
        <v/>
      </c>
      <c r="AH128" s="21">
        <f>IF(OR($B118="",AH$27=""),0,IF(OR($D118=0,$K118="",AH$30=0),AH138,IF($L118=1,IF(AH$29="",0,SUMIFS(INDEX(ALGO!$A$2:$BZ$20001,0,AH$29),INDEX(ALGO!$A$2:$BZ$20001,0,$B$19),$B$1,INDEX(ALGO!$A$2:$BZ$20001,0,$B$20),$B118,INDEX(ALGO!$A$2:$BZ$20001,0,$B$18),$K118)),IF(AH$28="",0,SUMIFS(INDEX(BESTFIT!$A$2:$BZ$20001,0,AH$28),INDEX(BESTFIT!$A$2:$BZ$20001,0,$B$15),$B$1,INDEX(BESTFIT!$A$2:$BZ$20001,0,$B$16),$B118,INDEX(BESTFIT!$A$2:$BZ$20001,0,$B$14),$K118)))))</f>
        <v/>
      </c>
      <c r="AI128" s="21">
        <f>IF(OR($B118="",AI$27=""),0,IF(OR($D118=0,$K118="",AI$30=0),AI138,IF($L118=1,IF(AI$29="",0,SUMIFS(INDEX(ALGO!$A$2:$BZ$20001,0,AI$29),INDEX(ALGO!$A$2:$BZ$20001,0,$B$19),$B$1,INDEX(ALGO!$A$2:$BZ$20001,0,$B$20),$B118,INDEX(ALGO!$A$2:$BZ$20001,0,$B$18),$K118)),IF(AI$28="",0,SUMIFS(INDEX(BESTFIT!$A$2:$BZ$20001,0,AI$28),INDEX(BESTFIT!$A$2:$BZ$20001,0,$B$15),$B$1,INDEX(BESTFIT!$A$2:$BZ$20001,0,$B$16),$B118,INDEX(BESTFIT!$A$2:$BZ$20001,0,$B$14),$K118)))))</f>
        <v/>
      </c>
      <c r="AJ128" s="21">
        <f>IF(OR($B118="",AJ$27=""),0,IF(OR($D118=0,$K118="",AJ$30=0),AJ138,IF($L118=1,IF(AJ$29="",0,SUMIFS(INDEX(ALGO!$A$2:$BZ$20001,0,AJ$29),INDEX(ALGO!$A$2:$BZ$20001,0,$B$19),$B$1,INDEX(ALGO!$A$2:$BZ$20001,0,$B$20),$B118,INDEX(ALGO!$A$2:$BZ$20001,0,$B$18),$K118)),IF(AJ$28="",0,SUMIFS(INDEX(BESTFIT!$A$2:$BZ$20001,0,AJ$28),INDEX(BESTFIT!$A$2:$BZ$20001,0,$B$15),$B$1,INDEX(BESTFIT!$A$2:$BZ$20001,0,$B$16),$B118,INDEX(BESTFIT!$A$2:$BZ$20001,0,$B$14),$K118)))))</f>
        <v/>
      </c>
      <c r="AK128" s="21">
        <f>IF(OR($B118="",AK$27=""),0,IF(OR($D118=0,$K118="",AK$30=0),AK138,IF($L118=1,IF(AK$29="",0,SUMIFS(INDEX(ALGO!$A$2:$BZ$20001,0,AK$29),INDEX(ALGO!$A$2:$BZ$20001,0,$B$19),$B$1,INDEX(ALGO!$A$2:$BZ$20001,0,$B$20),$B118,INDEX(ALGO!$A$2:$BZ$20001,0,$B$18),$K118)),IF(AK$28="",0,SUMIFS(INDEX(BESTFIT!$A$2:$BZ$20001,0,AK$28),INDEX(BESTFIT!$A$2:$BZ$20001,0,$B$15),$B$1,INDEX(BESTFIT!$A$2:$BZ$20001,0,$B$16),$B118,INDEX(BESTFIT!$A$2:$BZ$20001,0,$B$14),$K118)))))</f>
        <v/>
      </c>
      <c r="AL128" s="21">
        <f>IF(OR($B118="",AL$27=""),0,IF(OR($D118=0,$K118="",AL$30=0),AL138,IF($L118=1,IF(AL$29="",0,SUMIFS(INDEX(ALGO!$A$2:$BZ$20001,0,AL$29),INDEX(ALGO!$A$2:$BZ$20001,0,$B$19),$B$1,INDEX(ALGO!$A$2:$BZ$20001,0,$B$20),$B118,INDEX(ALGO!$A$2:$BZ$20001,0,$B$18),$K118)),IF(AL$28="",0,SUMIFS(INDEX(BESTFIT!$A$2:$BZ$20001,0,AL$28),INDEX(BESTFIT!$A$2:$BZ$20001,0,$B$15),$B$1,INDEX(BESTFIT!$A$2:$BZ$20001,0,$B$16),$B118,INDEX(BESTFIT!$A$2:$BZ$20001,0,$B$14),$K118)))))</f>
        <v/>
      </c>
      <c r="AM128" s="21">
        <f>IF(OR($B118="",AM$27=""),0,IF(OR($D118=0,$K118="",AM$30=0),AM138,IF($L118=1,IF(AM$29="",0,SUMIFS(INDEX(ALGO!$A$2:$BZ$20001,0,AM$29),INDEX(ALGO!$A$2:$BZ$20001,0,$B$19),$B$1,INDEX(ALGO!$A$2:$BZ$20001,0,$B$20),$B118,INDEX(ALGO!$A$2:$BZ$20001,0,$B$18),$K118)),IF(AM$28="",0,SUMIFS(INDEX(BESTFIT!$A$2:$BZ$20001,0,AM$28),INDEX(BESTFIT!$A$2:$BZ$20001,0,$B$15),$B$1,INDEX(BESTFIT!$A$2:$BZ$20001,0,$B$16),$B118,INDEX(BESTFIT!$A$2:$BZ$20001,0,$B$14),$K118)))))</f>
        <v/>
      </c>
    </row>
    <row r="129">
      <c r="A129" s="23">
        <f>IF($B119="","System FC simulado","System FC simulado | "&amp;$B119)</f>
        <v/>
      </c>
      <c r="D129" s="21">
        <f>IF(OR($B119="",D$27=""),0,IF(OR($D119=0,$K119="",D$30=0),D139,IF($L119=1,IF(D$29="",0,SUMIFS(INDEX(ALGO!$A$2:$BZ$20001,0,D$29),INDEX(ALGO!$A$2:$BZ$20001,0,$B$19),$B$1,INDEX(ALGO!$A$2:$BZ$20001,0,$B$20),$B119,INDEX(ALGO!$A$2:$BZ$20001,0,$B$18),$K119)),IF(D$28="",0,SUMIFS(INDEX(BESTFIT!$A$2:$BZ$20001,0,D$28),INDEX(BESTFIT!$A$2:$BZ$20001,0,$B$15),$B$1,INDEX(BESTFIT!$A$2:$BZ$20001,0,$B$16),$B119,INDEX(BESTFIT!$A$2:$BZ$20001,0,$B$14),$K119)))))</f>
        <v/>
      </c>
      <c r="E129" s="21">
        <f>IF(OR($B119="",E$27=""),0,IF(OR($D119=0,$K119="",E$30=0),E139,IF($L119=1,IF(E$29="",0,SUMIFS(INDEX(ALGO!$A$2:$BZ$20001,0,E$29),INDEX(ALGO!$A$2:$BZ$20001,0,$B$19),$B$1,INDEX(ALGO!$A$2:$BZ$20001,0,$B$20),$B119,INDEX(ALGO!$A$2:$BZ$20001,0,$B$18),$K119)),IF(E$28="",0,SUMIFS(INDEX(BESTFIT!$A$2:$BZ$20001,0,E$28),INDEX(BESTFIT!$A$2:$BZ$20001,0,$B$15),$B$1,INDEX(BESTFIT!$A$2:$BZ$20001,0,$B$16),$B119,INDEX(BESTFIT!$A$2:$BZ$20001,0,$B$14),$K119)))))</f>
        <v/>
      </c>
      <c r="F129" s="21">
        <f>IF(OR($B119="",F$27=""),0,IF(OR($D119=0,$K119="",F$30=0),F139,IF($L119=1,IF(F$29="",0,SUMIFS(INDEX(ALGO!$A$2:$BZ$20001,0,F$29),INDEX(ALGO!$A$2:$BZ$20001,0,$B$19),$B$1,INDEX(ALGO!$A$2:$BZ$20001,0,$B$20),$B119,INDEX(ALGO!$A$2:$BZ$20001,0,$B$18),$K119)),IF(F$28="",0,SUMIFS(INDEX(BESTFIT!$A$2:$BZ$20001,0,F$28),INDEX(BESTFIT!$A$2:$BZ$20001,0,$B$15),$B$1,INDEX(BESTFIT!$A$2:$BZ$20001,0,$B$16),$B119,INDEX(BESTFIT!$A$2:$BZ$20001,0,$B$14),$K119)))))</f>
        <v/>
      </c>
      <c r="G129" s="21">
        <f>IF(OR($B119="",G$27=""),0,IF(OR($D119=0,$K119="",G$30=0),G139,IF($L119=1,IF(G$29="",0,SUMIFS(INDEX(ALGO!$A$2:$BZ$20001,0,G$29),INDEX(ALGO!$A$2:$BZ$20001,0,$B$19),$B$1,INDEX(ALGO!$A$2:$BZ$20001,0,$B$20),$B119,INDEX(ALGO!$A$2:$BZ$20001,0,$B$18),$K119)),IF(G$28="",0,SUMIFS(INDEX(BESTFIT!$A$2:$BZ$20001,0,G$28),INDEX(BESTFIT!$A$2:$BZ$20001,0,$B$15),$B$1,INDEX(BESTFIT!$A$2:$BZ$20001,0,$B$16),$B119,INDEX(BESTFIT!$A$2:$BZ$20001,0,$B$14),$K119)))))</f>
        <v/>
      </c>
      <c r="H129" s="21">
        <f>IF(OR($B119="",H$27=""),0,IF(OR($D119=0,$K119="",H$30=0),H139,IF($L119=1,IF(H$29="",0,SUMIFS(INDEX(ALGO!$A$2:$BZ$20001,0,H$29),INDEX(ALGO!$A$2:$BZ$20001,0,$B$19),$B$1,INDEX(ALGO!$A$2:$BZ$20001,0,$B$20),$B119,INDEX(ALGO!$A$2:$BZ$20001,0,$B$18),$K119)),IF(H$28="",0,SUMIFS(INDEX(BESTFIT!$A$2:$BZ$20001,0,H$28),INDEX(BESTFIT!$A$2:$BZ$20001,0,$B$15),$B$1,INDEX(BESTFIT!$A$2:$BZ$20001,0,$B$16),$B119,INDEX(BESTFIT!$A$2:$BZ$20001,0,$B$14),$K119)))))</f>
        <v/>
      </c>
      <c r="I129" s="21">
        <f>IF(OR($B119="",I$27=""),0,IF(OR($D119=0,$K119="",I$30=0),I139,IF($L119=1,IF(I$29="",0,SUMIFS(INDEX(ALGO!$A$2:$BZ$20001,0,I$29),INDEX(ALGO!$A$2:$BZ$20001,0,$B$19),$B$1,INDEX(ALGO!$A$2:$BZ$20001,0,$B$20),$B119,INDEX(ALGO!$A$2:$BZ$20001,0,$B$18),$K119)),IF(I$28="",0,SUMIFS(INDEX(BESTFIT!$A$2:$BZ$20001,0,I$28),INDEX(BESTFIT!$A$2:$BZ$20001,0,$B$15),$B$1,INDEX(BESTFIT!$A$2:$BZ$20001,0,$B$16),$B119,INDEX(BESTFIT!$A$2:$BZ$20001,0,$B$14),$K119)))))</f>
        <v/>
      </c>
      <c r="J129" s="21">
        <f>IF(OR($B119="",J$27=""),0,IF(OR($D119=0,$K119="",J$30=0),J139,IF($L119=1,IF(J$29="",0,SUMIFS(INDEX(ALGO!$A$2:$BZ$20001,0,J$29),INDEX(ALGO!$A$2:$BZ$20001,0,$B$19),$B$1,INDEX(ALGO!$A$2:$BZ$20001,0,$B$20),$B119,INDEX(ALGO!$A$2:$BZ$20001,0,$B$18),$K119)),IF(J$28="",0,SUMIFS(INDEX(BESTFIT!$A$2:$BZ$20001,0,J$28),INDEX(BESTFIT!$A$2:$BZ$20001,0,$B$15),$B$1,INDEX(BESTFIT!$A$2:$BZ$20001,0,$B$16),$B119,INDEX(BESTFIT!$A$2:$BZ$20001,0,$B$14),$K119)))))</f>
        <v/>
      </c>
      <c r="K129" s="21">
        <f>IF(OR($B119="",K$27=""),0,IF(OR($D119=0,$K119="",K$30=0),K139,IF($L119=1,IF(K$29="",0,SUMIFS(INDEX(ALGO!$A$2:$BZ$20001,0,K$29),INDEX(ALGO!$A$2:$BZ$20001,0,$B$19),$B$1,INDEX(ALGO!$A$2:$BZ$20001,0,$B$20),$B119,INDEX(ALGO!$A$2:$BZ$20001,0,$B$18),$K119)),IF(K$28="",0,SUMIFS(INDEX(BESTFIT!$A$2:$BZ$20001,0,K$28),INDEX(BESTFIT!$A$2:$BZ$20001,0,$B$15),$B$1,INDEX(BESTFIT!$A$2:$BZ$20001,0,$B$16),$B119,INDEX(BESTFIT!$A$2:$BZ$20001,0,$B$14),$K119)))))</f>
        <v/>
      </c>
      <c r="L129" s="21">
        <f>IF(OR($B119="",L$27=""),0,IF(OR($D119=0,$K119="",L$30=0),L139,IF($L119=1,IF(L$29="",0,SUMIFS(INDEX(ALGO!$A$2:$BZ$20001,0,L$29),INDEX(ALGO!$A$2:$BZ$20001,0,$B$19),$B$1,INDEX(ALGO!$A$2:$BZ$20001,0,$B$20),$B119,INDEX(ALGO!$A$2:$BZ$20001,0,$B$18),$K119)),IF(L$28="",0,SUMIFS(INDEX(BESTFIT!$A$2:$BZ$20001,0,L$28),INDEX(BESTFIT!$A$2:$BZ$20001,0,$B$15),$B$1,INDEX(BESTFIT!$A$2:$BZ$20001,0,$B$16),$B119,INDEX(BESTFIT!$A$2:$BZ$20001,0,$B$14),$K119)))))</f>
        <v/>
      </c>
      <c r="M129" s="21">
        <f>IF(OR($B119="",M$27=""),0,IF(OR($D119=0,$K119="",M$30=0),M139,IF($L119=1,IF(M$29="",0,SUMIFS(INDEX(ALGO!$A$2:$BZ$20001,0,M$29),INDEX(ALGO!$A$2:$BZ$20001,0,$B$19),$B$1,INDEX(ALGO!$A$2:$BZ$20001,0,$B$20),$B119,INDEX(ALGO!$A$2:$BZ$20001,0,$B$18),$K119)),IF(M$28="",0,SUMIFS(INDEX(BESTFIT!$A$2:$BZ$20001,0,M$28),INDEX(BESTFIT!$A$2:$BZ$20001,0,$B$15),$B$1,INDEX(BESTFIT!$A$2:$BZ$20001,0,$B$16),$B119,INDEX(BESTFIT!$A$2:$BZ$20001,0,$B$14),$K119)))))</f>
        <v/>
      </c>
      <c r="N129" s="21">
        <f>IF(OR($B119="",N$27=""),0,IF(OR($D119=0,$K119="",N$30=0),N139,IF($L119=1,IF(N$29="",0,SUMIFS(INDEX(ALGO!$A$2:$BZ$20001,0,N$29),INDEX(ALGO!$A$2:$BZ$20001,0,$B$19),$B$1,INDEX(ALGO!$A$2:$BZ$20001,0,$B$20),$B119,INDEX(ALGO!$A$2:$BZ$20001,0,$B$18),$K119)),IF(N$28="",0,SUMIFS(INDEX(BESTFIT!$A$2:$BZ$20001,0,N$28),INDEX(BESTFIT!$A$2:$BZ$20001,0,$B$15),$B$1,INDEX(BESTFIT!$A$2:$BZ$20001,0,$B$16),$B119,INDEX(BESTFIT!$A$2:$BZ$20001,0,$B$14),$K119)))))</f>
        <v/>
      </c>
      <c r="O129" s="21">
        <f>IF(OR($B119="",O$27=""),0,IF(OR($D119=0,$K119="",O$30=0),O139,IF($L119=1,IF(O$29="",0,SUMIFS(INDEX(ALGO!$A$2:$BZ$20001,0,O$29),INDEX(ALGO!$A$2:$BZ$20001,0,$B$19),$B$1,INDEX(ALGO!$A$2:$BZ$20001,0,$B$20),$B119,INDEX(ALGO!$A$2:$BZ$20001,0,$B$18),$K119)),IF(O$28="",0,SUMIFS(INDEX(BESTFIT!$A$2:$BZ$20001,0,O$28),INDEX(BESTFIT!$A$2:$BZ$20001,0,$B$15),$B$1,INDEX(BESTFIT!$A$2:$BZ$20001,0,$B$16),$B119,INDEX(BESTFIT!$A$2:$BZ$20001,0,$B$14),$K119)))))</f>
        <v/>
      </c>
      <c r="P129" s="21">
        <f>IF(OR($B119="",P$27=""),0,IF(OR($D119=0,$K119="",P$30=0),P139,IF($L119=1,IF(P$29="",0,SUMIFS(INDEX(ALGO!$A$2:$BZ$20001,0,P$29),INDEX(ALGO!$A$2:$BZ$20001,0,$B$19),$B$1,INDEX(ALGO!$A$2:$BZ$20001,0,$B$20),$B119,INDEX(ALGO!$A$2:$BZ$20001,0,$B$18),$K119)),IF(P$28="",0,SUMIFS(INDEX(BESTFIT!$A$2:$BZ$20001,0,P$28),INDEX(BESTFIT!$A$2:$BZ$20001,0,$B$15),$B$1,INDEX(BESTFIT!$A$2:$BZ$20001,0,$B$16),$B119,INDEX(BESTFIT!$A$2:$BZ$20001,0,$B$14),$K119)))))</f>
        <v/>
      </c>
      <c r="Q129" s="21">
        <f>IF(OR($B119="",Q$27=""),0,IF(OR($D119=0,$K119="",Q$30=0),Q139,IF($L119=1,IF(Q$29="",0,SUMIFS(INDEX(ALGO!$A$2:$BZ$20001,0,Q$29),INDEX(ALGO!$A$2:$BZ$20001,0,$B$19),$B$1,INDEX(ALGO!$A$2:$BZ$20001,0,$B$20),$B119,INDEX(ALGO!$A$2:$BZ$20001,0,$B$18),$K119)),IF(Q$28="",0,SUMIFS(INDEX(BESTFIT!$A$2:$BZ$20001,0,Q$28),INDEX(BESTFIT!$A$2:$BZ$20001,0,$B$15),$B$1,INDEX(BESTFIT!$A$2:$BZ$20001,0,$B$16),$B119,INDEX(BESTFIT!$A$2:$BZ$20001,0,$B$14),$K119)))))</f>
        <v/>
      </c>
      <c r="R129" s="21">
        <f>IF(OR($B119="",R$27=""),0,IF(OR($D119=0,$K119="",R$30=0),R139,IF($L119=1,IF(R$29="",0,SUMIFS(INDEX(ALGO!$A$2:$BZ$20001,0,R$29),INDEX(ALGO!$A$2:$BZ$20001,0,$B$19),$B$1,INDEX(ALGO!$A$2:$BZ$20001,0,$B$20),$B119,INDEX(ALGO!$A$2:$BZ$20001,0,$B$18),$K119)),IF(R$28="",0,SUMIFS(INDEX(BESTFIT!$A$2:$BZ$20001,0,R$28),INDEX(BESTFIT!$A$2:$BZ$20001,0,$B$15),$B$1,INDEX(BESTFIT!$A$2:$BZ$20001,0,$B$16),$B119,INDEX(BESTFIT!$A$2:$BZ$20001,0,$B$14),$K119)))))</f>
        <v/>
      </c>
      <c r="S129" s="21">
        <f>IF(OR($B119="",S$27=""),0,IF(OR($D119=0,$K119="",S$30=0),S139,IF($L119=1,IF(S$29="",0,SUMIFS(INDEX(ALGO!$A$2:$BZ$20001,0,S$29),INDEX(ALGO!$A$2:$BZ$20001,0,$B$19),$B$1,INDEX(ALGO!$A$2:$BZ$20001,0,$B$20),$B119,INDEX(ALGO!$A$2:$BZ$20001,0,$B$18),$K119)),IF(S$28="",0,SUMIFS(INDEX(BESTFIT!$A$2:$BZ$20001,0,S$28),INDEX(BESTFIT!$A$2:$BZ$20001,0,$B$15),$B$1,INDEX(BESTFIT!$A$2:$BZ$20001,0,$B$16),$B119,INDEX(BESTFIT!$A$2:$BZ$20001,0,$B$14),$K119)))))</f>
        <v/>
      </c>
      <c r="T129" s="21">
        <f>IF(OR($B119="",T$27=""),0,IF(OR($D119=0,$K119="",T$30=0),T139,IF($L119=1,IF(T$29="",0,SUMIFS(INDEX(ALGO!$A$2:$BZ$20001,0,T$29),INDEX(ALGO!$A$2:$BZ$20001,0,$B$19),$B$1,INDEX(ALGO!$A$2:$BZ$20001,0,$B$20),$B119,INDEX(ALGO!$A$2:$BZ$20001,0,$B$18),$K119)),IF(T$28="",0,SUMIFS(INDEX(BESTFIT!$A$2:$BZ$20001,0,T$28),INDEX(BESTFIT!$A$2:$BZ$20001,0,$B$15),$B$1,INDEX(BESTFIT!$A$2:$BZ$20001,0,$B$16),$B119,INDEX(BESTFIT!$A$2:$BZ$20001,0,$B$14),$K119)))))</f>
        <v/>
      </c>
      <c r="U129" s="21">
        <f>IF(OR($B119="",U$27=""),0,IF(OR($D119=0,$K119="",U$30=0),U139,IF($L119=1,IF(U$29="",0,SUMIFS(INDEX(ALGO!$A$2:$BZ$20001,0,U$29),INDEX(ALGO!$A$2:$BZ$20001,0,$B$19),$B$1,INDEX(ALGO!$A$2:$BZ$20001,0,$B$20),$B119,INDEX(ALGO!$A$2:$BZ$20001,0,$B$18),$K119)),IF(U$28="",0,SUMIFS(INDEX(BESTFIT!$A$2:$BZ$20001,0,U$28),INDEX(BESTFIT!$A$2:$BZ$20001,0,$B$15),$B$1,INDEX(BESTFIT!$A$2:$BZ$20001,0,$B$16),$B119,INDEX(BESTFIT!$A$2:$BZ$20001,0,$B$14),$K119)))))</f>
        <v/>
      </c>
      <c r="V129" s="21">
        <f>IF(OR($B119="",V$27=""),0,IF(OR($D119=0,$K119="",V$30=0),V139,IF($L119=1,IF(V$29="",0,SUMIFS(INDEX(ALGO!$A$2:$BZ$20001,0,V$29),INDEX(ALGO!$A$2:$BZ$20001,0,$B$19),$B$1,INDEX(ALGO!$A$2:$BZ$20001,0,$B$20),$B119,INDEX(ALGO!$A$2:$BZ$20001,0,$B$18),$K119)),IF(V$28="",0,SUMIFS(INDEX(BESTFIT!$A$2:$BZ$20001,0,V$28),INDEX(BESTFIT!$A$2:$BZ$20001,0,$B$15),$B$1,INDEX(BESTFIT!$A$2:$BZ$20001,0,$B$16),$B119,INDEX(BESTFIT!$A$2:$BZ$20001,0,$B$14),$K119)))))</f>
        <v/>
      </c>
      <c r="W129" s="21">
        <f>IF(OR($B119="",W$27=""),0,IF(OR($D119=0,$K119="",W$30=0),W139,IF($L119=1,IF(W$29="",0,SUMIFS(INDEX(ALGO!$A$2:$BZ$20001,0,W$29),INDEX(ALGO!$A$2:$BZ$20001,0,$B$19),$B$1,INDEX(ALGO!$A$2:$BZ$20001,0,$B$20),$B119,INDEX(ALGO!$A$2:$BZ$20001,0,$B$18),$K119)),IF(W$28="",0,SUMIFS(INDEX(BESTFIT!$A$2:$BZ$20001,0,W$28),INDEX(BESTFIT!$A$2:$BZ$20001,0,$B$15),$B$1,INDEX(BESTFIT!$A$2:$BZ$20001,0,$B$16),$B119,INDEX(BESTFIT!$A$2:$BZ$20001,0,$B$14),$K119)))))</f>
        <v/>
      </c>
      <c r="X129" s="21">
        <f>IF(OR($B119="",X$27=""),0,IF(OR($D119=0,$K119="",X$30=0),X139,IF($L119=1,IF(X$29="",0,SUMIFS(INDEX(ALGO!$A$2:$BZ$20001,0,X$29),INDEX(ALGO!$A$2:$BZ$20001,0,$B$19),$B$1,INDEX(ALGO!$A$2:$BZ$20001,0,$B$20),$B119,INDEX(ALGO!$A$2:$BZ$20001,0,$B$18),$K119)),IF(X$28="",0,SUMIFS(INDEX(BESTFIT!$A$2:$BZ$20001,0,X$28),INDEX(BESTFIT!$A$2:$BZ$20001,0,$B$15),$B$1,INDEX(BESTFIT!$A$2:$BZ$20001,0,$B$16),$B119,INDEX(BESTFIT!$A$2:$BZ$20001,0,$B$14),$K119)))))</f>
        <v/>
      </c>
      <c r="Y129" s="21">
        <f>IF(OR($B119="",Y$27=""),0,IF(OR($D119=0,$K119="",Y$30=0),Y139,IF($L119=1,IF(Y$29="",0,SUMIFS(INDEX(ALGO!$A$2:$BZ$20001,0,Y$29),INDEX(ALGO!$A$2:$BZ$20001,0,$B$19),$B$1,INDEX(ALGO!$A$2:$BZ$20001,0,$B$20),$B119,INDEX(ALGO!$A$2:$BZ$20001,0,$B$18),$K119)),IF(Y$28="",0,SUMIFS(INDEX(BESTFIT!$A$2:$BZ$20001,0,Y$28),INDEX(BESTFIT!$A$2:$BZ$20001,0,$B$15),$B$1,INDEX(BESTFIT!$A$2:$BZ$20001,0,$B$16),$B119,INDEX(BESTFIT!$A$2:$BZ$20001,0,$B$14),$K119)))))</f>
        <v/>
      </c>
      <c r="Z129" s="21">
        <f>IF(OR($B119="",Z$27=""),0,IF(OR($D119=0,$K119="",Z$30=0),Z139,IF($L119=1,IF(Z$29="",0,SUMIFS(INDEX(ALGO!$A$2:$BZ$20001,0,Z$29),INDEX(ALGO!$A$2:$BZ$20001,0,$B$19),$B$1,INDEX(ALGO!$A$2:$BZ$20001,0,$B$20),$B119,INDEX(ALGO!$A$2:$BZ$20001,0,$B$18),$K119)),IF(Z$28="",0,SUMIFS(INDEX(BESTFIT!$A$2:$BZ$20001,0,Z$28),INDEX(BESTFIT!$A$2:$BZ$20001,0,$B$15),$B$1,INDEX(BESTFIT!$A$2:$BZ$20001,0,$B$16),$B119,INDEX(BESTFIT!$A$2:$BZ$20001,0,$B$14),$K119)))))</f>
        <v/>
      </c>
      <c r="AA129" s="21">
        <f>IF(OR($B119="",AA$27=""),0,IF(OR($D119=0,$K119="",AA$30=0),AA139,IF($L119=1,IF(AA$29="",0,SUMIFS(INDEX(ALGO!$A$2:$BZ$20001,0,AA$29),INDEX(ALGO!$A$2:$BZ$20001,0,$B$19),$B$1,INDEX(ALGO!$A$2:$BZ$20001,0,$B$20),$B119,INDEX(ALGO!$A$2:$BZ$20001,0,$B$18),$K119)),IF(AA$28="",0,SUMIFS(INDEX(BESTFIT!$A$2:$BZ$20001,0,AA$28),INDEX(BESTFIT!$A$2:$BZ$20001,0,$B$15),$B$1,INDEX(BESTFIT!$A$2:$BZ$20001,0,$B$16),$B119,INDEX(BESTFIT!$A$2:$BZ$20001,0,$B$14),$K119)))))</f>
        <v/>
      </c>
      <c r="AB129" s="21">
        <f>IF(OR($B119="",AB$27=""),0,IF(OR($D119=0,$K119="",AB$30=0),AB139,IF($L119=1,IF(AB$29="",0,SUMIFS(INDEX(ALGO!$A$2:$BZ$20001,0,AB$29),INDEX(ALGO!$A$2:$BZ$20001,0,$B$19),$B$1,INDEX(ALGO!$A$2:$BZ$20001,0,$B$20),$B119,INDEX(ALGO!$A$2:$BZ$20001,0,$B$18),$K119)),IF(AB$28="",0,SUMIFS(INDEX(BESTFIT!$A$2:$BZ$20001,0,AB$28),INDEX(BESTFIT!$A$2:$BZ$20001,0,$B$15),$B$1,INDEX(BESTFIT!$A$2:$BZ$20001,0,$B$16),$B119,INDEX(BESTFIT!$A$2:$BZ$20001,0,$B$14),$K119)))))</f>
        <v/>
      </c>
      <c r="AC129" s="21">
        <f>IF(OR($B119="",AC$27=""),0,IF(OR($D119=0,$K119="",AC$30=0),AC139,IF($L119=1,IF(AC$29="",0,SUMIFS(INDEX(ALGO!$A$2:$BZ$20001,0,AC$29),INDEX(ALGO!$A$2:$BZ$20001,0,$B$19),$B$1,INDEX(ALGO!$A$2:$BZ$20001,0,$B$20),$B119,INDEX(ALGO!$A$2:$BZ$20001,0,$B$18),$K119)),IF(AC$28="",0,SUMIFS(INDEX(BESTFIT!$A$2:$BZ$20001,0,AC$28),INDEX(BESTFIT!$A$2:$BZ$20001,0,$B$15),$B$1,INDEX(BESTFIT!$A$2:$BZ$20001,0,$B$16),$B119,INDEX(BESTFIT!$A$2:$BZ$20001,0,$B$14),$K119)))))</f>
        <v/>
      </c>
      <c r="AD129" s="21">
        <f>IF(OR($B119="",AD$27=""),0,IF(OR($D119=0,$K119="",AD$30=0),AD139,IF($L119=1,IF(AD$29="",0,SUMIFS(INDEX(ALGO!$A$2:$BZ$20001,0,AD$29),INDEX(ALGO!$A$2:$BZ$20001,0,$B$19),$B$1,INDEX(ALGO!$A$2:$BZ$20001,0,$B$20),$B119,INDEX(ALGO!$A$2:$BZ$20001,0,$B$18),$K119)),IF(AD$28="",0,SUMIFS(INDEX(BESTFIT!$A$2:$BZ$20001,0,AD$28),INDEX(BESTFIT!$A$2:$BZ$20001,0,$B$15),$B$1,INDEX(BESTFIT!$A$2:$BZ$20001,0,$B$16),$B119,INDEX(BESTFIT!$A$2:$BZ$20001,0,$B$14),$K119)))))</f>
        <v/>
      </c>
      <c r="AE129" s="21">
        <f>IF(OR($B119="",AE$27=""),0,IF(OR($D119=0,$K119="",AE$30=0),AE139,IF($L119=1,IF(AE$29="",0,SUMIFS(INDEX(ALGO!$A$2:$BZ$20001,0,AE$29),INDEX(ALGO!$A$2:$BZ$20001,0,$B$19),$B$1,INDEX(ALGO!$A$2:$BZ$20001,0,$B$20),$B119,INDEX(ALGO!$A$2:$BZ$20001,0,$B$18),$K119)),IF(AE$28="",0,SUMIFS(INDEX(BESTFIT!$A$2:$BZ$20001,0,AE$28),INDEX(BESTFIT!$A$2:$BZ$20001,0,$B$15),$B$1,INDEX(BESTFIT!$A$2:$BZ$20001,0,$B$16),$B119,INDEX(BESTFIT!$A$2:$BZ$20001,0,$B$14),$K119)))))</f>
        <v/>
      </c>
      <c r="AF129" s="21">
        <f>IF(OR($B119="",AF$27=""),0,IF(OR($D119=0,$K119="",AF$30=0),AF139,IF($L119=1,IF(AF$29="",0,SUMIFS(INDEX(ALGO!$A$2:$BZ$20001,0,AF$29),INDEX(ALGO!$A$2:$BZ$20001,0,$B$19),$B$1,INDEX(ALGO!$A$2:$BZ$20001,0,$B$20),$B119,INDEX(ALGO!$A$2:$BZ$20001,0,$B$18),$K119)),IF(AF$28="",0,SUMIFS(INDEX(BESTFIT!$A$2:$BZ$20001,0,AF$28),INDEX(BESTFIT!$A$2:$BZ$20001,0,$B$15),$B$1,INDEX(BESTFIT!$A$2:$BZ$20001,0,$B$16),$B119,INDEX(BESTFIT!$A$2:$BZ$20001,0,$B$14),$K119)))))</f>
        <v/>
      </c>
      <c r="AG129" s="21">
        <f>IF(OR($B119="",AG$27=""),0,IF(OR($D119=0,$K119="",AG$30=0),AG139,IF($L119=1,IF(AG$29="",0,SUMIFS(INDEX(ALGO!$A$2:$BZ$20001,0,AG$29),INDEX(ALGO!$A$2:$BZ$20001,0,$B$19),$B$1,INDEX(ALGO!$A$2:$BZ$20001,0,$B$20),$B119,INDEX(ALGO!$A$2:$BZ$20001,0,$B$18),$K119)),IF(AG$28="",0,SUMIFS(INDEX(BESTFIT!$A$2:$BZ$20001,0,AG$28),INDEX(BESTFIT!$A$2:$BZ$20001,0,$B$15),$B$1,INDEX(BESTFIT!$A$2:$BZ$20001,0,$B$16),$B119,INDEX(BESTFIT!$A$2:$BZ$20001,0,$B$14),$K119)))))</f>
        <v/>
      </c>
      <c r="AH129" s="21">
        <f>IF(OR($B119="",AH$27=""),0,IF(OR($D119=0,$K119="",AH$30=0),AH139,IF($L119=1,IF(AH$29="",0,SUMIFS(INDEX(ALGO!$A$2:$BZ$20001,0,AH$29),INDEX(ALGO!$A$2:$BZ$20001,0,$B$19),$B$1,INDEX(ALGO!$A$2:$BZ$20001,0,$B$20),$B119,INDEX(ALGO!$A$2:$BZ$20001,0,$B$18),$K119)),IF(AH$28="",0,SUMIFS(INDEX(BESTFIT!$A$2:$BZ$20001,0,AH$28),INDEX(BESTFIT!$A$2:$BZ$20001,0,$B$15),$B$1,INDEX(BESTFIT!$A$2:$BZ$20001,0,$B$16),$B119,INDEX(BESTFIT!$A$2:$BZ$20001,0,$B$14),$K119)))))</f>
        <v/>
      </c>
      <c r="AI129" s="21">
        <f>IF(OR($B119="",AI$27=""),0,IF(OR($D119=0,$K119="",AI$30=0),AI139,IF($L119=1,IF(AI$29="",0,SUMIFS(INDEX(ALGO!$A$2:$BZ$20001,0,AI$29),INDEX(ALGO!$A$2:$BZ$20001,0,$B$19),$B$1,INDEX(ALGO!$A$2:$BZ$20001,0,$B$20),$B119,INDEX(ALGO!$A$2:$BZ$20001,0,$B$18),$K119)),IF(AI$28="",0,SUMIFS(INDEX(BESTFIT!$A$2:$BZ$20001,0,AI$28),INDEX(BESTFIT!$A$2:$BZ$20001,0,$B$15),$B$1,INDEX(BESTFIT!$A$2:$BZ$20001,0,$B$16),$B119,INDEX(BESTFIT!$A$2:$BZ$20001,0,$B$14),$K119)))))</f>
        <v/>
      </c>
      <c r="AJ129" s="21">
        <f>IF(OR($B119="",AJ$27=""),0,IF(OR($D119=0,$K119="",AJ$30=0),AJ139,IF($L119=1,IF(AJ$29="",0,SUMIFS(INDEX(ALGO!$A$2:$BZ$20001,0,AJ$29),INDEX(ALGO!$A$2:$BZ$20001,0,$B$19),$B$1,INDEX(ALGO!$A$2:$BZ$20001,0,$B$20),$B119,INDEX(ALGO!$A$2:$BZ$20001,0,$B$18),$K119)),IF(AJ$28="",0,SUMIFS(INDEX(BESTFIT!$A$2:$BZ$20001,0,AJ$28),INDEX(BESTFIT!$A$2:$BZ$20001,0,$B$15),$B$1,INDEX(BESTFIT!$A$2:$BZ$20001,0,$B$16),$B119,INDEX(BESTFIT!$A$2:$BZ$20001,0,$B$14),$K119)))))</f>
        <v/>
      </c>
      <c r="AK129" s="21">
        <f>IF(OR($B119="",AK$27=""),0,IF(OR($D119=0,$K119="",AK$30=0),AK139,IF($L119=1,IF(AK$29="",0,SUMIFS(INDEX(ALGO!$A$2:$BZ$20001,0,AK$29),INDEX(ALGO!$A$2:$BZ$20001,0,$B$19),$B$1,INDEX(ALGO!$A$2:$BZ$20001,0,$B$20),$B119,INDEX(ALGO!$A$2:$BZ$20001,0,$B$18),$K119)),IF(AK$28="",0,SUMIFS(INDEX(BESTFIT!$A$2:$BZ$20001,0,AK$28),INDEX(BESTFIT!$A$2:$BZ$20001,0,$B$15),$B$1,INDEX(BESTFIT!$A$2:$BZ$20001,0,$B$16),$B119,INDEX(BESTFIT!$A$2:$BZ$20001,0,$B$14),$K119)))))</f>
        <v/>
      </c>
      <c r="AL129" s="21">
        <f>IF(OR($B119="",AL$27=""),0,IF(OR($D119=0,$K119="",AL$30=0),AL139,IF($L119=1,IF(AL$29="",0,SUMIFS(INDEX(ALGO!$A$2:$BZ$20001,0,AL$29),INDEX(ALGO!$A$2:$BZ$20001,0,$B$19),$B$1,INDEX(ALGO!$A$2:$BZ$20001,0,$B$20),$B119,INDEX(ALGO!$A$2:$BZ$20001,0,$B$18),$K119)),IF(AL$28="",0,SUMIFS(INDEX(BESTFIT!$A$2:$BZ$20001,0,AL$28),INDEX(BESTFIT!$A$2:$BZ$20001,0,$B$15),$B$1,INDEX(BESTFIT!$A$2:$BZ$20001,0,$B$16),$B119,INDEX(BESTFIT!$A$2:$BZ$20001,0,$B$14),$K119)))))</f>
        <v/>
      </c>
      <c r="AM129" s="21">
        <f>IF(OR($B119="",AM$27=""),0,IF(OR($D119=0,$K119="",AM$30=0),AM139,IF($L119=1,IF(AM$29="",0,SUMIFS(INDEX(ALGO!$A$2:$BZ$20001,0,AM$29),INDEX(ALGO!$A$2:$BZ$20001,0,$B$19),$B$1,INDEX(ALGO!$A$2:$BZ$20001,0,$B$20),$B119,INDEX(ALGO!$A$2:$BZ$20001,0,$B$18),$K119)),IF(AM$28="",0,SUMIFS(INDEX(BESTFIT!$A$2:$BZ$20001,0,AM$28),INDEX(BESTFIT!$A$2:$BZ$20001,0,$B$15),$B$1,INDEX(BESTFIT!$A$2:$BZ$20001,0,$B$16),$B119,INDEX(BESTFIT!$A$2:$BZ$20001,0,$B$14),$K119)))))</f>
        <v/>
      </c>
    </row>
    <row r="130">
      <c r="A130" s="23">
        <f>IF($B120="","System FC simulado","System FC simulado | "&amp;$B120)</f>
        <v/>
      </c>
      <c r="D130" s="21">
        <f>IF(OR($B120="",D$27=""),0,IF(OR($D120=0,$K120="",D$30=0),D140,IF($L120=1,IF(D$29="",0,SUMIFS(INDEX(ALGO!$A$2:$BZ$20001,0,D$29),INDEX(ALGO!$A$2:$BZ$20001,0,$B$19),$B$1,INDEX(ALGO!$A$2:$BZ$20001,0,$B$20),$B120,INDEX(ALGO!$A$2:$BZ$20001,0,$B$18),$K120)),IF(D$28="",0,SUMIFS(INDEX(BESTFIT!$A$2:$BZ$20001,0,D$28),INDEX(BESTFIT!$A$2:$BZ$20001,0,$B$15),$B$1,INDEX(BESTFIT!$A$2:$BZ$20001,0,$B$16),$B120,INDEX(BESTFIT!$A$2:$BZ$20001,0,$B$14),$K120)))))</f>
        <v/>
      </c>
      <c r="E130" s="21">
        <f>IF(OR($B120="",E$27=""),0,IF(OR($D120=0,$K120="",E$30=0),E140,IF($L120=1,IF(E$29="",0,SUMIFS(INDEX(ALGO!$A$2:$BZ$20001,0,E$29),INDEX(ALGO!$A$2:$BZ$20001,0,$B$19),$B$1,INDEX(ALGO!$A$2:$BZ$20001,0,$B$20),$B120,INDEX(ALGO!$A$2:$BZ$20001,0,$B$18),$K120)),IF(E$28="",0,SUMIFS(INDEX(BESTFIT!$A$2:$BZ$20001,0,E$28),INDEX(BESTFIT!$A$2:$BZ$20001,0,$B$15),$B$1,INDEX(BESTFIT!$A$2:$BZ$20001,0,$B$16),$B120,INDEX(BESTFIT!$A$2:$BZ$20001,0,$B$14),$K120)))))</f>
        <v/>
      </c>
      <c r="F130" s="21">
        <f>IF(OR($B120="",F$27=""),0,IF(OR($D120=0,$K120="",F$30=0),F140,IF($L120=1,IF(F$29="",0,SUMIFS(INDEX(ALGO!$A$2:$BZ$20001,0,F$29),INDEX(ALGO!$A$2:$BZ$20001,0,$B$19),$B$1,INDEX(ALGO!$A$2:$BZ$20001,0,$B$20),$B120,INDEX(ALGO!$A$2:$BZ$20001,0,$B$18),$K120)),IF(F$28="",0,SUMIFS(INDEX(BESTFIT!$A$2:$BZ$20001,0,F$28),INDEX(BESTFIT!$A$2:$BZ$20001,0,$B$15),$B$1,INDEX(BESTFIT!$A$2:$BZ$20001,0,$B$16),$B120,INDEX(BESTFIT!$A$2:$BZ$20001,0,$B$14),$K120)))))</f>
        <v/>
      </c>
      <c r="G130" s="21">
        <f>IF(OR($B120="",G$27=""),0,IF(OR($D120=0,$K120="",G$30=0),G140,IF($L120=1,IF(G$29="",0,SUMIFS(INDEX(ALGO!$A$2:$BZ$20001,0,G$29),INDEX(ALGO!$A$2:$BZ$20001,0,$B$19),$B$1,INDEX(ALGO!$A$2:$BZ$20001,0,$B$20),$B120,INDEX(ALGO!$A$2:$BZ$20001,0,$B$18),$K120)),IF(G$28="",0,SUMIFS(INDEX(BESTFIT!$A$2:$BZ$20001,0,G$28),INDEX(BESTFIT!$A$2:$BZ$20001,0,$B$15),$B$1,INDEX(BESTFIT!$A$2:$BZ$20001,0,$B$16),$B120,INDEX(BESTFIT!$A$2:$BZ$20001,0,$B$14),$K120)))))</f>
        <v/>
      </c>
      <c r="H130" s="21">
        <f>IF(OR($B120="",H$27=""),0,IF(OR($D120=0,$K120="",H$30=0),H140,IF($L120=1,IF(H$29="",0,SUMIFS(INDEX(ALGO!$A$2:$BZ$20001,0,H$29),INDEX(ALGO!$A$2:$BZ$20001,0,$B$19),$B$1,INDEX(ALGO!$A$2:$BZ$20001,0,$B$20),$B120,INDEX(ALGO!$A$2:$BZ$20001,0,$B$18),$K120)),IF(H$28="",0,SUMIFS(INDEX(BESTFIT!$A$2:$BZ$20001,0,H$28),INDEX(BESTFIT!$A$2:$BZ$20001,0,$B$15),$B$1,INDEX(BESTFIT!$A$2:$BZ$20001,0,$B$16),$B120,INDEX(BESTFIT!$A$2:$BZ$20001,0,$B$14),$K120)))))</f>
        <v/>
      </c>
      <c r="I130" s="21">
        <f>IF(OR($B120="",I$27=""),0,IF(OR($D120=0,$K120="",I$30=0),I140,IF($L120=1,IF(I$29="",0,SUMIFS(INDEX(ALGO!$A$2:$BZ$20001,0,I$29),INDEX(ALGO!$A$2:$BZ$20001,0,$B$19),$B$1,INDEX(ALGO!$A$2:$BZ$20001,0,$B$20),$B120,INDEX(ALGO!$A$2:$BZ$20001,0,$B$18),$K120)),IF(I$28="",0,SUMIFS(INDEX(BESTFIT!$A$2:$BZ$20001,0,I$28),INDEX(BESTFIT!$A$2:$BZ$20001,0,$B$15),$B$1,INDEX(BESTFIT!$A$2:$BZ$20001,0,$B$16),$B120,INDEX(BESTFIT!$A$2:$BZ$20001,0,$B$14),$K120)))))</f>
        <v/>
      </c>
      <c r="J130" s="21">
        <f>IF(OR($B120="",J$27=""),0,IF(OR($D120=0,$K120="",J$30=0),J140,IF($L120=1,IF(J$29="",0,SUMIFS(INDEX(ALGO!$A$2:$BZ$20001,0,J$29),INDEX(ALGO!$A$2:$BZ$20001,0,$B$19),$B$1,INDEX(ALGO!$A$2:$BZ$20001,0,$B$20),$B120,INDEX(ALGO!$A$2:$BZ$20001,0,$B$18),$K120)),IF(J$28="",0,SUMIFS(INDEX(BESTFIT!$A$2:$BZ$20001,0,J$28),INDEX(BESTFIT!$A$2:$BZ$20001,0,$B$15),$B$1,INDEX(BESTFIT!$A$2:$BZ$20001,0,$B$16),$B120,INDEX(BESTFIT!$A$2:$BZ$20001,0,$B$14),$K120)))))</f>
        <v/>
      </c>
      <c r="K130" s="21">
        <f>IF(OR($B120="",K$27=""),0,IF(OR($D120=0,$K120="",K$30=0),K140,IF($L120=1,IF(K$29="",0,SUMIFS(INDEX(ALGO!$A$2:$BZ$20001,0,K$29),INDEX(ALGO!$A$2:$BZ$20001,0,$B$19),$B$1,INDEX(ALGO!$A$2:$BZ$20001,0,$B$20),$B120,INDEX(ALGO!$A$2:$BZ$20001,0,$B$18),$K120)),IF(K$28="",0,SUMIFS(INDEX(BESTFIT!$A$2:$BZ$20001,0,K$28),INDEX(BESTFIT!$A$2:$BZ$20001,0,$B$15),$B$1,INDEX(BESTFIT!$A$2:$BZ$20001,0,$B$16),$B120,INDEX(BESTFIT!$A$2:$BZ$20001,0,$B$14),$K120)))))</f>
        <v/>
      </c>
      <c r="L130" s="21">
        <f>IF(OR($B120="",L$27=""),0,IF(OR($D120=0,$K120="",L$30=0),L140,IF($L120=1,IF(L$29="",0,SUMIFS(INDEX(ALGO!$A$2:$BZ$20001,0,L$29),INDEX(ALGO!$A$2:$BZ$20001,0,$B$19),$B$1,INDEX(ALGO!$A$2:$BZ$20001,0,$B$20),$B120,INDEX(ALGO!$A$2:$BZ$20001,0,$B$18),$K120)),IF(L$28="",0,SUMIFS(INDEX(BESTFIT!$A$2:$BZ$20001,0,L$28),INDEX(BESTFIT!$A$2:$BZ$20001,0,$B$15),$B$1,INDEX(BESTFIT!$A$2:$BZ$20001,0,$B$16),$B120,INDEX(BESTFIT!$A$2:$BZ$20001,0,$B$14),$K120)))))</f>
        <v/>
      </c>
      <c r="M130" s="21">
        <f>IF(OR($B120="",M$27=""),0,IF(OR($D120=0,$K120="",M$30=0),M140,IF($L120=1,IF(M$29="",0,SUMIFS(INDEX(ALGO!$A$2:$BZ$20001,0,M$29),INDEX(ALGO!$A$2:$BZ$20001,0,$B$19),$B$1,INDEX(ALGO!$A$2:$BZ$20001,0,$B$20),$B120,INDEX(ALGO!$A$2:$BZ$20001,0,$B$18),$K120)),IF(M$28="",0,SUMIFS(INDEX(BESTFIT!$A$2:$BZ$20001,0,M$28),INDEX(BESTFIT!$A$2:$BZ$20001,0,$B$15),$B$1,INDEX(BESTFIT!$A$2:$BZ$20001,0,$B$16),$B120,INDEX(BESTFIT!$A$2:$BZ$20001,0,$B$14),$K120)))))</f>
        <v/>
      </c>
      <c r="N130" s="21">
        <f>IF(OR($B120="",N$27=""),0,IF(OR($D120=0,$K120="",N$30=0),N140,IF($L120=1,IF(N$29="",0,SUMIFS(INDEX(ALGO!$A$2:$BZ$20001,0,N$29),INDEX(ALGO!$A$2:$BZ$20001,0,$B$19),$B$1,INDEX(ALGO!$A$2:$BZ$20001,0,$B$20),$B120,INDEX(ALGO!$A$2:$BZ$20001,0,$B$18),$K120)),IF(N$28="",0,SUMIFS(INDEX(BESTFIT!$A$2:$BZ$20001,0,N$28),INDEX(BESTFIT!$A$2:$BZ$20001,0,$B$15),$B$1,INDEX(BESTFIT!$A$2:$BZ$20001,0,$B$16),$B120,INDEX(BESTFIT!$A$2:$BZ$20001,0,$B$14),$K120)))))</f>
        <v/>
      </c>
      <c r="O130" s="21">
        <f>IF(OR($B120="",O$27=""),0,IF(OR($D120=0,$K120="",O$30=0),O140,IF($L120=1,IF(O$29="",0,SUMIFS(INDEX(ALGO!$A$2:$BZ$20001,0,O$29),INDEX(ALGO!$A$2:$BZ$20001,0,$B$19),$B$1,INDEX(ALGO!$A$2:$BZ$20001,0,$B$20),$B120,INDEX(ALGO!$A$2:$BZ$20001,0,$B$18),$K120)),IF(O$28="",0,SUMIFS(INDEX(BESTFIT!$A$2:$BZ$20001,0,O$28),INDEX(BESTFIT!$A$2:$BZ$20001,0,$B$15),$B$1,INDEX(BESTFIT!$A$2:$BZ$20001,0,$B$16),$B120,INDEX(BESTFIT!$A$2:$BZ$20001,0,$B$14),$K120)))))</f>
        <v/>
      </c>
      <c r="P130" s="21">
        <f>IF(OR($B120="",P$27=""),0,IF(OR($D120=0,$K120="",P$30=0),P140,IF($L120=1,IF(P$29="",0,SUMIFS(INDEX(ALGO!$A$2:$BZ$20001,0,P$29),INDEX(ALGO!$A$2:$BZ$20001,0,$B$19),$B$1,INDEX(ALGO!$A$2:$BZ$20001,0,$B$20),$B120,INDEX(ALGO!$A$2:$BZ$20001,0,$B$18),$K120)),IF(P$28="",0,SUMIFS(INDEX(BESTFIT!$A$2:$BZ$20001,0,P$28),INDEX(BESTFIT!$A$2:$BZ$20001,0,$B$15),$B$1,INDEX(BESTFIT!$A$2:$BZ$20001,0,$B$16),$B120,INDEX(BESTFIT!$A$2:$BZ$20001,0,$B$14),$K120)))))</f>
        <v/>
      </c>
      <c r="Q130" s="21">
        <f>IF(OR($B120="",Q$27=""),0,IF(OR($D120=0,$K120="",Q$30=0),Q140,IF($L120=1,IF(Q$29="",0,SUMIFS(INDEX(ALGO!$A$2:$BZ$20001,0,Q$29),INDEX(ALGO!$A$2:$BZ$20001,0,$B$19),$B$1,INDEX(ALGO!$A$2:$BZ$20001,0,$B$20),$B120,INDEX(ALGO!$A$2:$BZ$20001,0,$B$18),$K120)),IF(Q$28="",0,SUMIFS(INDEX(BESTFIT!$A$2:$BZ$20001,0,Q$28),INDEX(BESTFIT!$A$2:$BZ$20001,0,$B$15),$B$1,INDEX(BESTFIT!$A$2:$BZ$20001,0,$B$16),$B120,INDEX(BESTFIT!$A$2:$BZ$20001,0,$B$14),$K120)))))</f>
        <v/>
      </c>
      <c r="R130" s="21">
        <f>IF(OR($B120="",R$27=""),0,IF(OR($D120=0,$K120="",R$30=0),R140,IF($L120=1,IF(R$29="",0,SUMIFS(INDEX(ALGO!$A$2:$BZ$20001,0,R$29),INDEX(ALGO!$A$2:$BZ$20001,0,$B$19),$B$1,INDEX(ALGO!$A$2:$BZ$20001,0,$B$20),$B120,INDEX(ALGO!$A$2:$BZ$20001,0,$B$18),$K120)),IF(R$28="",0,SUMIFS(INDEX(BESTFIT!$A$2:$BZ$20001,0,R$28),INDEX(BESTFIT!$A$2:$BZ$20001,0,$B$15),$B$1,INDEX(BESTFIT!$A$2:$BZ$20001,0,$B$16),$B120,INDEX(BESTFIT!$A$2:$BZ$20001,0,$B$14),$K120)))))</f>
        <v/>
      </c>
      <c r="S130" s="21">
        <f>IF(OR($B120="",S$27=""),0,IF(OR($D120=0,$K120="",S$30=0),S140,IF($L120=1,IF(S$29="",0,SUMIFS(INDEX(ALGO!$A$2:$BZ$20001,0,S$29),INDEX(ALGO!$A$2:$BZ$20001,0,$B$19),$B$1,INDEX(ALGO!$A$2:$BZ$20001,0,$B$20),$B120,INDEX(ALGO!$A$2:$BZ$20001,0,$B$18),$K120)),IF(S$28="",0,SUMIFS(INDEX(BESTFIT!$A$2:$BZ$20001,0,S$28),INDEX(BESTFIT!$A$2:$BZ$20001,0,$B$15),$B$1,INDEX(BESTFIT!$A$2:$BZ$20001,0,$B$16),$B120,INDEX(BESTFIT!$A$2:$BZ$20001,0,$B$14),$K120)))))</f>
        <v/>
      </c>
      <c r="T130" s="21">
        <f>IF(OR($B120="",T$27=""),0,IF(OR($D120=0,$K120="",T$30=0),T140,IF($L120=1,IF(T$29="",0,SUMIFS(INDEX(ALGO!$A$2:$BZ$20001,0,T$29),INDEX(ALGO!$A$2:$BZ$20001,0,$B$19),$B$1,INDEX(ALGO!$A$2:$BZ$20001,0,$B$20),$B120,INDEX(ALGO!$A$2:$BZ$20001,0,$B$18),$K120)),IF(T$28="",0,SUMIFS(INDEX(BESTFIT!$A$2:$BZ$20001,0,T$28),INDEX(BESTFIT!$A$2:$BZ$20001,0,$B$15),$B$1,INDEX(BESTFIT!$A$2:$BZ$20001,0,$B$16),$B120,INDEX(BESTFIT!$A$2:$BZ$20001,0,$B$14),$K120)))))</f>
        <v/>
      </c>
      <c r="U130" s="21">
        <f>IF(OR($B120="",U$27=""),0,IF(OR($D120=0,$K120="",U$30=0),U140,IF($L120=1,IF(U$29="",0,SUMIFS(INDEX(ALGO!$A$2:$BZ$20001,0,U$29),INDEX(ALGO!$A$2:$BZ$20001,0,$B$19),$B$1,INDEX(ALGO!$A$2:$BZ$20001,0,$B$20),$B120,INDEX(ALGO!$A$2:$BZ$20001,0,$B$18),$K120)),IF(U$28="",0,SUMIFS(INDEX(BESTFIT!$A$2:$BZ$20001,0,U$28),INDEX(BESTFIT!$A$2:$BZ$20001,0,$B$15),$B$1,INDEX(BESTFIT!$A$2:$BZ$20001,0,$B$16),$B120,INDEX(BESTFIT!$A$2:$BZ$20001,0,$B$14),$K120)))))</f>
        <v/>
      </c>
      <c r="V130" s="21">
        <f>IF(OR($B120="",V$27=""),0,IF(OR($D120=0,$K120="",V$30=0),V140,IF($L120=1,IF(V$29="",0,SUMIFS(INDEX(ALGO!$A$2:$BZ$20001,0,V$29),INDEX(ALGO!$A$2:$BZ$20001,0,$B$19),$B$1,INDEX(ALGO!$A$2:$BZ$20001,0,$B$20),$B120,INDEX(ALGO!$A$2:$BZ$20001,0,$B$18),$K120)),IF(V$28="",0,SUMIFS(INDEX(BESTFIT!$A$2:$BZ$20001,0,V$28),INDEX(BESTFIT!$A$2:$BZ$20001,0,$B$15),$B$1,INDEX(BESTFIT!$A$2:$BZ$20001,0,$B$16),$B120,INDEX(BESTFIT!$A$2:$BZ$20001,0,$B$14),$K120)))))</f>
        <v/>
      </c>
      <c r="W130" s="21">
        <f>IF(OR($B120="",W$27=""),0,IF(OR($D120=0,$K120="",W$30=0),W140,IF($L120=1,IF(W$29="",0,SUMIFS(INDEX(ALGO!$A$2:$BZ$20001,0,W$29),INDEX(ALGO!$A$2:$BZ$20001,0,$B$19),$B$1,INDEX(ALGO!$A$2:$BZ$20001,0,$B$20),$B120,INDEX(ALGO!$A$2:$BZ$20001,0,$B$18),$K120)),IF(W$28="",0,SUMIFS(INDEX(BESTFIT!$A$2:$BZ$20001,0,W$28),INDEX(BESTFIT!$A$2:$BZ$20001,0,$B$15),$B$1,INDEX(BESTFIT!$A$2:$BZ$20001,0,$B$16),$B120,INDEX(BESTFIT!$A$2:$BZ$20001,0,$B$14),$K120)))))</f>
        <v/>
      </c>
      <c r="X130" s="21">
        <f>IF(OR($B120="",X$27=""),0,IF(OR($D120=0,$K120="",X$30=0),X140,IF($L120=1,IF(X$29="",0,SUMIFS(INDEX(ALGO!$A$2:$BZ$20001,0,X$29),INDEX(ALGO!$A$2:$BZ$20001,0,$B$19),$B$1,INDEX(ALGO!$A$2:$BZ$20001,0,$B$20),$B120,INDEX(ALGO!$A$2:$BZ$20001,0,$B$18),$K120)),IF(X$28="",0,SUMIFS(INDEX(BESTFIT!$A$2:$BZ$20001,0,X$28),INDEX(BESTFIT!$A$2:$BZ$20001,0,$B$15),$B$1,INDEX(BESTFIT!$A$2:$BZ$20001,0,$B$16),$B120,INDEX(BESTFIT!$A$2:$BZ$20001,0,$B$14),$K120)))))</f>
        <v/>
      </c>
      <c r="Y130" s="21">
        <f>IF(OR($B120="",Y$27=""),0,IF(OR($D120=0,$K120="",Y$30=0),Y140,IF($L120=1,IF(Y$29="",0,SUMIFS(INDEX(ALGO!$A$2:$BZ$20001,0,Y$29),INDEX(ALGO!$A$2:$BZ$20001,0,$B$19),$B$1,INDEX(ALGO!$A$2:$BZ$20001,0,$B$20),$B120,INDEX(ALGO!$A$2:$BZ$20001,0,$B$18),$K120)),IF(Y$28="",0,SUMIFS(INDEX(BESTFIT!$A$2:$BZ$20001,0,Y$28),INDEX(BESTFIT!$A$2:$BZ$20001,0,$B$15),$B$1,INDEX(BESTFIT!$A$2:$BZ$20001,0,$B$16),$B120,INDEX(BESTFIT!$A$2:$BZ$20001,0,$B$14),$K120)))))</f>
        <v/>
      </c>
      <c r="Z130" s="21">
        <f>IF(OR($B120="",Z$27=""),0,IF(OR($D120=0,$K120="",Z$30=0),Z140,IF($L120=1,IF(Z$29="",0,SUMIFS(INDEX(ALGO!$A$2:$BZ$20001,0,Z$29),INDEX(ALGO!$A$2:$BZ$20001,0,$B$19),$B$1,INDEX(ALGO!$A$2:$BZ$20001,0,$B$20),$B120,INDEX(ALGO!$A$2:$BZ$20001,0,$B$18),$K120)),IF(Z$28="",0,SUMIFS(INDEX(BESTFIT!$A$2:$BZ$20001,0,Z$28),INDEX(BESTFIT!$A$2:$BZ$20001,0,$B$15),$B$1,INDEX(BESTFIT!$A$2:$BZ$20001,0,$B$16),$B120,INDEX(BESTFIT!$A$2:$BZ$20001,0,$B$14),$K120)))))</f>
        <v/>
      </c>
      <c r="AA130" s="21">
        <f>IF(OR($B120="",AA$27=""),0,IF(OR($D120=0,$K120="",AA$30=0),AA140,IF($L120=1,IF(AA$29="",0,SUMIFS(INDEX(ALGO!$A$2:$BZ$20001,0,AA$29),INDEX(ALGO!$A$2:$BZ$20001,0,$B$19),$B$1,INDEX(ALGO!$A$2:$BZ$20001,0,$B$20),$B120,INDEX(ALGO!$A$2:$BZ$20001,0,$B$18),$K120)),IF(AA$28="",0,SUMIFS(INDEX(BESTFIT!$A$2:$BZ$20001,0,AA$28),INDEX(BESTFIT!$A$2:$BZ$20001,0,$B$15),$B$1,INDEX(BESTFIT!$A$2:$BZ$20001,0,$B$16),$B120,INDEX(BESTFIT!$A$2:$BZ$20001,0,$B$14),$K120)))))</f>
        <v/>
      </c>
      <c r="AB130" s="21">
        <f>IF(OR($B120="",AB$27=""),0,IF(OR($D120=0,$K120="",AB$30=0),AB140,IF($L120=1,IF(AB$29="",0,SUMIFS(INDEX(ALGO!$A$2:$BZ$20001,0,AB$29),INDEX(ALGO!$A$2:$BZ$20001,0,$B$19),$B$1,INDEX(ALGO!$A$2:$BZ$20001,0,$B$20),$B120,INDEX(ALGO!$A$2:$BZ$20001,0,$B$18),$K120)),IF(AB$28="",0,SUMIFS(INDEX(BESTFIT!$A$2:$BZ$20001,0,AB$28),INDEX(BESTFIT!$A$2:$BZ$20001,0,$B$15),$B$1,INDEX(BESTFIT!$A$2:$BZ$20001,0,$B$16),$B120,INDEX(BESTFIT!$A$2:$BZ$20001,0,$B$14),$K120)))))</f>
        <v/>
      </c>
      <c r="AC130" s="21">
        <f>IF(OR($B120="",AC$27=""),0,IF(OR($D120=0,$K120="",AC$30=0),AC140,IF($L120=1,IF(AC$29="",0,SUMIFS(INDEX(ALGO!$A$2:$BZ$20001,0,AC$29),INDEX(ALGO!$A$2:$BZ$20001,0,$B$19),$B$1,INDEX(ALGO!$A$2:$BZ$20001,0,$B$20),$B120,INDEX(ALGO!$A$2:$BZ$20001,0,$B$18),$K120)),IF(AC$28="",0,SUMIFS(INDEX(BESTFIT!$A$2:$BZ$20001,0,AC$28),INDEX(BESTFIT!$A$2:$BZ$20001,0,$B$15),$B$1,INDEX(BESTFIT!$A$2:$BZ$20001,0,$B$16),$B120,INDEX(BESTFIT!$A$2:$BZ$20001,0,$B$14),$K120)))))</f>
        <v/>
      </c>
      <c r="AD130" s="21">
        <f>IF(OR($B120="",AD$27=""),0,IF(OR($D120=0,$K120="",AD$30=0),AD140,IF($L120=1,IF(AD$29="",0,SUMIFS(INDEX(ALGO!$A$2:$BZ$20001,0,AD$29),INDEX(ALGO!$A$2:$BZ$20001,0,$B$19),$B$1,INDEX(ALGO!$A$2:$BZ$20001,0,$B$20),$B120,INDEX(ALGO!$A$2:$BZ$20001,0,$B$18),$K120)),IF(AD$28="",0,SUMIFS(INDEX(BESTFIT!$A$2:$BZ$20001,0,AD$28),INDEX(BESTFIT!$A$2:$BZ$20001,0,$B$15),$B$1,INDEX(BESTFIT!$A$2:$BZ$20001,0,$B$16),$B120,INDEX(BESTFIT!$A$2:$BZ$20001,0,$B$14),$K120)))))</f>
        <v/>
      </c>
      <c r="AE130" s="21">
        <f>IF(OR($B120="",AE$27=""),0,IF(OR($D120=0,$K120="",AE$30=0),AE140,IF($L120=1,IF(AE$29="",0,SUMIFS(INDEX(ALGO!$A$2:$BZ$20001,0,AE$29),INDEX(ALGO!$A$2:$BZ$20001,0,$B$19),$B$1,INDEX(ALGO!$A$2:$BZ$20001,0,$B$20),$B120,INDEX(ALGO!$A$2:$BZ$20001,0,$B$18),$K120)),IF(AE$28="",0,SUMIFS(INDEX(BESTFIT!$A$2:$BZ$20001,0,AE$28),INDEX(BESTFIT!$A$2:$BZ$20001,0,$B$15),$B$1,INDEX(BESTFIT!$A$2:$BZ$20001,0,$B$16),$B120,INDEX(BESTFIT!$A$2:$BZ$20001,0,$B$14),$K120)))))</f>
        <v/>
      </c>
      <c r="AF130" s="21">
        <f>IF(OR($B120="",AF$27=""),0,IF(OR($D120=0,$K120="",AF$30=0),AF140,IF($L120=1,IF(AF$29="",0,SUMIFS(INDEX(ALGO!$A$2:$BZ$20001,0,AF$29),INDEX(ALGO!$A$2:$BZ$20001,0,$B$19),$B$1,INDEX(ALGO!$A$2:$BZ$20001,0,$B$20),$B120,INDEX(ALGO!$A$2:$BZ$20001,0,$B$18),$K120)),IF(AF$28="",0,SUMIFS(INDEX(BESTFIT!$A$2:$BZ$20001,0,AF$28),INDEX(BESTFIT!$A$2:$BZ$20001,0,$B$15),$B$1,INDEX(BESTFIT!$A$2:$BZ$20001,0,$B$16),$B120,INDEX(BESTFIT!$A$2:$BZ$20001,0,$B$14),$K120)))))</f>
        <v/>
      </c>
      <c r="AG130" s="21">
        <f>IF(OR($B120="",AG$27=""),0,IF(OR($D120=0,$K120="",AG$30=0),AG140,IF($L120=1,IF(AG$29="",0,SUMIFS(INDEX(ALGO!$A$2:$BZ$20001,0,AG$29),INDEX(ALGO!$A$2:$BZ$20001,0,$B$19),$B$1,INDEX(ALGO!$A$2:$BZ$20001,0,$B$20),$B120,INDEX(ALGO!$A$2:$BZ$20001,0,$B$18),$K120)),IF(AG$28="",0,SUMIFS(INDEX(BESTFIT!$A$2:$BZ$20001,0,AG$28),INDEX(BESTFIT!$A$2:$BZ$20001,0,$B$15),$B$1,INDEX(BESTFIT!$A$2:$BZ$20001,0,$B$16),$B120,INDEX(BESTFIT!$A$2:$BZ$20001,0,$B$14),$K120)))))</f>
        <v/>
      </c>
      <c r="AH130" s="21">
        <f>IF(OR($B120="",AH$27=""),0,IF(OR($D120=0,$K120="",AH$30=0),AH140,IF($L120=1,IF(AH$29="",0,SUMIFS(INDEX(ALGO!$A$2:$BZ$20001,0,AH$29),INDEX(ALGO!$A$2:$BZ$20001,0,$B$19),$B$1,INDEX(ALGO!$A$2:$BZ$20001,0,$B$20),$B120,INDEX(ALGO!$A$2:$BZ$20001,0,$B$18),$K120)),IF(AH$28="",0,SUMIFS(INDEX(BESTFIT!$A$2:$BZ$20001,0,AH$28),INDEX(BESTFIT!$A$2:$BZ$20001,0,$B$15),$B$1,INDEX(BESTFIT!$A$2:$BZ$20001,0,$B$16),$B120,INDEX(BESTFIT!$A$2:$BZ$20001,0,$B$14),$K120)))))</f>
        <v/>
      </c>
      <c r="AI130" s="21">
        <f>IF(OR($B120="",AI$27=""),0,IF(OR($D120=0,$K120="",AI$30=0),AI140,IF($L120=1,IF(AI$29="",0,SUMIFS(INDEX(ALGO!$A$2:$BZ$20001,0,AI$29),INDEX(ALGO!$A$2:$BZ$20001,0,$B$19),$B$1,INDEX(ALGO!$A$2:$BZ$20001,0,$B$20),$B120,INDEX(ALGO!$A$2:$BZ$20001,0,$B$18),$K120)),IF(AI$28="",0,SUMIFS(INDEX(BESTFIT!$A$2:$BZ$20001,0,AI$28),INDEX(BESTFIT!$A$2:$BZ$20001,0,$B$15),$B$1,INDEX(BESTFIT!$A$2:$BZ$20001,0,$B$16),$B120,INDEX(BESTFIT!$A$2:$BZ$20001,0,$B$14),$K120)))))</f>
        <v/>
      </c>
      <c r="AJ130" s="21">
        <f>IF(OR($B120="",AJ$27=""),0,IF(OR($D120=0,$K120="",AJ$30=0),AJ140,IF($L120=1,IF(AJ$29="",0,SUMIFS(INDEX(ALGO!$A$2:$BZ$20001,0,AJ$29),INDEX(ALGO!$A$2:$BZ$20001,0,$B$19),$B$1,INDEX(ALGO!$A$2:$BZ$20001,0,$B$20),$B120,INDEX(ALGO!$A$2:$BZ$20001,0,$B$18),$K120)),IF(AJ$28="",0,SUMIFS(INDEX(BESTFIT!$A$2:$BZ$20001,0,AJ$28),INDEX(BESTFIT!$A$2:$BZ$20001,0,$B$15),$B$1,INDEX(BESTFIT!$A$2:$BZ$20001,0,$B$16),$B120,INDEX(BESTFIT!$A$2:$BZ$20001,0,$B$14),$K120)))))</f>
        <v/>
      </c>
      <c r="AK130" s="21">
        <f>IF(OR($B120="",AK$27=""),0,IF(OR($D120=0,$K120="",AK$30=0),AK140,IF($L120=1,IF(AK$29="",0,SUMIFS(INDEX(ALGO!$A$2:$BZ$20001,0,AK$29),INDEX(ALGO!$A$2:$BZ$20001,0,$B$19),$B$1,INDEX(ALGO!$A$2:$BZ$20001,0,$B$20),$B120,INDEX(ALGO!$A$2:$BZ$20001,0,$B$18),$K120)),IF(AK$28="",0,SUMIFS(INDEX(BESTFIT!$A$2:$BZ$20001,0,AK$28),INDEX(BESTFIT!$A$2:$BZ$20001,0,$B$15),$B$1,INDEX(BESTFIT!$A$2:$BZ$20001,0,$B$16),$B120,INDEX(BESTFIT!$A$2:$BZ$20001,0,$B$14),$K120)))))</f>
        <v/>
      </c>
      <c r="AL130" s="21">
        <f>IF(OR($B120="",AL$27=""),0,IF(OR($D120=0,$K120="",AL$30=0),AL140,IF($L120=1,IF(AL$29="",0,SUMIFS(INDEX(ALGO!$A$2:$BZ$20001,0,AL$29),INDEX(ALGO!$A$2:$BZ$20001,0,$B$19),$B$1,INDEX(ALGO!$A$2:$BZ$20001,0,$B$20),$B120,INDEX(ALGO!$A$2:$BZ$20001,0,$B$18),$K120)),IF(AL$28="",0,SUMIFS(INDEX(BESTFIT!$A$2:$BZ$20001,0,AL$28),INDEX(BESTFIT!$A$2:$BZ$20001,0,$B$15),$B$1,INDEX(BESTFIT!$A$2:$BZ$20001,0,$B$16),$B120,INDEX(BESTFIT!$A$2:$BZ$20001,0,$B$14),$K120)))))</f>
        <v/>
      </c>
      <c r="AM130" s="21">
        <f>IF(OR($B120="",AM$27=""),0,IF(OR($D120=0,$K120="",AM$30=0),AM140,IF($L120=1,IF(AM$29="",0,SUMIFS(INDEX(ALGO!$A$2:$BZ$20001,0,AM$29),INDEX(ALGO!$A$2:$BZ$20001,0,$B$19),$B$1,INDEX(ALGO!$A$2:$BZ$20001,0,$B$20),$B120,INDEX(ALGO!$A$2:$BZ$20001,0,$B$18),$K120)),IF(AM$28="",0,SUMIFS(INDEX(BESTFIT!$A$2:$BZ$20001,0,AM$28),INDEX(BESTFIT!$A$2:$BZ$20001,0,$B$15),$B$1,INDEX(BESTFIT!$A$2:$BZ$20001,0,$B$16),$B120,INDEX(BESTFIT!$A$2:$BZ$20001,0,$B$14),$K120)))))</f>
        <v/>
      </c>
    </row>
    <row r="133">
      <c r="A133" s="23">
        <f>IF($B113="","System FC original","System FC original | "&amp;$B113)</f>
        <v/>
      </c>
      <c r="D133" s="21">
        <f>IF(OR($B113="",D$27=""),0,SUMIFS(INDEX(CONSENSUS!$A$2:$BZ$20001,0,D$27),INDEX(CONSENSUS!$A$2:$BZ$20001,0,$B$11),$B$1,INDEX(CONSENSUS!$A$2:$BZ$20001,0,$B$12),$B113,INDEX(CONSENSUS!$A$2:$BZ$20001,0,$B$13),$B$5,INDEX(CONSENSUS!$A$2:$BZ$20001,0,$B$10),$F$12))</f>
        <v/>
      </c>
      <c r="E133" s="21">
        <f>IF(OR($B113="",E$27=""),0,SUMIFS(INDEX(CONSENSUS!$A$2:$BZ$20001,0,E$27),INDEX(CONSENSUS!$A$2:$BZ$20001,0,$B$11),$B$1,INDEX(CONSENSUS!$A$2:$BZ$20001,0,$B$12),$B113,INDEX(CONSENSUS!$A$2:$BZ$20001,0,$B$13),$B$5,INDEX(CONSENSUS!$A$2:$BZ$20001,0,$B$10),$F$12))</f>
        <v/>
      </c>
      <c r="F133" s="21">
        <f>IF(OR($B113="",F$27=""),0,SUMIFS(INDEX(CONSENSUS!$A$2:$BZ$20001,0,F$27),INDEX(CONSENSUS!$A$2:$BZ$20001,0,$B$11),$B$1,INDEX(CONSENSUS!$A$2:$BZ$20001,0,$B$12),$B113,INDEX(CONSENSUS!$A$2:$BZ$20001,0,$B$13),$B$5,INDEX(CONSENSUS!$A$2:$BZ$20001,0,$B$10),$F$12))</f>
        <v/>
      </c>
      <c r="G133" s="21">
        <f>IF(OR($B113="",G$27=""),0,SUMIFS(INDEX(CONSENSUS!$A$2:$BZ$20001,0,G$27),INDEX(CONSENSUS!$A$2:$BZ$20001,0,$B$11),$B$1,INDEX(CONSENSUS!$A$2:$BZ$20001,0,$B$12),$B113,INDEX(CONSENSUS!$A$2:$BZ$20001,0,$B$13),$B$5,INDEX(CONSENSUS!$A$2:$BZ$20001,0,$B$10),$F$12))</f>
        <v/>
      </c>
      <c r="H133" s="21">
        <f>IF(OR($B113="",H$27=""),0,SUMIFS(INDEX(CONSENSUS!$A$2:$BZ$20001,0,H$27),INDEX(CONSENSUS!$A$2:$BZ$20001,0,$B$11),$B$1,INDEX(CONSENSUS!$A$2:$BZ$20001,0,$B$12),$B113,INDEX(CONSENSUS!$A$2:$BZ$20001,0,$B$13),$B$5,INDEX(CONSENSUS!$A$2:$BZ$20001,0,$B$10),$F$12))</f>
        <v/>
      </c>
      <c r="I133" s="21">
        <f>IF(OR($B113="",I$27=""),0,SUMIFS(INDEX(CONSENSUS!$A$2:$BZ$20001,0,I$27),INDEX(CONSENSUS!$A$2:$BZ$20001,0,$B$11),$B$1,INDEX(CONSENSUS!$A$2:$BZ$20001,0,$B$12),$B113,INDEX(CONSENSUS!$A$2:$BZ$20001,0,$B$13),$B$5,INDEX(CONSENSUS!$A$2:$BZ$20001,0,$B$10),$F$12))</f>
        <v/>
      </c>
      <c r="J133" s="21">
        <f>IF(OR($B113="",J$27=""),0,SUMIFS(INDEX(CONSENSUS!$A$2:$BZ$20001,0,J$27),INDEX(CONSENSUS!$A$2:$BZ$20001,0,$B$11),$B$1,INDEX(CONSENSUS!$A$2:$BZ$20001,0,$B$12),$B113,INDEX(CONSENSUS!$A$2:$BZ$20001,0,$B$13),$B$5,INDEX(CONSENSUS!$A$2:$BZ$20001,0,$B$10),$F$12))</f>
        <v/>
      </c>
      <c r="K133" s="21">
        <f>IF(OR($B113="",K$27=""),0,SUMIFS(INDEX(CONSENSUS!$A$2:$BZ$20001,0,K$27),INDEX(CONSENSUS!$A$2:$BZ$20001,0,$B$11),$B$1,INDEX(CONSENSUS!$A$2:$BZ$20001,0,$B$12),$B113,INDEX(CONSENSUS!$A$2:$BZ$20001,0,$B$13),$B$5,INDEX(CONSENSUS!$A$2:$BZ$20001,0,$B$10),$F$12))</f>
        <v/>
      </c>
      <c r="L133" s="21">
        <f>IF(OR($B113="",L$27=""),0,SUMIFS(INDEX(CONSENSUS!$A$2:$BZ$20001,0,L$27),INDEX(CONSENSUS!$A$2:$BZ$20001,0,$B$11),$B$1,INDEX(CONSENSUS!$A$2:$BZ$20001,0,$B$12),$B113,INDEX(CONSENSUS!$A$2:$BZ$20001,0,$B$13),$B$5,INDEX(CONSENSUS!$A$2:$BZ$20001,0,$B$10),$F$12))</f>
        <v/>
      </c>
      <c r="M133" s="21">
        <f>IF(OR($B113="",M$27=""),0,SUMIFS(INDEX(CONSENSUS!$A$2:$BZ$20001,0,M$27),INDEX(CONSENSUS!$A$2:$BZ$20001,0,$B$11),$B$1,INDEX(CONSENSUS!$A$2:$BZ$20001,0,$B$12),$B113,INDEX(CONSENSUS!$A$2:$BZ$20001,0,$B$13),$B$5,INDEX(CONSENSUS!$A$2:$BZ$20001,0,$B$10),$F$12))</f>
        <v/>
      </c>
      <c r="N133" s="21">
        <f>IF(OR($B113="",N$27=""),0,SUMIFS(INDEX(CONSENSUS!$A$2:$BZ$20001,0,N$27),INDEX(CONSENSUS!$A$2:$BZ$20001,0,$B$11),$B$1,INDEX(CONSENSUS!$A$2:$BZ$20001,0,$B$12),$B113,INDEX(CONSENSUS!$A$2:$BZ$20001,0,$B$13),$B$5,INDEX(CONSENSUS!$A$2:$BZ$20001,0,$B$10),$F$12))</f>
        <v/>
      </c>
      <c r="O133" s="21">
        <f>IF(OR($B113="",O$27=""),0,SUMIFS(INDEX(CONSENSUS!$A$2:$BZ$20001,0,O$27),INDEX(CONSENSUS!$A$2:$BZ$20001,0,$B$11),$B$1,INDEX(CONSENSUS!$A$2:$BZ$20001,0,$B$12),$B113,INDEX(CONSENSUS!$A$2:$BZ$20001,0,$B$13),$B$5,INDEX(CONSENSUS!$A$2:$BZ$20001,0,$B$10),$F$12))</f>
        <v/>
      </c>
      <c r="P133" s="21">
        <f>IF(OR($B113="",P$27=""),0,SUMIFS(INDEX(CONSENSUS!$A$2:$BZ$20001,0,P$27),INDEX(CONSENSUS!$A$2:$BZ$20001,0,$B$11),$B$1,INDEX(CONSENSUS!$A$2:$BZ$20001,0,$B$12),$B113,INDEX(CONSENSUS!$A$2:$BZ$20001,0,$B$13),$B$5,INDEX(CONSENSUS!$A$2:$BZ$20001,0,$B$10),$F$12))</f>
        <v/>
      </c>
      <c r="Q133" s="21">
        <f>IF(OR($B113="",Q$27=""),0,SUMIFS(INDEX(CONSENSUS!$A$2:$BZ$20001,0,Q$27),INDEX(CONSENSUS!$A$2:$BZ$20001,0,$B$11),$B$1,INDEX(CONSENSUS!$A$2:$BZ$20001,0,$B$12),$B113,INDEX(CONSENSUS!$A$2:$BZ$20001,0,$B$13),$B$5,INDEX(CONSENSUS!$A$2:$BZ$20001,0,$B$10),$F$12))</f>
        <v/>
      </c>
      <c r="R133" s="21">
        <f>IF(OR($B113="",R$27=""),0,SUMIFS(INDEX(CONSENSUS!$A$2:$BZ$20001,0,R$27),INDEX(CONSENSUS!$A$2:$BZ$20001,0,$B$11),$B$1,INDEX(CONSENSUS!$A$2:$BZ$20001,0,$B$12),$B113,INDEX(CONSENSUS!$A$2:$BZ$20001,0,$B$13),$B$5,INDEX(CONSENSUS!$A$2:$BZ$20001,0,$B$10),$F$12))</f>
        <v/>
      </c>
      <c r="S133" s="21">
        <f>IF(OR($B113="",S$27=""),0,SUMIFS(INDEX(CONSENSUS!$A$2:$BZ$20001,0,S$27),INDEX(CONSENSUS!$A$2:$BZ$20001,0,$B$11),$B$1,INDEX(CONSENSUS!$A$2:$BZ$20001,0,$B$12),$B113,INDEX(CONSENSUS!$A$2:$BZ$20001,0,$B$13),$B$5,INDEX(CONSENSUS!$A$2:$BZ$20001,0,$B$10),$F$12))</f>
        <v/>
      </c>
      <c r="T133" s="21">
        <f>IF(OR($B113="",T$27=""),0,SUMIFS(INDEX(CONSENSUS!$A$2:$BZ$20001,0,T$27),INDEX(CONSENSUS!$A$2:$BZ$20001,0,$B$11),$B$1,INDEX(CONSENSUS!$A$2:$BZ$20001,0,$B$12),$B113,INDEX(CONSENSUS!$A$2:$BZ$20001,0,$B$13),$B$5,INDEX(CONSENSUS!$A$2:$BZ$20001,0,$B$10),$F$12))</f>
        <v/>
      </c>
      <c r="U133" s="21">
        <f>IF(OR($B113="",U$27=""),0,SUMIFS(INDEX(CONSENSUS!$A$2:$BZ$20001,0,U$27),INDEX(CONSENSUS!$A$2:$BZ$20001,0,$B$11),$B$1,INDEX(CONSENSUS!$A$2:$BZ$20001,0,$B$12),$B113,INDEX(CONSENSUS!$A$2:$BZ$20001,0,$B$13),$B$5,INDEX(CONSENSUS!$A$2:$BZ$20001,0,$B$10),$F$12))</f>
        <v/>
      </c>
      <c r="V133" s="21">
        <f>IF(OR($B113="",V$27=""),0,SUMIFS(INDEX(CONSENSUS!$A$2:$BZ$20001,0,V$27),INDEX(CONSENSUS!$A$2:$BZ$20001,0,$B$11),$B$1,INDEX(CONSENSUS!$A$2:$BZ$20001,0,$B$12),$B113,INDEX(CONSENSUS!$A$2:$BZ$20001,0,$B$13),$B$5,INDEX(CONSENSUS!$A$2:$BZ$20001,0,$B$10),$F$12))</f>
        <v/>
      </c>
      <c r="W133" s="21">
        <f>IF(OR($B113="",W$27=""),0,SUMIFS(INDEX(CONSENSUS!$A$2:$BZ$20001,0,W$27),INDEX(CONSENSUS!$A$2:$BZ$20001,0,$B$11),$B$1,INDEX(CONSENSUS!$A$2:$BZ$20001,0,$B$12),$B113,INDEX(CONSENSUS!$A$2:$BZ$20001,0,$B$13),$B$5,INDEX(CONSENSUS!$A$2:$BZ$20001,0,$B$10),$F$12))</f>
        <v/>
      </c>
      <c r="X133" s="21">
        <f>IF(OR($B113="",X$27=""),0,SUMIFS(INDEX(CONSENSUS!$A$2:$BZ$20001,0,X$27),INDEX(CONSENSUS!$A$2:$BZ$20001,0,$B$11),$B$1,INDEX(CONSENSUS!$A$2:$BZ$20001,0,$B$12),$B113,INDEX(CONSENSUS!$A$2:$BZ$20001,0,$B$13),$B$5,INDEX(CONSENSUS!$A$2:$BZ$20001,0,$B$10),$F$12))</f>
        <v/>
      </c>
      <c r="Y133" s="21">
        <f>IF(OR($B113="",Y$27=""),0,SUMIFS(INDEX(CONSENSUS!$A$2:$BZ$20001,0,Y$27),INDEX(CONSENSUS!$A$2:$BZ$20001,0,$B$11),$B$1,INDEX(CONSENSUS!$A$2:$BZ$20001,0,$B$12),$B113,INDEX(CONSENSUS!$A$2:$BZ$20001,0,$B$13),$B$5,INDEX(CONSENSUS!$A$2:$BZ$20001,0,$B$10),$F$12))</f>
        <v/>
      </c>
      <c r="Z133" s="21">
        <f>IF(OR($B113="",Z$27=""),0,SUMIFS(INDEX(CONSENSUS!$A$2:$BZ$20001,0,Z$27),INDEX(CONSENSUS!$A$2:$BZ$20001,0,$B$11),$B$1,INDEX(CONSENSUS!$A$2:$BZ$20001,0,$B$12),$B113,INDEX(CONSENSUS!$A$2:$BZ$20001,0,$B$13),$B$5,INDEX(CONSENSUS!$A$2:$BZ$20001,0,$B$10),$F$12))</f>
        <v/>
      </c>
      <c r="AA133" s="21">
        <f>IF(OR($B113="",AA$27=""),0,SUMIFS(INDEX(CONSENSUS!$A$2:$BZ$20001,0,AA$27),INDEX(CONSENSUS!$A$2:$BZ$20001,0,$B$11),$B$1,INDEX(CONSENSUS!$A$2:$BZ$20001,0,$B$12),$B113,INDEX(CONSENSUS!$A$2:$BZ$20001,0,$B$13),$B$5,INDEX(CONSENSUS!$A$2:$BZ$20001,0,$B$10),$F$12))</f>
        <v/>
      </c>
      <c r="AB133" s="21">
        <f>IF(OR($B113="",AB$27=""),0,SUMIFS(INDEX(CONSENSUS!$A$2:$BZ$20001,0,AB$27),INDEX(CONSENSUS!$A$2:$BZ$20001,0,$B$11),$B$1,INDEX(CONSENSUS!$A$2:$BZ$20001,0,$B$12),$B113,INDEX(CONSENSUS!$A$2:$BZ$20001,0,$B$13),$B$5,INDEX(CONSENSUS!$A$2:$BZ$20001,0,$B$10),$F$12))</f>
        <v/>
      </c>
      <c r="AC133" s="21">
        <f>IF(OR($B113="",AC$27=""),0,SUMIFS(INDEX(CONSENSUS!$A$2:$BZ$20001,0,AC$27),INDEX(CONSENSUS!$A$2:$BZ$20001,0,$B$11),$B$1,INDEX(CONSENSUS!$A$2:$BZ$20001,0,$B$12),$B113,INDEX(CONSENSUS!$A$2:$BZ$20001,0,$B$13),$B$5,INDEX(CONSENSUS!$A$2:$BZ$20001,0,$B$10),$F$12))</f>
        <v/>
      </c>
      <c r="AD133" s="21">
        <f>IF(OR($B113="",AD$27=""),0,SUMIFS(INDEX(CONSENSUS!$A$2:$BZ$20001,0,AD$27),INDEX(CONSENSUS!$A$2:$BZ$20001,0,$B$11),$B$1,INDEX(CONSENSUS!$A$2:$BZ$20001,0,$B$12),$B113,INDEX(CONSENSUS!$A$2:$BZ$20001,0,$B$13),$B$5,INDEX(CONSENSUS!$A$2:$BZ$20001,0,$B$10),$F$12))</f>
        <v/>
      </c>
      <c r="AE133" s="21">
        <f>IF(OR($B113="",AE$27=""),0,SUMIFS(INDEX(CONSENSUS!$A$2:$BZ$20001,0,AE$27),INDEX(CONSENSUS!$A$2:$BZ$20001,0,$B$11),$B$1,INDEX(CONSENSUS!$A$2:$BZ$20001,0,$B$12),$B113,INDEX(CONSENSUS!$A$2:$BZ$20001,0,$B$13),$B$5,INDEX(CONSENSUS!$A$2:$BZ$20001,0,$B$10),$F$12))</f>
        <v/>
      </c>
      <c r="AF133" s="21">
        <f>IF(OR($B113="",AF$27=""),0,SUMIFS(INDEX(CONSENSUS!$A$2:$BZ$20001,0,AF$27),INDEX(CONSENSUS!$A$2:$BZ$20001,0,$B$11),$B$1,INDEX(CONSENSUS!$A$2:$BZ$20001,0,$B$12),$B113,INDEX(CONSENSUS!$A$2:$BZ$20001,0,$B$13),$B$5,INDEX(CONSENSUS!$A$2:$BZ$20001,0,$B$10),$F$12))</f>
        <v/>
      </c>
      <c r="AG133" s="21">
        <f>IF(OR($B113="",AG$27=""),0,SUMIFS(INDEX(CONSENSUS!$A$2:$BZ$20001,0,AG$27),INDEX(CONSENSUS!$A$2:$BZ$20001,0,$B$11),$B$1,INDEX(CONSENSUS!$A$2:$BZ$20001,0,$B$12),$B113,INDEX(CONSENSUS!$A$2:$BZ$20001,0,$B$13),$B$5,INDEX(CONSENSUS!$A$2:$BZ$20001,0,$B$10),$F$12))</f>
        <v/>
      </c>
      <c r="AH133" s="21">
        <f>IF(OR($B113="",AH$27=""),0,SUMIFS(INDEX(CONSENSUS!$A$2:$BZ$20001,0,AH$27),INDEX(CONSENSUS!$A$2:$BZ$20001,0,$B$11),$B$1,INDEX(CONSENSUS!$A$2:$BZ$20001,0,$B$12),$B113,INDEX(CONSENSUS!$A$2:$BZ$20001,0,$B$13),$B$5,INDEX(CONSENSUS!$A$2:$BZ$20001,0,$B$10),$F$12))</f>
        <v/>
      </c>
      <c r="AI133" s="21">
        <f>IF(OR($B113="",AI$27=""),0,SUMIFS(INDEX(CONSENSUS!$A$2:$BZ$20001,0,AI$27),INDEX(CONSENSUS!$A$2:$BZ$20001,0,$B$11),$B$1,INDEX(CONSENSUS!$A$2:$BZ$20001,0,$B$12),$B113,INDEX(CONSENSUS!$A$2:$BZ$20001,0,$B$13),$B$5,INDEX(CONSENSUS!$A$2:$BZ$20001,0,$B$10),$F$12))</f>
        <v/>
      </c>
      <c r="AJ133" s="21">
        <f>IF(OR($B113="",AJ$27=""),0,SUMIFS(INDEX(CONSENSUS!$A$2:$BZ$20001,0,AJ$27),INDEX(CONSENSUS!$A$2:$BZ$20001,0,$B$11),$B$1,INDEX(CONSENSUS!$A$2:$BZ$20001,0,$B$12),$B113,INDEX(CONSENSUS!$A$2:$BZ$20001,0,$B$13),$B$5,INDEX(CONSENSUS!$A$2:$BZ$20001,0,$B$10),$F$12))</f>
        <v/>
      </c>
      <c r="AK133" s="21">
        <f>IF(OR($B113="",AK$27=""),0,SUMIFS(INDEX(CONSENSUS!$A$2:$BZ$20001,0,AK$27),INDEX(CONSENSUS!$A$2:$BZ$20001,0,$B$11),$B$1,INDEX(CONSENSUS!$A$2:$BZ$20001,0,$B$12),$B113,INDEX(CONSENSUS!$A$2:$BZ$20001,0,$B$13),$B$5,INDEX(CONSENSUS!$A$2:$BZ$20001,0,$B$10),$F$12))</f>
        <v/>
      </c>
      <c r="AL133" s="21">
        <f>IF(OR($B113="",AL$27=""),0,SUMIFS(INDEX(CONSENSUS!$A$2:$BZ$20001,0,AL$27),INDEX(CONSENSUS!$A$2:$BZ$20001,0,$B$11),$B$1,INDEX(CONSENSUS!$A$2:$BZ$20001,0,$B$12),$B113,INDEX(CONSENSUS!$A$2:$BZ$20001,0,$B$13),$B$5,INDEX(CONSENSUS!$A$2:$BZ$20001,0,$B$10),$F$12))</f>
        <v/>
      </c>
      <c r="AM133" s="21">
        <f>IF(OR($B113="",AM$27=""),0,SUMIFS(INDEX(CONSENSUS!$A$2:$BZ$20001,0,AM$27),INDEX(CONSENSUS!$A$2:$BZ$20001,0,$B$11),$B$1,INDEX(CONSENSUS!$A$2:$BZ$20001,0,$B$12),$B113,INDEX(CONSENSUS!$A$2:$BZ$20001,0,$B$13),$B$5,INDEX(CONSENSUS!$A$2:$BZ$20001,0,$B$10),$F$12))</f>
        <v/>
      </c>
    </row>
    <row r="134">
      <c r="A134" s="23">
        <f>IF($B114="","System FC original","System FC original | "&amp;$B114)</f>
        <v/>
      </c>
      <c r="D134" s="21">
        <f>IF(OR($B114="",D$27=""),0,SUMIFS(INDEX(CONSENSUS!$A$2:$BZ$20001,0,D$27),INDEX(CONSENSUS!$A$2:$BZ$20001,0,$B$11),$B$1,INDEX(CONSENSUS!$A$2:$BZ$20001,0,$B$12),$B114,INDEX(CONSENSUS!$A$2:$BZ$20001,0,$B$13),$B$5,INDEX(CONSENSUS!$A$2:$BZ$20001,0,$B$10),$F$12))</f>
        <v/>
      </c>
      <c r="E134" s="21">
        <f>IF(OR($B114="",E$27=""),0,SUMIFS(INDEX(CONSENSUS!$A$2:$BZ$20001,0,E$27),INDEX(CONSENSUS!$A$2:$BZ$20001,0,$B$11),$B$1,INDEX(CONSENSUS!$A$2:$BZ$20001,0,$B$12),$B114,INDEX(CONSENSUS!$A$2:$BZ$20001,0,$B$13),$B$5,INDEX(CONSENSUS!$A$2:$BZ$20001,0,$B$10),$F$12))</f>
        <v/>
      </c>
      <c r="F134" s="21">
        <f>IF(OR($B114="",F$27=""),0,SUMIFS(INDEX(CONSENSUS!$A$2:$BZ$20001,0,F$27),INDEX(CONSENSUS!$A$2:$BZ$20001,0,$B$11),$B$1,INDEX(CONSENSUS!$A$2:$BZ$20001,0,$B$12),$B114,INDEX(CONSENSUS!$A$2:$BZ$20001,0,$B$13),$B$5,INDEX(CONSENSUS!$A$2:$BZ$20001,0,$B$10),$F$12))</f>
        <v/>
      </c>
      <c r="G134" s="21">
        <f>IF(OR($B114="",G$27=""),0,SUMIFS(INDEX(CONSENSUS!$A$2:$BZ$20001,0,G$27),INDEX(CONSENSUS!$A$2:$BZ$20001,0,$B$11),$B$1,INDEX(CONSENSUS!$A$2:$BZ$20001,0,$B$12),$B114,INDEX(CONSENSUS!$A$2:$BZ$20001,0,$B$13),$B$5,INDEX(CONSENSUS!$A$2:$BZ$20001,0,$B$10),$F$12))</f>
        <v/>
      </c>
      <c r="H134" s="21">
        <f>IF(OR($B114="",H$27=""),0,SUMIFS(INDEX(CONSENSUS!$A$2:$BZ$20001,0,H$27),INDEX(CONSENSUS!$A$2:$BZ$20001,0,$B$11),$B$1,INDEX(CONSENSUS!$A$2:$BZ$20001,0,$B$12),$B114,INDEX(CONSENSUS!$A$2:$BZ$20001,0,$B$13),$B$5,INDEX(CONSENSUS!$A$2:$BZ$20001,0,$B$10),$F$12))</f>
        <v/>
      </c>
      <c r="I134" s="21">
        <f>IF(OR($B114="",I$27=""),0,SUMIFS(INDEX(CONSENSUS!$A$2:$BZ$20001,0,I$27),INDEX(CONSENSUS!$A$2:$BZ$20001,0,$B$11),$B$1,INDEX(CONSENSUS!$A$2:$BZ$20001,0,$B$12),$B114,INDEX(CONSENSUS!$A$2:$BZ$20001,0,$B$13),$B$5,INDEX(CONSENSUS!$A$2:$BZ$20001,0,$B$10),$F$12))</f>
        <v/>
      </c>
      <c r="J134" s="21">
        <f>IF(OR($B114="",J$27=""),0,SUMIFS(INDEX(CONSENSUS!$A$2:$BZ$20001,0,J$27),INDEX(CONSENSUS!$A$2:$BZ$20001,0,$B$11),$B$1,INDEX(CONSENSUS!$A$2:$BZ$20001,0,$B$12),$B114,INDEX(CONSENSUS!$A$2:$BZ$20001,0,$B$13),$B$5,INDEX(CONSENSUS!$A$2:$BZ$20001,0,$B$10),$F$12))</f>
        <v/>
      </c>
      <c r="K134" s="21">
        <f>IF(OR($B114="",K$27=""),0,SUMIFS(INDEX(CONSENSUS!$A$2:$BZ$20001,0,K$27),INDEX(CONSENSUS!$A$2:$BZ$20001,0,$B$11),$B$1,INDEX(CONSENSUS!$A$2:$BZ$20001,0,$B$12),$B114,INDEX(CONSENSUS!$A$2:$BZ$20001,0,$B$13),$B$5,INDEX(CONSENSUS!$A$2:$BZ$20001,0,$B$10),$F$12))</f>
        <v/>
      </c>
      <c r="L134" s="21">
        <f>IF(OR($B114="",L$27=""),0,SUMIFS(INDEX(CONSENSUS!$A$2:$BZ$20001,0,L$27),INDEX(CONSENSUS!$A$2:$BZ$20001,0,$B$11),$B$1,INDEX(CONSENSUS!$A$2:$BZ$20001,0,$B$12),$B114,INDEX(CONSENSUS!$A$2:$BZ$20001,0,$B$13),$B$5,INDEX(CONSENSUS!$A$2:$BZ$20001,0,$B$10),$F$12))</f>
        <v/>
      </c>
      <c r="M134" s="21">
        <f>IF(OR($B114="",M$27=""),0,SUMIFS(INDEX(CONSENSUS!$A$2:$BZ$20001,0,M$27),INDEX(CONSENSUS!$A$2:$BZ$20001,0,$B$11),$B$1,INDEX(CONSENSUS!$A$2:$BZ$20001,0,$B$12),$B114,INDEX(CONSENSUS!$A$2:$BZ$20001,0,$B$13),$B$5,INDEX(CONSENSUS!$A$2:$BZ$20001,0,$B$10),$F$12))</f>
        <v/>
      </c>
      <c r="N134" s="21">
        <f>IF(OR($B114="",N$27=""),0,SUMIFS(INDEX(CONSENSUS!$A$2:$BZ$20001,0,N$27),INDEX(CONSENSUS!$A$2:$BZ$20001,0,$B$11),$B$1,INDEX(CONSENSUS!$A$2:$BZ$20001,0,$B$12),$B114,INDEX(CONSENSUS!$A$2:$BZ$20001,0,$B$13),$B$5,INDEX(CONSENSUS!$A$2:$BZ$20001,0,$B$10),$F$12))</f>
        <v/>
      </c>
      <c r="O134" s="21">
        <f>IF(OR($B114="",O$27=""),0,SUMIFS(INDEX(CONSENSUS!$A$2:$BZ$20001,0,O$27),INDEX(CONSENSUS!$A$2:$BZ$20001,0,$B$11),$B$1,INDEX(CONSENSUS!$A$2:$BZ$20001,0,$B$12),$B114,INDEX(CONSENSUS!$A$2:$BZ$20001,0,$B$13),$B$5,INDEX(CONSENSUS!$A$2:$BZ$20001,0,$B$10),$F$12))</f>
        <v/>
      </c>
      <c r="P134" s="21">
        <f>IF(OR($B114="",P$27=""),0,SUMIFS(INDEX(CONSENSUS!$A$2:$BZ$20001,0,P$27),INDEX(CONSENSUS!$A$2:$BZ$20001,0,$B$11),$B$1,INDEX(CONSENSUS!$A$2:$BZ$20001,0,$B$12),$B114,INDEX(CONSENSUS!$A$2:$BZ$20001,0,$B$13),$B$5,INDEX(CONSENSUS!$A$2:$BZ$20001,0,$B$10),$F$12))</f>
        <v/>
      </c>
      <c r="Q134" s="21">
        <f>IF(OR($B114="",Q$27=""),0,SUMIFS(INDEX(CONSENSUS!$A$2:$BZ$20001,0,Q$27),INDEX(CONSENSUS!$A$2:$BZ$20001,0,$B$11),$B$1,INDEX(CONSENSUS!$A$2:$BZ$20001,0,$B$12),$B114,INDEX(CONSENSUS!$A$2:$BZ$20001,0,$B$13),$B$5,INDEX(CONSENSUS!$A$2:$BZ$20001,0,$B$10),$F$12))</f>
        <v/>
      </c>
      <c r="R134" s="21">
        <f>IF(OR($B114="",R$27=""),0,SUMIFS(INDEX(CONSENSUS!$A$2:$BZ$20001,0,R$27),INDEX(CONSENSUS!$A$2:$BZ$20001,0,$B$11),$B$1,INDEX(CONSENSUS!$A$2:$BZ$20001,0,$B$12),$B114,INDEX(CONSENSUS!$A$2:$BZ$20001,0,$B$13),$B$5,INDEX(CONSENSUS!$A$2:$BZ$20001,0,$B$10),$F$12))</f>
        <v/>
      </c>
      <c r="S134" s="21">
        <f>IF(OR($B114="",S$27=""),0,SUMIFS(INDEX(CONSENSUS!$A$2:$BZ$20001,0,S$27),INDEX(CONSENSUS!$A$2:$BZ$20001,0,$B$11),$B$1,INDEX(CONSENSUS!$A$2:$BZ$20001,0,$B$12),$B114,INDEX(CONSENSUS!$A$2:$BZ$20001,0,$B$13),$B$5,INDEX(CONSENSUS!$A$2:$BZ$20001,0,$B$10),$F$12))</f>
        <v/>
      </c>
      <c r="T134" s="21">
        <f>IF(OR($B114="",T$27=""),0,SUMIFS(INDEX(CONSENSUS!$A$2:$BZ$20001,0,T$27),INDEX(CONSENSUS!$A$2:$BZ$20001,0,$B$11),$B$1,INDEX(CONSENSUS!$A$2:$BZ$20001,0,$B$12),$B114,INDEX(CONSENSUS!$A$2:$BZ$20001,0,$B$13),$B$5,INDEX(CONSENSUS!$A$2:$BZ$20001,0,$B$10),$F$12))</f>
        <v/>
      </c>
      <c r="U134" s="21">
        <f>IF(OR($B114="",U$27=""),0,SUMIFS(INDEX(CONSENSUS!$A$2:$BZ$20001,0,U$27),INDEX(CONSENSUS!$A$2:$BZ$20001,0,$B$11),$B$1,INDEX(CONSENSUS!$A$2:$BZ$20001,0,$B$12),$B114,INDEX(CONSENSUS!$A$2:$BZ$20001,0,$B$13),$B$5,INDEX(CONSENSUS!$A$2:$BZ$20001,0,$B$10),$F$12))</f>
        <v/>
      </c>
      <c r="V134" s="21">
        <f>IF(OR($B114="",V$27=""),0,SUMIFS(INDEX(CONSENSUS!$A$2:$BZ$20001,0,V$27),INDEX(CONSENSUS!$A$2:$BZ$20001,0,$B$11),$B$1,INDEX(CONSENSUS!$A$2:$BZ$20001,0,$B$12),$B114,INDEX(CONSENSUS!$A$2:$BZ$20001,0,$B$13),$B$5,INDEX(CONSENSUS!$A$2:$BZ$20001,0,$B$10),$F$12))</f>
        <v/>
      </c>
      <c r="W134" s="21">
        <f>IF(OR($B114="",W$27=""),0,SUMIFS(INDEX(CONSENSUS!$A$2:$BZ$20001,0,W$27),INDEX(CONSENSUS!$A$2:$BZ$20001,0,$B$11),$B$1,INDEX(CONSENSUS!$A$2:$BZ$20001,0,$B$12),$B114,INDEX(CONSENSUS!$A$2:$BZ$20001,0,$B$13),$B$5,INDEX(CONSENSUS!$A$2:$BZ$20001,0,$B$10),$F$12))</f>
        <v/>
      </c>
      <c r="X134" s="21">
        <f>IF(OR($B114="",X$27=""),0,SUMIFS(INDEX(CONSENSUS!$A$2:$BZ$20001,0,X$27),INDEX(CONSENSUS!$A$2:$BZ$20001,0,$B$11),$B$1,INDEX(CONSENSUS!$A$2:$BZ$20001,0,$B$12),$B114,INDEX(CONSENSUS!$A$2:$BZ$20001,0,$B$13),$B$5,INDEX(CONSENSUS!$A$2:$BZ$20001,0,$B$10),$F$12))</f>
        <v/>
      </c>
      <c r="Y134" s="21">
        <f>IF(OR($B114="",Y$27=""),0,SUMIFS(INDEX(CONSENSUS!$A$2:$BZ$20001,0,Y$27),INDEX(CONSENSUS!$A$2:$BZ$20001,0,$B$11),$B$1,INDEX(CONSENSUS!$A$2:$BZ$20001,0,$B$12),$B114,INDEX(CONSENSUS!$A$2:$BZ$20001,0,$B$13),$B$5,INDEX(CONSENSUS!$A$2:$BZ$20001,0,$B$10),$F$12))</f>
        <v/>
      </c>
      <c r="Z134" s="21">
        <f>IF(OR($B114="",Z$27=""),0,SUMIFS(INDEX(CONSENSUS!$A$2:$BZ$20001,0,Z$27),INDEX(CONSENSUS!$A$2:$BZ$20001,0,$B$11),$B$1,INDEX(CONSENSUS!$A$2:$BZ$20001,0,$B$12),$B114,INDEX(CONSENSUS!$A$2:$BZ$20001,0,$B$13),$B$5,INDEX(CONSENSUS!$A$2:$BZ$20001,0,$B$10),$F$12))</f>
        <v/>
      </c>
      <c r="AA134" s="21">
        <f>IF(OR($B114="",AA$27=""),0,SUMIFS(INDEX(CONSENSUS!$A$2:$BZ$20001,0,AA$27),INDEX(CONSENSUS!$A$2:$BZ$20001,0,$B$11),$B$1,INDEX(CONSENSUS!$A$2:$BZ$20001,0,$B$12),$B114,INDEX(CONSENSUS!$A$2:$BZ$20001,0,$B$13),$B$5,INDEX(CONSENSUS!$A$2:$BZ$20001,0,$B$10),$F$12))</f>
        <v/>
      </c>
      <c r="AB134" s="21">
        <f>IF(OR($B114="",AB$27=""),0,SUMIFS(INDEX(CONSENSUS!$A$2:$BZ$20001,0,AB$27),INDEX(CONSENSUS!$A$2:$BZ$20001,0,$B$11),$B$1,INDEX(CONSENSUS!$A$2:$BZ$20001,0,$B$12),$B114,INDEX(CONSENSUS!$A$2:$BZ$20001,0,$B$13),$B$5,INDEX(CONSENSUS!$A$2:$BZ$20001,0,$B$10),$F$12))</f>
        <v/>
      </c>
      <c r="AC134" s="21">
        <f>IF(OR($B114="",AC$27=""),0,SUMIFS(INDEX(CONSENSUS!$A$2:$BZ$20001,0,AC$27),INDEX(CONSENSUS!$A$2:$BZ$20001,0,$B$11),$B$1,INDEX(CONSENSUS!$A$2:$BZ$20001,0,$B$12),$B114,INDEX(CONSENSUS!$A$2:$BZ$20001,0,$B$13),$B$5,INDEX(CONSENSUS!$A$2:$BZ$20001,0,$B$10),$F$12))</f>
        <v/>
      </c>
      <c r="AD134" s="21">
        <f>IF(OR($B114="",AD$27=""),0,SUMIFS(INDEX(CONSENSUS!$A$2:$BZ$20001,0,AD$27),INDEX(CONSENSUS!$A$2:$BZ$20001,0,$B$11),$B$1,INDEX(CONSENSUS!$A$2:$BZ$20001,0,$B$12),$B114,INDEX(CONSENSUS!$A$2:$BZ$20001,0,$B$13),$B$5,INDEX(CONSENSUS!$A$2:$BZ$20001,0,$B$10),$F$12))</f>
        <v/>
      </c>
      <c r="AE134" s="21">
        <f>IF(OR($B114="",AE$27=""),0,SUMIFS(INDEX(CONSENSUS!$A$2:$BZ$20001,0,AE$27),INDEX(CONSENSUS!$A$2:$BZ$20001,0,$B$11),$B$1,INDEX(CONSENSUS!$A$2:$BZ$20001,0,$B$12),$B114,INDEX(CONSENSUS!$A$2:$BZ$20001,0,$B$13),$B$5,INDEX(CONSENSUS!$A$2:$BZ$20001,0,$B$10),$F$12))</f>
        <v/>
      </c>
      <c r="AF134" s="21">
        <f>IF(OR($B114="",AF$27=""),0,SUMIFS(INDEX(CONSENSUS!$A$2:$BZ$20001,0,AF$27),INDEX(CONSENSUS!$A$2:$BZ$20001,0,$B$11),$B$1,INDEX(CONSENSUS!$A$2:$BZ$20001,0,$B$12),$B114,INDEX(CONSENSUS!$A$2:$BZ$20001,0,$B$13),$B$5,INDEX(CONSENSUS!$A$2:$BZ$20001,0,$B$10),$F$12))</f>
        <v/>
      </c>
      <c r="AG134" s="21">
        <f>IF(OR($B114="",AG$27=""),0,SUMIFS(INDEX(CONSENSUS!$A$2:$BZ$20001,0,AG$27),INDEX(CONSENSUS!$A$2:$BZ$20001,0,$B$11),$B$1,INDEX(CONSENSUS!$A$2:$BZ$20001,0,$B$12),$B114,INDEX(CONSENSUS!$A$2:$BZ$20001,0,$B$13),$B$5,INDEX(CONSENSUS!$A$2:$BZ$20001,0,$B$10),$F$12))</f>
        <v/>
      </c>
      <c r="AH134" s="21">
        <f>IF(OR($B114="",AH$27=""),0,SUMIFS(INDEX(CONSENSUS!$A$2:$BZ$20001,0,AH$27),INDEX(CONSENSUS!$A$2:$BZ$20001,0,$B$11),$B$1,INDEX(CONSENSUS!$A$2:$BZ$20001,0,$B$12),$B114,INDEX(CONSENSUS!$A$2:$BZ$20001,0,$B$13),$B$5,INDEX(CONSENSUS!$A$2:$BZ$20001,0,$B$10),$F$12))</f>
        <v/>
      </c>
      <c r="AI134" s="21">
        <f>IF(OR($B114="",AI$27=""),0,SUMIFS(INDEX(CONSENSUS!$A$2:$BZ$20001,0,AI$27),INDEX(CONSENSUS!$A$2:$BZ$20001,0,$B$11),$B$1,INDEX(CONSENSUS!$A$2:$BZ$20001,0,$B$12),$B114,INDEX(CONSENSUS!$A$2:$BZ$20001,0,$B$13),$B$5,INDEX(CONSENSUS!$A$2:$BZ$20001,0,$B$10),$F$12))</f>
        <v/>
      </c>
      <c r="AJ134" s="21">
        <f>IF(OR($B114="",AJ$27=""),0,SUMIFS(INDEX(CONSENSUS!$A$2:$BZ$20001,0,AJ$27),INDEX(CONSENSUS!$A$2:$BZ$20001,0,$B$11),$B$1,INDEX(CONSENSUS!$A$2:$BZ$20001,0,$B$12),$B114,INDEX(CONSENSUS!$A$2:$BZ$20001,0,$B$13),$B$5,INDEX(CONSENSUS!$A$2:$BZ$20001,0,$B$10),$F$12))</f>
        <v/>
      </c>
      <c r="AK134" s="21">
        <f>IF(OR($B114="",AK$27=""),0,SUMIFS(INDEX(CONSENSUS!$A$2:$BZ$20001,0,AK$27),INDEX(CONSENSUS!$A$2:$BZ$20001,0,$B$11),$B$1,INDEX(CONSENSUS!$A$2:$BZ$20001,0,$B$12),$B114,INDEX(CONSENSUS!$A$2:$BZ$20001,0,$B$13),$B$5,INDEX(CONSENSUS!$A$2:$BZ$20001,0,$B$10),$F$12))</f>
        <v/>
      </c>
      <c r="AL134" s="21">
        <f>IF(OR($B114="",AL$27=""),0,SUMIFS(INDEX(CONSENSUS!$A$2:$BZ$20001,0,AL$27),INDEX(CONSENSUS!$A$2:$BZ$20001,0,$B$11),$B$1,INDEX(CONSENSUS!$A$2:$BZ$20001,0,$B$12),$B114,INDEX(CONSENSUS!$A$2:$BZ$20001,0,$B$13),$B$5,INDEX(CONSENSUS!$A$2:$BZ$20001,0,$B$10),$F$12))</f>
        <v/>
      </c>
      <c r="AM134" s="21">
        <f>IF(OR($B114="",AM$27=""),0,SUMIFS(INDEX(CONSENSUS!$A$2:$BZ$20001,0,AM$27),INDEX(CONSENSUS!$A$2:$BZ$20001,0,$B$11),$B$1,INDEX(CONSENSUS!$A$2:$BZ$20001,0,$B$12),$B114,INDEX(CONSENSUS!$A$2:$BZ$20001,0,$B$13),$B$5,INDEX(CONSENSUS!$A$2:$BZ$20001,0,$B$10),$F$12))</f>
        <v/>
      </c>
    </row>
    <row r="135">
      <c r="A135" s="23">
        <f>IF($B115="","System FC original","System FC original | "&amp;$B115)</f>
        <v/>
      </c>
      <c r="D135" s="21">
        <f>IF(OR($B115="",D$27=""),0,SUMIFS(INDEX(CONSENSUS!$A$2:$BZ$20001,0,D$27),INDEX(CONSENSUS!$A$2:$BZ$20001,0,$B$11),$B$1,INDEX(CONSENSUS!$A$2:$BZ$20001,0,$B$12),$B115,INDEX(CONSENSUS!$A$2:$BZ$20001,0,$B$13),$B$5,INDEX(CONSENSUS!$A$2:$BZ$20001,0,$B$10),$F$12))</f>
        <v/>
      </c>
      <c r="E135" s="21">
        <f>IF(OR($B115="",E$27=""),0,SUMIFS(INDEX(CONSENSUS!$A$2:$BZ$20001,0,E$27),INDEX(CONSENSUS!$A$2:$BZ$20001,0,$B$11),$B$1,INDEX(CONSENSUS!$A$2:$BZ$20001,0,$B$12),$B115,INDEX(CONSENSUS!$A$2:$BZ$20001,0,$B$13),$B$5,INDEX(CONSENSUS!$A$2:$BZ$20001,0,$B$10),$F$12))</f>
        <v/>
      </c>
      <c r="F135" s="21">
        <f>IF(OR($B115="",F$27=""),0,SUMIFS(INDEX(CONSENSUS!$A$2:$BZ$20001,0,F$27),INDEX(CONSENSUS!$A$2:$BZ$20001,0,$B$11),$B$1,INDEX(CONSENSUS!$A$2:$BZ$20001,0,$B$12),$B115,INDEX(CONSENSUS!$A$2:$BZ$20001,0,$B$13),$B$5,INDEX(CONSENSUS!$A$2:$BZ$20001,0,$B$10),$F$12))</f>
        <v/>
      </c>
      <c r="G135" s="21">
        <f>IF(OR($B115="",G$27=""),0,SUMIFS(INDEX(CONSENSUS!$A$2:$BZ$20001,0,G$27),INDEX(CONSENSUS!$A$2:$BZ$20001,0,$B$11),$B$1,INDEX(CONSENSUS!$A$2:$BZ$20001,0,$B$12),$B115,INDEX(CONSENSUS!$A$2:$BZ$20001,0,$B$13),$B$5,INDEX(CONSENSUS!$A$2:$BZ$20001,0,$B$10),$F$12))</f>
        <v/>
      </c>
      <c r="H135" s="21">
        <f>IF(OR($B115="",H$27=""),0,SUMIFS(INDEX(CONSENSUS!$A$2:$BZ$20001,0,H$27),INDEX(CONSENSUS!$A$2:$BZ$20001,0,$B$11),$B$1,INDEX(CONSENSUS!$A$2:$BZ$20001,0,$B$12),$B115,INDEX(CONSENSUS!$A$2:$BZ$20001,0,$B$13),$B$5,INDEX(CONSENSUS!$A$2:$BZ$20001,0,$B$10),$F$12))</f>
        <v/>
      </c>
      <c r="I135" s="21">
        <f>IF(OR($B115="",I$27=""),0,SUMIFS(INDEX(CONSENSUS!$A$2:$BZ$20001,0,I$27),INDEX(CONSENSUS!$A$2:$BZ$20001,0,$B$11),$B$1,INDEX(CONSENSUS!$A$2:$BZ$20001,0,$B$12),$B115,INDEX(CONSENSUS!$A$2:$BZ$20001,0,$B$13),$B$5,INDEX(CONSENSUS!$A$2:$BZ$20001,0,$B$10),$F$12))</f>
        <v/>
      </c>
      <c r="J135" s="21">
        <f>IF(OR($B115="",J$27=""),0,SUMIFS(INDEX(CONSENSUS!$A$2:$BZ$20001,0,J$27),INDEX(CONSENSUS!$A$2:$BZ$20001,0,$B$11),$B$1,INDEX(CONSENSUS!$A$2:$BZ$20001,0,$B$12),$B115,INDEX(CONSENSUS!$A$2:$BZ$20001,0,$B$13),$B$5,INDEX(CONSENSUS!$A$2:$BZ$20001,0,$B$10),$F$12))</f>
        <v/>
      </c>
      <c r="K135" s="21">
        <f>IF(OR($B115="",K$27=""),0,SUMIFS(INDEX(CONSENSUS!$A$2:$BZ$20001,0,K$27),INDEX(CONSENSUS!$A$2:$BZ$20001,0,$B$11),$B$1,INDEX(CONSENSUS!$A$2:$BZ$20001,0,$B$12),$B115,INDEX(CONSENSUS!$A$2:$BZ$20001,0,$B$13),$B$5,INDEX(CONSENSUS!$A$2:$BZ$20001,0,$B$10),$F$12))</f>
        <v/>
      </c>
      <c r="L135" s="21">
        <f>IF(OR($B115="",L$27=""),0,SUMIFS(INDEX(CONSENSUS!$A$2:$BZ$20001,0,L$27),INDEX(CONSENSUS!$A$2:$BZ$20001,0,$B$11),$B$1,INDEX(CONSENSUS!$A$2:$BZ$20001,0,$B$12),$B115,INDEX(CONSENSUS!$A$2:$BZ$20001,0,$B$13),$B$5,INDEX(CONSENSUS!$A$2:$BZ$20001,0,$B$10),$F$12))</f>
        <v/>
      </c>
      <c r="M135" s="21">
        <f>IF(OR($B115="",M$27=""),0,SUMIFS(INDEX(CONSENSUS!$A$2:$BZ$20001,0,M$27),INDEX(CONSENSUS!$A$2:$BZ$20001,0,$B$11),$B$1,INDEX(CONSENSUS!$A$2:$BZ$20001,0,$B$12),$B115,INDEX(CONSENSUS!$A$2:$BZ$20001,0,$B$13),$B$5,INDEX(CONSENSUS!$A$2:$BZ$20001,0,$B$10),$F$12))</f>
        <v/>
      </c>
      <c r="N135" s="21">
        <f>IF(OR($B115="",N$27=""),0,SUMIFS(INDEX(CONSENSUS!$A$2:$BZ$20001,0,N$27),INDEX(CONSENSUS!$A$2:$BZ$20001,0,$B$11),$B$1,INDEX(CONSENSUS!$A$2:$BZ$20001,0,$B$12),$B115,INDEX(CONSENSUS!$A$2:$BZ$20001,0,$B$13),$B$5,INDEX(CONSENSUS!$A$2:$BZ$20001,0,$B$10),$F$12))</f>
        <v/>
      </c>
      <c r="O135" s="21">
        <f>IF(OR($B115="",O$27=""),0,SUMIFS(INDEX(CONSENSUS!$A$2:$BZ$20001,0,O$27),INDEX(CONSENSUS!$A$2:$BZ$20001,0,$B$11),$B$1,INDEX(CONSENSUS!$A$2:$BZ$20001,0,$B$12),$B115,INDEX(CONSENSUS!$A$2:$BZ$20001,0,$B$13),$B$5,INDEX(CONSENSUS!$A$2:$BZ$20001,0,$B$10),$F$12))</f>
        <v/>
      </c>
      <c r="P135" s="21">
        <f>IF(OR($B115="",P$27=""),0,SUMIFS(INDEX(CONSENSUS!$A$2:$BZ$20001,0,P$27),INDEX(CONSENSUS!$A$2:$BZ$20001,0,$B$11),$B$1,INDEX(CONSENSUS!$A$2:$BZ$20001,0,$B$12),$B115,INDEX(CONSENSUS!$A$2:$BZ$20001,0,$B$13),$B$5,INDEX(CONSENSUS!$A$2:$BZ$20001,0,$B$10),$F$12))</f>
        <v/>
      </c>
      <c r="Q135" s="21">
        <f>IF(OR($B115="",Q$27=""),0,SUMIFS(INDEX(CONSENSUS!$A$2:$BZ$20001,0,Q$27),INDEX(CONSENSUS!$A$2:$BZ$20001,0,$B$11),$B$1,INDEX(CONSENSUS!$A$2:$BZ$20001,0,$B$12),$B115,INDEX(CONSENSUS!$A$2:$BZ$20001,0,$B$13),$B$5,INDEX(CONSENSUS!$A$2:$BZ$20001,0,$B$10),$F$12))</f>
        <v/>
      </c>
      <c r="R135" s="21">
        <f>IF(OR($B115="",R$27=""),0,SUMIFS(INDEX(CONSENSUS!$A$2:$BZ$20001,0,R$27),INDEX(CONSENSUS!$A$2:$BZ$20001,0,$B$11),$B$1,INDEX(CONSENSUS!$A$2:$BZ$20001,0,$B$12),$B115,INDEX(CONSENSUS!$A$2:$BZ$20001,0,$B$13),$B$5,INDEX(CONSENSUS!$A$2:$BZ$20001,0,$B$10),$F$12))</f>
        <v/>
      </c>
      <c r="S135" s="21">
        <f>IF(OR($B115="",S$27=""),0,SUMIFS(INDEX(CONSENSUS!$A$2:$BZ$20001,0,S$27),INDEX(CONSENSUS!$A$2:$BZ$20001,0,$B$11),$B$1,INDEX(CONSENSUS!$A$2:$BZ$20001,0,$B$12),$B115,INDEX(CONSENSUS!$A$2:$BZ$20001,0,$B$13),$B$5,INDEX(CONSENSUS!$A$2:$BZ$20001,0,$B$10),$F$12))</f>
        <v/>
      </c>
      <c r="T135" s="21">
        <f>IF(OR($B115="",T$27=""),0,SUMIFS(INDEX(CONSENSUS!$A$2:$BZ$20001,0,T$27),INDEX(CONSENSUS!$A$2:$BZ$20001,0,$B$11),$B$1,INDEX(CONSENSUS!$A$2:$BZ$20001,0,$B$12),$B115,INDEX(CONSENSUS!$A$2:$BZ$20001,0,$B$13),$B$5,INDEX(CONSENSUS!$A$2:$BZ$20001,0,$B$10),$F$12))</f>
        <v/>
      </c>
      <c r="U135" s="21">
        <f>IF(OR($B115="",U$27=""),0,SUMIFS(INDEX(CONSENSUS!$A$2:$BZ$20001,0,U$27),INDEX(CONSENSUS!$A$2:$BZ$20001,0,$B$11),$B$1,INDEX(CONSENSUS!$A$2:$BZ$20001,0,$B$12),$B115,INDEX(CONSENSUS!$A$2:$BZ$20001,0,$B$13),$B$5,INDEX(CONSENSUS!$A$2:$BZ$20001,0,$B$10),$F$12))</f>
        <v/>
      </c>
      <c r="V135" s="21">
        <f>IF(OR($B115="",V$27=""),0,SUMIFS(INDEX(CONSENSUS!$A$2:$BZ$20001,0,V$27),INDEX(CONSENSUS!$A$2:$BZ$20001,0,$B$11),$B$1,INDEX(CONSENSUS!$A$2:$BZ$20001,0,$B$12),$B115,INDEX(CONSENSUS!$A$2:$BZ$20001,0,$B$13),$B$5,INDEX(CONSENSUS!$A$2:$BZ$20001,0,$B$10),$F$12))</f>
        <v/>
      </c>
      <c r="W135" s="21">
        <f>IF(OR($B115="",W$27=""),0,SUMIFS(INDEX(CONSENSUS!$A$2:$BZ$20001,0,W$27),INDEX(CONSENSUS!$A$2:$BZ$20001,0,$B$11),$B$1,INDEX(CONSENSUS!$A$2:$BZ$20001,0,$B$12),$B115,INDEX(CONSENSUS!$A$2:$BZ$20001,0,$B$13),$B$5,INDEX(CONSENSUS!$A$2:$BZ$20001,0,$B$10),$F$12))</f>
        <v/>
      </c>
      <c r="X135" s="21">
        <f>IF(OR($B115="",X$27=""),0,SUMIFS(INDEX(CONSENSUS!$A$2:$BZ$20001,0,X$27),INDEX(CONSENSUS!$A$2:$BZ$20001,0,$B$11),$B$1,INDEX(CONSENSUS!$A$2:$BZ$20001,0,$B$12),$B115,INDEX(CONSENSUS!$A$2:$BZ$20001,0,$B$13),$B$5,INDEX(CONSENSUS!$A$2:$BZ$20001,0,$B$10),$F$12))</f>
        <v/>
      </c>
      <c r="Y135" s="21">
        <f>IF(OR($B115="",Y$27=""),0,SUMIFS(INDEX(CONSENSUS!$A$2:$BZ$20001,0,Y$27),INDEX(CONSENSUS!$A$2:$BZ$20001,0,$B$11),$B$1,INDEX(CONSENSUS!$A$2:$BZ$20001,0,$B$12),$B115,INDEX(CONSENSUS!$A$2:$BZ$20001,0,$B$13),$B$5,INDEX(CONSENSUS!$A$2:$BZ$20001,0,$B$10),$F$12))</f>
        <v/>
      </c>
      <c r="Z135" s="21">
        <f>IF(OR($B115="",Z$27=""),0,SUMIFS(INDEX(CONSENSUS!$A$2:$BZ$20001,0,Z$27),INDEX(CONSENSUS!$A$2:$BZ$20001,0,$B$11),$B$1,INDEX(CONSENSUS!$A$2:$BZ$20001,0,$B$12),$B115,INDEX(CONSENSUS!$A$2:$BZ$20001,0,$B$13),$B$5,INDEX(CONSENSUS!$A$2:$BZ$20001,0,$B$10),$F$12))</f>
        <v/>
      </c>
      <c r="AA135" s="21">
        <f>IF(OR($B115="",AA$27=""),0,SUMIFS(INDEX(CONSENSUS!$A$2:$BZ$20001,0,AA$27),INDEX(CONSENSUS!$A$2:$BZ$20001,0,$B$11),$B$1,INDEX(CONSENSUS!$A$2:$BZ$20001,0,$B$12),$B115,INDEX(CONSENSUS!$A$2:$BZ$20001,0,$B$13),$B$5,INDEX(CONSENSUS!$A$2:$BZ$20001,0,$B$10),$F$12))</f>
        <v/>
      </c>
      <c r="AB135" s="21">
        <f>IF(OR($B115="",AB$27=""),0,SUMIFS(INDEX(CONSENSUS!$A$2:$BZ$20001,0,AB$27),INDEX(CONSENSUS!$A$2:$BZ$20001,0,$B$11),$B$1,INDEX(CONSENSUS!$A$2:$BZ$20001,0,$B$12),$B115,INDEX(CONSENSUS!$A$2:$BZ$20001,0,$B$13),$B$5,INDEX(CONSENSUS!$A$2:$BZ$20001,0,$B$10),$F$12))</f>
        <v/>
      </c>
      <c r="AC135" s="21">
        <f>IF(OR($B115="",AC$27=""),0,SUMIFS(INDEX(CONSENSUS!$A$2:$BZ$20001,0,AC$27),INDEX(CONSENSUS!$A$2:$BZ$20001,0,$B$11),$B$1,INDEX(CONSENSUS!$A$2:$BZ$20001,0,$B$12),$B115,INDEX(CONSENSUS!$A$2:$BZ$20001,0,$B$13),$B$5,INDEX(CONSENSUS!$A$2:$BZ$20001,0,$B$10),$F$12))</f>
        <v/>
      </c>
      <c r="AD135" s="21">
        <f>IF(OR($B115="",AD$27=""),0,SUMIFS(INDEX(CONSENSUS!$A$2:$BZ$20001,0,AD$27),INDEX(CONSENSUS!$A$2:$BZ$20001,0,$B$11),$B$1,INDEX(CONSENSUS!$A$2:$BZ$20001,0,$B$12),$B115,INDEX(CONSENSUS!$A$2:$BZ$20001,0,$B$13),$B$5,INDEX(CONSENSUS!$A$2:$BZ$20001,0,$B$10),$F$12))</f>
        <v/>
      </c>
      <c r="AE135" s="21">
        <f>IF(OR($B115="",AE$27=""),0,SUMIFS(INDEX(CONSENSUS!$A$2:$BZ$20001,0,AE$27),INDEX(CONSENSUS!$A$2:$BZ$20001,0,$B$11),$B$1,INDEX(CONSENSUS!$A$2:$BZ$20001,0,$B$12),$B115,INDEX(CONSENSUS!$A$2:$BZ$20001,0,$B$13),$B$5,INDEX(CONSENSUS!$A$2:$BZ$20001,0,$B$10),$F$12))</f>
        <v/>
      </c>
      <c r="AF135" s="21">
        <f>IF(OR($B115="",AF$27=""),0,SUMIFS(INDEX(CONSENSUS!$A$2:$BZ$20001,0,AF$27),INDEX(CONSENSUS!$A$2:$BZ$20001,0,$B$11),$B$1,INDEX(CONSENSUS!$A$2:$BZ$20001,0,$B$12),$B115,INDEX(CONSENSUS!$A$2:$BZ$20001,0,$B$13),$B$5,INDEX(CONSENSUS!$A$2:$BZ$20001,0,$B$10),$F$12))</f>
        <v/>
      </c>
      <c r="AG135" s="21">
        <f>IF(OR($B115="",AG$27=""),0,SUMIFS(INDEX(CONSENSUS!$A$2:$BZ$20001,0,AG$27),INDEX(CONSENSUS!$A$2:$BZ$20001,0,$B$11),$B$1,INDEX(CONSENSUS!$A$2:$BZ$20001,0,$B$12),$B115,INDEX(CONSENSUS!$A$2:$BZ$20001,0,$B$13),$B$5,INDEX(CONSENSUS!$A$2:$BZ$20001,0,$B$10),$F$12))</f>
        <v/>
      </c>
      <c r="AH135" s="21">
        <f>IF(OR($B115="",AH$27=""),0,SUMIFS(INDEX(CONSENSUS!$A$2:$BZ$20001,0,AH$27),INDEX(CONSENSUS!$A$2:$BZ$20001,0,$B$11),$B$1,INDEX(CONSENSUS!$A$2:$BZ$20001,0,$B$12),$B115,INDEX(CONSENSUS!$A$2:$BZ$20001,0,$B$13),$B$5,INDEX(CONSENSUS!$A$2:$BZ$20001,0,$B$10),$F$12))</f>
        <v/>
      </c>
      <c r="AI135" s="21">
        <f>IF(OR($B115="",AI$27=""),0,SUMIFS(INDEX(CONSENSUS!$A$2:$BZ$20001,0,AI$27),INDEX(CONSENSUS!$A$2:$BZ$20001,0,$B$11),$B$1,INDEX(CONSENSUS!$A$2:$BZ$20001,0,$B$12),$B115,INDEX(CONSENSUS!$A$2:$BZ$20001,0,$B$13),$B$5,INDEX(CONSENSUS!$A$2:$BZ$20001,0,$B$10),$F$12))</f>
        <v/>
      </c>
      <c r="AJ135" s="21">
        <f>IF(OR($B115="",AJ$27=""),0,SUMIFS(INDEX(CONSENSUS!$A$2:$BZ$20001,0,AJ$27),INDEX(CONSENSUS!$A$2:$BZ$20001,0,$B$11),$B$1,INDEX(CONSENSUS!$A$2:$BZ$20001,0,$B$12),$B115,INDEX(CONSENSUS!$A$2:$BZ$20001,0,$B$13),$B$5,INDEX(CONSENSUS!$A$2:$BZ$20001,0,$B$10),$F$12))</f>
        <v/>
      </c>
      <c r="AK135" s="21">
        <f>IF(OR($B115="",AK$27=""),0,SUMIFS(INDEX(CONSENSUS!$A$2:$BZ$20001,0,AK$27),INDEX(CONSENSUS!$A$2:$BZ$20001,0,$B$11),$B$1,INDEX(CONSENSUS!$A$2:$BZ$20001,0,$B$12),$B115,INDEX(CONSENSUS!$A$2:$BZ$20001,0,$B$13),$B$5,INDEX(CONSENSUS!$A$2:$BZ$20001,0,$B$10),$F$12))</f>
        <v/>
      </c>
      <c r="AL135" s="21">
        <f>IF(OR($B115="",AL$27=""),0,SUMIFS(INDEX(CONSENSUS!$A$2:$BZ$20001,0,AL$27),INDEX(CONSENSUS!$A$2:$BZ$20001,0,$B$11),$B$1,INDEX(CONSENSUS!$A$2:$BZ$20001,0,$B$12),$B115,INDEX(CONSENSUS!$A$2:$BZ$20001,0,$B$13),$B$5,INDEX(CONSENSUS!$A$2:$BZ$20001,0,$B$10),$F$12))</f>
        <v/>
      </c>
      <c r="AM135" s="21">
        <f>IF(OR($B115="",AM$27=""),0,SUMIFS(INDEX(CONSENSUS!$A$2:$BZ$20001,0,AM$27),INDEX(CONSENSUS!$A$2:$BZ$20001,0,$B$11),$B$1,INDEX(CONSENSUS!$A$2:$BZ$20001,0,$B$12),$B115,INDEX(CONSENSUS!$A$2:$BZ$20001,0,$B$13),$B$5,INDEX(CONSENSUS!$A$2:$BZ$20001,0,$B$10),$F$12))</f>
        <v/>
      </c>
    </row>
    <row r="136">
      <c r="A136" s="23">
        <f>IF($B116="","System FC original","System FC original | "&amp;$B116)</f>
        <v/>
      </c>
      <c r="D136" s="21">
        <f>IF(OR($B116="",D$27=""),0,SUMIFS(INDEX(CONSENSUS!$A$2:$BZ$20001,0,D$27),INDEX(CONSENSUS!$A$2:$BZ$20001,0,$B$11),$B$1,INDEX(CONSENSUS!$A$2:$BZ$20001,0,$B$12),$B116,INDEX(CONSENSUS!$A$2:$BZ$20001,0,$B$13),$B$5,INDEX(CONSENSUS!$A$2:$BZ$20001,0,$B$10),$F$12))</f>
        <v/>
      </c>
      <c r="E136" s="21">
        <f>IF(OR($B116="",E$27=""),0,SUMIFS(INDEX(CONSENSUS!$A$2:$BZ$20001,0,E$27),INDEX(CONSENSUS!$A$2:$BZ$20001,0,$B$11),$B$1,INDEX(CONSENSUS!$A$2:$BZ$20001,0,$B$12),$B116,INDEX(CONSENSUS!$A$2:$BZ$20001,0,$B$13),$B$5,INDEX(CONSENSUS!$A$2:$BZ$20001,0,$B$10),$F$12))</f>
        <v/>
      </c>
      <c r="F136" s="21">
        <f>IF(OR($B116="",F$27=""),0,SUMIFS(INDEX(CONSENSUS!$A$2:$BZ$20001,0,F$27),INDEX(CONSENSUS!$A$2:$BZ$20001,0,$B$11),$B$1,INDEX(CONSENSUS!$A$2:$BZ$20001,0,$B$12),$B116,INDEX(CONSENSUS!$A$2:$BZ$20001,0,$B$13),$B$5,INDEX(CONSENSUS!$A$2:$BZ$20001,0,$B$10),$F$12))</f>
        <v/>
      </c>
      <c r="G136" s="21">
        <f>IF(OR($B116="",G$27=""),0,SUMIFS(INDEX(CONSENSUS!$A$2:$BZ$20001,0,G$27),INDEX(CONSENSUS!$A$2:$BZ$20001,0,$B$11),$B$1,INDEX(CONSENSUS!$A$2:$BZ$20001,0,$B$12),$B116,INDEX(CONSENSUS!$A$2:$BZ$20001,0,$B$13),$B$5,INDEX(CONSENSUS!$A$2:$BZ$20001,0,$B$10),$F$12))</f>
        <v/>
      </c>
      <c r="H136" s="21">
        <f>IF(OR($B116="",H$27=""),0,SUMIFS(INDEX(CONSENSUS!$A$2:$BZ$20001,0,H$27),INDEX(CONSENSUS!$A$2:$BZ$20001,0,$B$11),$B$1,INDEX(CONSENSUS!$A$2:$BZ$20001,0,$B$12),$B116,INDEX(CONSENSUS!$A$2:$BZ$20001,0,$B$13),$B$5,INDEX(CONSENSUS!$A$2:$BZ$20001,0,$B$10),$F$12))</f>
        <v/>
      </c>
      <c r="I136" s="21">
        <f>IF(OR($B116="",I$27=""),0,SUMIFS(INDEX(CONSENSUS!$A$2:$BZ$20001,0,I$27),INDEX(CONSENSUS!$A$2:$BZ$20001,0,$B$11),$B$1,INDEX(CONSENSUS!$A$2:$BZ$20001,0,$B$12),$B116,INDEX(CONSENSUS!$A$2:$BZ$20001,0,$B$13),$B$5,INDEX(CONSENSUS!$A$2:$BZ$20001,0,$B$10),$F$12))</f>
        <v/>
      </c>
      <c r="J136" s="21">
        <f>IF(OR($B116="",J$27=""),0,SUMIFS(INDEX(CONSENSUS!$A$2:$BZ$20001,0,J$27),INDEX(CONSENSUS!$A$2:$BZ$20001,0,$B$11),$B$1,INDEX(CONSENSUS!$A$2:$BZ$20001,0,$B$12),$B116,INDEX(CONSENSUS!$A$2:$BZ$20001,0,$B$13),$B$5,INDEX(CONSENSUS!$A$2:$BZ$20001,0,$B$10),$F$12))</f>
        <v/>
      </c>
      <c r="K136" s="21">
        <f>IF(OR($B116="",K$27=""),0,SUMIFS(INDEX(CONSENSUS!$A$2:$BZ$20001,0,K$27),INDEX(CONSENSUS!$A$2:$BZ$20001,0,$B$11),$B$1,INDEX(CONSENSUS!$A$2:$BZ$20001,0,$B$12),$B116,INDEX(CONSENSUS!$A$2:$BZ$20001,0,$B$13),$B$5,INDEX(CONSENSUS!$A$2:$BZ$20001,0,$B$10),$F$12))</f>
        <v/>
      </c>
      <c r="L136" s="21">
        <f>IF(OR($B116="",L$27=""),0,SUMIFS(INDEX(CONSENSUS!$A$2:$BZ$20001,0,L$27),INDEX(CONSENSUS!$A$2:$BZ$20001,0,$B$11),$B$1,INDEX(CONSENSUS!$A$2:$BZ$20001,0,$B$12),$B116,INDEX(CONSENSUS!$A$2:$BZ$20001,0,$B$13),$B$5,INDEX(CONSENSUS!$A$2:$BZ$20001,0,$B$10),$F$12))</f>
        <v/>
      </c>
      <c r="M136" s="21">
        <f>IF(OR($B116="",M$27=""),0,SUMIFS(INDEX(CONSENSUS!$A$2:$BZ$20001,0,M$27),INDEX(CONSENSUS!$A$2:$BZ$20001,0,$B$11),$B$1,INDEX(CONSENSUS!$A$2:$BZ$20001,0,$B$12),$B116,INDEX(CONSENSUS!$A$2:$BZ$20001,0,$B$13),$B$5,INDEX(CONSENSUS!$A$2:$BZ$20001,0,$B$10),$F$12))</f>
        <v/>
      </c>
      <c r="N136" s="21">
        <f>IF(OR($B116="",N$27=""),0,SUMIFS(INDEX(CONSENSUS!$A$2:$BZ$20001,0,N$27),INDEX(CONSENSUS!$A$2:$BZ$20001,0,$B$11),$B$1,INDEX(CONSENSUS!$A$2:$BZ$20001,0,$B$12),$B116,INDEX(CONSENSUS!$A$2:$BZ$20001,0,$B$13),$B$5,INDEX(CONSENSUS!$A$2:$BZ$20001,0,$B$10),$F$12))</f>
        <v/>
      </c>
      <c r="O136" s="21">
        <f>IF(OR($B116="",O$27=""),0,SUMIFS(INDEX(CONSENSUS!$A$2:$BZ$20001,0,O$27),INDEX(CONSENSUS!$A$2:$BZ$20001,0,$B$11),$B$1,INDEX(CONSENSUS!$A$2:$BZ$20001,0,$B$12),$B116,INDEX(CONSENSUS!$A$2:$BZ$20001,0,$B$13),$B$5,INDEX(CONSENSUS!$A$2:$BZ$20001,0,$B$10),$F$12))</f>
        <v/>
      </c>
      <c r="P136" s="21">
        <f>IF(OR($B116="",P$27=""),0,SUMIFS(INDEX(CONSENSUS!$A$2:$BZ$20001,0,P$27),INDEX(CONSENSUS!$A$2:$BZ$20001,0,$B$11),$B$1,INDEX(CONSENSUS!$A$2:$BZ$20001,0,$B$12),$B116,INDEX(CONSENSUS!$A$2:$BZ$20001,0,$B$13),$B$5,INDEX(CONSENSUS!$A$2:$BZ$20001,0,$B$10),$F$12))</f>
        <v/>
      </c>
      <c r="Q136" s="21">
        <f>IF(OR($B116="",Q$27=""),0,SUMIFS(INDEX(CONSENSUS!$A$2:$BZ$20001,0,Q$27),INDEX(CONSENSUS!$A$2:$BZ$20001,0,$B$11),$B$1,INDEX(CONSENSUS!$A$2:$BZ$20001,0,$B$12),$B116,INDEX(CONSENSUS!$A$2:$BZ$20001,0,$B$13),$B$5,INDEX(CONSENSUS!$A$2:$BZ$20001,0,$B$10),$F$12))</f>
        <v/>
      </c>
      <c r="R136" s="21">
        <f>IF(OR($B116="",R$27=""),0,SUMIFS(INDEX(CONSENSUS!$A$2:$BZ$20001,0,R$27),INDEX(CONSENSUS!$A$2:$BZ$20001,0,$B$11),$B$1,INDEX(CONSENSUS!$A$2:$BZ$20001,0,$B$12),$B116,INDEX(CONSENSUS!$A$2:$BZ$20001,0,$B$13),$B$5,INDEX(CONSENSUS!$A$2:$BZ$20001,0,$B$10),$F$12))</f>
        <v/>
      </c>
      <c r="S136" s="21">
        <f>IF(OR($B116="",S$27=""),0,SUMIFS(INDEX(CONSENSUS!$A$2:$BZ$20001,0,S$27),INDEX(CONSENSUS!$A$2:$BZ$20001,0,$B$11),$B$1,INDEX(CONSENSUS!$A$2:$BZ$20001,0,$B$12),$B116,INDEX(CONSENSUS!$A$2:$BZ$20001,0,$B$13),$B$5,INDEX(CONSENSUS!$A$2:$BZ$20001,0,$B$10),$F$12))</f>
        <v/>
      </c>
      <c r="T136" s="21">
        <f>IF(OR($B116="",T$27=""),0,SUMIFS(INDEX(CONSENSUS!$A$2:$BZ$20001,0,T$27),INDEX(CONSENSUS!$A$2:$BZ$20001,0,$B$11),$B$1,INDEX(CONSENSUS!$A$2:$BZ$20001,0,$B$12),$B116,INDEX(CONSENSUS!$A$2:$BZ$20001,0,$B$13),$B$5,INDEX(CONSENSUS!$A$2:$BZ$20001,0,$B$10),$F$12))</f>
        <v/>
      </c>
      <c r="U136" s="21">
        <f>IF(OR($B116="",U$27=""),0,SUMIFS(INDEX(CONSENSUS!$A$2:$BZ$20001,0,U$27),INDEX(CONSENSUS!$A$2:$BZ$20001,0,$B$11),$B$1,INDEX(CONSENSUS!$A$2:$BZ$20001,0,$B$12),$B116,INDEX(CONSENSUS!$A$2:$BZ$20001,0,$B$13),$B$5,INDEX(CONSENSUS!$A$2:$BZ$20001,0,$B$10),$F$12))</f>
        <v/>
      </c>
      <c r="V136" s="21">
        <f>IF(OR($B116="",V$27=""),0,SUMIFS(INDEX(CONSENSUS!$A$2:$BZ$20001,0,V$27),INDEX(CONSENSUS!$A$2:$BZ$20001,0,$B$11),$B$1,INDEX(CONSENSUS!$A$2:$BZ$20001,0,$B$12),$B116,INDEX(CONSENSUS!$A$2:$BZ$20001,0,$B$13),$B$5,INDEX(CONSENSUS!$A$2:$BZ$20001,0,$B$10),$F$12))</f>
        <v/>
      </c>
      <c r="W136" s="21">
        <f>IF(OR($B116="",W$27=""),0,SUMIFS(INDEX(CONSENSUS!$A$2:$BZ$20001,0,W$27),INDEX(CONSENSUS!$A$2:$BZ$20001,0,$B$11),$B$1,INDEX(CONSENSUS!$A$2:$BZ$20001,0,$B$12),$B116,INDEX(CONSENSUS!$A$2:$BZ$20001,0,$B$13),$B$5,INDEX(CONSENSUS!$A$2:$BZ$20001,0,$B$10),$F$12))</f>
        <v/>
      </c>
      <c r="X136" s="21">
        <f>IF(OR($B116="",X$27=""),0,SUMIFS(INDEX(CONSENSUS!$A$2:$BZ$20001,0,X$27),INDEX(CONSENSUS!$A$2:$BZ$20001,0,$B$11),$B$1,INDEX(CONSENSUS!$A$2:$BZ$20001,0,$B$12),$B116,INDEX(CONSENSUS!$A$2:$BZ$20001,0,$B$13),$B$5,INDEX(CONSENSUS!$A$2:$BZ$20001,0,$B$10),$F$12))</f>
        <v/>
      </c>
      <c r="Y136" s="21">
        <f>IF(OR($B116="",Y$27=""),0,SUMIFS(INDEX(CONSENSUS!$A$2:$BZ$20001,0,Y$27),INDEX(CONSENSUS!$A$2:$BZ$20001,0,$B$11),$B$1,INDEX(CONSENSUS!$A$2:$BZ$20001,0,$B$12),$B116,INDEX(CONSENSUS!$A$2:$BZ$20001,0,$B$13),$B$5,INDEX(CONSENSUS!$A$2:$BZ$20001,0,$B$10),$F$12))</f>
        <v/>
      </c>
      <c r="Z136" s="21">
        <f>IF(OR($B116="",Z$27=""),0,SUMIFS(INDEX(CONSENSUS!$A$2:$BZ$20001,0,Z$27),INDEX(CONSENSUS!$A$2:$BZ$20001,0,$B$11),$B$1,INDEX(CONSENSUS!$A$2:$BZ$20001,0,$B$12),$B116,INDEX(CONSENSUS!$A$2:$BZ$20001,0,$B$13),$B$5,INDEX(CONSENSUS!$A$2:$BZ$20001,0,$B$10),$F$12))</f>
        <v/>
      </c>
      <c r="AA136" s="21">
        <f>IF(OR($B116="",AA$27=""),0,SUMIFS(INDEX(CONSENSUS!$A$2:$BZ$20001,0,AA$27),INDEX(CONSENSUS!$A$2:$BZ$20001,0,$B$11),$B$1,INDEX(CONSENSUS!$A$2:$BZ$20001,0,$B$12),$B116,INDEX(CONSENSUS!$A$2:$BZ$20001,0,$B$13),$B$5,INDEX(CONSENSUS!$A$2:$BZ$20001,0,$B$10),$F$12))</f>
        <v/>
      </c>
      <c r="AB136" s="21">
        <f>IF(OR($B116="",AB$27=""),0,SUMIFS(INDEX(CONSENSUS!$A$2:$BZ$20001,0,AB$27),INDEX(CONSENSUS!$A$2:$BZ$20001,0,$B$11),$B$1,INDEX(CONSENSUS!$A$2:$BZ$20001,0,$B$12),$B116,INDEX(CONSENSUS!$A$2:$BZ$20001,0,$B$13),$B$5,INDEX(CONSENSUS!$A$2:$BZ$20001,0,$B$10),$F$12))</f>
        <v/>
      </c>
      <c r="AC136" s="21">
        <f>IF(OR($B116="",AC$27=""),0,SUMIFS(INDEX(CONSENSUS!$A$2:$BZ$20001,0,AC$27),INDEX(CONSENSUS!$A$2:$BZ$20001,0,$B$11),$B$1,INDEX(CONSENSUS!$A$2:$BZ$20001,0,$B$12),$B116,INDEX(CONSENSUS!$A$2:$BZ$20001,0,$B$13),$B$5,INDEX(CONSENSUS!$A$2:$BZ$20001,0,$B$10),$F$12))</f>
        <v/>
      </c>
      <c r="AD136" s="21">
        <f>IF(OR($B116="",AD$27=""),0,SUMIFS(INDEX(CONSENSUS!$A$2:$BZ$20001,0,AD$27),INDEX(CONSENSUS!$A$2:$BZ$20001,0,$B$11),$B$1,INDEX(CONSENSUS!$A$2:$BZ$20001,0,$B$12),$B116,INDEX(CONSENSUS!$A$2:$BZ$20001,0,$B$13),$B$5,INDEX(CONSENSUS!$A$2:$BZ$20001,0,$B$10),$F$12))</f>
        <v/>
      </c>
      <c r="AE136" s="21">
        <f>IF(OR($B116="",AE$27=""),0,SUMIFS(INDEX(CONSENSUS!$A$2:$BZ$20001,0,AE$27),INDEX(CONSENSUS!$A$2:$BZ$20001,0,$B$11),$B$1,INDEX(CONSENSUS!$A$2:$BZ$20001,0,$B$12),$B116,INDEX(CONSENSUS!$A$2:$BZ$20001,0,$B$13),$B$5,INDEX(CONSENSUS!$A$2:$BZ$20001,0,$B$10),$F$12))</f>
        <v/>
      </c>
      <c r="AF136" s="21">
        <f>IF(OR($B116="",AF$27=""),0,SUMIFS(INDEX(CONSENSUS!$A$2:$BZ$20001,0,AF$27),INDEX(CONSENSUS!$A$2:$BZ$20001,0,$B$11),$B$1,INDEX(CONSENSUS!$A$2:$BZ$20001,0,$B$12),$B116,INDEX(CONSENSUS!$A$2:$BZ$20001,0,$B$13),$B$5,INDEX(CONSENSUS!$A$2:$BZ$20001,0,$B$10),$F$12))</f>
        <v/>
      </c>
      <c r="AG136" s="21">
        <f>IF(OR($B116="",AG$27=""),0,SUMIFS(INDEX(CONSENSUS!$A$2:$BZ$20001,0,AG$27),INDEX(CONSENSUS!$A$2:$BZ$20001,0,$B$11),$B$1,INDEX(CONSENSUS!$A$2:$BZ$20001,0,$B$12),$B116,INDEX(CONSENSUS!$A$2:$BZ$20001,0,$B$13),$B$5,INDEX(CONSENSUS!$A$2:$BZ$20001,0,$B$10),$F$12))</f>
        <v/>
      </c>
      <c r="AH136" s="21">
        <f>IF(OR($B116="",AH$27=""),0,SUMIFS(INDEX(CONSENSUS!$A$2:$BZ$20001,0,AH$27),INDEX(CONSENSUS!$A$2:$BZ$20001,0,$B$11),$B$1,INDEX(CONSENSUS!$A$2:$BZ$20001,0,$B$12),$B116,INDEX(CONSENSUS!$A$2:$BZ$20001,0,$B$13),$B$5,INDEX(CONSENSUS!$A$2:$BZ$20001,0,$B$10),$F$12))</f>
        <v/>
      </c>
      <c r="AI136" s="21">
        <f>IF(OR($B116="",AI$27=""),0,SUMIFS(INDEX(CONSENSUS!$A$2:$BZ$20001,0,AI$27),INDEX(CONSENSUS!$A$2:$BZ$20001,0,$B$11),$B$1,INDEX(CONSENSUS!$A$2:$BZ$20001,0,$B$12),$B116,INDEX(CONSENSUS!$A$2:$BZ$20001,0,$B$13),$B$5,INDEX(CONSENSUS!$A$2:$BZ$20001,0,$B$10),$F$12))</f>
        <v/>
      </c>
      <c r="AJ136" s="21">
        <f>IF(OR($B116="",AJ$27=""),0,SUMIFS(INDEX(CONSENSUS!$A$2:$BZ$20001,0,AJ$27),INDEX(CONSENSUS!$A$2:$BZ$20001,0,$B$11),$B$1,INDEX(CONSENSUS!$A$2:$BZ$20001,0,$B$12),$B116,INDEX(CONSENSUS!$A$2:$BZ$20001,0,$B$13),$B$5,INDEX(CONSENSUS!$A$2:$BZ$20001,0,$B$10),$F$12))</f>
        <v/>
      </c>
      <c r="AK136" s="21">
        <f>IF(OR($B116="",AK$27=""),0,SUMIFS(INDEX(CONSENSUS!$A$2:$BZ$20001,0,AK$27),INDEX(CONSENSUS!$A$2:$BZ$20001,0,$B$11),$B$1,INDEX(CONSENSUS!$A$2:$BZ$20001,0,$B$12),$B116,INDEX(CONSENSUS!$A$2:$BZ$20001,0,$B$13),$B$5,INDEX(CONSENSUS!$A$2:$BZ$20001,0,$B$10),$F$12))</f>
        <v/>
      </c>
      <c r="AL136" s="21">
        <f>IF(OR($B116="",AL$27=""),0,SUMIFS(INDEX(CONSENSUS!$A$2:$BZ$20001,0,AL$27),INDEX(CONSENSUS!$A$2:$BZ$20001,0,$B$11),$B$1,INDEX(CONSENSUS!$A$2:$BZ$20001,0,$B$12),$B116,INDEX(CONSENSUS!$A$2:$BZ$20001,0,$B$13),$B$5,INDEX(CONSENSUS!$A$2:$BZ$20001,0,$B$10),$F$12))</f>
        <v/>
      </c>
      <c r="AM136" s="21">
        <f>IF(OR($B116="",AM$27=""),0,SUMIFS(INDEX(CONSENSUS!$A$2:$BZ$20001,0,AM$27),INDEX(CONSENSUS!$A$2:$BZ$20001,0,$B$11),$B$1,INDEX(CONSENSUS!$A$2:$BZ$20001,0,$B$12),$B116,INDEX(CONSENSUS!$A$2:$BZ$20001,0,$B$13),$B$5,INDEX(CONSENSUS!$A$2:$BZ$20001,0,$B$10),$F$12))</f>
        <v/>
      </c>
    </row>
    <row r="137">
      <c r="A137" s="23">
        <f>IF($B117="","System FC original","System FC original | "&amp;$B117)</f>
        <v/>
      </c>
      <c r="D137" s="21">
        <f>IF(OR($B117="",D$27=""),0,SUMIFS(INDEX(CONSENSUS!$A$2:$BZ$20001,0,D$27),INDEX(CONSENSUS!$A$2:$BZ$20001,0,$B$11),$B$1,INDEX(CONSENSUS!$A$2:$BZ$20001,0,$B$12),$B117,INDEX(CONSENSUS!$A$2:$BZ$20001,0,$B$13),$B$5,INDEX(CONSENSUS!$A$2:$BZ$20001,0,$B$10),$F$12))</f>
        <v/>
      </c>
      <c r="E137" s="21">
        <f>IF(OR($B117="",E$27=""),0,SUMIFS(INDEX(CONSENSUS!$A$2:$BZ$20001,0,E$27),INDEX(CONSENSUS!$A$2:$BZ$20001,0,$B$11),$B$1,INDEX(CONSENSUS!$A$2:$BZ$20001,0,$B$12),$B117,INDEX(CONSENSUS!$A$2:$BZ$20001,0,$B$13),$B$5,INDEX(CONSENSUS!$A$2:$BZ$20001,0,$B$10),$F$12))</f>
        <v/>
      </c>
      <c r="F137" s="21">
        <f>IF(OR($B117="",F$27=""),0,SUMIFS(INDEX(CONSENSUS!$A$2:$BZ$20001,0,F$27),INDEX(CONSENSUS!$A$2:$BZ$20001,0,$B$11),$B$1,INDEX(CONSENSUS!$A$2:$BZ$20001,0,$B$12),$B117,INDEX(CONSENSUS!$A$2:$BZ$20001,0,$B$13),$B$5,INDEX(CONSENSUS!$A$2:$BZ$20001,0,$B$10),$F$12))</f>
        <v/>
      </c>
      <c r="G137" s="21">
        <f>IF(OR($B117="",G$27=""),0,SUMIFS(INDEX(CONSENSUS!$A$2:$BZ$20001,0,G$27),INDEX(CONSENSUS!$A$2:$BZ$20001,0,$B$11),$B$1,INDEX(CONSENSUS!$A$2:$BZ$20001,0,$B$12),$B117,INDEX(CONSENSUS!$A$2:$BZ$20001,0,$B$13),$B$5,INDEX(CONSENSUS!$A$2:$BZ$20001,0,$B$10),$F$12))</f>
        <v/>
      </c>
      <c r="H137" s="21">
        <f>IF(OR($B117="",H$27=""),0,SUMIFS(INDEX(CONSENSUS!$A$2:$BZ$20001,0,H$27),INDEX(CONSENSUS!$A$2:$BZ$20001,0,$B$11),$B$1,INDEX(CONSENSUS!$A$2:$BZ$20001,0,$B$12),$B117,INDEX(CONSENSUS!$A$2:$BZ$20001,0,$B$13),$B$5,INDEX(CONSENSUS!$A$2:$BZ$20001,0,$B$10),$F$12))</f>
        <v/>
      </c>
      <c r="I137" s="21">
        <f>IF(OR($B117="",I$27=""),0,SUMIFS(INDEX(CONSENSUS!$A$2:$BZ$20001,0,I$27),INDEX(CONSENSUS!$A$2:$BZ$20001,0,$B$11),$B$1,INDEX(CONSENSUS!$A$2:$BZ$20001,0,$B$12),$B117,INDEX(CONSENSUS!$A$2:$BZ$20001,0,$B$13),$B$5,INDEX(CONSENSUS!$A$2:$BZ$20001,0,$B$10),$F$12))</f>
        <v/>
      </c>
      <c r="J137" s="21">
        <f>IF(OR($B117="",J$27=""),0,SUMIFS(INDEX(CONSENSUS!$A$2:$BZ$20001,0,J$27),INDEX(CONSENSUS!$A$2:$BZ$20001,0,$B$11),$B$1,INDEX(CONSENSUS!$A$2:$BZ$20001,0,$B$12),$B117,INDEX(CONSENSUS!$A$2:$BZ$20001,0,$B$13),$B$5,INDEX(CONSENSUS!$A$2:$BZ$20001,0,$B$10),$F$12))</f>
        <v/>
      </c>
      <c r="K137" s="21">
        <f>IF(OR($B117="",K$27=""),0,SUMIFS(INDEX(CONSENSUS!$A$2:$BZ$20001,0,K$27),INDEX(CONSENSUS!$A$2:$BZ$20001,0,$B$11),$B$1,INDEX(CONSENSUS!$A$2:$BZ$20001,0,$B$12),$B117,INDEX(CONSENSUS!$A$2:$BZ$20001,0,$B$13),$B$5,INDEX(CONSENSUS!$A$2:$BZ$20001,0,$B$10),$F$12))</f>
        <v/>
      </c>
      <c r="L137" s="21">
        <f>IF(OR($B117="",L$27=""),0,SUMIFS(INDEX(CONSENSUS!$A$2:$BZ$20001,0,L$27),INDEX(CONSENSUS!$A$2:$BZ$20001,0,$B$11),$B$1,INDEX(CONSENSUS!$A$2:$BZ$20001,0,$B$12),$B117,INDEX(CONSENSUS!$A$2:$BZ$20001,0,$B$13),$B$5,INDEX(CONSENSUS!$A$2:$BZ$20001,0,$B$10),$F$12))</f>
        <v/>
      </c>
      <c r="M137" s="21">
        <f>IF(OR($B117="",M$27=""),0,SUMIFS(INDEX(CONSENSUS!$A$2:$BZ$20001,0,M$27),INDEX(CONSENSUS!$A$2:$BZ$20001,0,$B$11),$B$1,INDEX(CONSENSUS!$A$2:$BZ$20001,0,$B$12),$B117,INDEX(CONSENSUS!$A$2:$BZ$20001,0,$B$13),$B$5,INDEX(CONSENSUS!$A$2:$BZ$20001,0,$B$10),$F$12))</f>
        <v/>
      </c>
      <c r="N137" s="21">
        <f>IF(OR($B117="",N$27=""),0,SUMIFS(INDEX(CONSENSUS!$A$2:$BZ$20001,0,N$27),INDEX(CONSENSUS!$A$2:$BZ$20001,0,$B$11),$B$1,INDEX(CONSENSUS!$A$2:$BZ$20001,0,$B$12),$B117,INDEX(CONSENSUS!$A$2:$BZ$20001,0,$B$13),$B$5,INDEX(CONSENSUS!$A$2:$BZ$20001,0,$B$10),$F$12))</f>
        <v/>
      </c>
      <c r="O137" s="21">
        <f>IF(OR($B117="",O$27=""),0,SUMIFS(INDEX(CONSENSUS!$A$2:$BZ$20001,0,O$27),INDEX(CONSENSUS!$A$2:$BZ$20001,0,$B$11),$B$1,INDEX(CONSENSUS!$A$2:$BZ$20001,0,$B$12),$B117,INDEX(CONSENSUS!$A$2:$BZ$20001,0,$B$13),$B$5,INDEX(CONSENSUS!$A$2:$BZ$20001,0,$B$10),$F$12))</f>
        <v/>
      </c>
      <c r="P137" s="21">
        <f>IF(OR($B117="",P$27=""),0,SUMIFS(INDEX(CONSENSUS!$A$2:$BZ$20001,0,P$27),INDEX(CONSENSUS!$A$2:$BZ$20001,0,$B$11),$B$1,INDEX(CONSENSUS!$A$2:$BZ$20001,0,$B$12),$B117,INDEX(CONSENSUS!$A$2:$BZ$20001,0,$B$13),$B$5,INDEX(CONSENSUS!$A$2:$BZ$20001,0,$B$10),$F$12))</f>
        <v/>
      </c>
      <c r="Q137" s="21">
        <f>IF(OR($B117="",Q$27=""),0,SUMIFS(INDEX(CONSENSUS!$A$2:$BZ$20001,0,Q$27),INDEX(CONSENSUS!$A$2:$BZ$20001,0,$B$11),$B$1,INDEX(CONSENSUS!$A$2:$BZ$20001,0,$B$12),$B117,INDEX(CONSENSUS!$A$2:$BZ$20001,0,$B$13),$B$5,INDEX(CONSENSUS!$A$2:$BZ$20001,0,$B$10),$F$12))</f>
        <v/>
      </c>
      <c r="R137" s="21">
        <f>IF(OR($B117="",R$27=""),0,SUMIFS(INDEX(CONSENSUS!$A$2:$BZ$20001,0,R$27),INDEX(CONSENSUS!$A$2:$BZ$20001,0,$B$11),$B$1,INDEX(CONSENSUS!$A$2:$BZ$20001,0,$B$12),$B117,INDEX(CONSENSUS!$A$2:$BZ$20001,0,$B$13),$B$5,INDEX(CONSENSUS!$A$2:$BZ$20001,0,$B$10),$F$12))</f>
        <v/>
      </c>
      <c r="S137" s="21">
        <f>IF(OR($B117="",S$27=""),0,SUMIFS(INDEX(CONSENSUS!$A$2:$BZ$20001,0,S$27),INDEX(CONSENSUS!$A$2:$BZ$20001,0,$B$11),$B$1,INDEX(CONSENSUS!$A$2:$BZ$20001,0,$B$12),$B117,INDEX(CONSENSUS!$A$2:$BZ$20001,0,$B$13),$B$5,INDEX(CONSENSUS!$A$2:$BZ$20001,0,$B$10),$F$12))</f>
        <v/>
      </c>
      <c r="T137" s="21">
        <f>IF(OR($B117="",T$27=""),0,SUMIFS(INDEX(CONSENSUS!$A$2:$BZ$20001,0,T$27),INDEX(CONSENSUS!$A$2:$BZ$20001,0,$B$11),$B$1,INDEX(CONSENSUS!$A$2:$BZ$20001,0,$B$12),$B117,INDEX(CONSENSUS!$A$2:$BZ$20001,0,$B$13),$B$5,INDEX(CONSENSUS!$A$2:$BZ$20001,0,$B$10),$F$12))</f>
        <v/>
      </c>
      <c r="U137" s="21">
        <f>IF(OR($B117="",U$27=""),0,SUMIFS(INDEX(CONSENSUS!$A$2:$BZ$20001,0,U$27),INDEX(CONSENSUS!$A$2:$BZ$20001,0,$B$11),$B$1,INDEX(CONSENSUS!$A$2:$BZ$20001,0,$B$12),$B117,INDEX(CONSENSUS!$A$2:$BZ$20001,0,$B$13),$B$5,INDEX(CONSENSUS!$A$2:$BZ$20001,0,$B$10),$F$12))</f>
        <v/>
      </c>
      <c r="V137" s="21">
        <f>IF(OR($B117="",V$27=""),0,SUMIFS(INDEX(CONSENSUS!$A$2:$BZ$20001,0,V$27),INDEX(CONSENSUS!$A$2:$BZ$20001,0,$B$11),$B$1,INDEX(CONSENSUS!$A$2:$BZ$20001,0,$B$12),$B117,INDEX(CONSENSUS!$A$2:$BZ$20001,0,$B$13),$B$5,INDEX(CONSENSUS!$A$2:$BZ$20001,0,$B$10),$F$12))</f>
        <v/>
      </c>
      <c r="W137" s="21">
        <f>IF(OR($B117="",W$27=""),0,SUMIFS(INDEX(CONSENSUS!$A$2:$BZ$20001,0,W$27),INDEX(CONSENSUS!$A$2:$BZ$20001,0,$B$11),$B$1,INDEX(CONSENSUS!$A$2:$BZ$20001,0,$B$12),$B117,INDEX(CONSENSUS!$A$2:$BZ$20001,0,$B$13),$B$5,INDEX(CONSENSUS!$A$2:$BZ$20001,0,$B$10),$F$12))</f>
        <v/>
      </c>
      <c r="X137" s="21">
        <f>IF(OR($B117="",X$27=""),0,SUMIFS(INDEX(CONSENSUS!$A$2:$BZ$20001,0,X$27),INDEX(CONSENSUS!$A$2:$BZ$20001,0,$B$11),$B$1,INDEX(CONSENSUS!$A$2:$BZ$20001,0,$B$12),$B117,INDEX(CONSENSUS!$A$2:$BZ$20001,0,$B$13),$B$5,INDEX(CONSENSUS!$A$2:$BZ$20001,0,$B$10),$F$12))</f>
        <v/>
      </c>
      <c r="Y137" s="21">
        <f>IF(OR($B117="",Y$27=""),0,SUMIFS(INDEX(CONSENSUS!$A$2:$BZ$20001,0,Y$27),INDEX(CONSENSUS!$A$2:$BZ$20001,0,$B$11),$B$1,INDEX(CONSENSUS!$A$2:$BZ$20001,0,$B$12),$B117,INDEX(CONSENSUS!$A$2:$BZ$20001,0,$B$13),$B$5,INDEX(CONSENSUS!$A$2:$BZ$20001,0,$B$10),$F$12))</f>
        <v/>
      </c>
      <c r="Z137" s="21">
        <f>IF(OR($B117="",Z$27=""),0,SUMIFS(INDEX(CONSENSUS!$A$2:$BZ$20001,0,Z$27),INDEX(CONSENSUS!$A$2:$BZ$20001,0,$B$11),$B$1,INDEX(CONSENSUS!$A$2:$BZ$20001,0,$B$12),$B117,INDEX(CONSENSUS!$A$2:$BZ$20001,0,$B$13),$B$5,INDEX(CONSENSUS!$A$2:$BZ$20001,0,$B$10),$F$12))</f>
        <v/>
      </c>
      <c r="AA137" s="21">
        <f>IF(OR($B117="",AA$27=""),0,SUMIFS(INDEX(CONSENSUS!$A$2:$BZ$20001,0,AA$27),INDEX(CONSENSUS!$A$2:$BZ$20001,0,$B$11),$B$1,INDEX(CONSENSUS!$A$2:$BZ$20001,0,$B$12),$B117,INDEX(CONSENSUS!$A$2:$BZ$20001,0,$B$13),$B$5,INDEX(CONSENSUS!$A$2:$BZ$20001,0,$B$10),$F$12))</f>
        <v/>
      </c>
      <c r="AB137" s="21">
        <f>IF(OR($B117="",AB$27=""),0,SUMIFS(INDEX(CONSENSUS!$A$2:$BZ$20001,0,AB$27),INDEX(CONSENSUS!$A$2:$BZ$20001,0,$B$11),$B$1,INDEX(CONSENSUS!$A$2:$BZ$20001,0,$B$12),$B117,INDEX(CONSENSUS!$A$2:$BZ$20001,0,$B$13),$B$5,INDEX(CONSENSUS!$A$2:$BZ$20001,0,$B$10),$F$12))</f>
        <v/>
      </c>
      <c r="AC137" s="21">
        <f>IF(OR($B117="",AC$27=""),0,SUMIFS(INDEX(CONSENSUS!$A$2:$BZ$20001,0,AC$27),INDEX(CONSENSUS!$A$2:$BZ$20001,0,$B$11),$B$1,INDEX(CONSENSUS!$A$2:$BZ$20001,0,$B$12),$B117,INDEX(CONSENSUS!$A$2:$BZ$20001,0,$B$13),$B$5,INDEX(CONSENSUS!$A$2:$BZ$20001,0,$B$10),$F$12))</f>
        <v/>
      </c>
      <c r="AD137" s="21">
        <f>IF(OR($B117="",AD$27=""),0,SUMIFS(INDEX(CONSENSUS!$A$2:$BZ$20001,0,AD$27),INDEX(CONSENSUS!$A$2:$BZ$20001,0,$B$11),$B$1,INDEX(CONSENSUS!$A$2:$BZ$20001,0,$B$12),$B117,INDEX(CONSENSUS!$A$2:$BZ$20001,0,$B$13),$B$5,INDEX(CONSENSUS!$A$2:$BZ$20001,0,$B$10),$F$12))</f>
        <v/>
      </c>
      <c r="AE137" s="21">
        <f>IF(OR($B117="",AE$27=""),0,SUMIFS(INDEX(CONSENSUS!$A$2:$BZ$20001,0,AE$27),INDEX(CONSENSUS!$A$2:$BZ$20001,0,$B$11),$B$1,INDEX(CONSENSUS!$A$2:$BZ$20001,0,$B$12),$B117,INDEX(CONSENSUS!$A$2:$BZ$20001,0,$B$13),$B$5,INDEX(CONSENSUS!$A$2:$BZ$20001,0,$B$10),$F$12))</f>
        <v/>
      </c>
      <c r="AF137" s="21">
        <f>IF(OR($B117="",AF$27=""),0,SUMIFS(INDEX(CONSENSUS!$A$2:$BZ$20001,0,AF$27),INDEX(CONSENSUS!$A$2:$BZ$20001,0,$B$11),$B$1,INDEX(CONSENSUS!$A$2:$BZ$20001,0,$B$12),$B117,INDEX(CONSENSUS!$A$2:$BZ$20001,0,$B$13),$B$5,INDEX(CONSENSUS!$A$2:$BZ$20001,0,$B$10),$F$12))</f>
        <v/>
      </c>
      <c r="AG137" s="21">
        <f>IF(OR($B117="",AG$27=""),0,SUMIFS(INDEX(CONSENSUS!$A$2:$BZ$20001,0,AG$27),INDEX(CONSENSUS!$A$2:$BZ$20001,0,$B$11),$B$1,INDEX(CONSENSUS!$A$2:$BZ$20001,0,$B$12),$B117,INDEX(CONSENSUS!$A$2:$BZ$20001,0,$B$13),$B$5,INDEX(CONSENSUS!$A$2:$BZ$20001,0,$B$10),$F$12))</f>
        <v/>
      </c>
      <c r="AH137" s="21">
        <f>IF(OR($B117="",AH$27=""),0,SUMIFS(INDEX(CONSENSUS!$A$2:$BZ$20001,0,AH$27),INDEX(CONSENSUS!$A$2:$BZ$20001,0,$B$11),$B$1,INDEX(CONSENSUS!$A$2:$BZ$20001,0,$B$12),$B117,INDEX(CONSENSUS!$A$2:$BZ$20001,0,$B$13),$B$5,INDEX(CONSENSUS!$A$2:$BZ$20001,0,$B$10),$F$12))</f>
        <v/>
      </c>
      <c r="AI137" s="21">
        <f>IF(OR($B117="",AI$27=""),0,SUMIFS(INDEX(CONSENSUS!$A$2:$BZ$20001,0,AI$27),INDEX(CONSENSUS!$A$2:$BZ$20001,0,$B$11),$B$1,INDEX(CONSENSUS!$A$2:$BZ$20001,0,$B$12),$B117,INDEX(CONSENSUS!$A$2:$BZ$20001,0,$B$13),$B$5,INDEX(CONSENSUS!$A$2:$BZ$20001,0,$B$10),$F$12))</f>
        <v/>
      </c>
      <c r="AJ137" s="21">
        <f>IF(OR($B117="",AJ$27=""),0,SUMIFS(INDEX(CONSENSUS!$A$2:$BZ$20001,0,AJ$27),INDEX(CONSENSUS!$A$2:$BZ$20001,0,$B$11),$B$1,INDEX(CONSENSUS!$A$2:$BZ$20001,0,$B$12),$B117,INDEX(CONSENSUS!$A$2:$BZ$20001,0,$B$13),$B$5,INDEX(CONSENSUS!$A$2:$BZ$20001,0,$B$10),$F$12))</f>
        <v/>
      </c>
      <c r="AK137" s="21">
        <f>IF(OR($B117="",AK$27=""),0,SUMIFS(INDEX(CONSENSUS!$A$2:$BZ$20001,0,AK$27),INDEX(CONSENSUS!$A$2:$BZ$20001,0,$B$11),$B$1,INDEX(CONSENSUS!$A$2:$BZ$20001,0,$B$12),$B117,INDEX(CONSENSUS!$A$2:$BZ$20001,0,$B$13),$B$5,INDEX(CONSENSUS!$A$2:$BZ$20001,0,$B$10),$F$12))</f>
        <v/>
      </c>
      <c r="AL137" s="21">
        <f>IF(OR($B117="",AL$27=""),0,SUMIFS(INDEX(CONSENSUS!$A$2:$BZ$20001,0,AL$27),INDEX(CONSENSUS!$A$2:$BZ$20001,0,$B$11),$B$1,INDEX(CONSENSUS!$A$2:$BZ$20001,0,$B$12),$B117,INDEX(CONSENSUS!$A$2:$BZ$20001,0,$B$13),$B$5,INDEX(CONSENSUS!$A$2:$BZ$20001,0,$B$10),$F$12))</f>
        <v/>
      </c>
      <c r="AM137" s="21">
        <f>IF(OR($B117="",AM$27=""),0,SUMIFS(INDEX(CONSENSUS!$A$2:$BZ$20001,0,AM$27),INDEX(CONSENSUS!$A$2:$BZ$20001,0,$B$11),$B$1,INDEX(CONSENSUS!$A$2:$BZ$20001,0,$B$12),$B117,INDEX(CONSENSUS!$A$2:$BZ$20001,0,$B$13),$B$5,INDEX(CONSENSUS!$A$2:$BZ$20001,0,$B$10),$F$12))</f>
        <v/>
      </c>
    </row>
    <row r="138">
      <c r="A138" s="23">
        <f>IF($B118="","System FC original","System FC original | "&amp;$B118)</f>
        <v/>
      </c>
      <c r="D138" s="21">
        <f>IF(OR($B118="",D$27=""),0,SUMIFS(INDEX(CONSENSUS!$A$2:$BZ$20001,0,D$27),INDEX(CONSENSUS!$A$2:$BZ$20001,0,$B$11),$B$1,INDEX(CONSENSUS!$A$2:$BZ$20001,0,$B$12),$B118,INDEX(CONSENSUS!$A$2:$BZ$20001,0,$B$13),$B$5,INDEX(CONSENSUS!$A$2:$BZ$20001,0,$B$10),$F$12))</f>
        <v/>
      </c>
      <c r="E138" s="21">
        <f>IF(OR($B118="",E$27=""),0,SUMIFS(INDEX(CONSENSUS!$A$2:$BZ$20001,0,E$27),INDEX(CONSENSUS!$A$2:$BZ$20001,0,$B$11),$B$1,INDEX(CONSENSUS!$A$2:$BZ$20001,0,$B$12),$B118,INDEX(CONSENSUS!$A$2:$BZ$20001,0,$B$13),$B$5,INDEX(CONSENSUS!$A$2:$BZ$20001,0,$B$10),$F$12))</f>
        <v/>
      </c>
      <c r="F138" s="21">
        <f>IF(OR($B118="",F$27=""),0,SUMIFS(INDEX(CONSENSUS!$A$2:$BZ$20001,0,F$27),INDEX(CONSENSUS!$A$2:$BZ$20001,0,$B$11),$B$1,INDEX(CONSENSUS!$A$2:$BZ$20001,0,$B$12),$B118,INDEX(CONSENSUS!$A$2:$BZ$20001,0,$B$13),$B$5,INDEX(CONSENSUS!$A$2:$BZ$20001,0,$B$10),$F$12))</f>
        <v/>
      </c>
      <c r="G138" s="21">
        <f>IF(OR($B118="",G$27=""),0,SUMIFS(INDEX(CONSENSUS!$A$2:$BZ$20001,0,G$27),INDEX(CONSENSUS!$A$2:$BZ$20001,0,$B$11),$B$1,INDEX(CONSENSUS!$A$2:$BZ$20001,0,$B$12),$B118,INDEX(CONSENSUS!$A$2:$BZ$20001,0,$B$13),$B$5,INDEX(CONSENSUS!$A$2:$BZ$20001,0,$B$10),$F$12))</f>
        <v/>
      </c>
      <c r="H138" s="21">
        <f>IF(OR($B118="",H$27=""),0,SUMIFS(INDEX(CONSENSUS!$A$2:$BZ$20001,0,H$27),INDEX(CONSENSUS!$A$2:$BZ$20001,0,$B$11),$B$1,INDEX(CONSENSUS!$A$2:$BZ$20001,0,$B$12),$B118,INDEX(CONSENSUS!$A$2:$BZ$20001,0,$B$13),$B$5,INDEX(CONSENSUS!$A$2:$BZ$20001,0,$B$10),$F$12))</f>
        <v/>
      </c>
      <c r="I138" s="21">
        <f>IF(OR($B118="",I$27=""),0,SUMIFS(INDEX(CONSENSUS!$A$2:$BZ$20001,0,I$27),INDEX(CONSENSUS!$A$2:$BZ$20001,0,$B$11),$B$1,INDEX(CONSENSUS!$A$2:$BZ$20001,0,$B$12),$B118,INDEX(CONSENSUS!$A$2:$BZ$20001,0,$B$13),$B$5,INDEX(CONSENSUS!$A$2:$BZ$20001,0,$B$10),$F$12))</f>
        <v/>
      </c>
      <c r="J138" s="21">
        <f>IF(OR($B118="",J$27=""),0,SUMIFS(INDEX(CONSENSUS!$A$2:$BZ$20001,0,J$27),INDEX(CONSENSUS!$A$2:$BZ$20001,0,$B$11),$B$1,INDEX(CONSENSUS!$A$2:$BZ$20001,0,$B$12),$B118,INDEX(CONSENSUS!$A$2:$BZ$20001,0,$B$13),$B$5,INDEX(CONSENSUS!$A$2:$BZ$20001,0,$B$10),$F$12))</f>
        <v/>
      </c>
      <c r="K138" s="21">
        <f>IF(OR($B118="",K$27=""),0,SUMIFS(INDEX(CONSENSUS!$A$2:$BZ$20001,0,K$27),INDEX(CONSENSUS!$A$2:$BZ$20001,0,$B$11),$B$1,INDEX(CONSENSUS!$A$2:$BZ$20001,0,$B$12),$B118,INDEX(CONSENSUS!$A$2:$BZ$20001,0,$B$13),$B$5,INDEX(CONSENSUS!$A$2:$BZ$20001,0,$B$10),$F$12))</f>
        <v/>
      </c>
      <c r="L138" s="21">
        <f>IF(OR($B118="",L$27=""),0,SUMIFS(INDEX(CONSENSUS!$A$2:$BZ$20001,0,L$27),INDEX(CONSENSUS!$A$2:$BZ$20001,0,$B$11),$B$1,INDEX(CONSENSUS!$A$2:$BZ$20001,0,$B$12),$B118,INDEX(CONSENSUS!$A$2:$BZ$20001,0,$B$13),$B$5,INDEX(CONSENSUS!$A$2:$BZ$20001,0,$B$10),$F$12))</f>
        <v/>
      </c>
      <c r="M138" s="21">
        <f>IF(OR($B118="",M$27=""),0,SUMIFS(INDEX(CONSENSUS!$A$2:$BZ$20001,0,M$27),INDEX(CONSENSUS!$A$2:$BZ$20001,0,$B$11),$B$1,INDEX(CONSENSUS!$A$2:$BZ$20001,0,$B$12),$B118,INDEX(CONSENSUS!$A$2:$BZ$20001,0,$B$13),$B$5,INDEX(CONSENSUS!$A$2:$BZ$20001,0,$B$10),$F$12))</f>
        <v/>
      </c>
      <c r="N138" s="21">
        <f>IF(OR($B118="",N$27=""),0,SUMIFS(INDEX(CONSENSUS!$A$2:$BZ$20001,0,N$27),INDEX(CONSENSUS!$A$2:$BZ$20001,0,$B$11),$B$1,INDEX(CONSENSUS!$A$2:$BZ$20001,0,$B$12),$B118,INDEX(CONSENSUS!$A$2:$BZ$20001,0,$B$13),$B$5,INDEX(CONSENSUS!$A$2:$BZ$20001,0,$B$10),$F$12))</f>
        <v/>
      </c>
      <c r="O138" s="21">
        <f>IF(OR($B118="",O$27=""),0,SUMIFS(INDEX(CONSENSUS!$A$2:$BZ$20001,0,O$27),INDEX(CONSENSUS!$A$2:$BZ$20001,0,$B$11),$B$1,INDEX(CONSENSUS!$A$2:$BZ$20001,0,$B$12),$B118,INDEX(CONSENSUS!$A$2:$BZ$20001,0,$B$13),$B$5,INDEX(CONSENSUS!$A$2:$BZ$20001,0,$B$10),$F$12))</f>
        <v/>
      </c>
      <c r="P138" s="21">
        <f>IF(OR($B118="",P$27=""),0,SUMIFS(INDEX(CONSENSUS!$A$2:$BZ$20001,0,P$27),INDEX(CONSENSUS!$A$2:$BZ$20001,0,$B$11),$B$1,INDEX(CONSENSUS!$A$2:$BZ$20001,0,$B$12),$B118,INDEX(CONSENSUS!$A$2:$BZ$20001,0,$B$13),$B$5,INDEX(CONSENSUS!$A$2:$BZ$20001,0,$B$10),$F$12))</f>
        <v/>
      </c>
      <c r="Q138" s="21">
        <f>IF(OR($B118="",Q$27=""),0,SUMIFS(INDEX(CONSENSUS!$A$2:$BZ$20001,0,Q$27),INDEX(CONSENSUS!$A$2:$BZ$20001,0,$B$11),$B$1,INDEX(CONSENSUS!$A$2:$BZ$20001,0,$B$12),$B118,INDEX(CONSENSUS!$A$2:$BZ$20001,0,$B$13),$B$5,INDEX(CONSENSUS!$A$2:$BZ$20001,0,$B$10),$F$12))</f>
        <v/>
      </c>
      <c r="R138" s="21">
        <f>IF(OR($B118="",R$27=""),0,SUMIFS(INDEX(CONSENSUS!$A$2:$BZ$20001,0,R$27),INDEX(CONSENSUS!$A$2:$BZ$20001,0,$B$11),$B$1,INDEX(CONSENSUS!$A$2:$BZ$20001,0,$B$12),$B118,INDEX(CONSENSUS!$A$2:$BZ$20001,0,$B$13),$B$5,INDEX(CONSENSUS!$A$2:$BZ$20001,0,$B$10),$F$12))</f>
        <v/>
      </c>
      <c r="S138" s="21">
        <f>IF(OR($B118="",S$27=""),0,SUMIFS(INDEX(CONSENSUS!$A$2:$BZ$20001,0,S$27),INDEX(CONSENSUS!$A$2:$BZ$20001,0,$B$11),$B$1,INDEX(CONSENSUS!$A$2:$BZ$20001,0,$B$12),$B118,INDEX(CONSENSUS!$A$2:$BZ$20001,0,$B$13),$B$5,INDEX(CONSENSUS!$A$2:$BZ$20001,0,$B$10),$F$12))</f>
        <v/>
      </c>
      <c r="T138" s="21">
        <f>IF(OR($B118="",T$27=""),0,SUMIFS(INDEX(CONSENSUS!$A$2:$BZ$20001,0,T$27),INDEX(CONSENSUS!$A$2:$BZ$20001,0,$B$11),$B$1,INDEX(CONSENSUS!$A$2:$BZ$20001,0,$B$12),$B118,INDEX(CONSENSUS!$A$2:$BZ$20001,0,$B$13),$B$5,INDEX(CONSENSUS!$A$2:$BZ$20001,0,$B$10),$F$12))</f>
        <v/>
      </c>
      <c r="U138" s="21">
        <f>IF(OR($B118="",U$27=""),0,SUMIFS(INDEX(CONSENSUS!$A$2:$BZ$20001,0,U$27),INDEX(CONSENSUS!$A$2:$BZ$20001,0,$B$11),$B$1,INDEX(CONSENSUS!$A$2:$BZ$20001,0,$B$12),$B118,INDEX(CONSENSUS!$A$2:$BZ$20001,0,$B$13),$B$5,INDEX(CONSENSUS!$A$2:$BZ$20001,0,$B$10),$F$12))</f>
        <v/>
      </c>
      <c r="V138" s="21">
        <f>IF(OR($B118="",V$27=""),0,SUMIFS(INDEX(CONSENSUS!$A$2:$BZ$20001,0,V$27),INDEX(CONSENSUS!$A$2:$BZ$20001,0,$B$11),$B$1,INDEX(CONSENSUS!$A$2:$BZ$20001,0,$B$12),$B118,INDEX(CONSENSUS!$A$2:$BZ$20001,0,$B$13),$B$5,INDEX(CONSENSUS!$A$2:$BZ$20001,0,$B$10),$F$12))</f>
        <v/>
      </c>
      <c r="W138" s="21">
        <f>IF(OR($B118="",W$27=""),0,SUMIFS(INDEX(CONSENSUS!$A$2:$BZ$20001,0,W$27),INDEX(CONSENSUS!$A$2:$BZ$20001,0,$B$11),$B$1,INDEX(CONSENSUS!$A$2:$BZ$20001,0,$B$12),$B118,INDEX(CONSENSUS!$A$2:$BZ$20001,0,$B$13),$B$5,INDEX(CONSENSUS!$A$2:$BZ$20001,0,$B$10),$F$12))</f>
        <v/>
      </c>
      <c r="X138" s="21">
        <f>IF(OR($B118="",X$27=""),0,SUMIFS(INDEX(CONSENSUS!$A$2:$BZ$20001,0,X$27),INDEX(CONSENSUS!$A$2:$BZ$20001,0,$B$11),$B$1,INDEX(CONSENSUS!$A$2:$BZ$20001,0,$B$12),$B118,INDEX(CONSENSUS!$A$2:$BZ$20001,0,$B$13),$B$5,INDEX(CONSENSUS!$A$2:$BZ$20001,0,$B$10),$F$12))</f>
        <v/>
      </c>
      <c r="Y138" s="21">
        <f>IF(OR($B118="",Y$27=""),0,SUMIFS(INDEX(CONSENSUS!$A$2:$BZ$20001,0,Y$27),INDEX(CONSENSUS!$A$2:$BZ$20001,0,$B$11),$B$1,INDEX(CONSENSUS!$A$2:$BZ$20001,0,$B$12),$B118,INDEX(CONSENSUS!$A$2:$BZ$20001,0,$B$13),$B$5,INDEX(CONSENSUS!$A$2:$BZ$20001,0,$B$10),$F$12))</f>
        <v/>
      </c>
      <c r="Z138" s="21">
        <f>IF(OR($B118="",Z$27=""),0,SUMIFS(INDEX(CONSENSUS!$A$2:$BZ$20001,0,Z$27),INDEX(CONSENSUS!$A$2:$BZ$20001,0,$B$11),$B$1,INDEX(CONSENSUS!$A$2:$BZ$20001,0,$B$12),$B118,INDEX(CONSENSUS!$A$2:$BZ$20001,0,$B$13),$B$5,INDEX(CONSENSUS!$A$2:$BZ$20001,0,$B$10),$F$12))</f>
        <v/>
      </c>
      <c r="AA138" s="21">
        <f>IF(OR($B118="",AA$27=""),0,SUMIFS(INDEX(CONSENSUS!$A$2:$BZ$20001,0,AA$27),INDEX(CONSENSUS!$A$2:$BZ$20001,0,$B$11),$B$1,INDEX(CONSENSUS!$A$2:$BZ$20001,0,$B$12),$B118,INDEX(CONSENSUS!$A$2:$BZ$20001,0,$B$13),$B$5,INDEX(CONSENSUS!$A$2:$BZ$20001,0,$B$10),$F$12))</f>
        <v/>
      </c>
      <c r="AB138" s="21">
        <f>IF(OR($B118="",AB$27=""),0,SUMIFS(INDEX(CONSENSUS!$A$2:$BZ$20001,0,AB$27),INDEX(CONSENSUS!$A$2:$BZ$20001,0,$B$11),$B$1,INDEX(CONSENSUS!$A$2:$BZ$20001,0,$B$12),$B118,INDEX(CONSENSUS!$A$2:$BZ$20001,0,$B$13),$B$5,INDEX(CONSENSUS!$A$2:$BZ$20001,0,$B$10),$F$12))</f>
        <v/>
      </c>
      <c r="AC138" s="21">
        <f>IF(OR($B118="",AC$27=""),0,SUMIFS(INDEX(CONSENSUS!$A$2:$BZ$20001,0,AC$27),INDEX(CONSENSUS!$A$2:$BZ$20001,0,$B$11),$B$1,INDEX(CONSENSUS!$A$2:$BZ$20001,0,$B$12),$B118,INDEX(CONSENSUS!$A$2:$BZ$20001,0,$B$13),$B$5,INDEX(CONSENSUS!$A$2:$BZ$20001,0,$B$10),$F$12))</f>
        <v/>
      </c>
      <c r="AD138" s="21">
        <f>IF(OR($B118="",AD$27=""),0,SUMIFS(INDEX(CONSENSUS!$A$2:$BZ$20001,0,AD$27),INDEX(CONSENSUS!$A$2:$BZ$20001,0,$B$11),$B$1,INDEX(CONSENSUS!$A$2:$BZ$20001,0,$B$12),$B118,INDEX(CONSENSUS!$A$2:$BZ$20001,0,$B$13),$B$5,INDEX(CONSENSUS!$A$2:$BZ$20001,0,$B$10),$F$12))</f>
        <v/>
      </c>
      <c r="AE138" s="21">
        <f>IF(OR($B118="",AE$27=""),0,SUMIFS(INDEX(CONSENSUS!$A$2:$BZ$20001,0,AE$27),INDEX(CONSENSUS!$A$2:$BZ$20001,0,$B$11),$B$1,INDEX(CONSENSUS!$A$2:$BZ$20001,0,$B$12),$B118,INDEX(CONSENSUS!$A$2:$BZ$20001,0,$B$13),$B$5,INDEX(CONSENSUS!$A$2:$BZ$20001,0,$B$10),$F$12))</f>
        <v/>
      </c>
      <c r="AF138" s="21">
        <f>IF(OR($B118="",AF$27=""),0,SUMIFS(INDEX(CONSENSUS!$A$2:$BZ$20001,0,AF$27),INDEX(CONSENSUS!$A$2:$BZ$20001,0,$B$11),$B$1,INDEX(CONSENSUS!$A$2:$BZ$20001,0,$B$12),$B118,INDEX(CONSENSUS!$A$2:$BZ$20001,0,$B$13),$B$5,INDEX(CONSENSUS!$A$2:$BZ$20001,0,$B$10),$F$12))</f>
        <v/>
      </c>
      <c r="AG138" s="21">
        <f>IF(OR($B118="",AG$27=""),0,SUMIFS(INDEX(CONSENSUS!$A$2:$BZ$20001,0,AG$27),INDEX(CONSENSUS!$A$2:$BZ$20001,0,$B$11),$B$1,INDEX(CONSENSUS!$A$2:$BZ$20001,0,$B$12),$B118,INDEX(CONSENSUS!$A$2:$BZ$20001,0,$B$13),$B$5,INDEX(CONSENSUS!$A$2:$BZ$20001,0,$B$10),$F$12))</f>
        <v/>
      </c>
      <c r="AH138" s="21">
        <f>IF(OR($B118="",AH$27=""),0,SUMIFS(INDEX(CONSENSUS!$A$2:$BZ$20001,0,AH$27),INDEX(CONSENSUS!$A$2:$BZ$20001,0,$B$11),$B$1,INDEX(CONSENSUS!$A$2:$BZ$20001,0,$B$12),$B118,INDEX(CONSENSUS!$A$2:$BZ$20001,0,$B$13),$B$5,INDEX(CONSENSUS!$A$2:$BZ$20001,0,$B$10),$F$12))</f>
        <v/>
      </c>
      <c r="AI138" s="21">
        <f>IF(OR($B118="",AI$27=""),0,SUMIFS(INDEX(CONSENSUS!$A$2:$BZ$20001,0,AI$27),INDEX(CONSENSUS!$A$2:$BZ$20001,0,$B$11),$B$1,INDEX(CONSENSUS!$A$2:$BZ$20001,0,$B$12),$B118,INDEX(CONSENSUS!$A$2:$BZ$20001,0,$B$13),$B$5,INDEX(CONSENSUS!$A$2:$BZ$20001,0,$B$10),$F$12))</f>
        <v/>
      </c>
      <c r="AJ138" s="21">
        <f>IF(OR($B118="",AJ$27=""),0,SUMIFS(INDEX(CONSENSUS!$A$2:$BZ$20001,0,AJ$27),INDEX(CONSENSUS!$A$2:$BZ$20001,0,$B$11),$B$1,INDEX(CONSENSUS!$A$2:$BZ$20001,0,$B$12),$B118,INDEX(CONSENSUS!$A$2:$BZ$20001,0,$B$13),$B$5,INDEX(CONSENSUS!$A$2:$BZ$20001,0,$B$10),$F$12))</f>
        <v/>
      </c>
      <c r="AK138" s="21">
        <f>IF(OR($B118="",AK$27=""),0,SUMIFS(INDEX(CONSENSUS!$A$2:$BZ$20001,0,AK$27),INDEX(CONSENSUS!$A$2:$BZ$20001,0,$B$11),$B$1,INDEX(CONSENSUS!$A$2:$BZ$20001,0,$B$12),$B118,INDEX(CONSENSUS!$A$2:$BZ$20001,0,$B$13),$B$5,INDEX(CONSENSUS!$A$2:$BZ$20001,0,$B$10),$F$12))</f>
        <v/>
      </c>
      <c r="AL138" s="21">
        <f>IF(OR($B118="",AL$27=""),0,SUMIFS(INDEX(CONSENSUS!$A$2:$BZ$20001,0,AL$27),INDEX(CONSENSUS!$A$2:$BZ$20001,0,$B$11),$B$1,INDEX(CONSENSUS!$A$2:$BZ$20001,0,$B$12),$B118,INDEX(CONSENSUS!$A$2:$BZ$20001,0,$B$13),$B$5,INDEX(CONSENSUS!$A$2:$BZ$20001,0,$B$10),$F$12))</f>
        <v/>
      </c>
      <c r="AM138" s="21">
        <f>IF(OR($B118="",AM$27=""),0,SUMIFS(INDEX(CONSENSUS!$A$2:$BZ$20001,0,AM$27),INDEX(CONSENSUS!$A$2:$BZ$20001,0,$B$11),$B$1,INDEX(CONSENSUS!$A$2:$BZ$20001,0,$B$12),$B118,INDEX(CONSENSUS!$A$2:$BZ$20001,0,$B$13),$B$5,INDEX(CONSENSUS!$A$2:$BZ$20001,0,$B$10),$F$12))</f>
        <v/>
      </c>
    </row>
    <row r="139">
      <c r="A139" s="23">
        <f>IF($B119="","System FC original","System FC original | "&amp;$B119)</f>
        <v/>
      </c>
      <c r="D139" s="21">
        <f>IF(OR($B119="",D$27=""),0,SUMIFS(INDEX(CONSENSUS!$A$2:$BZ$20001,0,D$27),INDEX(CONSENSUS!$A$2:$BZ$20001,0,$B$11),$B$1,INDEX(CONSENSUS!$A$2:$BZ$20001,0,$B$12),$B119,INDEX(CONSENSUS!$A$2:$BZ$20001,0,$B$13),$B$5,INDEX(CONSENSUS!$A$2:$BZ$20001,0,$B$10),$F$12))</f>
        <v/>
      </c>
      <c r="E139" s="21">
        <f>IF(OR($B119="",E$27=""),0,SUMIFS(INDEX(CONSENSUS!$A$2:$BZ$20001,0,E$27),INDEX(CONSENSUS!$A$2:$BZ$20001,0,$B$11),$B$1,INDEX(CONSENSUS!$A$2:$BZ$20001,0,$B$12),$B119,INDEX(CONSENSUS!$A$2:$BZ$20001,0,$B$13),$B$5,INDEX(CONSENSUS!$A$2:$BZ$20001,0,$B$10),$F$12))</f>
        <v/>
      </c>
      <c r="F139" s="21">
        <f>IF(OR($B119="",F$27=""),0,SUMIFS(INDEX(CONSENSUS!$A$2:$BZ$20001,0,F$27),INDEX(CONSENSUS!$A$2:$BZ$20001,0,$B$11),$B$1,INDEX(CONSENSUS!$A$2:$BZ$20001,0,$B$12),$B119,INDEX(CONSENSUS!$A$2:$BZ$20001,0,$B$13),$B$5,INDEX(CONSENSUS!$A$2:$BZ$20001,0,$B$10),$F$12))</f>
        <v/>
      </c>
      <c r="G139" s="21">
        <f>IF(OR($B119="",G$27=""),0,SUMIFS(INDEX(CONSENSUS!$A$2:$BZ$20001,0,G$27),INDEX(CONSENSUS!$A$2:$BZ$20001,0,$B$11),$B$1,INDEX(CONSENSUS!$A$2:$BZ$20001,0,$B$12),$B119,INDEX(CONSENSUS!$A$2:$BZ$20001,0,$B$13),$B$5,INDEX(CONSENSUS!$A$2:$BZ$20001,0,$B$10),$F$12))</f>
        <v/>
      </c>
      <c r="H139" s="21">
        <f>IF(OR($B119="",H$27=""),0,SUMIFS(INDEX(CONSENSUS!$A$2:$BZ$20001,0,H$27),INDEX(CONSENSUS!$A$2:$BZ$20001,0,$B$11),$B$1,INDEX(CONSENSUS!$A$2:$BZ$20001,0,$B$12),$B119,INDEX(CONSENSUS!$A$2:$BZ$20001,0,$B$13),$B$5,INDEX(CONSENSUS!$A$2:$BZ$20001,0,$B$10),$F$12))</f>
        <v/>
      </c>
      <c r="I139" s="21">
        <f>IF(OR($B119="",I$27=""),0,SUMIFS(INDEX(CONSENSUS!$A$2:$BZ$20001,0,I$27),INDEX(CONSENSUS!$A$2:$BZ$20001,0,$B$11),$B$1,INDEX(CONSENSUS!$A$2:$BZ$20001,0,$B$12),$B119,INDEX(CONSENSUS!$A$2:$BZ$20001,0,$B$13),$B$5,INDEX(CONSENSUS!$A$2:$BZ$20001,0,$B$10),$F$12))</f>
        <v/>
      </c>
      <c r="J139" s="21">
        <f>IF(OR($B119="",J$27=""),0,SUMIFS(INDEX(CONSENSUS!$A$2:$BZ$20001,0,J$27),INDEX(CONSENSUS!$A$2:$BZ$20001,0,$B$11),$B$1,INDEX(CONSENSUS!$A$2:$BZ$20001,0,$B$12),$B119,INDEX(CONSENSUS!$A$2:$BZ$20001,0,$B$13),$B$5,INDEX(CONSENSUS!$A$2:$BZ$20001,0,$B$10),$F$12))</f>
        <v/>
      </c>
      <c r="K139" s="21">
        <f>IF(OR($B119="",K$27=""),0,SUMIFS(INDEX(CONSENSUS!$A$2:$BZ$20001,0,K$27),INDEX(CONSENSUS!$A$2:$BZ$20001,0,$B$11),$B$1,INDEX(CONSENSUS!$A$2:$BZ$20001,0,$B$12),$B119,INDEX(CONSENSUS!$A$2:$BZ$20001,0,$B$13),$B$5,INDEX(CONSENSUS!$A$2:$BZ$20001,0,$B$10),$F$12))</f>
        <v/>
      </c>
      <c r="L139" s="21">
        <f>IF(OR($B119="",L$27=""),0,SUMIFS(INDEX(CONSENSUS!$A$2:$BZ$20001,0,L$27),INDEX(CONSENSUS!$A$2:$BZ$20001,0,$B$11),$B$1,INDEX(CONSENSUS!$A$2:$BZ$20001,0,$B$12),$B119,INDEX(CONSENSUS!$A$2:$BZ$20001,0,$B$13),$B$5,INDEX(CONSENSUS!$A$2:$BZ$20001,0,$B$10),$F$12))</f>
        <v/>
      </c>
      <c r="M139" s="21">
        <f>IF(OR($B119="",M$27=""),0,SUMIFS(INDEX(CONSENSUS!$A$2:$BZ$20001,0,M$27),INDEX(CONSENSUS!$A$2:$BZ$20001,0,$B$11),$B$1,INDEX(CONSENSUS!$A$2:$BZ$20001,0,$B$12),$B119,INDEX(CONSENSUS!$A$2:$BZ$20001,0,$B$13),$B$5,INDEX(CONSENSUS!$A$2:$BZ$20001,0,$B$10),$F$12))</f>
        <v/>
      </c>
      <c r="N139" s="21">
        <f>IF(OR($B119="",N$27=""),0,SUMIFS(INDEX(CONSENSUS!$A$2:$BZ$20001,0,N$27),INDEX(CONSENSUS!$A$2:$BZ$20001,0,$B$11),$B$1,INDEX(CONSENSUS!$A$2:$BZ$20001,0,$B$12),$B119,INDEX(CONSENSUS!$A$2:$BZ$20001,0,$B$13),$B$5,INDEX(CONSENSUS!$A$2:$BZ$20001,0,$B$10),$F$12))</f>
        <v/>
      </c>
      <c r="O139" s="21">
        <f>IF(OR($B119="",O$27=""),0,SUMIFS(INDEX(CONSENSUS!$A$2:$BZ$20001,0,O$27),INDEX(CONSENSUS!$A$2:$BZ$20001,0,$B$11),$B$1,INDEX(CONSENSUS!$A$2:$BZ$20001,0,$B$12),$B119,INDEX(CONSENSUS!$A$2:$BZ$20001,0,$B$13),$B$5,INDEX(CONSENSUS!$A$2:$BZ$20001,0,$B$10),$F$12))</f>
        <v/>
      </c>
      <c r="P139" s="21">
        <f>IF(OR($B119="",P$27=""),0,SUMIFS(INDEX(CONSENSUS!$A$2:$BZ$20001,0,P$27),INDEX(CONSENSUS!$A$2:$BZ$20001,0,$B$11),$B$1,INDEX(CONSENSUS!$A$2:$BZ$20001,0,$B$12),$B119,INDEX(CONSENSUS!$A$2:$BZ$20001,0,$B$13),$B$5,INDEX(CONSENSUS!$A$2:$BZ$20001,0,$B$10),$F$12))</f>
        <v/>
      </c>
      <c r="Q139" s="21">
        <f>IF(OR($B119="",Q$27=""),0,SUMIFS(INDEX(CONSENSUS!$A$2:$BZ$20001,0,Q$27),INDEX(CONSENSUS!$A$2:$BZ$20001,0,$B$11),$B$1,INDEX(CONSENSUS!$A$2:$BZ$20001,0,$B$12),$B119,INDEX(CONSENSUS!$A$2:$BZ$20001,0,$B$13),$B$5,INDEX(CONSENSUS!$A$2:$BZ$20001,0,$B$10),$F$12))</f>
        <v/>
      </c>
      <c r="R139" s="21">
        <f>IF(OR($B119="",R$27=""),0,SUMIFS(INDEX(CONSENSUS!$A$2:$BZ$20001,0,R$27),INDEX(CONSENSUS!$A$2:$BZ$20001,0,$B$11),$B$1,INDEX(CONSENSUS!$A$2:$BZ$20001,0,$B$12),$B119,INDEX(CONSENSUS!$A$2:$BZ$20001,0,$B$13),$B$5,INDEX(CONSENSUS!$A$2:$BZ$20001,0,$B$10),$F$12))</f>
        <v/>
      </c>
      <c r="S139" s="21">
        <f>IF(OR($B119="",S$27=""),0,SUMIFS(INDEX(CONSENSUS!$A$2:$BZ$20001,0,S$27),INDEX(CONSENSUS!$A$2:$BZ$20001,0,$B$11),$B$1,INDEX(CONSENSUS!$A$2:$BZ$20001,0,$B$12),$B119,INDEX(CONSENSUS!$A$2:$BZ$20001,0,$B$13),$B$5,INDEX(CONSENSUS!$A$2:$BZ$20001,0,$B$10),$F$12))</f>
        <v/>
      </c>
      <c r="T139" s="21">
        <f>IF(OR($B119="",T$27=""),0,SUMIFS(INDEX(CONSENSUS!$A$2:$BZ$20001,0,T$27),INDEX(CONSENSUS!$A$2:$BZ$20001,0,$B$11),$B$1,INDEX(CONSENSUS!$A$2:$BZ$20001,0,$B$12),$B119,INDEX(CONSENSUS!$A$2:$BZ$20001,0,$B$13),$B$5,INDEX(CONSENSUS!$A$2:$BZ$20001,0,$B$10),$F$12))</f>
        <v/>
      </c>
      <c r="U139" s="21">
        <f>IF(OR($B119="",U$27=""),0,SUMIFS(INDEX(CONSENSUS!$A$2:$BZ$20001,0,U$27),INDEX(CONSENSUS!$A$2:$BZ$20001,0,$B$11),$B$1,INDEX(CONSENSUS!$A$2:$BZ$20001,0,$B$12),$B119,INDEX(CONSENSUS!$A$2:$BZ$20001,0,$B$13),$B$5,INDEX(CONSENSUS!$A$2:$BZ$20001,0,$B$10),$F$12))</f>
        <v/>
      </c>
      <c r="V139" s="21">
        <f>IF(OR($B119="",V$27=""),0,SUMIFS(INDEX(CONSENSUS!$A$2:$BZ$20001,0,V$27),INDEX(CONSENSUS!$A$2:$BZ$20001,0,$B$11),$B$1,INDEX(CONSENSUS!$A$2:$BZ$20001,0,$B$12),$B119,INDEX(CONSENSUS!$A$2:$BZ$20001,0,$B$13),$B$5,INDEX(CONSENSUS!$A$2:$BZ$20001,0,$B$10),$F$12))</f>
        <v/>
      </c>
      <c r="W139" s="21">
        <f>IF(OR($B119="",W$27=""),0,SUMIFS(INDEX(CONSENSUS!$A$2:$BZ$20001,0,W$27),INDEX(CONSENSUS!$A$2:$BZ$20001,0,$B$11),$B$1,INDEX(CONSENSUS!$A$2:$BZ$20001,0,$B$12),$B119,INDEX(CONSENSUS!$A$2:$BZ$20001,0,$B$13),$B$5,INDEX(CONSENSUS!$A$2:$BZ$20001,0,$B$10),$F$12))</f>
        <v/>
      </c>
      <c r="X139" s="21">
        <f>IF(OR($B119="",X$27=""),0,SUMIFS(INDEX(CONSENSUS!$A$2:$BZ$20001,0,X$27),INDEX(CONSENSUS!$A$2:$BZ$20001,0,$B$11),$B$1,INDEX(CONSENSUS!$A$2:$BZ$20001,0,$B$12),$B119,INDEX(CONSENSUS!$A$2:$BZ$20001,0,$B$13),$B$5,INDEX(CONSENSUS!$A$2:$BZ$20001,0,$B$10),$F$12))</f>
        <v/>
      </c>
      <c r="Y139" s="21">
        <f>IF(OR($B119="",Y$27=""),0,SUMIFS(INDEX(CONSENSUS!$A$2:$BZ$20001,0,Y$27),INDEX(CONSENSUS!$A$2:$BZ$20001,0,$B$11),$B$1,INDEX(CONSENSUS!$A$2:$BZ$20001,0,$B$12),$B119,INDEX(CONSENSUS!$A$2:$BZ$20001,0,$B$13),$B$5,INDEX(CONSENSUS!$A$2:$BZ$20001,0,$B$10),$F$12))</f>
        <v/>
      </c>
      <c r="Z139" s="21">
        <f>IF(OR($B119="",Z$27=""),0,SUMIFS(INDEX(CONSENSUS!$A$2:$BZ$20001,0,Z$27),INDEX(CONSENSUS!$A$2:$BZ$20001,0,$B$11),$B$1,INDEX(CONSENSUS!$A$2:$BZ$20001,0,$B$12),$B119,INDEX(CONSENSUS!$A$2:$BZ$20001,0,$B$13),$B$5,INDEX(CONSENSUS!$A$2:$BZ$20001,0,$B$10),$F$12))</f>
        <v/>
      </c>
      <c r="AA139" s="21">
        <f>IF(OR($B119="",AA$27=""),0,SUMIFS(INDEX(CONSENSUS!$A$2:$BZ$20001,0,AA$27),INDEX(CONSENSUS!$A$2:$BZ$20001,0,$B$11),$B$1,INDEX(CONSENSUS!$A$2:$BZ$20001,0,$B$12),$B119,INDEX(CONSENSUS!$A$2:$BZ$20001,0,$B$13),$B$5,INDEX(CONSENSUS!$A$2:$BZ$20001,0,$B$10),$F$12))</f>
        <v/>
      </c>
      <c r="AB139" s="21">
        <f>IF(OR($B119="",AB$27=""),0,SUMIFS(INDEX(CONSENSUS!$A$2:$BZ$20001,0,AB$27),INDEX(CONSENSUS!$A$2:$BZ$20001,0,$B$11),$B$1,INDEX(CONSENSUS!$A$2:$BZ$20001,0,$B$12),$B119,INDEX(CONSENSUS!$A$2:$BZ$20001,0,$B$13),$B$5,INDEX(CONSENSUS!$A$2:$BZ$20001,0,$B$10),$F$12))</f>
        <v/>
      </c>
      <c r="AC139" s="21">
        <f>IF(OR($B119="",AC$27=""),0,SUMIFS(INDEX(CONSENSUS!$A$2:$BZ$20001,0,AC$27),INDEX(CONSENSUS!$A$2:$BZ$20001,0,$B$11),$B$1,INDEX(CONSENSUS!$A$2:$BZ$20001,0,$B$12),$B119,INDEX(CONSENSUS!$A$2:$BZ$20001,0,$B$13),$B$5,INDEX(CONSENSUS!$A$2:$BZ$20001,0,$B$10),$F$12))</f>
        <v/>
      </c>
      <c r="AD139" s="21">
        <f>IF(OR($B119="",AD$27=""),0,SUMIFS(INDEX(CONSENSUS!$A$2:$BZ$20001,0,AD$27),INDEX(CONSENSUS!$A$2:$BZ$20001,0,$B$11),$B$1,INDEX(CONSENSUS!$A$2:$BZ$20001,0,$B$12),$B119,INDEX(CONSENSUS!$A$2:$BZ$20001,0,$B$13),$B$5,INDEX(CONSENSUS!$A$2:$BZ$20001,0,$B$10),$F$12))</f>
        <v/>
      </c>
      <c r="AE139" s="21">
        <f>IF(OR($B119="",AE$27=""),0,SUMIFS(INDEX(CONSENSUS!$A$2:$BZ$20001,0,AE$27),INDEX(CONSENSUS!$A$2:$BZ$20001,0,$B$11),$B$1,INDEX(CONSENSUS!$A$2:$BZ$20001,0,$B$12),$B119,INDEX(CONSENSUS!$A$2:$BZ$20001,0,$B$13),$B$5,INDEX(CONSENSUS!$A$2:$BZ$20001,0,$B$10),$F$12))</f>
        <v/>
      </c>
      <c r="AF139" s="21">
        <f>IF(OR($B119="",AF$27=""),0,SUMIFS(INDEX(CONSENSUS!$A$2:$BZ$20001,0,AF$27),INDEX(CONSENSUS!$A$2:$BZ$20001,0,$B$11),$B$1,INDEX(CONSENSUS!$A$2:$BZ$20001,0,$B$12),$B119,INDEX(CONSENSUS!$A$2:$BZ$20001,0,$B$13),$B$5,INDEX(CONSENSUS!$A$2:$BZ$20001,0,$B$10),$F$12))</f>
        <v/>
      </c>
      <c r="AG139" s="21">
        <f>IF(OR($B119="",AG$27=""),0,SUMIFS(INDEX(CONSENSUS!$A$2:$BZ$20001,0,AG$27),INDEX(CONSENSUS!$A$2:$BZ$20001,0,$B$11),$B$1,INDEX(CONSENSUS!$A$2:$BZ$20001,0,$B$12),$B119,INDEX(CONSENSUS!$A$2:$BZ$20001,0,$B$13),$B$5,INDEX(CONSENSUS!$A$2:$BZ$20001,0,$B$10),$F$12))</f>
        <v/>
      </c>
      <c r="AH139" s="21">
        <f>IF(OR($B119="",AH$27=""),0,SUMIFS(INDEX(CONSENSUS!$A$2:$BZ$20001,0,AH$27),INDEX(CONSENSUS!$A$2:$BZ$20001,0,$B$11),$B$1,INDEX(CONSENSUS!$A$2:$BZ$20001,0,$B$12),$B119,INDEX(CONSENSUS!$A$2:$BZ$20001,0,$B$13),$B$5,INDEX(CONSENSUS!$A$2:$BZ$20001,0,$B$10),$F$12))</f>
        <v/>
      </c>
      <c r="AI139" s="21">
        <f>IF(OR($B119="",AI$27=""),0,SUMIFS(INDEX(CONSENSUS!$A$2:$BZ$20001,0,AI$27),INDEX(CONSENSUS!$A$2:$BZ$20001,0,$B$11),$B$1,INDEX(CONSENSUS!$A$2:$BZ$20001,0,$B$12),$B119,INDEX(CONSENSUS!$A$2:$BZ$20001,0,$B$13),$B$5,INDEX(CONSENSUS!$A$2:$BZ$20001,0,$B$10),$F$12))</f>
        <v/>
      </c>
      <c r="AJ139" s="21">
        <f>IF(OR($B119="",AJ$27=""),0,SUMIFS(INDEX(CONSENSUS!$A$2:$BZ$20001,0,AJ$27),INDEX(CONSENSUS!$A$2:$BZ$20001,0,$B$11),$B$1,INDEX(CONSENSUS!$A$2:$BZ$20001,0,$B$12),$B119,INDEX(CONSENSUS!$A$2:$BZ$20001,0,$B$13),$B$5,INDEX(CONSENSUS!$A$2:$BZ$20001,0,$B$10),$F$12))</f>
        <v/>
      </c>
      <c r="AK139" s="21">
        <f>IF(OR($B119="",AK$27=""),0,SUMIFS(INDEX(CONSENSUS!$A$2:$BZ$20001,0,AK$27),INDEX(CONSENSUS!$A$2:$BZ$20001,0,$B$11),$B$1,INDEX(CONSENSUS!$A$2:$BZ$20001,0,$B$12),$B119,INDEX(CONSENSUS!$A$2:$BZ$20001,0,$B$13),$B$5,INDEX(CONSENSUS!$A$2:$BZ$20001,0,$B$10),$F$12))</f>
        <v/>
      </c>
      <c r="AL139" s="21">
        <f>IF(OR($B119="",AL$27=""),0,SUMIFS(INDEX(CONSENSUS!$A$2:$BZ$20001,0,AL$27),INDEX(CONSENSUS!$A$2:$BZ$20001,0,$B$11),$B$1,INDEX(CONSENSUS!$A$2:$BZ$20001,0,$B$12),$B119,INDEX(CONSENSUS!$A$2:$BZ$20001,0,$B$13),$B$5,INDEX(CONSENSUS!$A$2:$BZ$20001,0,$B$10),$F$12))</f>
        <v/>
      </c>
      <c r="AM139" s="21">
        <f>IF(OR($B119="",AM$27=""),0,SUMIFS(INDEX(CONSENSUS!$A$2:$BZ$20001,0,AM$27),INDEX(CONSENSUS!$A$2:$BZ$20001,0,$B$11),$B$1,INDEX(CONSENSUS!$A$2:$BZ$20001,0,$B$12),$B119,INDEX(CONSENSUS!$A$2:$BZ$20001,0,$B$13),$B$5,INDEX(CONSENSUS!$A$2:$BZ$20001,0,$B$10),$F$12))</f>
        <v/>
      </c>
    </row>
    <row r="140">
      <c r="A140" s="23">
        <f>IF($B120="","System FC original","System FC original | "&amp;$B120)</f>
        <v/>
      </c>
      <c r="D140" s="21">
        <f>IF(OR($B120="",D$27=""),0,SUMIFS(INDEX(CONSENSUS!$A$2:$BZ$20001,0,D$27),INDEX(CONSENSUS!$A$2:$BZ$20001,0,$B$11),$B$1,INDEX(CONSENSUS!$A$2:$BZ$20001,0,$B$12),$B120,INDEX(CONSENSUS!$A$2:$BZ$20001,0,$B$13),$B$5,INDEX(CONSENSUS!$A$2:$BZ$20001,0,$B$10),$F$12))</f>
        <v/>
      </c>
      <c r="E140" s="21">
        <f>IF(OR($B120="",E$27=""),0,SUMIFS(INDEX(CONSENSUS!$A$2:$BZ$20001,0,E$27),INDEX(CONSENSUS!$A$2:$BZ$20001,0,$B$11),$B$1,INDEX(CONSENSUS!$A$2:$BZ$20001,0,$B$12),$B120,INDEX(CONSENSUS!$A$2:$BZ$20001,0,$B$13),$B$5,INDEX(CONSENSUS!$A$2:$BZ$20001,0,$B$10),$F$12))</f>
        <v/>
      </c>
      <c r="F140" s="21">
        <f>IF(OR($B120="",F$27=""),0,SUMIFS(INDEX(CONSENSUS!$A$2:$BZ$20001,0,F$27),INDEX(CONSENSUS!$A$2:$BZ$20001,0,$B$11),$B$1,INDEX(CONSENSUS!$A$2:$BZ$20001,0,$B$12),$B120,INDEX(CONSENSUS!$A$2:$BZ$20001,0,$B$13),$B$5,INDEX(CONSENSUS!$A$2:$BZ$20001,0,$B$10),$F$12))</f>
        <v/>
      </c>
      <c r="G140" s="21">
        <f>IF(OR($B120="",G$27=""),0,SUMIFS(INDEX(CONSENSUS!$A$2:$BZ$20001,0,G$27),INDEX(CONSENSUS!$A$2:$BZ$20001,0,$B$11),$B$1,INDEX(CONSENSUS!$A$2:$BZ$20001,0,$B$12),$B120,INDEX(CONSENSUS!$A$2:$BZ$20001,0,$B$13),$B$5,INDEX(CONSENSUS!$A$2:$BZ$20001,0,$B$10),$F$12))</f>
        <v/>
      </c>
      <c r="H140" s="21">
        <f>IF(OR($B120="",H$27=""),0,SUMIFS(INDEX(CONSENSUS!$A$2:$BZ$20001,0,H$27),INDEX(CONSENSUS!$A$2:$BZ$20001,0,$B$11),$B$1,INDEX(CONSENSUS!$A$2:$BZ$20001,0,$B$12),$B120,INDEX(CONSENSUS!$A$2:$BZ$20001,0,$B$13),$B$5,INDEX(CONSENSUS!$A$2:$BZ$20001,0,$B$10),$F$12))</f>
        <v/>
      </c>
      <c r="I140" s="21">
        <f>IF(OR($B120="",I$27=""),0,SUMIFS(INDEX(CONSENSUS!$A$2:$BZ$20001,0,I$27),INDEX(CONSENSUS!$A$2:$BZ$20001,0,$B$11),$B$1,INDEX(CONSENSUS!$A$2:$BZ$20001,0,$B$12),$B120,INDEX(CONSENSUS!$A$2:$BZ$20001,0,$B$13),$B$5,INDEX(CONSENSUS!$A$2:$BZ$20001,0,$B$10),$F$12))</f>
        <v/>
      </c>
      <c r="J140" s="21">
        <f>IF(OR($B120="",J$27=""),0,SUMIFS(INDEX(CONSENSUS!$A$2:$BZ$20001,0,J$27),INDEX(CONSENSUS!$A$2:$BZ$20001,0,$B$11),$B$1,INDEX(CONSENSUS!$A$2:$BZ$20001,0,$B$12),$B120,INDEX(CONSENSUS!$A$2:$BZ$20001,0,$B$13),$B$5,INDEX(CONSENSUS!$A$2:$BZ$20001,0,$B$10),$F$12))</f>
        <v/>
      </c>
      <c r="K140" s="21">
        <f>IF(OR($B120="",K$27=""),0,SUMIFS(INDEX(CONSENSUS!$A$2:$BZ$20001,0,K$27),INDEX(CONSENSUS!$A$2:$BZ$20001,0,$B$11),$B$1,INDEX(CONSENSUS!$A$2:$BZ$20001,0,$B$12),$B120,INDEX(CONSENSUS!$A$2:$BZ$20001,0,$B$13),$B$5,INDEX(CONSENSUS!$A$2:$BZ$20001,0,$B$10),$F$12))</f>
        <v/>
      </c>
      <c r="L140" s="21">
        <f>IF(OR($B120="",L$27=""),0,SUMIFS(INDEX(CONSENSUS!$A$2:$BZ$20001,0,L$27),INDEX(CONSENSUS!$A$2:$BZ$20001,0,$B$11),$B$1,INDEX(CONSENSUS!$A$2:$BZ$20001,0,$B$12),$B120,INDEX(CONSENSUS!$A$2:$BZ$20001,0,$B$13),$B$5,INDEX(CONSENSUS!$A$2:$BZ$20001,0,$B$10),$F$12))</f>
        <v/>
      </c>
      <c r="M140" s="21">
        <f>IF(OR($B120="",M$27=""),0,SUMIFS(INDEX(CONSENSUS!$A$2:$BZ$20001,0,M$27),INDEX(CONSENSUS!$A$2:$BZ$20001,0,$B$11),$B$1,INDEX(CONSENSUS!$A$2:$BZ$20001,0,$B$12),$B120,INDEX(CONSENSUS!$A$2:$BZ$20001,0,$B$13),$B$5,INDEX(CONSENSUS!$A$2:$BZ$20001,0,$B$10),$F$12))</f>
        <v/>
      </c>
      <c r="N140" s="21">
        <f>IF(OR($B120="",N$27=""),0,SUMIFS(INDEX(CONSENSUS!$A$2:$BZ$20001,0,N$27),INDEX(CONSENSUS!$A$2:$BZ$20001,0,$B$11),$B$1,INDEX(CONSENSUS!$A$2:$BZ$20001,0,$B$12),$B120,INDEX(CONSENSUS!$A$2:$BZ$20001,0,$B$13),$B$5,INDEX(CONSENSUS!$A$2:$BZ$20001,0,$B$10),$F$12))</f>
        <v/>
      </c>
      <c r="O140" s="21">
        <f>IF(OR($B120="",O$27=""),0,SUMIFS(INDEX(CONSENSUS!$A$2:$BZ$20001,0,O$27),INDEX(CONSENSUS!$A$2:$BZ$20001,0,$B$11),$B$1,INDEX(CONSENSUS!$A$2:$BZ$20001,0,$B$12),$B120,INDEX(CONSENSUS!$A$2:$BZ$20001,0,$B$13),$B$5,INDEX(CONSENSUS!$A$2:$BZ$20001,0,$B$10),$F$12))</f>
        <v/>
      </c>
      <c r="P140" s="21">
        <f>IF(OR($B120="",P$27=""),0,SUMIFS(INDEX(CONSENSUS!$A$2:$BZ$20001,0,P$27),INDEX(CONSENSUS!$A$2:$BZ$20001,0,$B$11),$B$1,INDEX(CONSENSUS!$A$2:$BZ$20001,0,$B$12),$B120,INDEX(CONSENSUS!$A$2:$BZ$20001,0,$B$13),$B$5,INDEX(CONSENSUS!$A$2:$BZ$20001,0,$B$10),$F$12))</f>
        <v/>
      </c>
      <c r="Q140" s="21">
        <f>IF(OR($B120="",Q$27=""),0,SUMIFS(INDEX(CONSENSUS!$A$2:$BZ$20001,0,Q$27),INDEX(CONSENSUS!$A$2:$BZ$20001,0,$B$11),$B$1,INDEX(CONSENSUS!$A$2:$BZ$20001,0,$B$12),$B120,INDEX(CONSENSUS!$A$2:$BZ$20001,0,$B$13),$B$5,INDEX(CONSENSUS!$A$2:$BZ$20001,0,$B$10),$F$12))</f>
        <v/>
      </c>
      <c r="R140" s="21">
        <f>IF(OR($B120="",R$27=""),0,SUMIFS(INDEX(CONSENSUS!$A$2:$BZ$20001,0,R$27),INDEX(CONSENSUS!$A$2:$BZ$20001,0,$B$11),$B$1,INDEX(CONSENSUS!$A$2:$BZ$20001,0,$B$12),$B120,INDEX(CONSENSUS!$A$2:$BZ$20001,0,$B$13),$B$5,INDEX(CONSENSUS!$A$2:$BZ$20001,0,$B$10),$F$12))</f>
        <v/>
      </c>
      <c r="S140" s="21">
        <f>IF(OR($B120="",S$27=""),0,SUMIFS(INDEX(CONSENSUS!$A$2:$BZ$20001,0,S$27),INDEX(CONSENSUS!$A$2:$BZ$20001,0,$B$11),$B$1,INDEX(CONSENSUS!$A$2:$BZ$20001,0,$B$12),$B120,INDEX(CONSENSUS!$A$2:$BZ$20001,0,$B$13),$B$5,INDEX(CONSENSUS!$A$2:$BZ$20001,0,$B$10),$F$12))</f>
        <v/>
      </c>
      <c r="T140" s="21">
        <f>IF(OR($B120="",T$27=""),0,SUMIFS(INDEX(CONSENSUS!$A$2:$BZ$20001,0,T$27),INDEX(CONSENSUS!$A$2:$BZ$20001,0,$B$11),$B$1,INDEX(CONSENSUS!$A$2:$BZ$20001,0,$B$12),$B120,INDEX(CONSENSUS!$A$2:$BZ$20001,0,$B$13),$B$5,INDEX(CONSENSUS!$A$2:$BZ$20001,0,$B$10),$F$12))</f>
        <v/>
      </c>
      <c r="U140" s="21">
        <f>IF(OR($B120="",U$27=""),0,SUMIFS(INDEX(CONSENSUS!$A$2:$BZ$20001,0,U$27),INDEX(CONSENSUS!$A$2:$BZ$20001,0,$B$11),$B$1,INDEX(CONSENSUS!$A$2:$BZ$20001,0,$B$12),$B120,INDEX(CONSENSUS!$A$2:$BZ$20001,0,$B$13),$B$5,INDEX(CONSENSUS!$A$2:$BZ$20001,0,$B$10),$F$12))</f>
        <v/>
      </c>
      <c r="V140" s="21">
        <f>IF(OR($B120="",V$27=""),0,SUMIFS(INDEX(CONSENSUS!$A$2:$BZ$20001,0,V$27),INDEX(CONSENSUS!$A$2:$BZ$20001,0,$B$11),$B$1,INDEX(CONSENSUS!$A$2:$BZ$20001,0,$B$12),$B120,INDEX(CONSENSUS!$A$2:$BZ$20001,0,$B$13),$B$5,INDEX(CONSENSUS!$A$2:$BZ$20001,0,$B$10),$F$12))</f>
        <v/>
      </c>
      <c r="W140" s="21">
        <f>IF(OR($B120="",W$27=""),0,SUMIFS(INDEX(CONSENSUS!$A$2:$BZ$20001,0,W$27),INDEX(CONSENSUS!$A$2:$BZ$20001,0,$B$11),$B$1,INDEX(CONSENSUS!$A$2:$BZ$20001,0,$B$12),$B120,INDEX(CONSENSUS!$A$2:$BZ$20001,0,$B$13),$B$5,INDEX(CONSENSUS!$A$2:$BZ$20001,0,$B$10),$F$12))</f>
        <v/>
      </c>
      <c r="X140" s="21">
        <f>IF(OR($B120="",X$27=""),0,SUMIFS(INDEX(CONSENSUS!$A$2:$BZ$20001,0,X$27),INDEX(CONSENSUS!$A$2:$BZ$20001,0,$B$11),$B$1,INDEX(CONSENSUS!$A$2:$BZ$20001,0,$B$12),$B120,INDEX(CONSENSUS!$A$2:$BZ$20001,0,$B$13),$B$5,INDEX(CONSENSUS!$A$2:$BZ$20001,0,$B$10),$F$12))</f>
        <v/>
      </c>
      <c r="Y140" s="21">
        <f>IF(OR($B120="",Y$27=""),0,SUMIFS(INDEX(CONSENSUS!$A$2:$BZ$20001,0,Y$27),INDEX(CONSENSUS!$A$2:$BZ$20001,0,$B$11),$B$1,INDEX(CONSENSUS!$A$2:$BZ$20001,0,$B$12),$B120,INDEX(CONSENSUS!$A$2:$BZ$20001,0,$B$13),$B$5,INDEX(CONSENSUS!$A$2:$BZ$20001,0,$B$10),$F$12))</f>
        <v/>
      </c>
      <c r="Z140" s="21">
        <f>IF(OR($B120="",Z$27=""),0,SUMIFS(INDEX(CONSENSUS!$A$2:$BZ$20001,0,Z$27),INDEX(CONSENSUS!$A$2:$BZ$20001,0,$B$11),$B$1,INDEX(CONSENSUS!$A$2:$BZ$20001,0,$B$12),$B120,INDEX(CONSENSUS!$A$2:$BZ$20001,0,$B$13),$B$5,INDEX(CONSENSUS!$A$2:$BZ$20001,0,$B$10),$F$12))</f>
        <v/>
      </c>
      <c r="AA140" s="21">
        <f>IF(OR($B120="",AA$27=""),0,SUMIFS(INDEX(CONSENSUS!$A$2:$BZ$20001,0,AA$27),INDEX(CONSENSUS!$A$2:$BZ$20001,0,$B$11),$B$1,INDEX(CONSENSUS!$A$2:$BZ$20001,0,$B$12),$B120,INDEX(CONSENSUS!$A$2:$BZ$20001,0,$B$13),$B$5,INDEX(CONSENSUS!$A$2:$BZ$20001,0,$B$10),$F$12))</f>
        <v/>
      </c>
      <c r="AB140" s="21">
        <f>IF(OR($B120="",AB$27=""),0,SUMIFS(INDEX(CONSENSUS!$A$2:$BZ$20001,0,AB$27),INDEX(CONSENSUS!$A$2:$BZ$20001,0,$B$11),$B$1,INDEX(CONSENSUS!$A$2:$BZ$20001,0,$B$12),$B120,INDEX(CONSENSUS!$A$2:$BZ$20001,0,$B$13),$B$5,INDEX(CONSENSUS!$A$2:$BZ$20001,0,$B$10),$F$12))</f>
        <v/>
      </c>
      <c r="AC140" s="21">
        <f>IF(OR($B120="",AC$27=""),0,SUMIFS(INDEX(CONSENSUS!$A$2:$BZ$20001,0,AC$27),INDEX(CONSENSUS!$A$2:$BZ$20001,0,$B$11),$B$1,INDEX(CONSENSUS!$A$2:$BZ$20001,0,$B$12),$B120,INDEX(CONSENSUS!$A$2:$BZ$20001,0,$B$13),$B$5,INDEX(CONSENSUS!$A$2:$BZ$20001,0,$B$10),$F$12))</f>
        <v/>
      </c>
      <c r="AD140" s="21">
        <f>IF(OR($B120="",AD$27=""),0,SUMIFS(INDEX(CONSENSUS!$A$2:$BZ$20001,0,AD$27),INDEX(CONSENSUS!$A$2:$BZ$20001,0,$B$11),$B$1,INDEX(CONSENSUS!$A$2:$BZ$20001,0,$B$12),$B120,INDEX(CONSENSUS!$A$2:$BZ$20001,0,$B$13),$B$5,INDEX(CONSENSUS!$A$2:$BZ$20001,0,$B$10),$F$12))</f>
        <v/>
      </c>
      <c r="AE140" s="21">
        <f>IF(OR($B120="",AE$27=""),0,SUMIFS(INDEX(CONSENSUS!$A$2:$BZ$20001,0,AE$27),INDEX(CONSENSUS!$A$2:$BZ$20001,0,$B$11),$B$1,INDEX(CONSENSUS!$A$2:$BZ$20001,0,$B$12),$B120,INDEX(CONSENSUS!$A$2:$BZ$20001,0,$B$13),$B$5,INDEX(CONSENSUS!$A$2:$BZ$20001,0,$B$10),$F$12))</f>
        <v/>
      </c>
      <c r="AF140" s="21">
        <f>IF(OR($B120="",AF$27=""),0,SUMIFS(INDEX(CONSENSUS!$A$2:$BZ$20001,0,AF$27),INDEX(CONSENSUS!$A$2:$BZ$20001,0,$B$11),$B$1,INDEX(CONSENSUS!$A$2:$BZ$20001,0,$B$12),$B120,INDEX(CONSENSUS!$A$2:$BZ$20001,0,$B$13),$B$5,INDEX(CONSENSUS!$A$2:$BZ$20001,0,$B$10),$F$12))</f>
        <v/>
      </c>
      <c r="AG140" s="21">
        <f>IF(OR($B120="",AG$27=""),0,SUMIFS(INDEX(CONSENSUS!$A$2:$BZ$20001,0,AG$27),INDEX(CONSENSUS!$A$2:$BZ$20001,0,$B$11),$B$1,INDEX(CONSENSUS!$A$2:$BZ$20001,0,$B$12),$B120,INDEX(CONSENSUS!$A$2:$BZ$20001,0,$B$13),$B$5,INDEX(CONSENSUS!$A$2:$BZ$20001,0,$B$10),$F$12))</f>
        <v/>
      </c>
      <c r="AH140" s="21">
        <f>IF(OR($B120="",AH$27=""),0,SUMIFS(INDEX(CONSENSUS!$A$2:$BZ$20001,0,AH$27),INDEX(CONSENSUS!$A$2:$BZ$20001,0,$B$11),$B$1,INDEX(CONSENSUS!$A$2:$BZ$20001,0,$B$12),$B120,INDEX(CONSENSUS!$A$2:$BZ$20001,0,$B$13),$B$5,INDEX(CONSENSUS!$A$2:$BZ$20001,0,$B$10),$F$12))</f>
        <v/>
      </c>
      <c r="AI140" s="21">
        <f>IF(OR($B120="",AI$27=""),0,SUMIFS(INDEX(CONSENSUS!$A$2:$BZ$20001,0,AI$27),INDEX(CONSENSUS!$A$2:$BZ$20001,0,$B$11),$B$1,INDEX(CONSENSUS!$A$2:$BZ$20001,0,$B$12),$B120,INDEX(CONSENSUS!$A$2:$BZ$20001,0,$B$13),$B$5,INDEX(CONSENSUS!$A$2:$BZ$20001,0,$B$10),$F$12))</f>
        <v/>
      </c>
      <c r="AJ140" s="21">
        <f>IF(OR($B120="",AJ$27=""),0,SUMIFS(INDEX(CONSENSUS!$A$2:$BZ$20001,0,AJ$27),INDEX(CONSENSUS!$A$2:$BZ$20001,0,$B$11),$B$1,INDEX(CONSENSUS!$A$2:$BZ$20001,0,$B$12),$B120,INDEX(CONSENSUS!$A$2:$BZ$20001,0,$B$13),$B$5,INDEX(CONSENSUS!$A$2:$BZ$20001,0,$B$10),$F$12))</f>
        <v/>
      </c>
      <c r="AK140" s="21">
        <f>IF(OR($B120="",AK$27=""),0,SUMIFS(INDEX(CONSENSUS!$A$2:$BZ$20001,0,AK$27),INDEX(CONSENSUS!$A$2:$BZ$20001,0,$B$11),$B$1,INDEX(CONSENSUS!$A$2:$BZ$20001,0,$B$12),$B120,INDEX(CONSENSUS!$A$2:$BZ$20001,0,$B$13),$B$5,INDEX(CONSENSUS!$A$2:$BZ$20001,0,$B$10),$F$12))</f>
        <v/>
      </c>
      <c r="AL140" s="21">
        <f>IF(OR($B120="",AL$27=""),0,SUMIFS(INDEX(CONSENSUS!$A$2:$BZ$20001,0,AL$27),INDEX(CONSENSUS!$A$2:$BZ$20001,0,$B$11),$B$1,INDEX(CONSENSUS!$A$2:$BZ$20001,0,$B$12),$B120,INDEX(CONSENSUS!$A$2:$BZ$20001,0,$B$13),$B$5,INDEX(CONSENSUS!$A$2:$BZ$20001,0,$B$10),$F$12))</f>
        <v/>
      </c>
      <c r="AM140" s="21">
        <f>IF(OR($B120="",AM$27=""),0,SUMIFS(INDEX(CONSENSUS!$A$2:$BZ$20001,0,AM$27),INDEX(CONSENSUS!$A$2:$BZ$20001,0,$B$11),$B$1,INDEX(CONSENSUS!$A$2:$BZ$20001,0,$B$12),$B120,INDEX(CONSENSUS!$A$2:$BZ$20001,0,$B$13),$B$5,INDEX(CONSENSUS!$A$2:$BZ$20001,0,$B$10),$F$12))</f>
        <v/>
      </c>
    </row>
    <row r="143">
      <c r="A143" s="23">
        <f>IF($B113="","Consensus original","Consensus original | "&amp;$B113)</f>
        <v/>
      </c>
      <c r="D143" s="21">
        <f>IF(OR($B113="",D$27=""),0,SUMIFS(INDEX(CONSENSUS!$A$2:$BZ$20001,0,D$27),INDEX(CONSENSUS!$A$2:$BZ$20001,0,$B$11),$B$1,INDEX(CONSENSUS!$A$2:$BZ$20001,0,$B$12),$B113,INDEX(CONSENSUS!$A$2:$BZ$20001,0,$B$13),$B$5,INDEX(CONSENSUS!$A$2:$BZ$20001,0,$B$10),$F$13))</f>
        <v/>
      </c>
      <c r="E143" s="21">
        <f>IF(OR($B113="",E$27=""),0,SUMIFS(INDEX(CONSENSUS!$A$2:$BZ$20001,0,E$27),INDEX(CONSENSUS!$A$2:$BZ$20001,0,$B$11),$B$1,INDEX(CONSENSUS!$A$2:$BZ$20001,0,$B$12),$B113,INDEX(CONSENSUS!$A$2:$BZ$20001,0,$B$13),$B$5,INDEX(CONSENSUS!$A$2:$BZ$20001,0,$B$10),$F$13))</f>
        <v/>
      </c>
      <c r="F143" s="21">
        <f>IF(OR($B113="",F$27=""),0,SUMIFS(INDEX(CONSENSUS!$A$2:$BZ$20001,0,F$27),INDEX(CONSENSUS!$A$2:$BZ$20001,0,$B$11),$B$1,INDEX(CONSENSUS!$A$2:$BZ$20001,0,$B$12),$B113,INDEX(CONSENSUS!$A$2:$BZ$20001,0,$B$13),$B$5,INDEX(CONSENSUS!$A$2:$BZ$20001,0,$B$10),$F$13))</f>
        <v/>
      </c>
      <c r="G143" s="21">
        <f>IF(OR($B113="",G$27=""),0,SUMIFS(INDEX(CONSENSUS!$A$2:$BZ$20001,0,G$27),INDEX(CONSENSUS!$A$2:$BZ$20001,0,$B$11),$B$1,INDEX(CONSENSUS!$A$2:$BZ$20001,0,$B$12),$B113,INDEX(CONSENSUS!$A$2:$BZ$20001,0,$B$13),$B$5,INDEX(CONSENSUS!$A$2:$BZ$20001,0,$B$10),$F$13))</f>
        <v/>
      </c>
      <c r="H143" s="21">
        <f>IF(OR($B113="",H$27=""),0,SUMIFS(INDEX(CONSENSUS!$A$2:$BZ$20001,0,H$27),INDEX(CONSENSUS!$A$2:$BZ$20001,0,$B$11),$B$1,INDEX(CONSENSUS!$A$2:$BZ$20001,0,$B$12),$B113,INDEX(CONSENSUS!$A$2:$BZ$20001,0,$B$13),$B$5,INDEX(CONSENSUS!$A$2:$BZ$20001,0,$B$10),$F$13))</f>
        <v/>
      </c>
      <c r="I143" s="21">
        <f>IF(OR($B113="",I$27=""),0,SUMIFS(INDEX(CONSENSUS!$A$2:$BZ$20001,0,I$27),INDEX(CONSENSUS!$A$2:$BZ$20001,0,$B$11),$B$1,INDEX(CONSENSUS!$A$2:$BZ$20001,0,$B$12),$B113,INDEX(CONSENSUS!$A$2:$BZ$20001,0,$B$13),$B$5,INDEX(CONSENSUS!$A$2:$BZ$20001,0,$B$10),$F$13))</f>
        <v/>
      </c>
      <c r="J143" s="21">
        <f>IF(OR($B113="",J$27=""),0,SUMIFS(INDEX(CONSENSUS!$A$2:$BZ$20001,0,J$27),INDEX(CONSENSUS!$A$2:$BZ$20001,0,$B$11),$B$1,INDEX(CONSENSUS!$A$2:$BZ$20001,0,$B$12),$B113,INDEX(CONSENSUS!$A$2:$BZ$20001,0,$B$13),$B$5,INDEX(CONSENSUS!$A$2:$BZ$20001,0,$B$10),$F$13))</f>
        <v/>
      </c>
      <c r="K143" s="21">
        <f>IF(OR($B113="",K$27=""),0,SUMIFS(INDEX(CONSENSUS!$A$2:$BZ$20001,0,K$27),INDEX(CONSENSUS!$A$2:$BZ$20001,0,$B$11),$B$1,INDEX(CONSENSUS!$A$2:$BZ$20001,0,$B$12),$B113,INDEX(CONSENSUS!$A$2:$BZ$20001,0,$B$13),$B$5,INDEX(CONSENSUS!$A$2:$BZ$20001,0,$B$10),$F$13))</f>
        <v/>
      </c>
      <c r="L143" s="21">
        <f>IF(OR($B113="",L$27=""),0,SUMIFS(INDEX(CONSENSUS!$A$2:$BZ$20001,0,L$27),INDEX(CONSENSUS!$A$2:$BZ$20001,0,$B$11),$B$1,INDEX(CONSENSUS!$A$2:$BZ$20001,0,$B$12),$B113,INDEX(CONSENSUS!$A$2:$BZ$20001,0,$B$13),$B$5,INDEX(CONSENSUS!$A$2:$BZ$20001,0,$B$10),$F$13))</f>
        <v/>
      </c>
      <c r="M143" s="21">
        <f>IF(OR($B113="",M$27=""),0,SUMIFS(INDEX(CONSENSUS!$A$2:$BZ$20001,0,M$27),INDEX(CONSENSUS!$A$2:$BZ$20001,0,$B$11),$B$1,INDEX(CONSENSUS!$A$2:$BZ$20001,0,$B$12),$B113,INDEX(CONSENSUS!$A$2:$BZ$20001,0,$B$13),$B$5,INDEX(CONSENSUS!$A$2:$BZ$20001,0,$B$10),$F$13))</f>
        <v/>
      </c>
      <c r="N143" s="21">
        <f>IF(OR($B113="",N$27=""),0,SUMIFS(INDEX(CONSENSUS!$A$2:$BZ$20001,0,N$27),INDEX(CONSENSUS!$A$2:$BZ$20001,0,$B$11),$B$1,INDEX(CONSENSUS!$A$2:$BZ$20001,0,$B$12),$B113,INDEX(CONSENSUS!$A$2:$BZ$20001,0,$B$13),$B$5,INDEX(CONSENSUS!$A$2:$BZ$20001,0,$B$10),$F$13))</f>
        <v/>
      </c>
      <c r="O143" s="21">
        <f>IF(OR($B113="",O$27=""),0,SUMIFS(INDEX(CONSENSUS!$A$2:$BZ$20001,0,O$27),INDEX(CONSENSUS!$A$2:$BZ$20001,0,$B$11),$B$1,INDEX(CONSENSUS!$A$2:$BZ$20001,0,$B$12),$B113,INDEX(CONSENSUS!$A$2:$BZ$20001,0,$B$13),$B$5,INDEX(CONSENSUS!$A$2:$BZ$20001,0,$B$10),$F$13))</f>
        <v/>
      </c>
      <c r="P143" s="21">
        <f>IF(OR($B113="",P$27=""),0,SUMIFS(INDEX(CONSENSUS!$A$2:$BZ$20001,0,P$27),INDEX(CONSENSUS!$A$2:$BZ$20001,0,$B$11),$B$1,INDEX(CONSENSUS!$A$2:$BZ$20001,0,$B$12),$B113,INDEX(CONSENSUS!$A$2:$BZ$20001,0,$B$13),$B$5,INDEX(CONSENSUS!$A$2:$BZ$20001,0,$B$10),$F$13))</f>
        <v/>
      </c>
      <c r="Q143" s="21">
        <f>IF(OR($B113="",Q$27=""),0,SUMIFS(INDEX(CONSENSUS!$A$2:$BZ$20001,0,Q$27),INDEX(CONSENSUS!$A$2:$BZ$20001,0,$B$11),$B$1,INDEX(CONSENSUS!$A$2:$BZ$20001,0,$B$12),$B113,INDEX(CONSENSUS!$A$2:$BZ$20001,0,$B$13),$B$5,INDEX(CONSENSUS!$A$2:$BZ$20001,0,$B$10),$F$13))</f>
        <v/>
      </c>
      <c r="R143" s="21">
        <f>IF(OR($B113="",R$27=""),0,SUMIFS(INDEX(CONSENSUS!$A$2:$BZ$20001,0,R$27),INDEX(CONSENSUS!$A$2:$BZ$20001,0,$B$11),$B$1,INDEX(CONSENSUS!$A$2:$BZ$20001,0,$B$12),$B113,INDEX(CONSENSUS!$A$2:$BZ$20001,0,$B$13),$B$5,INDEX(CONSENSUS!$A$2:$BZ$20001,0,$B$10),$F$13))</f>
        <v/>
      </c>
      <c r="S143" s="21">
        <f>IF(OR($B113="",S$27=""),0,SUMIFS(INDEX(CONSENSUS!$A$2:$BZ$20001,0,S$27),INDEX(CONSENSUS!$A$2:$BZ$20001,0,$B$11),$B$1,INDEX(CONSENSUS!$A$2:$BZ$20001,0,$B$12),$B113,INDEX(CONSENSUS!$A$2:$BZ$20001,0,$B$13),$B$5,INDEX(CONSENSUS!$A$2:$BZ$20001,0,$B$10),$F$13))</f>
        <v/>
      </c>
      <c r="T143" s="21">
        <f>IF(OR($B113="",T$27=""),0,SUMIFS(INDEX(CONSENSUS!$A$2:$BZ$20001,0,T$27),INDEX(CONSENSUS!$A$2:$BZ$20001,0,$B$11),$B$1,INDEX(CONSENSUS!$A$2:$BZ$20001,0,$B$12),$B113,INDEX(CONSENSUS!$A$2:$BZ$20001,0,$B$13),$B$5,INDEX(CONSENSUS!$A$2:$BZ$20001,0,$B$10),$F$13))</f>
        <v/>
      </c>
      <c r="U143" s="21">
        <f>IF(OR($B113="",U$27=""),0,SUMIFS(INDEX(CONSENSUS!$A$2:$BZ$20001,0,U$27),INDEX(CONSENSUS!$A$2:$BZ$20001,0,$B$11),$B$1,INDEX(CONSENSUS!$A$2:$BZ$20001,0,$B$12),$B113,INDEX(CONSENSUS!$A$2:$BZ$20001,0,$B$13),$B$5,INDEX(CONSENSUS!$A$2:$BZ$20001,0,$B$10),$F$13))</f>
        <v/>
      </c>
      <c r="V143" s="21">
        <f>IF(OR($B113="",V$27=""),0,SUMIFS(INDEX(CONSENSUS!$A$2:$BZ$20001,0,V$27),INDEX(CONSENSUS!$A$2:$BZ$20001,0,$B$11),$B$1,INDEX(CONSENSUS!$A$2:$BZ$20001,0,$B$12),$B113,INDEX(CONSENSUS!$A$2:$BZ$20001,0,$B$13),$B$5,INDEX(CONSENSUS!$A$2:$BZ$20001,0,$B$10),$F$13))</f>
        <v/>
      </c>
      <c r="W143" s="21">
        <f>IF(OR($B113="",W$27=""),0,SUMIFS(INDEX(CONSENSUS!$A$2:$BZ$20001,0,W$27),INDEX(CONSENSUS!$A$2:$BZ$20001,0,$B$11),$B$1,INDEX(CONSENSUS!$A$2:$BZ$20001,0,$B$12),$B113,INDEX(CONSENSUS!$A$2:$BZ$20001,0,$B$13),$B$5,INDEX(CONSENSUS!$A$2:$BZ$20001,0,$B$10),$F$13))</f>
        <v/>
      </c>
      <c r="X143" s="21">
        <f>IF(OR($B113="",X$27=""),0,SUMIFS(INDEX(CONSENSUS!$A$2:$BZ$20001,0,X$27),INDEX(CONSENSUS!$A$2:$BZ$20001,0,$B$11),$B$1,INDEX(CONSENSUS!$A$2:$BZ$20001,0,$B$12),$B113,INDEX(CONSENSUS!$A$2:$BZ$20001,0,$B$13),$B$5,INDEX(CONSENSUS!$A$2:$BZ$20001,0,$B$10),$F$13))</f>
        <v/>
      </c>
      <c r="Y143" s="21">
        <f>IF(OR($B113="",Y$27=""),0,SUMIFS(INDEX(CONSENSUS!$A$2:$BZ$20001,0,Y$27),INDEX(CONSENSUS!$A$2:$BZ$20001,0,$B$11),$B$1,INDEX(CONSENSUS!$A$2:$BZ$20001,0,$B$12),$B113,INDEX(CONSENSUS!$A$2:$BZ$20001,0,$B$13),$B$5,INDEX(CONSENSUS!$A$2:$BZ$20001,0,$B$10),$F$13))</f>
        <v/>
      </c>
      <c r="Z143" s="21">
        <f>IF(OR($B113="",Z$27=""),0,SUMIFS(INDEX(CONSENSUS!$A$2:$BZ$20001,0,Z$27),INDEX(CONSENSUS!$A$2:$BZ$20001,0,$B$11),$B$1,INDEX(CONSENSUS!$A$2:$BZ$20001,0,$B$12),$B113,INDEX(CONSENSUS!$A$2:$BZ$20001,0,$B$13),$B$5,INDEX(CONSENSUS!$A$2:$BZ$20001,0,$B$10),$F$13))</f>
        <v/>
      </c>
      <c r="AA143" s="21">
        <f>IF(OR($B113="",AA$27=""),0,SUMIFS(INDEX(CONSENSUS!$A$2:$BZ$20001,0,AA$27),INDEX(CONSENSUS!$A$2:$BZ$20001,0,$B$11),$B$1,INDEX(CONSENSUS!$A$2:$BZ$20001,0,$B$12),$B113,INDEX(CONSENSUS!$A$2:$BZ$20001,0,$B$13),$B$5,INDEX(CONSENSUS!$A$2:$BZ$20001,0,$B$10),$F$13))</f>
        <v/>
      </c>
      <c r="AB143" s="21">
        <f>IF(OR($B113="",AB$27=""),0,SUMIFS(INDEX(CONSENSUS!$A$2:$BZ$20001,0,AB$27),INDEX(CONSENSUS!$A$2:$BZ$20001,0,$B$11),$B$1,INDEX(CONSENSUS!$A$2:$BZ$20001,0,$B$12),$B113,INDEX(CONSENSUS!$A$2:$BZ$20001,0,$B$13),$B$5,INDEX(CONSENSUS!$A$2:$BZ$20001,0,$B$10),$F$13))</f>
        <v/>
      </c>
      <c r="AC143" s="21">
        <f>IF(OR($B113="",AC$27=""),0,SUMIFS(INDEX(CONSENSUS!$A$2:$BZ$20001,0,AC$27),INDEX(CONSENSUS!$A$2:$BZ$20001,0,$B$11),$B$1,INDEX(CONSENSUS!$A$2:$BZ$20001,0,$B$12),$B113,INDEX(CONSENSUS!$A$2:$BZ$20001,0,$B$13),$B$5,INDEX(CONSENSUS!$A$2:$BZ$20001,0,$B$10),$F$13))</f>
        <v/>
      </c>
      <c r="AD143" s="21">
        <f>IF(OR($B113="",AD$27=""),0,SUMIFS(INDEX(CONSENSUS!$A$2:$BZ$20001,0,AD$27),INDEX(CONSENSUS!$A$2:$BZ$20001,0,$B$11),$B$1,INDEX(CONSENSUS!$A$2:$BZ$20001,0,$B$12),$B113,INDEX(CONSENSUS!$A$2:$BZ$20001,0,$B$13),$B$5,INDEX(CONSENSUS!$A$2:$BZ$20001,0,$B$10),$F$13))</f>
        <v/>
      </c>
      <c r="AE143" s="21">
        <f>IF(OR($B113="",AE$27=""),0,SUMIFS(INDEX(CONSENSUS!$A$2:$BZ$20001,0,AE$27),INDEX(CONSENSUS!$A$2:$BZ$20001,0,$B$11),$B$1,INDEX(CONSENSUS!$A$2:$BZ$20001,0,$B$12),$B113,INDEX(CONSENSUS!$A$2:$BZ$20001,0,$B$13),$B$5,INDEX(CONSENSUS!$A$2:$BZ$20001,0,$B$10),$F$13))</f>
        <v/>
      </c>
      <c r="AF143" s="21">
        <f>IF(OR($B113="",AF$27=""),0,SUMIFS(INDEX(CONSENSUS!$A$2:$BZ$20001,0,AF$27),INDEX(CONSENSUS!$A$2:$BZ$20001,0,$B$11),$B$1,INDEX(CONSENSUS!$A$2:$BZ$20001,0,$B$12),$B113,INDEX(CONSENSUS!$A$2:$BZ$20001,0,$B$13),$B$5,INDEX(CONSENSUS!$A$2:$BZ$20001,0,$B$10),$F$13))</f>
        <v/>
      </c>
      <c r="AG143" s="21">
        <f>IF(OR($B113="",AG$27=""),0,SUMIFS(INDEX(CONSENSUS!$A$2:$BZ$20001,0,AG$27),INDEX(CONSENSUS!$A$2:$BZ$20001,0,$B$11),$B$1,INDEX(CONSENSUS!$A$2:$BZ$20001,0,$B$12),$B113,INDEX(CONSENSUS!$A$2:$BZ$20001,0,$B$13),$B$5,INDEX(CONSENSUS!$A$2:$BZ$20001,0,$B$10),$F$13))</f>
        <v/>
      </c>
      <c r="AH143" s="21">
        <f>IF(OR($B113="",AH$27=""),0,SUMIFS(INDEX(CONSENSUS!$A$2:$BZ$20001,0,AH$27),INDEX(CONSENSUS!$A$2:$BZ$20001,0,$B$11),$B$1,INDEX(CONSENSUS!$A$2:$BZ$20001,0,$B$12),$B113,INDEX(CONSENSUS!$A$2:$BZ$20001,0,$B$13),$B$5,INDEX(CONSENSUS!$A$2:$BZ$20001,0,$B$10),$F$13))</f>
        <v/>
      </c>
      <c r="AI143" s="21">
        <f>IF(OR($B113="",AI$27=""),0,SUMIFS(INDEX(CONSENSUS!$A$2:$BZ$20001,0,AI$27),INDEX(CONSENSUS!$A$2:$BZ$20001,0,$B$11),$B$1,INDEX(CONSENSUS!$A$2:$BZ$20001,0,$B$12),$B113,INDEX(CONSENSUS!$A$2:$BZ$20001,0,$B$13),$B$5,INDEX(CONSENSUS!$A$2:$BZ$20001,0,$B$10),$F$13))</f>
        <v/>
      </c>
      <c r="AJ143" s="21">
        <f>IF(OR($B113="",AJ$27=""),0,SUMIFS(INDEX(CONSENSUS!$A$2:$BZ$20001,0,AJ$27),INDEX(CONSENSUS!$A$2:$BZ$20001,0,$B$11),$B$1,INDEX(CONSENSUS!$A$2:$BZ$20001,0,$B$12),$B113,INDEX(CONSENSUS!$A$2:$BZ$20001,0,$B$13),$B$5,INDEX(CONSENSUS!$A$2:$BZ$20001,0,$B$10),$F$13))</f>
        <v/>
      </c>
      <c r="AK143" s="21">
        <f>IF(OR($B113="",AK$27=""),0,SUMIFS(INDEX(CONSENSUS!$A$2:$BZ$20001,0,AK$27),INDEX(CONSENSUS!$A$2:$BZ$20001,0,$B$11),$B$1,INDEX(CONSENSUS!$A$2:$BZ$20001,0,$B$12),$B113,INDEX(CONSENSUS!$A$2:$BZ$20001,0,$B$13),$B$5,INDEX(CONSENSUS!$A$2:$BZ$20001,0,$B$10),$F$13))</f>
        <v/>
      </c>
      <c r="AL143" s="21">
        <f>IF(OR($B113="",AL$27=""),0,SUMIFS(INDEX(CONSENSUS!$A$2:$BZ$20001,0,AL$27),INDEX(CONSENSUS!$A$2:$BZ$20001,0,$B$11),$B$1,INDEX(CONSENSUS!$A$2:$BZ$20001,0,$B$12),$B113,INDEX(CONSENSUS!$A$2:$BZ$20001,0,$B$13),$B$5,INDEX(CONSENSUS!$A$2:$BZ$20001,0,$B$10),$F$13))</f>
        <v/>
      </c>
      <c r="AM143" s="21">
        <f>IF(OR($B113="",AM$27=""),0,SUMIFS(INDEX(CONSENSUS!$A$2:$BZ$20001,0,AM$27),INDEX(CONSENSUS!$A$2:$BZ$20001,0,$B$11),$B$1,INDEX(CONSENSUS!$A$2:$BZ$20001,0,$B$12),$B113,INDEX(CONSENSUS!$A$2:$BZ$20001,0,$B$13),$B$5,INDEX(CONSENSUS!$A$2:$BZ$20001,0,$B$10),$F$13))</f>
        <v/>
      </c>
    </row>
    <row r="144">
      <c r="A144" s="23">
        <f>IF($B114="","Consensus original","Consensus original | "&amp;$B114)</f>
        <v/>
      </c>
      <c r="D144" s="21">
        <f>IF(OR($B114="",D$27=""),0,SUMIFS(INDEX(CONSENSUS!$A$2:$BZ$20001,0,D$27),INDEX(CONSENSUS!$A$2:$BZ$20001,0,$B$11),$B$1,INDEX(CONSENSUS!$A$2:$BZ$20001,0,$B$12),$B114,INDEX(CONSENSUS!$A$2:$BZ$20001,0,$B$13),$B$5,INDEX(CONSENSUS!$A$2:$BZ$20001,0,$B$10),$F$13))</f>
        <v/>
      </c>
      <c r="E144" s="21">
        <f>IF(OR($B114="",E$27=""),0,SUMIFS(INDEX(CONSENSUS!$A$2:$BZ$20001,0,E$27),INDEX(CONSENSUS!$A$2:$BZ$20001,0,$B$11),$B$1,INDEX(CONSENSUS!$A$2:$BZ$20001,0,$B$12),$B114,INDEX(CONSENSUS!$A$2:$BZ$20001,0,$B$13),$B$5,INDEX(CONSENSUS!$A$2:$BZ$20001,0,$B$10),$F$13))</f>
        <v/>
      </c>
      <c r="F144" s="21">
        <f>IF(OR($B114="",F$27=""),0,SUMIFS(INDEX(CONSENSUS!$A$2:$BZ$20001,0,F$27),INDEX(CONSENSUS!$A$2:$BZ$20001,0,$B$11),$B$1,INDEX(CONSENSUS!$A$2:$BZ$20001,0,$B$12),$B114,INDEX(CONSENSUS!$A$2:$BZ$20001,0,$B$13),$B$5,INDEX(CONSENSUS!$A$2:$BZ$20001,0,$B$10),$F$13))</f>
        <v/>
      </c>
      <c r="G144" s="21">
        <f>IF(OR($B114="",G$27=""),0,SUMIFS(INDEX(CONSENSUS!$A$2:$BZ$20001,0,G$27),INDEX(CONSENSUS!$A$2:$BZ$20001,0,$B$11),$B$1,INDEX(CONSENSUS!$A$2:$BZ$20001,0,$B$12),$B114,INDEX(CONSENSUS!$A$2:$BZ$20001,0,$B$13),$B$5,INDEX(CONSENSUS!$A$2:$BZ$20001,0,$B$10),$F$13))</f>
        <v/>
      </c>
      <c r="H144" s="21">
        <f>IF(OR($B114="",H$27=""),0,SUMIFS(INDEX(CONSENSUS!$A$2:$BZ$20001,0,H$27),INDEX(CONSENSUS!$A$2:$BZ$20001,0,$B$11),$B$1,INDEX(CONSENSUS!$A$2:$BZ$20001,0,$B$12),$B114,INDEX(CONSENSUS!$A$2:$BZ$20001,0,$B$13),$B$5,INDEX(CONSENSUS!$A$2:$BZ$20001,0,$B$10),$F$13))</f>
        <v/>
      </c>
      <c r="I144" s="21">
        <f>IF(OR($B114="",I$27=""),0,SUMIFS(INDEX(CONSENSUS!$A$2:$BZ$20001,0,I$27),INDEX(CONSENSUS!$A$2:$BZ$20001,0,$B$11),$B$1,INDEX(CONSENSUS!$A$2:$BZ$20001,0,$B$12),$B114,INDEX(CONSENSUS!$A$2:$BZ$20001,0,$B$13),$B$5,INDEX(CONSENSUS!$A$2:$BZ$20001,0,$B$10),$F$13))</f>
        <v/>
      </c>
      <c r="J144" s="21">
        <f>IF(OR($B114="",J$27=""),0,SUMIFS(INDEX(CONSENSUS!$A$2:$BZ$20001,0,J$27),INDEX(CONSENSUS!$A$2:$BZ$20001,0,$B$11),$B$1,INDEX(CONSENSUS!$A$2:$BZ$20001,0,$B$12),$B114,INDEX(CONSENSUS!$A$2:$BZ$20001,0,$B$13),$B$5,INDEX(CONSENSUS!$A$2:$BZ$20001,0,$B$10),$F$13))</f>
        <v/>
      </c>
      <c r="K144" s="21">
        <f>IF(OR($B114="",K$27=""),0,SUMIFS(INDEX(CONSENSUS!$A$2:$BZ$20001,0,K$27),INDEX(CONSENSUS!$A$2:$BZ$20001,0,$B$11),$B$1,INDEX(CONSENSUS!$A$2:$BZ$20001,0,$B$12),$B114,INDEX(CONSENSUS!$A$2:$BZ$20001,0,$B$13),$B$5,INDEX(CONSENSUS!$A$2:$BZ$20001,0,$B$10),$F$13))</f>
        <v/>
      </c>
      <c r="L144" s="21">
        <f>IF(OR($B114="",L$27=""),0,SUMIFS(INDEX(CONSENSUS!$A$2:$BZ$20001,0,L$27),INDEX(CONSENSUS!$A$2:$BZ$20001,0,$B$11),$B$1,INDEX(CONSENSUS!$A$2:$BZ$20001,0,$B$12),$B114,INDEX(CONSENSUS!$A$2:$BZ$20001,0,$B$13),$B$5,INDEX(CONSENSUS!$A$2:$BZ$20001,0,$B$10),$F$13))</f>
        <v/>
      </c>
      <c r="M144" s="21">
        <f>IF(OR($B114="",M$27=""),0,SUMIFS(INDEX(CONSENSUS!$A$2:$BZ$20001,0,M$27),INDEX(CONSENSUS!$A$2:$BZ$20001,0,$B$11),$B$1,INDEX(CONSENSUS!$A$2:$BZ$20001,0,$B$12),$B114,INDEX(CONSENSUS!$A$2:$BZ$20001,0,$B$13),$B$5,INDEX(CONSENSUS!$A$2:$BZ$20001,0,$B$10),$F$13))</f>
        <v/>
      </c>
      <c r="N144" s="21">
        <f>IF(OR($B114="",N$27=""),0,SUMIFS(INDEX(CONSENSUS!$A$2:$BZ$20001,0,N$27),INDEX(CONSENSUS!$A$2:$BZ$20001,0,$B$11),$B$1,INDEX(CONSENSUS!$A$2:$BZ$20001,0,$B$12),$B114,INDEX(CONSENSUS!$A$2:$BZ$20001,0,$B$13),$B$5,INDEX(CONSENSUS!$A$2:$BZ$20001,0,$B$10),$F$13))</f>
        <v/>
      </c>
      <c r="O144" s="21">
        <f>IF(OR($B114="",O$27=""),0,SUMIFS(INDEX(CONSENSUS!$A$2:$BZ$20001,0,O$27),INDEX(CONSENSUS!$A$2:$BZ$20001,0,$B$11),$B$1,INDEX(CONSENSUS!$A$2:$BZ$20001,0,$B$12),$B114,INDEX(CONSENSUS!$A$2:$BZ$20001,0,$B$13),$B$5,INDEX(CONSENSUS!$A$2:$BZ$20001,0,$B$10),$F$13))</f>
        <v/>
      </c>
      <c r="P144" s="21">
        <f>IF(OR($B114="",P$27=""),0,SUMIFS(INDEX(CONSENSUS!$A$2:$BZ$20001,0,P$27),INDEX(CONSENSUS!$A$2:$BZ$20001,0,$B$11),$B$1,INDEX(CONSENSUS!$A$2:$BZ$20001,0,$B$12),$B114,INDEX(CONSENSUS!$A$2:$BZ$20001,0,$B$13),$B$5,INDEX(CONSENSUS!$A$2:$BZ$20001,0,$B$10),$F$13))</f>
        <v/>
      </c>
      <c r="Q144" s="21">
        <f>IF(OR($B114="",Q$27=""),0,SUMIFS(INDEX(CONSENSUS!$A$2:$BZ$20001,0,Q$27),INDEX(CONSENSUS!$A$2:$BZ$20001,0,$B$11),$B$1,INDEX(CONSENSUS!$A$2:$BZ$20001,0,$B$12),$B114,INDEX(CONSENSUS!$A$2:$BZ$20001,0,$B$13),$B$5,INDEX(CONSENSUS!$A$2:$BZ$20001,0,$B$10),$F$13))</f>
        <v/>
      </c>
      <c r="R144" s="21">
        <f>IF(OR($B114="",R$27=""),0,SUMIFS(INDEX(CONSENSUS!$A$2:$BZ$20001,0,R$27),INDEX(CONSENSUS!$A$2:$BZ$20001,0,$B$11),$B$1,INDEX(CONSENSUS!$A$2:$BZ$20001,0,$B$12),$B114,INDEX(CONSENSUS!$A$2:$BZ$20001,0,$B$13),$B$5,INDEX(CONSENSUS!$A$2:$BZ$20001,0,$B$10),$F$13))</f>
        <v/>
      </c>
      <c r="S144" s="21">
        <f>IF(OR($B114="",S$27=""),0,SUMIFS(INDEX(CONSENSUS!$A$2:$BZ$20001,0,S$27),INDEX(CONSENSUS!$A$2:$BZ$20001,0,$B$11),$B$1,INDEX(CONSENSUS!$A$2:$BZ$20001,0,$B$12),$B114,INDEX(CONSENSUS!$A$2:$BZ$20001,0,$B$13),$B$5,INDEX(CONSENSUS!$A$2:$BZ$20001,0,$B$10),$F$13))</f>
        <v/>
      </c>
      <c r="T144" s="21">
        <f>IF(OR($B114="",T$27=""),0,SUMIFS(INDEX(CONSENSUS!$A$2:$BZ$20001,0,T$27),INDEX(CONSENSUS!$A$2:$BZ$20001,0,$B$11),$B$1,INDEX(CONSENSUS!$A$2:$BZ$20001,0,$B$12),$B114,INDEX(CONSENSUS!$A$2:$BZ$20001,0,$B$13),$B$5,INDEX(CONSENSUS!$A$2:$BZ$20001,0,$B$10),$F$13))</f>
        <v/>
      </c>
      <c r="U144" s="21">
        <f>IF(OR($B114="",U$27=""),0,SUMIFS(INDEX(CONSENSUS!$A$2:$BZ$20001,0,U$27),INDEX(CONSENSUS!$A$2:$BZ$20001,0,$B$11),$B$1,INDEX(CONSENSUS!$A$2:$BZ$20001,0,$B$12),$B114,INDEX(CONSENSUS!$A$2:$BZ$20001,0,$B$13),$B$5,INDEX(CONSENSUS!$A$2:$BZ$20001,0,$B$10),$F$13))</f>
        <v/>
      </c>
      <c r="V144" s="21">
        <f>IF(OR($B114="",V$27=""),0,SUMIFS(INDEX(CONSENSUS!$A$2:$BZ$20001,0,V$27),INDEX(CONSENSUS!$A$2:$BZ$20001,0,$B$11),$B$1,INDEX(CONSENSUS!$A$2:$BZ$20001,0,$B$12),$B114,INDEX(CONSENSUS!$A$2:$BZ$20001,0,$B$13),$B$5,INDEX(CONSENSUS!$A$2:$BZ$20001,0,$B$10),$F$13))</f>
        <v/>
      </c>
      <c r="W144" s="21">
        <f>IF(OR($B114="",W$27=""),0,SUMIFS(INDEX(CONSENSUS!$A$2:$BZ$20001,0,W$27),INDEX(CONSENSUS!$A$2:$BZ$20001,0,$B$11),$B$1,INDEX(CONSENSUS!$A$2:$BZ$20001,0,$B$12),$B114,INDEX(CONSENSUS!$A$2:$BZ$20001,0,$B$13),$B$5,INDEX(CONSENSUS!$A$2:$BZ$20001,0,$B$10),$F$13))</f>
        <v/>
      </c>
      <c r="X144" s="21">
        <f>IF(OR($B114="",X$27=""),0,SUMIFS(INDEX(CONSENSUS!$A$2:$BZ$20001,0,X$27),INDEX(CONSENSUS!$A$2:$BZ$20001,0,$B$11),$B$1,INDEX(CONSENSUS!$A$2:$BZ$20001,0,$B$12),$B114,INDEX(CONSENSUS!$A$2:$BZ$20001,0,$B$13),$B$5,INDEX(CONSENSUS!$A$2:$BZ$20001,0,$B$10),$F$13))</f>
        <v/>
      </c>
      <c r="Y144" s="21">
        <f>IF(OR($B114="",Y$27=""),0,SUMIFS(INDEX(CONSENSUS!$A$2:$BZ$20001,0,Y$27),INDEX(CONSENSUS!$A$2:$BZ$20001,0,$B$11),$B$1,INDEX(CONSENSUS!$A$2:$BZ$20001,0,$B$12),$B114,INDEX(CONSENSUS!$A$2:$BZ$20001,0,$B$13),$B$5,INDEX(CONSENSUS!$A$2:$BZ$20001,0,$B$10),$F$13))</f>
        <v/>
      </c>
      <c r="Z144" s="21">
        <f>IF(OR($B114="",Z$27=""),0,SUMIFS(INDEX(CONSENSUS!$A$2:$BZ$20001,0,Z$27),INDEX(CONSENSUS!$A$2:$BZ$20001,0,$B$11),$B$1,INDEX(CONSENSUS!$A$2:$BZ$20001,0,$B$12),$B114,INDEX(CONSENSUS!$A$2:$BZ$20001,0,$B$13),$B$5,INDEX(CONSENSUS!$A$2:$BZ$20001,0,$B$10),$F$13))</f>
        <v/>
      </c>
      <c r="AA144" s="21">
        <f>IF(OR($B114="",AA$27=""),0,SUMIFS(INDEX(CONSENSUS!$A$2:$BZ$20001,0,AA$27),INDEX(CONSENSUS!$A$2:$BZ$20001,0,$B$11),$B$1,INDEX(CONSENSUS!$A$2:$BZ$20001,0,$B$12),$B114,INDEX(CONSENSUS!$A$2:$BZ$20001,0,$B$13),$B$5,INDEX(CONSENSUS!$A$2:$BZ$20001,0,$B$10),$F$13))</f>
        <v/>
      </c>
      <c r="AB144" s="21">
        <f>IF(OR($B114="",AB$27=""),0,SUMIFS(INDEX(CONSENSUS!$A$2:$BZ$20001,0,AB$27),INDEX(CONSENSUS!$A$2:$BZ$20001,0,$B$11),$B$1,INDEX(CONSENSUS!$A$2:$BZ$20001,0,$B$12),$B114,INDEX(CONSENSUS!$A$2:$BZ$20001,0,$B$13),$B$5,INDEX(CONSENSUS!$A$2:$BZ$20001,0,$B$10),$F$13))</f>
        <v/>
      </c>
      <c r="AC144" s="21">
        <f>IF(OR($B114="",AC$27=""),0,SUMIFS(INDEX(CONSENSUS!$A$2:$BZ$20001,0,AC$27),INDEX(CONSENSUS!$A$2:$BZ$20001,0,$B$11),$B$1,INDEX(CONSENSUS!$A$2:$BZ$20001,0,$B$12),$B114,INDEX(CONSENSUS!$A$2:$BZ$20001,0,$B$13),$B$5,INDEX(CONSENSUS!$A$2:$BZ$20001,0,$B$10),$F$13))</f>
        <v/>
      </c>
      <c r="AD144" s="21">
        <f>IF(OR($B114="",AD$27=""),0,SUMIFS(INDEX(CONSENSUS!$A$2:$BZ$20001,0,AD$27),INDEX(CONSENSUS!$A$2:$BZ$20001,0,$B$11),$B$1,INDEX(CONSENSUS!$A$2:$BZ$20001,0,$B$12),$B114,INDEX(CONSENSUS!$A$2:$BZ$20001,0,$B$13),$B$5,INDEX(CONSENSUS!$A$2:$BZ$20001,0,$B$10),$F$13))</f>
        <v/>
      </c>
      <c r="AE144" s="21">
        <f>IF(OR($B114="",AE$27=""),0,SUMIFS(INDEX(CONSENSUS!$A$2:$BZ$20001,0,AE$27),INDEX(CONSENSUS!$A$2:$BZ$20001,0,$B$11),$B$1,INDEX(CONSENSUS!$A$2:$BZ$20001,0,$B$12),$B114,INDEX(CONSENSUS!$A$2:$BZ$20001,0,$B$13),$B$5,INDEX(CONSENSUS!$A$2:$BZ$20001,0,$B$10),$F$13))</f>
        <v/>
      </c>
      <c r="AF144" s="21">
        <f>IF(OR($B114="",AF$27=""),0,SUMIFS(INDEX(CONSENSUS!$A$2:$BZ$20001,0,AF$27),INDEX(CONSENSUS!$A$2:$BZ$20001,0,$B$11),$B$1,INDEX(CONSENSUS!$A$2:$BZ$20001,0,$B$12),$B114,INDEX(CONSENSUS!$A$2:$BZ$20001,0,$B$13),$B$5,INDEX(CONSENSUS!$A$2:$BZ$20001,0,$B$10),$F$13))</f>
        <v/>
      </c>
      <c r="AG144" s="21">
        <f>IF(OR($B114="",AG$27=""),0,SUMIFS(INDEX(CONSENSUS!$A$2:$BZ$20001,0,AG$27),INDEX(CONSENSUS!$A$2:$BZ$20001,0,$B$11),$B$1,INDEX(CONSENSUS!$A$2:$BZ$20001,0,$B$12),$B114,INDEX(CONSENSUS!$A$2:$BZ$20001,0,$B$13),$B$5,INDEX(CONSENSUS!$A$2:$BZ$20001,0,$B$10),$F$13))</f>
        <v/>
      </c>
      <c r="AH144" s="21">
        <f>IF(OR($B114="",AH$27=""),0,SUMIFS(INDEX(CONSENSUS!$A$2:$BZ$20001,0,AH$27),INDEX(CONSENSUS!$A$2:$BZ$20001,0,$B$11),$B$1,INDEX(CONSENSUS!$A$2:$BZ$20001,0,$B$12),$B114,INDEX(CONSENSUS!$A$2:$BZ$20001,0,$B$13),$B$5,INDEX(CONSENSUS!$A$2:$BZ$20001,0,$B$10),$F$13))</f>
        <v/>
      </c>
      <c r="AI144" s="21">
        <f>IF(OR($B114="",AI$27=""),0,SUMIFS(INDEX(CONSENSUS!$A$2:$BZ$20001,0,AI$27),INDEX(CONSENSUS!$A$2:$BZ$20001,0,$B$11),$B$1,INDEX(CONSENSUS!$A$2:$BZ$20001,0,$B$12),$B114,INDEX(CONSENSUS!$A$2:$BZ$20001,0,$B$13),$B$5,INDEX(CONSENSUS!$A$2:$BZ$20001,0,$B$10),$F$13))</f>
        <v/>
      </c>
      <c r="AJ144" s="21">
        <f>IF(OR($B114="",AJ$27=""),0,SUMIFS(INDEX(CONSENSUS!$A$2:$BZ$20001,0,AJ$27),INDEX(CONSENSUS!$A$2:$BZ$20001,0,$B$11),$B$1,INDEX(CONSENSUS!$A$2:$BZ$20001,0,$B$12),$B114,INDEX(CONSENSUS!$A$2:$BZ$20001,0,$B$13),$B$5,INDEX(CONSENSUS!$A$2:$BZ$20001,0,$B$10),$F$13))</f>
        <v/>
      </c>
      <c r="AK144" s="21">
        <f>IF(OR($B114="",AK$27=""),0,SUMIFS(INDEX(CONSENSUS!$A$2:$BZ$20001,0,AK$27),INDEX(CONSENSUS!$A$2:$BZ$20001,0,$B$11),$B$1,INDEX(CONSENSUS!$A$2:$BZ$20001,0,$B$12),$B114,INDEX(CONSENSUS!$A$2:$BZ$20001,0,$B$13),$B$5,INDEX(CONSENSUS!$A$2:$BZ$20001,0,$B$10),$F$13))</f>
        <v/>
      </c>
      <c r="AL144" s="21">
        <f>IF(OR($B114="",AL$27=""),0,SUMIFS(INDEX(CONSENSUS!$A$2:$BZ$20001,0,AL$27),INDEX(CONSENSUS!$A$2:$BZ$20001,0,$B$11),$B$1,INDEX(CONSENSUS!$A$2:$BZ$20001,0,$B$12),$B114,INDEX(CONSENSUS!$A$2:$BZ$20001,0,$B$13),$B$5,INDEX(CONSENSUS!$A$2:$BZ$20001,0,$B$10),$F$13))</f>
        <v/>
      </c>
      <c r="AM144" s="21">
        <f>IF(OR($B114="",AM$27=""),0,SUMIFS(INDEX(CONSENSUS!$A$2:$BZ$20001,0,AM$27),INDEX(CONSENSUS!$A$2:$BZ$20001,0,$B$11),$B$1,INDEX(CONSENSUS!$A$2:$BZ$20001,0,$B$12),$B114,INDEX(CONSENSUS!$A$2:$BZ$20001,0,$B$13),$B$5,INDEX(CONSENSUS!$A$2:$BZ$20001,0,$B$10),$F$13))</f>
        <v/>
      </c>
    </row>
    <row r="145">
      <c r="A145" s="23">
        <f>IF($B115="","Consensus original","Consensus original | "&amp;$B115)</f>
        <v/>
      </c>
      <c r="D145" s="21">
        <f>IF(OR($B115="",D$27=""),0,SUMIFS(INDEX(CONSENSUS!$A$2:$BZ$20001,0,D$27),INDEX(CONSENSUS!$A$2:$BZ$20001,0,$B$11),$B$1,INDEX(CONSENSUS!$A$2:$BZ$20001,0,$B$12),$B115,INDEX(CONSENSUS!$A$2:$BZ$20001,0,$B$13),$B$5,INDEX(CONSENSUS!$A$2:$BZ$20001,0,$B$10),$F$13))</f>
        <v/>
      </c>
      <c r="E145" s="21">
        <f>IF(OR($B115="",E$27=""),0,SUMIFS(INDEX(CONSENSUS!$A$2:$BZ$20001,0,E$27),INDEX(CONSENSUS!$A$2:$BZ$20001,0,$B$11),$B$1,INDEX(CONSENSUS!$A$2:$BZ$20001,0,$B$12),$B115,INDEX(CONSENSUS!$A$2:$BZ$20001,0,$B$13),$B$5,INDEX(CONSENSUS!$A$2:$BZ$20001,0,$B$10),$F$13))</f>
        <v/>
      </c>
      <c r="F145" s="21">
        <f>IF(OR($B115="",F$27=""),0,SUMIFS(INDEX(CONSENSUS!$A$2:$BZ$20001,0,F$27),INDEX(CONSENSUS!$A$2:$BZ$20001,0,$B$11),$B$1,INDEX(CONSENSUS!$A$2:$BZ$20001,0,$B$12),$B115,INDEX(CONSENSUS!$A$2:$BZ$20001,0,$B$13),$B$5,INDEX(CONSENSUS!$A$2:$BZ$20001,0,$B$10),$F$13))</f>
        <v/>
      </c>
      <c r="G145" s="21">
        <f>IF(OR($B115="",G$27=""),0,SUMIFS(INDEX(CONSENSUS!$A$2:$BZ$20001,0,G$27),INDEX(CONSENSUS!$A$2:$BZ$20001,0,$B$11),$B$1,INDEX(CONSENSUS!$A$2:$BZ$20001,0,$B$12),$B115,INDEX(CONSENSUS!$A$2:$BZ$20001,0,$B$13),$B$5,INDEX(CONSENSUS!$A$2:$BZ$20001,0,$B$10),$F$13))</f>
        <v/>
      </c>
      <c r="H145" s="21">
        <f>IF(OR($B115="",H$27=""),0,SUMIFS(INDEX(CONSENSUS!$A$2:$BZ$20001,0,H$27),INDEX(CONSENSUS!$A$2:$BZ$20001,0,$B$11),$B$1,INDEX(CONSENSUS!$A$2:$BZ$20001,0,$B$12),$B115,INDEX(CONSENSUS!$A$2:$BZ$20001,0,$B$13),$B$5,INDEX(CONSENSUS!$A$2:$BZ$20001,0,$B$10),$F$13))</f>
        <v/>
      </c>
      <c r="I145" s="21">
        <f>IF(OR($B115="",I$27=""),0,SUMIFS(INDEX(CONSENSUS!$A$2:$BZ$20001,0,I$27),INDEX(CONSENSUS!$A$2:$BZ$20001,0,$B$11),$B$1,INDEX(CONSENSUS!$A$2:$BZ$20001,0,$B$12),$B115,INDEX(CONSENSUS!$A$2:$BZ$20001,0,$B$13),$B$5,INDEX(CONSENSUS!$A$2:$BZ$20001,0,$B$10),$F$13))</f>
        <v/>
      </c>
      <c r="J145" s="21">
        <f>IF(OR($B115="",J$27=""),0,SUMIFS(INDEX(CONSENSUS!$A$2:$BZ$20001,0,J$27),INDEX(CONSENSUS!$A$2:$BZ$20001,0,$B$11),$B$1,INDEX(CONSENSUS!$A$2:$BZ$20001,0,$B$12),$B115,INDEX(CONSENSUS!$A$2:$BZ$20001,0,$B$13),$B$5,INDEX(CONSENSUS!$A$2:$BZ$20001,0,$B$10),$F$13))</f>
        <v/>
      </c>
      <c r="K145" s="21">
        <f>IF(OR($B115="",K$27=""),0,SUMIFS(INDEX(CONSENSUS!$A$2:$BZ$20001,0,K$27),INDEX(CONSENSUS!$A$2:$BZ$20001,0,$B$11),$B$1,INDEX(CONSENSUS!$A$2:$BZ$20001,0,$B$12),$B115,INDEX(CONSENSUS!$A$2:$BZ$20001,0,$B$13),$B$5,INDEX(CONSENSUS!$A$2:$BZ$20001,0,$B$10),$F$13))</f>
        <v/>
      </c>
      <c r="L145" s="21">
        <f>IF(OR($B115="",L$27=""),0,SUMIFS(INDEX(CONSENSUS!$A$2:$BZ$20001,0,L$27),INDEX(CONSENSUS!$A$2:$BZ$20001,0,$B$11),$B$1,INDEX(CONSENSUS!$A$2:$BZ$20001,0,$B$12),$B115,INDEX(CONSENSUS!$A$2:$BZ$20001,0,$B$13),$B$5,INDEX(CONSENSUS!$A$2:$BZ$20001,0,$B$10),$F$13))</f>
        <v/>
      </c>
      <c r="M145" s="21">
        <f>IF(OR($B115="",M$27=""),0,SUMIFS(INDEX(CONSENSUS!$A$2:$BZ$20001,0,M$27),INDEX(CONSENSUS!$A$2:$BZ$20001,0,$B$11),$B$1,INDEX(CONSENSUS!$A$2:$BZ$20001,0,$B$12),$B115,INDEX(CONSENSUS!$A$2:$BZ$20001,0,$B$13),$B$5,INDEX(CONSENSUS!$A$2:$BZ$20001,0,$B$10),$F$13))</f>
        <v/>
      </c>
      <c r="N145" s="21">
        <f>IF(OR($B115="",N$27=""),0,SUMIFS(INDEX(CONSENSUS!$A$2:$BZ$20001,0,N$27),INDEX(CONSENSUS!$A$2:$BZ$20001,0,$B$11),$B$1,INDEX(CONSENSUS!$A$2:$BZ$20001,0,$B$12),$B115,INDEX(CONSENSUS!$A$2:$BZ$20001,0,$B$13),$B$5,INDEX(CONSENSUS!$A$2:$BZ$20001,0,$B$10),$F$13))</f>
        <v/>
      </c>
      <c r="O145" s="21">
        <f>IF(OR($B115="",O$27=""),0,SUMIFS(INDEX(CONSENSUS!$A$2:$BZ$20001,0,O$27),INDEX(CONSENSUS!$A$2:$BZ$20001,0,$B$11),$B$1,INDEX(CONSENSUS!$A$2:$BZ$20001,0,$B$12),$B115,INDEX(CONSENSUS!$A$2:$BZ$20001,0,$B$13),$B$5,INDEX(CONSENSUS!$A$2:$BZ$20001,0,$B$10),$F$13))</f>
        <v/>
      </c>
      <c r="P145" s="21">
        <f>IF(OR($B115="",P$27=""),0,SUMIFS(INDEX(CONSENSUS!$A$2:$BZ$20001,0,P$27),INDEX(CONSENSUS!$A$2:$BZ$20001,0,$B$11),$B$1,INDEX(CONSENSUS!$A$2:$BZ$20001,0,$B$12),$B115,INDEX(CONSENSUS!$A$2:$BZ$20001,0,$B$13),$B$5,INDEX(CONSENSUS!$A$2:$BZ$20001,0,$B$10),$F$13))</f>
        <v/>
      </c>
      <c r="Q145" s="21">
        <f>IF(OR($B115="",Q$27=""),0,SUMIFS(INDEX(CONSENSUS!$A$2:$BZ$20001,0,Q$27),INDEX(CONSENSUS!$A$2:$BZ$20001,0,$B$11),$B$1,INDEX(CONSENSUS!$A$2:$BZ$20001,0,$B$12),$B115,INDEX(CONSENSUS!$A$2:$BZ$20001,0,$B$13),$B$5,INDEX(CONSENSUS!$A$2:$BZ$20001,0,$B$10),$F$13))</f>
        <v/>
      </c>
      <c r="R145" s="21">
        <f>IF(OR($B115="",R$27=""),0,SUMIFS(INDEX(CONSENSUS!$A$2:$BZ$20001,0,R$27),INDEX(CONSENSUS!$A$2:$BZ$20001,0,$B$11),$B$1,INDEX(CONSENSUS!$A$2:$BZ$20001,0,$B$12),$B115,INDEX(CONSENSUS!$A$2:$BZ$20001,0,$B$13),$B$5,INDEX(CONSENSUS!$A$2:$BZ$20001,0,$B$10),$F$13))</f>
        <v/>
      </c>
      <c r="S145" s="21">
        <f>IF(OR($B115="",S$27=""),0,SUMIFS(INDEX(CONSENSUS!$A$2:$BZ$20001,0,S$27),INDEX(CONSENSUS!$A$2:$BZ$20001,0,$B$11),$B$1,INDEX(CONSENSUS!$A$2:$BZ$20001,0,$B$12),$B115,INDEX(CONSENSUS!$A$2:$BZ$20001,0,$B$13),$B$5,INDEX(CONSENSUS!$A$2:$BZ$20001,0,$B$10),$F$13))</f>
        <v/>
      </c>
      <c r="T145" s="21">
        <f>IF(OR($B115="",T$27=""),0,SUMIFS(INDEX(CONSENSUS!$A$2:$BZ$20001,0,T$27),INDEX(CONSENSUS!$A$2:$BZ$20001,0,$B$11),$B$1,INDEX(CONSENSUS!$A$2:$BZ$20001,0,$B$12),$B115,INDEX(CONSENSUS!$A$2:$BZ$20001,0,$B$13),$B$5,INDEX(CONSENSUS!$A$2:$BZ$20001,0,$B$10),$F$13))</f>
        <v/>
      </c>
      <c r="U145" s="21">
        <f>IF(OR($B115="",U$27=""),0,SUMIFS(INDEX(CONSENSUS!$A$2:$BZ$20001,0,U$27),INDEX(CONSENSUS!$A$2:$BZ$20001,0,$B$11),$B$1,INDEX(CONSENSUS!$A$2:$BZ$20001,0,$B$12),$B115,INDEX(CONSENSUS!$A$2:$BZ$20001,0,$B$13),$B$5,INDEX(CONSENSUS!$A$2:$BZ$20001,0,$B$10),$F$13))</f>
        <v/>
      </c>
      <c r="V145" s="21">
        <f>IF(OR($B115="",V$27=""),0,SUMIFS(INDEX(CONSENSUS!$A$2:$BZ$20001,0,V$27),INDEX(CONSENSUS!$A$2:$BZ$20001,0,$B$11),$B$1,INDEX(CONSENSUS!$A$2:$BZ$20001,0,$B$12),$B115,INDEX(CONSENSUS!$A$2:$BZ$20001,0,$B$13),$B$5,INDEX(CONSENSUS!$A$2:$BZ$20001,0,$B$10),$F$13))</f>
        <v/>
      </c>
      <c r="W145" s="21">
        <f>IF(OR($B115="",W$27=""),0,SUMIFS(INDEX(CONSENSUS!$A$2:$BZ$20001,0,W$27),INDEX(CONSENSUS!$A$2:$BZ$20001,0,$B$11),$B$1,INDEX(CONSENSUS!$A$2:$BZ$20001,0,$B$12),$B115,INDEX(CONSENSUS!$A$2:$BZ$20001,0,$B$13),$B$5,INDEX(CONSENSUS!$A$2:$BZ$20001,0,$B$10),$F$13))</f>
        <v/>
      </c>
      <c r="X145" s="21">
        <f>IF(OR($B115="",X$27=""),0,SUMIFS(INDEX(CONSENSUS!$A$2:$BZ$20001,0,X$27),INDEX(CONSENSUS!$A$2:$BZ$20001,0,$B$11),$B$1,INDEX(CONSENSUS!$A$2:$BZ$20001,0,$B$12),$B115,INDEX(CONSENSUS!$A$2:$BZ$20001,0,$B$13),$B$5,INDEX(CONSENSUS!$A$2:$BZ$20001,0,$B$10),$F$13))</f>
        <v/>
      </c>
      <c r="Y145" s="21">
        <f>IF(OR($B115="",Y$27=""),0,SUMIFS(INDEX(CONSENSUS!$A$2:$BZ$20001,0,Y$27),INDEX(CONSENSUS!$A$2:$BZ$20001,0,$B$11),$B$1,INDEX(CONSENSUS!$A$2:$BZ$20001,0,$B$12),$B115,INDEX(CONSENSUS!$A$2:$BZ$20001,0,$B$13),$B$5,INDEX(CONSENSUS!$A$2:$BZ$20001,0,$B$10),$F$13))</f>
        <v/>
      </c>
      <c r="Z145" s="21">
        <f>IF(OR($B115="",Z$27=""),0,SUMIFS(INDEX(CONSENSUS!$A$2:$BZ$20001,0,Z$27),INDEX(CONSENSUS!$A$2:$BZ$20001,0,$B$11),$B$1,INDEX(CONSENSUS!$A$2:$BZ$20001,0,$B$12),$B115,INDEX(CONSENSUS!$A$2:$BZ$20001,0,$B$13),$B$5,INDEX(CONSENSUS!$A$2:$BZ$20001,0,$B$10),$F$13))</f>
        <v/>
      </c>
      <c r="AA145" s="21">
        <f>IF(OR($B115="",AA$27=""),0,SUMIFS(INDEX(CONSENSUS!$A$2:$BZ$20001,0,AA$27),INDEX(CONSENSUS!$A$2:$BZ$20001,0,$B$11),$B$1,INDEX(CONSENSUS!$A$2:$BZ$20001,0,$B$12),$B115,INDEX(CONSENSUS!$A$2:$BZ$20001,0,$B$13),$B$5,INDEX(CONSENSUS!$A$2:$BZ$20001,0,$B$10),$F$13))</f>
        <v/>
      </c>
      <c r="AB145" s="21">
        <f>IF(OR($B115="",AB$27=""),0,SUMIFS(INDEX(CONSENSUS!$A$2:$BZ$20001,0,AB$27),INDEX(CONSENSUS!$A$2:$BZ$20001,0,$B$11),$B$1,INDEX(CONSENSUS!$A$2:$BZ$20001,0,$B$12),$B115,INDEX(CONSENSUS!$A$2:$BZ$20001,0,$B$13),$B$5,INDEX(CONSENSUS!$A$2:$BZ$20001,0,$B$10),$F$13))</f>
        <v/>
      </c>
      <c r="AC145" s="21">
        <f>IF(OR($B115="",AC$27=""),0,SUMIFS(INDEX(CONSENSUS!$A$2:$BZ$20001,0,AC$27),INDEX(CONSENSUS!$A$2:$BZ$20001,0,$B$11),$B$1,INDEX(CONSENSUS!$A$2:$BZ$20001,0,$B$12),$B115,INDEX(CONSENSUS!$A$2:$BZ$20001,0,$B$13),$B$5,INDEX(CONSENSUS!$A$2:$BZ$20001,0,$B$10),$F$13))</f>
        <v/>
      </c>
      <c r="AD145" s="21">
        <f>IF(OR($B115="",AD$27=""),0,SUMIFS(INDEX(CONSENSUS!$A$2:$BZ$20001,0,AD$27),INDEX(CONSENSUS!$A$2:$BZ$20001,0,$B$11),$B$1,INDEX(CONSENSUS!$A$2:$BZ$20001,0,$B$12),$B115,INDEX(CONSENSUS!$A$2:$BZ$20001,0,$B$13),$B$5,INDEX(CONSENSUS!$A$2:$BZ$20001,0,$B$10),$F$13))</f>
        <v/>
      </c>
      <c r="AE145" s="21">
        <f>IF(OR($B115="",AE$27=""),0,SUMIFS(INDEX(CONSENSUS!$A$2:$BZ$20001,0,AE$27),INDEX(CONSENSUS!$A$2:$BZ$20001,0,$B$11),$B$1,INDEX(CONSENSUS!$A$2:$BZ$20001,0,$B$12),$B115,INDEX(CONSENSUS!$A$2:$BZ$20001,0,$B$13),$B$5,INDEX(CONSENSUS!$A$2:$BZ$20001,0,$B$10),$F$13))</f>
        <v/>
      </c>
      <c r="AF145" s="21">
        <f>IF(OR($B115="",AF$27=""),0,SUMIFS(INDEX(CONSENSUS!$A$2:$BZ$20001,0,AF$27),INDEX(CONSENSUS!$A$2:$BZ$20001,0,$B$11),$B$1,INDEX(CONSENSUS!$A$2:$BZ$20001,0,$B$12),$B115,INDEX(CONSENSUS!$A$2:$BZ$20001,0,$B$13),$B$5,INDEX(CONSENSUS!$A$2:$BZ$20001,0,$B$10),$F$13))</f>
        <v/>
      </c>
      <c r="AG145" s="21">
        <f>IF(OR($B115="",AG$27=""),0,SUMIFS(INDEX(CONSENSUS!$A$2:$BZ$20001,0,AG$27),INDEX(CONSENSUS!$A$2:$BZ$20001,0,$B$11),$B$1,INDEX(CONSENSUS!$A$2:$BZ$20001,0,$B$12),$B115,INDEX(CONSENSUS!$A$2:$BZ$20001,0,$B$13),$B$5,INDEX(CONSENSUS!$A$2:$BZ$20001,0,$B$10),$F$13))</f>
        <v/>
      </c>
      <c r="AH145" s="21">
        <f>IF(OR($B115="",AH$27=""),0,SUMIFS(INDEX(CONSENSUS!$A$2:$BZ$20001,0,AH$27),INDEX(CONSENSUS!$A$2:$BZ$20001,0,$B$11),$B$1,INDEX(CONSENSUS!$A$2:$BZ$20001,0,$B$12),$B115,INDEX(CONSENSUS!$A$2:$BZ$20001,0,$B$13),$B$5,INDEX(CONSENSUS!$A$2:$BZ$20001,0,$B$10),$F$13))</f>
        <v/>
      </c>
      <c r="AI145" s="21">
        <f>IF(OR($B115="",AI$27=""),0,SUMIFS(INDEX(CONSENSUS!$A$2:$BZ$20001,0,AI$27),INDEX(CONSENSUS!$A$2:$BZ$20001,0,$B$11),$B$1,INDEX(CONSENSUS!$A$2:$BZ$20001,0,$B$12),$B115,INDEX(CONSENSUS!$A$2:$BZ$20001,0,$B$13),$B$5,INDEX(CONSENSUS!$A$2:$BZ$20001,0,$B$10),$F$13))</f>
        <v/>
      </c>
      <c r="AJ145" s="21">
        <f>IF(OR($B115="",AJ$27=""),0,SUMIFS(INDEX(CONSENSUS!$A$2:$BZ$20001,0,AJ$27),INDEX(CONSENSUS!$A$2:$BZ$20001,0,$B$11),$B$1,INDEX(CONSENSUS!$A$2:$BZ$20001,0,$B$12),$B115,INDEX(CONSENSUS!$A$2:$BZ$20001,0,$B$13),$B$5,INDEX(CONSENSUS!$A$2:$BZ$20001,0,$B$10),$F$13))</f>
        <v/>
      </c>
      <c r="AK145" s="21">
        <f>IF(OR($B115="",AK$27=""),0,SUMIFS(INDEX(CONSENSUS!$A$2:$BZ$20001,0,AK$27),INDEX(CONSENSUS!$A$2:$BZ$20001,0,$B$11),$B$1,INDEX(CONSENSUS!$A$2:$BZ$20001,0,$B$12),$B115,INDEX(CONSENSUS!$A$2:$BZ$20001,0,$B$13),$B$5,INDEX(CONSENSUS!$A$2:$BZ$20001,0,$B$10),$F$13))</f>
        <v/>
      </c>
      <c r="AL145" s="21">
        <f>IF(OR($B115="",AL$27=""),0,SUMIFS(INDEX(CONSENSUS!$A$2:$BZ$20001,0,AL$27),INDEX(CONSENSUS!$A$2:$BZ$20001,0,$B$11),$B$1,INDEX(CONSENSUS!$A$2:$BZ$20001,0,$B$12),$B115,INDEX(CONSENSUS!$A$2:$BZ$20001,0,$B$13),$B$5,INDEX(CONSENSUS!$A$2:$BZ$20001,0,$B$10),$F$13))</f>
        <v/>
      </c>
      <c r="AM145" s="21">
        <f>IF(OR($B115="",AM$27=""),0,SUMIFS(INDEX(CONSENSUS!$A$2:$BZ$20001,0,AM$27),INDEX(CONSENSUS!$A$2:$BZ$20001,0,$B$11),$B$1,INDEX(CONSENSUS!$A$2:$BZ$20001,0,$B$12),$B115,INDEX(CONSENSUS!$A$2:$BZ$20001,0,$B$13),$B$5,INDEX(CONSENSUS!$A$2:$BZ$20001,0,$B$10),$F$13))</f>
        <v/>
      </c>
    </row>
    <row r="146">
      <c r="A146" s="23">
        <f>IF($B116="","Consensus original","Consensus original | "&amp;$B116)</f>
        <v/>
      </c>
      <c r="D146" s="21">
        <f>IF(OR($B116="",D$27=""),0,SUMIFS(INDEX(CONSENSUS!$A$2:$BZ$20001,0,D$27),INDEX(CONSENSUS!$A$2:$BZ$20001,0,$B$11),$B$1,INDEX(CONSENSUS!$A$2:$BZ$20001,0,$B$12),$B116,INDEX(CONSENSUS!$A$2:$BZ$20001,0,$B$13),$B$5,INDEX(CONSENSUS!$A$2:$BZ$20001,0,$B$10),$F$13))</f>
        <v/>
      </c>
      <c r="E146" s="21">
        <f>IF(OR($B116="",E$27=""),0,SUMIFS(INDEX(CONSENSUS!$A$2:$BZ$20001,0,E$27),INDEX(CONSENSUS!$A$2:$BZ$20001,0,$B$11),$B$1,INDEX(CONSENSUS!$A$2:$BZ$20001,0,$B$12),$B116,INDEX(CONSENSUS!$A$2:$BZ$20001,0,$B$13),$B$5,INDEX(CONSENSUS!$A$2:$BZ$20001,0,$B$10),$F$13))</f>
        <v/>
      </c>
      <c r="F146" s="21">
        <f>IF(OR($B116="",F$27=""),0,SUMIFS(INDEX(CONSENSUS!$A$2:$BZ$20001,0,F$27),INDEX(CONSENSUS!$A$2:$BZ$20001,0,$B$11),$B$1,INDEX(CONSENSUS!$A$2:$BZ$20001,0,$B$12),$B116,INDEX(CONSENSUS!$A$2:$BZ$20001,0,$B$13),$B$5,INDEX(CONSENSUS!$A$2:$BZ$20001,0,$B$10),$F$13))</f>
        <v/>
      </c>
      <c r="G146" s="21">
        <f>IF(OR($B116="",G$27=""),0,SUMIFS(INDEX(CONSENSUS!$A$2:$BZ$20001,0,G$27),INDEX(CONSENSUS!$A$2:$BZ$20001,0,$B$11),$B$1,INDEX(CONSENSUS!$A$2:$BZ$20001,0,$B$12),$B116,INDEX(CONSENSUS!$A$2:$BZ$20001,0,$B$13),$B$5,INDEX(CONSENSUS!$A$2:$BZ$20001,0,$B$10),$F$13))</f>
        <v/>
      </c>
      <c r="H146" s="21">
        <f>IF(OR($B116="",H$27=""),0,SUMIFS(INDEX(CONSENSUS!$A$2:$BZ$20001,0,H$27),INDEX(CONSENSUS!$A$2:$BZ$20001,0,$B$11),$B$1,INDEX(CONSENSUS!$A$2:$BZ$20001,0,$B$12),$B116,INDEX(CONSENSUS!$A$2:$BZ$20001,0,$B$13),$B$5,INDEX(CONSENSUS!$A$2:$BZ$20001,0,$B$10),$F$13))</f>
        <v/>
      </c>
      <c r="I146" s="21">
        <f>IF(OR($B116="",I$27=""),0,SUMIFS(INDEX(CONSENSUS!$A$2:$BZ$20001,0,I$27),INDEX(CONSENSUS!$A$2:$BZ$20001,0,$B$11),$B$1,INDEX(CONSENSUS!$A$2:$BZ$20001,0,$B$12),$B116,INDEX(CONSENSUS!$A$2:$BZ$20001,0,$B$13),$B$5,INDEX(CONSENSUS!$A$2:$BZ$20001,0,$B$10),$F$13))</f>
        <v/>
      </c>
      <c r="J146" s="21">
        <f>IF(OR($B116="",J$27=""),0,SUMIFS(INDEX(CONSENSUS!$A$2:$BZ$20001,0,J$27),INDEX(CONSENSUS!$A$2:$BZ$20001,0,$B$11),$B$1,INDEX(CONSENSUS!$A$2:$BZ$20001,0,$B$12),$B116,INDEX(CONSENSUS!$A$2:$BZ$20001,0,$B$13),$B$5,INDEX(CONSENSUS!$A$2:$BZ$20001,0,$B$10),$F$13))</f>
        <v/>
      </c>
      <c r="K146" s="21">
        <f>IF(OR($B116="",K$27=""),0,SUMIFS(INDEX(CONSENSUS!$A$2:$BZ$20001,0,K$27),INDEX(CONSENSUS!$A$2:$BZ$20001,0,$B$11),$B$1,INDEX(CONSENSUS!$A$2:$BZ$20001,0,$B$12),$B116,INDEX(CONSENSUS!$A$2:$BZ$20001,0,$B$13),$B$5,INDEX(CONSENSUS!$A$2:$BZ$20001,0,$B$10),$F$13))</f>
        <v/>
      </c>
      <c r="L146" s="21">
        <f>IF(OR($B116="",L$27=""),0,SUMIFS(INDEX(CONSENSUS!$A$2:$BZ$20001,0,L$27),INDEX(CONSENSUS!$A$2:$BZ$20001,0,$B$11),$B$1,INDEX(CONSENSUS!$A$2:$BZ$20001,0,$B$12),$B116,INDEX(CONSENSUS!$A$2:$BZ$20001,0,$B$13),$B$5,INDEX(CONSENSUS!$A$2:$BZ$20001,0,$B$10),$F$13))</f>
        <v/>
      </c>
      <c r="M146" s="21">
        <f>IF(OR($B116="",M$27=""),0,SUMIFS(INDEX(CONSENSUS!$A$2:$BZ$20001,0,M$27),INDEX(CONSENSUS!$A$2:$BZ$20001,0,$B$11),$B$1,INDEX(CONSENSUS!$A$2:$BZ$20001,0,$B$12),$B116,INDEX(CONSENSUS!$A$2:$BZ$20001,0,$B$13),$B$5,INDEX(CONSENSUS!$A$2:$BZ$20001,0,$B$10),$F$13))</f>
        <v/>
      </c>
      <c r="N146" s="21">
        <f>IF(OR($B116="",N$27=""),0,SUMIFS(INDEX(CONSENSUS!$A$2:$BZ$20001,0,N$27),INDEX(CONSENSUS!$A$2:$BZ$20001,0,$B$11),$B$1,INDEX(CONSENSUS!$A$2:$BZ$20001,0,$B$12),$B116,INDEX(CONSENSUS!$A$2:$BZ$20001,0,$B$13),$B$5,INDEX(CONSENSUS!$A$2:$BZ$20001,0,$B$10),$F$13))</f>
        <v/>
      </c>
      <c r="O146" s="21">
        <f>IF(OR($B116="",O$27=""),0,SUMIFS(INDEX(CONSENSUS!$A$2:$BZ$20001,0,O$27),INDEX(CONSENSUS!$A$2:$BZ$20001,0,$B$11),$B$1,INDEX(CONSENSUS!$A$2:$BZ$20001,0,$B$12),$B116,INDEX(CONSENSUS!$A$2:$BZ$20001,0,$B$13),$B$5,INDEX(CONSENSUS!$A$2:$BZ$20001,0,$B$10),$F$13))</f>
        <v/>
      </c>
      <c r="P146" s="21">
        <f>IF(OR($B116="",P$27=""),0,SUMIFS(INDEX(CONSENSUS!$A$2:$BZ$20001,0,P$27),INDEX(CONSENSUS!$A$2:$BZ$20001,0,$B$11),$B$1,INDEX(CONSENSUS!$A$2:$BZ$20001,0,$B$12),$B116,INDEX(CONSENSUS!$A$2:$BZ$20001,0,$B$13),$B$5,INDEX(CONSENSUS!$A$2:$BZ$20001,0,$B$10),$F$13))</f>
        <v/>
      </c>
      <c r="Q146" s="21">
        <f>IF(OR($B116="",Q$27=""),0,SUMIFS(INDEX(CONSENSUS!$A$2:$BZ$20001,0,Q$27),INDEX(CONSENSUS!$A$2:$BZ$20001,0,$B$11),$B$1,INDEX(CONSENSUS!$A$2:$BZ$20001,0,$B$12),$B116,INDEX(CONSENSUS!$A$2:$BZ$20001,0,$B$13),$B$5,INDEX(CONSENSUS!$A$2:$BZ$20001,0,$B$10),$F$13))</f>
        <v/>
      </c>
      <c r="R146" s="21">
        <f>IF(OR($B116="",R$27=""),0,SUMIFS(INDEX(CONSENSUS!$A$2:$BZ$20001,0,R$27),INDEX(CONSENSUS!$A$2:$BZ$20001,0,$B$11),$B$1,INDEX(CONSENSUS!$A$2:$BZ$20001,0,$B$12),$B116,INDEX(CONSENSUS!$A$2:$BZ$20001,0,$B$13),$B$5,INDEX(CONSENSUS!$A$2:$BZ$20001,0,$B$10),$F$13))</f>
        <v/>
      </c>
      <c r="S146" s="21">
        <f>IF(OR($B116="",S$27=""),0,SUMIFS(INDEX(CONSENSUS!$A$2:$BZ$20001,0,S$27),INDEX(CONSENSUS!$A$2:$BZ$20001,0,$B$11),$B$1,INDEX(CONSENSUS!$A$2:$BZ$20001,0,$B$12),$B116,INDEX(CONSENSUS!$A$2:$BZ$20001,0,$B$13),$B$5,INDEX(CONSENSUS!$A$2:$BZ$20001,0,$B$10),$F$13))</f>
        <v/>
      </c>
      <c r="T146" s="21">
        <f>IF(OR($B116="",T$27=""),0,SUMIFS(INDEX(CONSENSUS!$A$2:$BZ$20001,0,T$27),INDEX(CONSENSUS!$A$2:$BZ$20001,0,$B$11),$B$1,INDEX(CONSENSUS!$A$2:$BZ$20001,0,$B$12),$B116,INDEX(CONSENSUS!$A$2:$BZ$20001,0,$B$13),$B$5,INDEX(CONSENSUS!$A$2:$BZ$20001,0,$B$10),$F$13))</f>
        <v/>
      </c>
      <c r="U146" s="21">
        <f>IF(OR($B116="",U$27=""),0,SUMIFS(INDEX(CONSENSUS!$A$2:$BZ$20001,0,U$27),INDEX(CONSENSUS!$A$2:$BZ$20001,0,$B$11),$B$1,INDEX(CONSENSUS!$A$2:$BZ$20001,0,$B$12),$B116,INDEX(CONSENSUS!$A$2:$BZ$20001,0,$B$13),$B$5,INDEX(CONSENSUS!$A$2:$BZ$20001,0,$B$10),$F$13))</f>
        <v/>
      </c>
      <c r="V146" s="21">
        <f>IF(OR($B116="",V$27=""),0,SUMIFS(INDEX(CONSENSUS!$A$2:$BZ$20001,0,V$27),INDEX(CONSENSUS!$A$2:$BZ$20001,0,$B$11),$B$1,INDEX(CONSENSUS!$A$2:$BZ$20001,0,$B$12),$B116,INDEX(CONSENSUS!$A$2:$BZ$20001,0,$B$13),$B$5,INDEX(CONSENSUS!$A$2:$BZ$20001,0,$B$10),$F$13))</f>
        <v/>
      </c>
      <c r="W146" s="21">
        <f>IF(OR($B116="",W$27=""),0,SUMIFS(INDEX(CONSENSUS!$A$2:$BZ$20001,0,W$27),INDEX(CONSENSUS!$A$2:$BZ$20001,0,$B$11),$B$1,INDEX(CONSENSUS!$A$2:$BZ$20001,0,$B$12),$B116,INDEX(CONSENSUS!$A$2:$BZ$20001,0,$B$13),$B$5,INDEX(CONSENSUS!$A$2:$BZ$20001,0,$B$10),$F$13))</f>
        <v/>
      </c>
      <c r="X146" s="21">
        <f>IF(OR($B116="",X$27=""),0,SUMIFS(INDEX(CONSENSUS!$A$2:$BZ$20001,0,X$27),INDEX(CONSENSUS!$A$2:$BZ$20001,0,$B$11),$B$1,INDEX(CONSENSUS!$A$2:$BZ$20001,0,$B$12),$B116,INDEX(CONSENSUS!$A$2:$BZ$20001,0,$B$13),$B$5,INDEX(CONSENSUS!$A$2:$BZ$20001,0,$B$10),$F$13))</f>
        <v/>
      </c>
      <c r="Y146" s="21">
        <f>IF(OR($B116="",Y$27=""),0,SUMIFS(INDEX(CONSENSUS!$A$2:$BZ$20001,0,Y$27),INDEX(CONSENSUS!$A$2:$BZ$20001,0,$B$11),$B$1,INDEX(CONSENSUS!$A$2:$BZ$20001,0,$B$12),$B116,INDEX(CONSENSUS!$A$2:$BZ$20001,0,$B$13),$B$5,INDEX(CONSENSUS!$A$2:$BZ$20001,0,$B$10),$F$13))</f>
        <v/>
      </c>
      <c r="Z146" s="21">
        <f>IF(OR($B116="",Z$27=""),0,SUMIFS(INDEX(CONSENSUS!$A$2:$BZ$20001,0,Z$27),INDEX(CONSENSUS!$A$2:$BZ$20001,0,$B$11),$B$1,INDEX(CONSENSUS!$A$2:$BZ$20001,0,$B$12),$B116,INDEX(CONSENSUS!$A$2:$BZ$20001,0,$B$13),$B$5,INDEX(CONSENSUS!$A$2:$BZ$20001,0,$B$10),$F$13))</f>
        <v/>
      </c>
      <c r="AA146" s="21">
        <f>IF(OR($B116="",AA$27=""),0,SUMIFS(INDEX(CONSENSUS!$A$2:$BZ$20001,0,AA$27),INDEX(CONSENSUS!$A$2:$BZ$20001,0,$B$11),$B$1,INDEX(CONSENSUS!$A$2:$BZ$20001,0,$B$12),$B116,INDEX(CONSENSUS!$A$2:$BZ$20001,0,$B$13),$B$5,INDEX(CONSENSUS!$A$2:$BZ$20001,0,$B$10),$F$13))</f>
        <v/>
      </c>
      <c r="AB146" s="21">
        <f>IF(OR($B116="",AB$27=""),0,SUMIFS(INDEX(CONSENSUS!$A$2:$BZ$20001,0,AB$27),INDEX(CONSENSUS!$A$2:$BZ$20001,0,$B$11),$B$1,INDEX(CONSENSUS!$A$2:$BZ$20001,0,$B$12),$B116,INDEX(CONSENSUS!$A$2:$BZ$20001,0,$B$13),$B$5,INDEX(CONSENSUS!$A$2:$BZ$20001,0,$B$10),$F$13))</f>
        <v/>
      </c>
      <c r="AC146" s="21">
        <f>IF(OR($B116="",AC$27=""),0,SUMIFS(INDEX(CONSENSUS!$A$2:$BZ$20001,0,AC$27),INDEX(CONSENSUS!$A$2:$BZ$20001,0,$B$11),$B$1,INDEX(CONSENSUS!$A$2:$BZ$20001,0,$B$12),$B116,INDEX(CONSENSUS!$A$2:$BZ$20001,0,$B$13),$B$5,INDEX(CONSENSUS!$A$2:$BZ$20001,0,$B$10),$F$13))</f>
        <v/>
      </c>
      <c r="AD146" s="21">
        <f>IF(OR($B116="",AD$27=""),0,SUMIFS(INDEX(CONSENSUS!$A$2:$BZ$20001,0,AD$27),INDEX(CONSENSUS!$A$2:$BZ$20001,0,$B$11),$B$1,INDEX(CONSENSUS!$A$2:$BZ$20001,0,$B$12),$B116,INDEX(CONSENSUS!$A$2:$BZ$20001,0,$B$13),$B$5,INDEX(CONSENSUS!$A$2:$BZ$20001,0,$B$10),$F$13))</f>
        <v/>
      </c>
      <c r="AE146" s="21">
        <f>IF(OR($B116="",AE$27=""),0,SUMIFS(INDEX(CONSENSUS!$A$2:$BZ$20001,0,AE$27),INDEX(CONSENSUS!$A$2:$BZ$20001,0,$B$11),$B$1,INDEX(CONSENSUS!$A$2:$BZ$20001,0,$B$12),$B116,INDEX(CONSENSUS!$A$2:$BZ$20001,0,$B$13),$B$5,INDEX(CONSENSUS!$A$2:$BZ$20001,0,$B$10),$F$13))</f>
        <v/>
      </c>
      <c r="AF146" s="21">
        <f>IF(OR($B116="",AF$27=""),0,SUMIFS(INDEX(CONSENSUS!$A$2:$BZ$20001,0,AF$27),INDEX(CONSENSUS!$A$2:$BZ$20001,0,$B$11),$B$1,INDEX(CONSENSUS!$A$2:$BZ$20001,0,$B$12),$B116,INDEX(CONSENSUS!$A$2:$BZ$20001,0,$B$13),$B$5,INDEX(CONSENSUS!$A$2:$BZ$20001,0,$B$10),$F$13))</f>
        <v/>
      </c>
      <c r="AG146" s="21">
        <f>IF(OR($B116="",AG$27=""),0,SUMIFS(INDEX(CONSENSUS!$A$2:$BZ$20001,0,AG$27),INDEX(CONSENSUS!$A$2:$BZ$20001,0,$B$11),$B$1,INDEX(CONSENSUS!$A$2:$BZ$20001,0,$B$12),$B116,INDEX(CONSENSUS!$A$2:$BZ$20001,0,$B$13),$B$5,INDEX(CONSENSUS!$A$2:$BZ$20001,0,$B$10),$F$13))</f>
        <v/>
      </c>
      <c r="AH146" s="21">
        <f>IF(OR($B116="",AH$27=""),0,SUMIFS(INDEX(CONSENSUS!$A$2:$BZ$20001,0,AH$27),INDEX(CONSENSUS!$A$2:$BZ$20001,0,$B$11),$B$1,INDEX(CONSENSUS!$A$2:$BZ$20001,0,$B$12),$B116,INDEX(CONSENSUS!$A$2:$BZ$20001,0,$B$13),$B$5,INDEX(CONSENSUS!$A$2:$BZ$20001,0,$B$10),$F$13))</f>
        <v/>
      </c>
      <c r="AI146" s="21">
        <f>IF(OR($B116="",AI$27=""),0,SUMIFS(INDEX(CONSENSUS!$A$2:$BZ$20001,0,AI$27),INDEX(CONSENSUS!$A$2:$BZ$20001,0,$B$11),$B$1,INDEX(CONSENSUS!$A$2:$BZ$20001,0,$B$12),$B116,INDEX(CONSENSUS!$A$2:$BZ$20001,0,$B$13),$B$5,INDEX(CONSENSUS!$A$2:$BZ$20001,0,$B$10),$F$13))</f>
        <v/>
      </c>
      <c r="AJ146" s="21">
        <f>IF(OR($B116="",AJ$27=""),0,SUMIFS(INDEX(CONSENSUS!$A$2:$BZ$20001,0,AJ$27),INDEX(CONSENSUS!$A$2:$BZ$20001,0,$B$11),$B$1,INDEX(CONSENSUS!$A$2:$BZ$20001,0,$B$12),$B116,INDEX(CONSENSUS!$A$2:$BZ$20001,0,$B$13),$B$5,INDEX(CONSENSUS!$A$2:$BZ$20001,0,$B$10),$F$13))</f>
        <v/>
      </c>
      <c r="AK146" s="21">
        <f>IF(OR($B116="",AK$27=""),0,SUMIFS(INDEX(CONSENSUS!$A$2:$BZ$20001,0,AK$27),INDEX(CONSENSUS!$A$2:$BZ$20001,0,$B$11),$B$1,INDEX(CONSENSUS!$A$2:$BZ$20001,0,$B$12),$B116,INDEX(CONSENSUS!$A$2:$BZ$20001,0,$B$13),$B$5,INDEX(CONSENSUS!$A$2:$BZ$20001,0,$B$10),$F$13))</f>
        <v/>
      </c>
      <c r="AL146" s="21">
        <f>IF(OR($B116="",AL$27=""),0,SUMIFS(INDEX(CONSENSUS!$A$2:$BZ$20001,0,AL$27),INDEX(CONSENSUS!$A$2:$BZ$20001,0,$B$11),$B$1,INDEX(CONSENSUS!$A$2:$BZ$20001,0,$B$12),$B116,INDEX(CONSENSUS!$A$2:$BZ$20001,0,$B$13),$B$5,INDEX(CONSENSUS!$A$2:$BZ$20001,0,$B$10),$F$13))</f>
        <v/>
      </c>
      <c r="AM146" s="21">
        <f>IF(OR($B116="",AM$27=""),0,SUMIFS(INDEX(CONSENSUS!$A$2:$BZ$20001,0,AM$27),INDEX(CONSENSUS!$A$2:$BZ$20001,0,$B$11),$B$1,INDEX(CONSENSUS!$A$2:$BZ$20001,0,$B$12),$B116,INDEX(CONSENSUS!$A$2:$BZ$20001,0,$B$13),$B$5,INDEX(CONSENSUS!$A$2:$BZ$20001,0,$B$10),$F$13))</f>
        <v/>
      </c>
    </row>
    <row r="147">
      <c r="A147" s="23">
        <f>IF($B117="","Consensus original","Consensus original | "&amp;$B117)</f>
        <v/>
      </c>
      <c r="D147" s="21">
        <f>IF(OR($B117="",D$27=""),0,SUMIFS(INDEX(CONSENSUS!$A$2:$BZ$20001,0,D$27),INDEX(CONSENSUS!$A$2:$BZ$20001,0,$B$11),$B$1,INDEX(CONSENSUS!$A$2:$BZ$20001,0,$B$12),$B117,INDEX(CONSENSUS!$A$2:$BZ$20001,0,$B$13),$B$5,INDEX(CONSENSUS!$A$2:$BZ$20001,0,$B$10),$F$13))</f>
        <v/>
      </c>
      <c r="E147" s="21">
        <f>IF(OR($B117="",E$27=""),0,SUMIFS(INDEX(CONSENSUS!$A$2:$BZ$20001,0,E$27),INDEX(CONSENSUS!$A$2:$BZ$20001,0,$B$11),$B$1,INDEX(CONSENSUS!$A$2:$BZ$20001,0,$B$12),$B117,INDEX(CONSENSUS!$A$2:$BZ$20001,0,$B$13),$B$5,INDEX(CONSENSUS!$A$2:$BZ$20001,0,$B$10),$F$13))</f>
        <v/>
      </c>
      <c r="F147" s="21">
        <f>IF(OR($B117="",F$27=""),0,SUMIFS(INDEX(CONSENSUS!$A$2:$BZ$20001,0,F$27),INDEX(CONSENSUS!$A$2:$BZ$20001,0,$B$11),$B$1,INDEX(CONSENSUS!$A$2:$BZ$20001,0,$B$12),$B117,INDEX(CONSENSUS!$A$2:$BZ$20001,0,$B$13),$B$5,INDEX(CONSENSUS!$A$2:$BZ$20001,0,$B$10),$F$13))</f>
        <v/>
      </c>
      <c r="G147" s="21">
        <f>IF(OR($B117="",G$27=""),0,SUMIFS(INDEX(CONSENSUS!$A$2:$BZ$20001,0,G$27),INDEX(CONSENSUS!$A$2:$BZ$20001,0,$B$11),$B$1,INDEX(CONSENSUS!$A$2:$BZ$20001,0,$B$12),$B117,INDEX(CONSENSUS!$A$2:$BZ$20001,0,$B$13),$B$5,INDEX(CONSENSUS!$A$2:$BZ$20001,0,$B$10),$F$13))</f>
        <v/>
      </c>
      <c r="H147" s="21">
        <f>IF(OR($B117="",H$27=""),0,SUMIFS(INDEX(CONSENSUS!$A$2:$BZ$20001,0,H$27),INDEX(CONSENSUS!$A$2:$BZ$20001,0,$B$11),$B$1,INDEX(CONSENSUS!$A$2:$BZ$20001,0,$B$12),$B117,INDEX(CONSENSUS!$A$2:$BZ$20001,0,$B$13),$B$5,INDEX(CONSENSUS!$A$2:$BZ$20001,0,$B$10),$F$13))</f>
        <v/>
      </c>
      <c r="I147" s="21">
        <f>IF(OR($B117="",I$27=""),0,SUMIFS(INDEX(CONSENSUS!$A$2:$BZ$20001,0,I$27),INDEX(CONSENSUS!$A$2:$BZ$20001,0,$B$11),$B$1,INDEX(CONSENSUS!$A$2:$BZ$20001,0,$B$12),$B117,INDEX(CONSENSUS!$A$2:$BZ$20001,0,$B$13),$B$5,INDEX(CONSENSUS!$A$2:$BZ$20001,0,$B$10),$F$13))</f>
        <v/>
      </c>
      <c r="J147" s="21">
        <f>IF(OR($B117="",J$27=""),0,SUMIFS(INDEX(CONSENSUS!$A$2:$BZ$20001,0,J$27),INDEX(CONSENSUS!$A$2:$BZ$20001,0,$B$11),$B$1,INDEX(CONSENSUS!$A$2:$BZ$20001,0,$B$12),$B117,INDEX(CONSENSUS!$A$2:$BZ$20001,0,$B$13),$B$5,INDEX(CONSENSUS!$A$2:$BZ$20001,0,$B$10),$F$13))</f>
        <v/>
      </c>
      <c r="K147" s="21">
        <f>IF(OR($B117="",K$27=""),0,SUMIFS(INDEX(CONSENSUS!$A$2:$BZ$20001,0,K$27),INDEX(CONSENSUS!$A$2:$BZ$20001,0,$B$11),$B$1,INDEX(CONSENSUS!$A$2:$BZ$20001,0,$B$12),$B117,INDEX(CONSENSUS!$A$2:$BZ$20001,0,$B$13),$B$5,INDEX(CONSENSUS!$A$2:$BZ$20001,0,$B$10),$F$13))</f>
        <v/>
      </c>
      <c r="L147" s="21">
        <f>IF(OR($B117="",L$27=""),0,SUMIFS(INDEX(CONSENSUS!$A$2:$BZ$20001,0,L$27),INDEX(CONSENSUS!$A$2:$BZ$20001,0,$B$11),$B$1,INDEX(CONSENSUS!$A$2:$BZ$20001,0,$B$12),$B117,INDEX(CONSENSUS!$A$2:$BZ$20001,0,$B$13),$B$5,INDEX(CONSENSUS!$A$2:$BZ$20001,0,$B$10),$F$13))</f>
        <v/>
      </c>
      <c r="M147" s="21">
        <f>IF(OR($B117="",M$27=""),0,SUMIFS(INDEX(CONSENSUS!$A$2:$BZ$20001,0,M$27),INDEX(CONSENSUS!$A$2:$BZ$20001,0,$B$11),$B$1,INDEX(CONSENSUS!$A$2:$BZ$20001,0,$B$12),$B117,INDEX(CONSENSUS!$A$2:$BZ$20001,0,$B$13),$B$5,INDEX(CONSENSUS!$A$2:$BZ$20001,0,$B$10),$F$13))</f>
        <v/>
      </c>
      <c r="N147" s="21">
        <f>IF(OR($B117="",N$27=""),0,SUMIFS(INDEX(CONSENSUS!$A$2:$BZ$20001,0,N$27),INDEX(CONSENSUS!$A$2:$BZ$20001,0,$B$11),$B$1,INDEX(CONSENSUS!$A$2:$BZ$20001,0,$B$12),$B117,INDEX(CONSENSUS!$A$2:$BZ$20001,0,$B$13),$B$5,INDEX(CONSENSUS!$A$2:$BZ$20001,0,$B$10),$F$13))</f>
        <v/>
      </c>
      <c r="O147" s="21">
        <f>IF(OR($B117="",O$27=""),0,SUMIFS(INDEX(CONSENSUS!$A$2:$BZ$20001,0,O$27),INDEX(CONSENSUS!$A$2:$BZ$20001,0,$B$11),$B$1,INDEX(CONSENSUS!$A$2:$BZ$20001,0,$B$12),$B117,INDEX(CONSENSUS!$A$2:$BZ$20001,0,$B$13),$B$5,INDEX(CONSENSUS!$A$2:$BZ$20001,0,$B$10),$F$13))</f>
        <v/>
      </c>
      <c r="P147" s="21">
        <f>IF(OR($B117="",P$27=""),0,SUMIFS(INDEX(CONSENSUS!$A$2:$BZ$20001,0,P$27),INDEX(CONSENSUS!$A$2:$BZ$20001,0,$B$11),$B$1,INDEX(CONSENSUS!$A$2:$BZ$20001,0,$B$12),$B117,INDEX(CONSENSUS!$A$2:$BZ$20001,0,$B$13),$B$5,INDEX(CONSENSUS!$A$2:$BZ$20001,0,$B$10),$F$13))</f>
        <v/>
      </c>
      <c r="Q147" s="21">
        <f>IF(OR($B117="",Q$27=""),0,SUMIFS(INDEX(CONSENSUS!$A$2:$BZ$20001,0,Q$27),INDEX(CONSENSUS!$A$2:$BZ$20001,0,$B$11),$B$1,INDEX(CONSENSUS!$A$2:$BZ$20001,0,$B$12),$B117,INDEX(CONSENSUS!$A$2:$BZ$20001,0,$B$13),$B$5,INDEX(CONSENSUS!$A$2:$BZ$20001,0,$B$10),$F$13))</f>
        <v/>
      </c>
      <c r="R147" s="21">
        <f>IF(OR($B117="",R$27=""),0,SUMIFS(INDEX(CONSENSUS!$A$2:$BZ$20001,0,R$27),INDEX(CONSENSUS!$A$2:$BZ$20001,0,$B$11),$B$1,INDEX(CONSENSUS!$A$2:$BZ$20001,0,$B$12),$B117,INDEX(CONSENSUS!$A$2:$BZ$20001,0,$B$13),$B$5,INDEX(CONSENSUS!$A$2:$BZ$20001,0,$B$10),$F$13))</f>
        <v/>
      </c>
      <c r="S147" s="21">
        <f>IF(OR($B117="",S$27=""),0,SUMIFS(INDEX(CONSENSUS!$A$2:$BZ$20001,0,S$27),INDEX(CONSENSUS!$A$2:$BZ$20001,0,$B$11),$B$1,INDEX(CONSENSUS!$A$2:$BZ$20001,0,$B$12),$B117,INDEX(CONSENSUS!$A$2:$BZ$20001,0,$B$13),$B$5,INDEX(CONSENSUS!$A$2:$BZ$20001,0,$B$10),$F$13))</f>
        <v/>
      </c>
      <c r="T147" s="21">
        <f>IF(OR($B117="",T$27=""),0,SUMIFS(INDEX(CONSENSUS!$A$2:$BZ$20001,0,T$27),INDEX(CONSENSUS!$A$2:$BZ$20001,0,$B$11),$B$1,INDEX(CONSENSUS!$A$2:$BZ$20001,0,$B$12),$B117,INDEX(CONSENSUS!$A$2:$BZ$20001,0,$B$13),$B$5,INDEX(CONSENSUS!$A$2:$BZ$20001,0,$B$10),$F$13))</f>
        <v/>
      </c>
      <c r="U147" s="21">
        <f>IF(OR($B117="",U$27=""),0,SUMIFS(INDEX(CONSENSUS!$A$2:$BZ$20001,0,U$27),INDEX(CONSENSUS!$A$2:$BZ$20001,0,$B$11),$B$1,INDEX(CONSENSUS!$A$2:$BZ$20001,0,$B$12),$B117,INDEX(CONSENSUS!$A$2:$BZ$20001,0,$B$13),$B$5,INDEX(CONSENSUS!$A$2:$BZ$20001,0,$B$10),$F$13))</f>
        <v/>
      </c>
      <c r="V147" s="21">
        <f>IF(OR($B117="",V$27=""),0,SUMIFS(INDEX(CONSENSUS!$A$2:$BZ$20001,0,V$27),INDEX(CONSENSUS!$A$2:$BZ$20001,0,$B$11),$B$1,INDEX(CONSENSUS!$A$2:$BZ$20001,0,$B$12),$B117,INDEX(CONSENSUS!$A$2:$BZ$20001,0,$B$13),$B$5,INDEX(CONSENSUS!$A$2:$BZ$20001,0,$B$10),$F$13))</f>
        <v/>
      </c>
      <c r="W147" s="21">
        <f>IF(OR($B117="",W$27=""),0,SUMIFS(INDEX(CONSENSUS!$A$2:$BZ$20001,0,W$27),INDEX(CONSENSUS!$A$2:$BZ$20001,0,$B$11),$B$1,INDEX(CONSENSUS!$A$2:$BZ$20001,0,$B$12),$B117,INDEX(CONSENSUS!$A$2:$BZ$20001,0,$B$13),$B$5,INDEX(CONSENSUS!$A$2:$BZ$20001,0,$B$10),$F$13))</f>
        <v/>
      </c>
      <c r="X147" s="21">
        <f>IF(OR($B117="",X$27=""),0,SUMIFS(INDEX(CONSENSUS!$A$2:$BZ$20001,0,X$27),INDEX(CONSENSUS!$A$2:$BZ$20001,0,$B$11),$B$1,INDEX(CONSENSUS!$A$2:$BZ$20001,0,$B$12),$B117,INDEX(CONSENSUS!$A$2:$BZ$20001,0,$B$13),$B$5,INDEX(CONSENSUS!$A$2:$BZ$20001,0,$B$10),$F$13))</f>
        <v/>
      </c>
      <c r="Y147" s="21">
        <f>IF(OR($B117="",Y$27=""),0,SUMIFS(INDEX(CONSENSUS!$A$2:$BZ$20001,0,Y$27),INDEX(CONSENSUS!$A$2:$BZ$20001,0,$B$11),$B$1,INDEX(CONSENSUS!$A$2:$BZ$20001,0,$B$12),$B117,INDEX(CONSENSUS!$A$2:$BZ$20001,0,$B$13),$B$5,INDEX(CONSENSUS!$A$2:$BZ$20001,0,$B$10),$F$13))</f>
        <v/>
      </c>
      <c r="Z147" s="21">
        <f>IF(OR($B117="",Z$27=""),0,SUMIFS(INDEX(CONSENSUS!$A$2:$BZ$20001,0,Z$27),INDEX(CONSENSUS!$A$2:$BZ$20001,0,$B$11),$B$1,INDEX(CONSENSUS!$A$2:$BZ$20001,0,$B$12),$B117,INDEX(CONSENSUS!$A$2:$BZ$20001,0,$B$13),$B$5,INDEX(CONSENSUS!$A$2:$BZ$20001,0,$B$10),$F$13))</f>
        <v/>
      </c>
      <c r="AA147" s="21">
        <f>IF(OR($B117="",AA$27=""),0,SUMIFS(INDEX(CONSENSUS!$A$2:$BZ$20001,0,AA$27),INDEX(CONSENSUS!$A$2:$BZ$20001,0,$B$11),$B$1,INDEX(CONSENSUS!$A$2:$BZ$20001,0,$B$12),$B117,INDEX(CONSENSUS!$A$2:$BZ$20001,0,$B$13),$B$5,INDEX(CONSENSUS!$A$2:$BZ$20001,0,$B$10),$F$13))</f>
        <v/>
      </c>
      <c r="AB147" s="21">
        <f>IF(OR($B117="",AB$27=""),0,SUMIFS(INDEX(CONSENSUS!$A$2:$BZ$20001,0,AB$27),INDEX(CONSENSUS!$A$2:$BZ$20001,0,$B$11),$B$1,INDEX(CONSENSUS!$A$2:$BZ$20001,0,$B$12),$B117,INDEX(CONSENSUS!$A$2:$BZ$20001,0,$B$13),$B$5,INDEX(CONSENSUS!$A$2:$BZ$20001,0,$B$10),$F$13))</f>
        <v/>
      </c>
      <c r="AC147" s="21">
        <f>IF(OR($B117="",AC$27=""),0,SUMIFS(INDEX(CONSENSUS!$A$2:$BZ$20001,0,AC$27),INDEX(CONSENSUS!$A$2:$BZ$20001,0,$B$11),$B$1,INDEX(CONSENSUS!$A$2:$BZ$20001,0,$B$12),$B117,INDEX(CONSENSUS!$A$2:$BZ$20001,0,$B$13),$B$5,INDEX(CONSENSUS!$A$2:$BZ$20001,0,$B$10),$F$13))</f>
        <v/>
      </c>
      <c r="AD147" s="21">
        <f>IF(OR($B117="",AD$27=""),0,SUMIFS(INDEX(CONSENSUS!$A$2:$BZ$20001,0,AD$27),INDEX(CONSENSUS!$A$2:$BZ$20001,0,$B$11),$B$1,INDEX(CONSENSUS!$A$2:$BZ$20001,0,$B$12),$B117,INDEX(CONSENSUS!$A$2:$BZ$20001,0,$B$13),$B$5,INDEX(CONSENSUS!$A$2:$BZ$20001,0,$B$10),$F$13))</f>
        <v/>
      </c>
      <c r="AE147" s="21">
        <f>IF(OR($B117="",AE$27=""),0,SUMIFS(INDEX(CONSENSUS!$A$2:$BZ$20001,0,AE$27),INDEX(CONSENSUS!$A$2:$BZ$20001,0,$B$11),$B$1,INDEX(CONSENSUS!$A$2:$BZ$20001,0,$B$12),$B117,INDEX(CONSENSUS!$A$2:$BZ$20001,0,$B$13),$B$5,INDEX(CONSENSUS!$A$2:$BZ$20001,0,$B$10),$F$13))</f>
        <v/>
      </c>
      <c r="AF147" s="21">
        <f>IF(OR($B117="",AF$27=""),0,SUMIFS(INDEX(CONSENSUS!$A$2:$BZ$20001,0,AF$27),INDEX(CONSENSUS!$A$2:$BZ$20001,0,$B$11),$B$1,INDEX(CONSENSUS!$A$2:$BZ$20001,0,$B$12),$B117,INDEX(CONSENSUS!$A$2:$BZ$20001,0,$B$13),$B$5,INDEX(CONSENSUS!$A$2:$BZ$20001,0,$B$10),$F$13))</f>
        <v/>
      </c>
      <c r="AG147" s="21">
        <f>IF(OR($B117="",AG$27=""),0,SUMIFS(INDEX(CONSENSUS!$A$2:$BZ$20001,0,AG$27),INDEX(CONSENSUS!$A$2:$BZ$20001,0,$B$11),$B$1,INDEX(CONSENSUS!$A$2:$BZ$20001,0,$B$12),$B117,INDEX(CONSENSUS!$A$2:$BZ$20001,0,$B$13),$B$5,INDEX(CONSENSUS!$A$2:$BZ$20001,0,$B$10),$F$13))</f>
        <v/>
      </c>
      <c r="AH147" s="21">
        <f>IF(OR($B117="",AH$27=""),0,SUMIFS(INDEX(CONSENSUS!$A$2:$BZ$20001,0,AH$27),INDEX(CONSENSUS!$A$2:$BZ$20001,0,$B$11),$B$1,INDEX(CONSENSUS!$A$2:$BZ$20001,0,$B$12),$B117,INDEX(CONSENSUS!$A$2:$BZ$20001,0,$B$13),$B$5,INDEX(CONSENSUS!$A$2:$BZ$20001,0,$B$10),$F$13))</f>
        <v/>
      </c>
      <c r="AI147" s="21">
        <f>IF(OR($B117="",AI$27=""),0,SUMIFS(INDEX(CONSENSUS!$A$2:$BZ$20001,0,AI$27),INDEX(CONSENSUS!$A$2:$BZ$20001,0,$B$11),$B$1,INDEX(CONSENSUS!$A$2:$BZ$20001,0,$B$12),$B117,INDEX(CONSENSUS!$A$2:$BZ$20001,0,$B$13),$B$5,INDEX(CONSENSUS!$A$2:$BZ$20001,0,$B$10),$F$13))</f>
        <v/>
      </c>
      <c r="AJ147" s="21">
        <f>IF(OR($B117="",AJ$27=""),0,SUMIFS(INDEX(CONSENSUS!$A$2:$BZ$20001,0,AJ$27),INDEX(CONSENSUS!$A$2:$BZ$20001,0,$B$11),$B$1,INDEX(CONSENSUS!$A$2:$BZ$20001,0,$B$12),$B117,INDEX(CONSENSUS!$A$2:$BZ$20001,0,$B$13),$B$5,INDEX(CONSENSUS!$A$2:$BZ$20001,0,$B$10),$F$13))</f>
        <v/>
      </c>
      <c r="AK147" s="21">
        <f>IF(OR($B117="",AK$27=""),0,SUMIFS(INDEX(CONSENSUS!$A$2:$BZ$20001,0,AK$27),INDEX(CONSENSUS!$A$2:$BZ$20001,0,$B$11),$B$1,INDEX(CONSENSUS!$A$2:$BZ$20001,0,$B$12),$B117,INDEX(CONSENSUS!$A$2:$BZ$20001,0,$B$13),$B$5,INDEX(CONSENSUS!$A$2:$BZ$20001,0,$B$10),$F$13))</f>
        <v/>
      </c>
      <c r="AL147" s="21">
        <f>IF(OR($B117="",AL$27=""),0,SUMIFS(INDEX(CONSENSUS!$A$2:$BZ$20001,0,AL$27),INDEX(CONSENSUS!$A$2:$BZ$20001,0,$B$11),$B$1,INDEX(CONSENSUS!$A$2:$BZ$20001,0,$B$12),$B117,INDEX(CONSENSUS!$A$2:$BZ$20001,0,$B$13),$B$5,INDEX(CONSENSUS!$A$2:$BZ$20001,0,$B$10),$F$13))</f>
        <v/>
      </c>
      <c r="AM147" s="21">
        <f>IF(OR($B117="",AM$27=""),0,SUMIFS(INDEX(CONSENSUS!$A$2:$BZ$20001,0,AM$27),INDEX(CONSENSUS!$A$2:$BZ$20001,0,$B$11),$B$1,INDEX(CONSENSUS!$A$2:$BZ$20001,0,$B$12),$B117,INDEX(CONSENSUS!$A$2:$BZ$20001,0,$B$13),$B$5,INDEX(CONSENSUS!$A$2:$BZ$20001,0,$B$10),$F$13))</f>
        <v/>
      </c>
    </row>
    <row r="148">
      <c r="A148" s="23">
        <f>IF($B118="","Consensus original","Consensus original | "&amp;$B118)</f>
        <v/>
      </c>
      <c r="D148" s="21">
        <f>IF(OR($B118="",D$27=""),0,SUMIFS(INDEX(CONSENSUS!$A$2:$BZ$20001,0,D$27),INDEX(CONSENSUS!$A$2:$BZ$20001,0,$B$11),$B$1,INDEX(CONSENSUS!$A$2:$BZ$20001,0,$B$12),$B118,INDEX(CONSENSUS!$A$2:$BZ$20001,0,$B$13),$B$5,INDEX(CONSENSUS!$A$2:$BZ$20001,0,$B$10),$F$13))</f>
        <v/>
      </c>
      <c r="E148" s="21">
        <f>IF(OR($B118="",E$27=""),0,SUMIFS(INDEX(CONSENSUS!$A$2:$BZ$20001,0,E$27),INDEX(CONSENSUS!$A$2:$BZ$20001,0,$B$11),$B$1,INDEX(CONSENSUS!$A$2:$BZ$20001,0,$B$12),$B118,INDEX(CONSENSUS!$A$2:$BZ$20001,0,$B$13),$B$5,INDEX(CONSENSUS!$A$2:$BZ$20001,0,$B$10),$F$13))</f>
        <v/>
      </c>
      <c r="F148" s="21">
        <f>IF(OR($B118="",F$27=""),0,SUMIFS(INDEX(CONSENSUS!$A$2:$BZ$20001,0,F$27),INDEX(CONSENSUS!$A$2:$BZ$20001,0,$B$11),$B$1,INDEX(CONSENSUS!$A$2:$BZ$20001,0,$B$12),$B118,INDEX(CONSENSUS!$A$2:$BZ$20001,0,$B$13),$B$5,INDEX(CONSENSUS!$A$2:$BZ$20001,0,$B$10),$F$13))</f>
        <v/>
      </c>
      <c r="G148" s="21">
        <f>IF(OR($B118="",G$27=""),0,SUMIFS(INDEX(CONSENSUS!$A$2:$BZ$20001,0,G$27),INDEX(CONSENSUS!$A$2:$BZ$20001,0,$B$11),$B$1,INDEX(CONSENSUS!$A$2:$BZ$20001,0,$B$12),$B118,INDEX(CONSENSUS!$A$2:$BZ$20001,0,$B$13),$B$5,INDEX(CONSENSUS!$A$2:$BZ$20001,0,$B$10),$F$13))</f>
        <v/>
      </c>
      <c r="H148" s="21">
        <f>IF(OR($B118="",H$27=""),0,SUMIFS(INDEX(CONSENSUS!$A$2:$BZ$20001,0,H$27),INDEX(CONSENSUS!$A$2:$BZ$20001,0,$B$11),$B$1,INDEX(CONSENSUS!$A$2:$BZ$20001,0,$B$12),$B118,INDEX(CONSENSUS!$A$2:$BZ$20001,0,$B$13),$B$5,INDEX(CONSENSUS!$A$2:$BZ$20001,0,$B$10),$F$13))</f>
        <v/>
      </c>
      <c r="I148" s="21">
        <f>IF(OR($B118="",I$27=""),0,SUMIFS(INDEX(CONSENSUS!$A$2:$BZ$20001,0,I$27),INDEX(CONSENSUS!$A$2:$BZ$20001,0,$B$11),$B$1,INDEX(CONSENSUS!$A$2:$BZ$20001,0,$B$12),$B118,INDEX(CONSENSUS!$A$2:$BZ$20001,0,$B$13),$B$5,INDEX(CONSENSUS!$A$2:$BZ$20001,0,$B$10),$F$13))</f>
        <v/>
      </c>
      <c r="J148" s="21">
        <f>IF(OR($B118="",J$27=""),0,SUMIFS(INDEX(CONSENSUS!$A$2:$BZ$20001,0,J$27),INDEX(CONSENSUS!$A$2:$BZ$20001,0,$B$11),$B$1,INDEX(CONSENSUS!$A$2:$BZ$20001,0,$B$12),$B118,INDEX(CONSENSUS!$A$2:$BZ$20001,0,$B$13),$B$5,INDEX(CONSENSUS!$A$2:$BZ$20001,0,$B$10),$F$13))</f>
        <v/>
      </c>
      <c r="K148" s="21">
        <f>IF(OR($B118="",K$27=""),0,SUMIFS(INDEX(CONSENSUS!$A$2:$BZ$20001,0,K$27),INDEX(CONSENSUS!$A$2:$BZ$20001,0,$B$11),$B$1,INDEX(CONSENSUS!$A$2:$BZ$20001,0,$B$12),$B118,INDEX(CONSENSUS!$A$2:$BZ$20001,0,$B$13),$B$5,INDEX(CONSENSUS!$A$2:$BZ$20001,0,$B$10),$F$13))</f>
        <v/>
      </c>
      <c r="L148" s="21">
        <f>IF(OR($B118="",L$27=""),0,SUMIFS(INDEX(CONSENSUS!$A$2:$BZ$20001,0,L$27),INDEX(CONSENSUS!$A$2:$BZ$20001,0,$B$11),$B$1,INDEX(CONSENSUS!$A$2:$BZ$20001,0,$B$12),$B118,INDEX(CONSENSUS!$A$2:$BZ$20001,0,$B$13),$B$5,INDEX(CONSENSUS!$A$2:$BZ$20001,0,$B$10),$F$13))</f>
        <v/>
      </c>
      <c r="M148" s="21">
        <f>IF(OR($B118="",M$27=""),0,SUMIFS(INDEX(CONSENSUS!$A$2:$BZ$20001,0,M$27),INDEX(CONSENSUS!$A$2:$BZ$20001,0,$B$11),$B$1,INDEX(CONSENSUS!$A$2:$BZ$20001,0,$B$12),$B118,INDEX(CONSENSUS!$A$2:$BZ$20001,0,$B$13),$B$5,INDEX(CONSENSUS!$A$2:$BZ$20001,0,$B$10),$F$13))</f>
        <v/>
      </c>
      <c r="N148" s="21">
        <f>IF(OR($B118="",N$27=""),0,SUMIFS(INDEX(CONSENSUS!$A$2:$BZ$20001,0,N$27),INDEX(CONSENSUS!$A$2:$BZ$20001,0,$B$11),$B$1,INDEX(CONSENSUS!$A$2:$BZ$20001,0,$B$12),$B118,INDEX(CONSENSUS!$A$2:$BZ$20001,0,$B$13),$B$5,INDEX(CONSENSUS!$A$2:$BZ$20001,0,$B$10),$F$13))</f>
        <v/>
      </c>
      <c r="O148" s="21">
        <f>IF(OR($B118="",O$27=""),0,SUMIFS(INDEX(CONSENSUS!$A$2:$BZ$20001,0,O$27),INDEX(CONSENSUS!$A$2:$BZ$20001,0,$B$11),$B$1,INDEX(CONSENSUS!$A$2:$BZ$20001,0,$B$12),$B118,INDEX(CONSENSUS!$A$2:$BZ$20001,0,$B$13),$B$5,INDEX(CONSENSUS!$A$2:$BZ$20001,0,$B$10),$F$13))</f>
        <v/>
      </c>
      <c r="P148" s="21">
        <f>IF(OR($B118="",P$27=""),0,SUMIFS(INDEX(CONSENSUS!$A$2:$BZ$20001,0,P$27),INDEX(CONSENSUS!$A$2:$BZ$20001,0,$B$11),$B$1,INDEX(CONSENSUS!$A$2:$BZ$20001,0,$B$12),$B118,INDEX(CONSENSUS!$A$2:$BZ$20001,0,$B$13),$B$5,INDEX(CONSENSUS!$A$2:$BZ$20001,0,$B$10),$F$13))</f>
        <v/>
      </c>
      <c r="Q148" s="21">
        <f>IF(OR($B118="",Q$27=""),0,SUMIFS(INDEX(CONSENSUS!$A$2:$BZ$20001,0,Q$27),INDEX(CONSENSUS!$A$2:$BZ$20001,0,$B$11),$B$1,INDEX(CONSENSUS!$A$2:$BZ$20001,0,$B$12),$B118,INDEX(CONSENSUS!$A$2:$BZ$20001,0,$B$13),$B$5,INDEX(CONSENSUS!$A$2:$BZ$20001,0,$B$10),$F$13))</f>
        <v/>
      </c>
      <c r="R148" s="21">
        <f>IF(OR($B118="",R$27=""),0,SUMIFS(INDEX(CONSENSUS!$A$2:$BZ$20001,0,R$27),INDEX(CONSENSUS!$A$2:$BZ$20001,0,$B$11),$B$1,INDEX(CONSENSUS!$A$2:$BZ$20001,0,$B$12),$B118,INDEX(CONSENSUS!$A$2:$BZ$20001,0,$B$13),$B$5,INDEX(CONSENSUS!$A$2:$BZ$20001,0,$B$10),$F$13))</f>
        <v/>
      </c>
      <c r="S148" s="21">
        <f>IF(OR($B118="",S$27=""),0,SUMIFS(INDEX(CONSENSUS!$A$2:$BZ$20001,0,S$27),INDEX(CONSENSUS!$A$2:$BZ$20001,0,$B$11),$B$1,INDEX(CONSENSUS!$A$2:$BZ$20001,0,$B$12),$B118,INDEX(CONSENSUS!$A$2:$BZ$20001,0,$B$13),$B$5,INDEX(CONSENSUS!$A$2:$BZ$20001,0,$B$10),$F$13))</f>
        <v/>
      </c>
      <c r="T148" s="21">
        <f>IF(OR($B118="",T$27=""),0,SUMIFS(INDEX(CONSENSUS!$A$2:$BZ$20001,0,T$27),INDEX(CONSENSUS!$A$2:$BZ$20001,0,$B$11),$B$1,INDEX(CONSENSUS!$A$2:$BZ$20001,0,$B$12),$B118,INDEX(CONSENSUS!$A$2:$BZ$20001,0,$B$13),$B$5,INDEX(CONSENSUS!$A$2:$BZ$20001,0,$B$10),$F$13))</f>
        <v/>
      </c>
      <c r="U148" s="21">
        <f>IF(OR($B118="",U$27=""),0,SUMIFS(INDEX(CONSENSUS!$A$2:$BZ$20001,0,U$27),INDEX(CONSENSUS!$A$2:$BZ$20001,0,$B$11),$B$1,INDEX(CONSENSUS!$A$2:$BZ$20001,0,$B$12),$B118,INDEX(CONSENSUS!$A$2:$BZ$20001,0,$B$13),$B$5,INDEX(CONSENSUS!$A$2:$BZ$20001,0,$B$10),$F$13))</f>
        <v/>
      </c>
      <c r="V148" s="21">
        <f>IF(OR($B118="",V$27=""),0,SUMIFS(INDEX(CONSENSUS!$A$2:$BZ$20001,0,V$27),INDEX(CONSENSUS!$A$2:$BZ$20001,0,$B$11),$B$1,INDEX(CONSENSUS!$A$2:$BZ$20001,0,$B$12),$B118,INDEX(CONSENSUS!$A$2:$BZ$20001,0,$B$13),$B$5,INDEX(CONSENSUS!$A$2:$BZ$20001,0,$B$10),$F$13))</f>
        <v/>
      </c>
      <c r="W148" s="21">
        <f>IF(OR($B118="",W$27=""),0,SUMIFS(INDEX(CONSENSUS!$A$2:$BZ$20001,0,W$27),INDEX(CONSENSUS!$A$2:$BZ$20001,0,$B$11),$B$1,INDEX(CONSENSUS!$A$2:$BZ$20001,0,$B$12),$B118,INDEX(CONSENSUS!$A$2:$BZ$20001,0,$B$13),$B$5,INDEX(CONSENSUS!$A$2:$BZ$20001,0,$B$10),$F$13))</f>
        <v/>
      </c>
      <c r="X148" s="21">
        <f>IF(OR($B118="",X$27=""),0,SUMIFS(INDEX(CONSENSUS!$A$2:$BZ$20001,0,X$27),INDEX(CONSENSUS!$A$2:$BZ$20001,0,$B$11),$B$1,INDEX(CONSENSUS!$A$2:$BZ$20001,0,$B$12),$B118,INDEX(CONSENSUS!$A$2:$BZ$20001,0,$B$13),$B$5,INDEX(CONSENSUS!$A$2:$BZ$20001,0,$B$10),$F$13))</f>
        <v/>
      </c>
      <c r="Y148" s="21">
        <f>IF(OR($B118="",Y$27=""),0,SUMIFS(INDEX(CONSENSUS!$A$2:$BZ$20001,0,Y$27),INDEX(CONSENSUS!$A$2:$BZ$20001,0,$B$11),$B$1,INDEX(CONSENSUS!$A$2:$BZ$20001,0,$B$12),$B118,INDEX(CONSENSUS!$A$2:$BZ$20001,0,$B$13),$B$5,INDEX(CONSENSUS!$A$2:$BZ$20001,0,$B$10),$F$13))</f>
        <v/>
      </c>
      <c r="Z148" s="21">
        <f>IF(OR($B118="",Z$27=""),0,SUMIFS(INDEX(CONSENSUS!$A$2:$BZ$20001,0,Z$27),INDEX(CONSENSUS!$A$2:$BZ$20001,0,$B$11),$B$1,INDEX(CONSENSUS!$A$2:$BZ$20001,0,$B$12),$B118,INDEX(CONSENSUS!$A$2:$BZ$20001,0,$B$13),$B$5,INDEX(CONSENSUS!$A$2:$BZ$20001,0,$B$10),$F$13))</f>
        <v/>
      </c>
      <c r="AA148" s="21">
        <f>IF(OR($B118="",AA$27=""),0,SUMIFS(INDEX(CONSENSUS!$A$2:$BZ$20001,0,AA$27),INDEX(CONSENSUS!$A$2:$BZ$20001,0,$B$11),$B$1,INDEX(CONSENSUS!$A$2:$BZ$20001,0,$B$12),$B118,INDEX(CONSENSUS!$A$2:$BZ$20001,0,$B$13),$B$5,INDEX(CONSENSUS!$A$2:$BZ$20001,0,$B$10),$F$13))</f>
        <v/>
      </c>
      <c r="AB148" s="21">
        <f>IF(OR($B118="",AB$27=""),0,SUMIFS(INDEX(CONSENSUS!$A$2:$BZ$20001,0,AB$27),INDEX(CONSENSUS!$A$2:$BZ$20001,0,$B$11),$B$1,INDEX(CONSENSUS!$A$2:$BZ$20001,0,$B$12),$B118,INDEX(CONSENSUS!$A$2:$BZ$20001,0,$B$13),$B$5,INDEX(CONSENSUS!$A$2:$BZ$20001,0,$B$10),$F$13))</f>
        <v/>
      </c>
      <c r="AC148" s="21">
        <f>IF(OR($B118="",AC$27=""),0,SUMIFS(INDEX(CONSENSUS!$A$2:$BZ$20001,0,AC$27),INDEX(CONSENSUS!$A$2:$BZ$20001,0,$B$11),$B$1,INDEX(CONSENSUS!$A$2:$BZ$20001,0,$B$12),$B118,INDEX(CONSENSUS!$A$2:$BZ$20001,0,$B$13),$B$5,INDEX(CONSENSUS!$A$2:$BZ$20001,0,$B$10),$F$13))</f>
        <v/>
      </c>
      <c r="AD148" s="21">
        <f>IF(OR($B118="",AD$27=""),0,SUMIFS(INDEX(CONSENSUS!$A$2:$BZ$20001,0,AD$27),INDEX(CONSENSUS!$A$2:$BZ$20001,0,$B$11),$B$1,INDEX(CONSENSUS!$A$2:$BZ$20001,0,$B$12),$B118,INDEX(CONSENSUS!$A$2:$BZ$20001,0,$B$13),$B$5,INDEX(CONSENSUS!$A$2:$BZ$20001,0,$B$10),$F$13))</f>
        <v/>
      </c>
      <c r="AE148" s="21">
        <f>IF(OR($B118="",AE$27=""),0,SUMIFS(INDEX(CONSENSUS!$A$2:$BZ$20001,0,AE$27),INDEX(CONSENSUS!$A$2:$BZ$20001,0,$B$11),$B$1,INDEX(CONSENSUS!$A$2:$BZ$20001,0,$B$12),$B118,INDEX(CONSENSUS!$A$2:$BZ$20001,0,$B$13),$B$5,INDEX(CONSENSUS!$A$2:$BZ$20001,0,$B$10),$F$13))</f>
        <v/>
      </c>
      <c r="AF148" s="21">
        <f>IF(OR($B118="",AF$27=""),0,SUMIFS(INDEX(CONSENSUS!$A$2:$BZ$20001,0,AF$27),INDEX(CONSENSUS!$A$2:$BZ$20001,0,$B$11),$B$1,INDEX(CONSENSUS!$A$2:$BZ$20001,0,$B$12),$B118,INDEX(CONSENSUS!$A$2:$BZ$20001,0,$B$13),$B$5,INDEX(CONSENSUS!$A$2:$BZ$20001,0,$B$10),$F$13))</f>
        <v/>
      </c>
      <c r="AG148" s="21">
        <f>IF(OR($B118="",AG$27=""),0,SUMIFS(INDEX(CONSENSUS!$A$2:$BZ$20001,0,AG$27),INDEX(CONSENSUS!$A$2:$BZ$20001,0,$B$11),$B$1,INDEX(CONSENSUS!$A$2:$BZ$20001,0,$B$12),$B118,INDEX(CONSENSUS!$A$2:$BZ$20001,0,$B$13),$B$5,INDEX(CONSENSUS!$A$2:$BZ$20001,0,$B$10),$F$13))</f>
        <v/>
      </c>
      <c r="AH148" s="21">
        <f>IF(OR($B118="",AH$27=""),0,SUMIFS(INDEX(CONSENSUS!$A$2:$BZ$20001,0,AH$27),INDEX(CONSENSUS!$A$2:$BZ$20001,0,$B$11),$B$1,INDEX(CONSENSUS!$A$2:$BZ$20001,0,$B$12),$B118,INDEX(CONSENSUS!$A$2:$BZ$20001,0,$B$13),$B$5,INDEX(CONSENSUS!$A$2:$BZ$20001,0,$B$10),$F$13))</f>
        <v/>
      </c>
      <c r="AI148" s="21">
        <f>IF(OR($B118="",AI$27=""),0,SUMIFS(INDEX(CONSENSUS!$A$2:$BZ$20001,0,AI$27),INDEX(CONSENSUS!$A$2:$BZ$20001,0,$B$11),$B$1,INDEX(CONSENSUS!$A$2:$BZ$20001,0,$B$12),$B118,INDEX(CONSENSUS!$A$2:$BZ$20001,0,$B$13),$B$5,INDEX(CONSENSUS!$A$2:$BZ$20001,0,$B$10),$F$13))</f>
        <v/>
      </c>
      <c r="AJ148" s="21">
        <f>IF(OR($B118="",AJ$27=""),0,SUMIFS(INDEX(CONSENSUS!$A$2:$BZ$20001,0,AJ$27),INDEX(CONSENSUS!$A$2:$BZ$20001,0,$B$11),$B$1,INDEX(CONSENSUS!$A$2:$BZ$20001,0,$B$12),$B118,INDEX(CONSENSUS!$A$2:$BZ$20001,0,$B$13),$B$5,INDEX(CONSENSUS!$A$2:$BZ$20001,0,$B$10),$F$13))</f>
        <v/>
      </c>
      <c r="AK148" s="21">
        <f>IF(OR($B118="",AK$27=""),0,SUMIFS(INDEX(CONSENSUS!$A$2:$BZ$20001,0,AK$27),INDEX(CONSENSUS!$A$2:$BZ$20001,0,$B$11),$B$1,INDEX(CONSENSUS!$A$2:$BZ$20001,0,$B$12),$B118,INDEX(CONSENSUS!$A$2:$BZ$20001,0,$B$13),$B$5,INDEX(CONSENSUS!$A$2:$BZ$20001,0,$B$10),$F$13))</f>
        <v/>
      </c>
      <c r="AL148" s="21">
        <f>IF(OR($B118="",AL$27=""),0,SUMIFS(INDEX(CONSENSUS!$A$2:$BZ$20001,0,AL$27),INDEX(CONSENSUS!$A$2:$BZ$20001,0,$B$11),$B$1,INDEX(CONSENSUS!$A$2:$BZ$20001,0,$B$12),$B118,INDEX(CONSENSUS!$A$2:$BZ$20001,0,$B$13),$B$5,INDEX(CONSENSUS!$A$2:$BZ$20001,0,$B$10),$F$13))</f>
        <v/>
      </c>
      <c r="AM148" s="21">
        <f>IF(OR($B118="",AM$27=""),0,SUMIFS(INDEX(CONSENSUS!$A$2:$BZ$20001,0,AM$27),INDEX(CONSENSUS!$A$2:$BZ$20001,0,$B$11),$B$1,INDEX(CONSENSUS!$A$2:$BZ$20001,0,$B$12),$B118,INDEX(CONSENSUS!$A$2:$BZ$20001,0,$B$13),$B$5,INDEX(CONSENSUS!$A$2:$BZ$20001,0,$B$10),$F$13))</f>
        <v/>
      </c>
    </row>
    <row r="149">
      <c r="A149" s="23">
        <f>IF($B119="","Consensus original","Consensus original | "&amp;$B119)</f>
        <v/>
      </c>
      <c r="D149" s="21">
        <f>IF(OR($B119="",D$27=""),0,SUMIFS(INDEX(CONSENSUS!$A$2:$BZ$20001,0,D$27),INDEX(CONSENSUS!$A$2:$BZ$20001,0,$B$11),$B$1,INDEX(CONSENSUS!$A$2:$BZ$20001,0,$B$12),$B119,INDEX(CONSENSUS!$A$2:$BZ$20001,0,$B$13),$B$5,INDEX(CONSENSUS!$A$2:$BZ$20001,0,$B$10),$F$13))</f>
        <v/>
      </c>
      <c r="E149" s="21">
        <f>IF(OR($B119="",E$27=""),0,SUMIFS(INDEX(CONSENSUS!$A$2:$BZ$20001,0,E$27),INDEX(CONSENSUS!$A$2:$BZ$20001,0,$B$11),$B$1,INDEX(CONSENSUS!$A$2:$BZ$20001,0,$B$12),$B119,INDEX(CONSENSUS!$A$2:$BZ$20001,0,$B$13),$B$5,INDEX(CONSENSUS!$A$2:$BZ$20001,0,$B$10),$F$13))</f>
        <v/>
      </c>
      <c r="F149" s="21">
        <f>IF(OR($B119="",F$27=""),0,SUMIFS(INDEX(CONSENSUS!$A$2:$BZ$20001,0,F$27),INDEX(CONSENSUS!$A$2:$BZ$20001,0,$B$11),$B$1,INDEX(CONSENSUS!$A$2:$BZ$20001,0,$B$12),$B119,INDEX(CONSENSUS!$A$2:$BZ$20001,0,$B$13),$B$5,INDEX(CONSENSUS!$A$2:$BZ$20001,0,$B$10),$F$13))</f>
        <v/>
      </c>
      <c r="G149" s="21">
        <f>IF(OR($B119="",G$27=""),0,SUMIFS(INDEX(CONSENSUS!$A$2:$BZ$20001,0,G$27),INDEX(CONSENSUS!$A$2:$BZ$20001,0,$B$11),$B$1,INDEX(CONSENSUS!$A$2:$BZ$20001,0,$B$12),$B119,INDEX(CONSENSUS!$A$2:$BZ$20001,0,$B$13),$B$5,INDEX(CONSENSUS!$A$2:$BZ$20001,0,$B$10),$F$13))</f>
        <v/>
      </c>
      <c r="H149" s="21">
        <f>IF(OR($B119="",H$27=""),0,SUMIFS(INDEX(CONSENSUS!$A$2:$BZ$20001,0,H$27),INDEX(CONSENSUS!$A$2:$BZ$20001,0,$B$11),$B$1,INDEX(CONSENSUS!$A$2:$BZ$20001,0,$B$12),$B119,INDEX(CONSENSUS!$A$2:$BZ$20001,0,$B$13),$B$5,INDEX(CONSENSUS!$A$2:$BZ$20001,0,$B$10),$F$13))</f>
        <v/>
      </c>
      <c r="I149" s="21">
        <f>IF(OR($B119="",I$27=""),0,SUMIFS(INDEX(CONSENSUS!$A$2:$BZ$20001,0,I$27),INDEX(CONSENSUS!$A$2:$BZ$20001,0,$B$11),$B$1,INDEX(CONSENSUS!$A$2:$BZ$20001,0,$B$12),$B119,INDEX(CONSENSUS!$A$2:$BZ$20001,0,$B$13),$B$5,INDEX(CONSENSUS!$A$2:$BZ$20001,0,$B$10),$F$13))</f>
        <v/>
      </c>
      <c r="J149" s="21">
        <f>IF(OR($B119="",J$27=""),0,SUMIFS(INDEX(CONSENSUS!$A$2:$BZ$20001,0,J$27),INDEX(CONSENSUS!$A$2:$BZ$20001,0,$B$11),$B$1,INDEX(CONSENSUS!$A$2:$BZ$20001,0,$B$12),$B119,INDEX(CONSENSUS!$A$2:$BZ$20001,0,$B$13),$B$5,INDEX(CONSENSUS!$A$2:$BZ$20001,0,$B$10),$F$13))</f>
        <v/>
      </c>
      <c r="K149" s="21">
        <f>IF(OR($B119="",K$27=""),0,SUMIFS(INDEX(CONSENSUS!$A$2:$BZ$20001,0,K$27),INDEX(CONSENSUS!$A$2:$BZ$20001,0,$B$11),$B$1,INDEX(CONSENSUS!$A$2:$BZ$20001,0,$B$12),$B119,INDEX(CONSENSUS!$A$2:$BZ$20001,0,$B$13),$B$5,INDEX(CONSENSUS!$A$2:$BZ$20001,0,$B$10),$F$13))</f>
        <v/>
      </c>
      <c r="L149" s="21">
        <f>IF(OR($B119="",L$27=""),0,SUMIFS(INDEX(CONSENSUS!$A$2:$BZ$20001,0,L$27),INDEX(CONSENSUS!$A$2:$BZ$20001,0,$B$11),$B$1,INDEX(CONSENSUS!$A$2:$BZ$20001,0,$B$12),$B119,INDEX(CONSENSUS!$A$2:$BZ$20001,0,$B$13),$B$5,INDEX(CONSENSUS!$A$2:$BZ$20001,0,$B$10),$F$13))</f>
        <v/>
      </c>
      <c r="M149" s="21">
        <f>IF(OR($B119="",M$27=""),0,SUMIFS(INDEX(CONSENSUS!$A$2:$BZ$20001,0,M$27),INDEX(CONSENSUS!$A$2:$BZ$20001,0,$B$11),$B$1,INDEX(CONSENSUS!$A$2:$BZ$20001,0,$B$12),$B119,INDEX(CONSENSUS!$A$2:$BZ$20001,0,$B$13),$B$5,INDEX(CONSENSUS!$A$2:$BZ$20001,0,$B$10),$F$13))</f>
        <v/>
      </c>
      <c r="N149" s="21">
        <f>IF(OR($B119="",N$27=""),0,SUMIFS(INDEX(CONSENSUS!$A$2:$BZ$20001,0,N$27),INDEX(CONSENSUS!$A$2:$BZ$20001,0,$B$11),$B$1,INDEX(CONSENSUS!$A$2:$BZ$20001,0,$B$12),$B119,INDEX(CONSENSUS!$A$2:$BZ$20001,0,$B$13),$B$5,INDEX(CONSENSUS!$A$2:$BZ$20001,0,$B$10),$F$13))</f>
        <v/>
      </c>
      <c r="O149" s="21">
        <f>IF(OR($B119="",O$27=""),0,SUMIFS(INDEX(CONSENSUS!$A$2:$BZ$20001,0,O$27),INDEX(CONSENSUS!$A$2:$BZ$20001,0,$B$11),$B$1,INDEX(CONSENSUS!$A$2:$BZ$20001,0,$B$12),$B119,INDEX(CONSENSUS!$A$2:$BZ$20001,0,$B$13),$B$5,INDEX(CONSENSUS!$A$2:$BZ$20001,0,$B$10),$F$13))</f>
        <v/>
      </c>
      <c r="P149" s="21">
        <f>IF(OR($B119="",P$27=""),0,SUMIFS(INDEX(CONSENSUS!$A$2:$BZ$20001,0,P$27),INDEX(CONSENSUS!$A$2:$BZ$20001,0,$B$11),$B$1,INDEX(CONSENSUS!$A$2:$BZ$20001,0,$B$12),$B119,INDEX(CONSENSUS!$A$2:$BZ$20001,0,$B$13),$B$5,INDEX(CONSENSUS!$A$2:$BZ$20001,0,$B$10),$F$13))</f>
        <v/>
      </c>
      <c r="Q149" s="21">
        <f>IF(OR($B119="",Q$27=""),0,SUMIFS(INDEX(CONSENSUS!$A$2:$BZ$20001,0,Q$27),INDEX(CONSENSUS!$A$2:$BZ$20001,0,$B$11),$B$1,INDEX(CONSENSUS!$A$2:$BZ$20001,0,$B$12),$B119,INDEX(CONSENSUS!$A$2:$BZ$20001,0,$B$13),$B$5,INDEX(CONSENSUS!$A$2:$BZ$20001,0,$B$10),$F$13))</f>
        <v/>
      </c>
      <c r="R149" s="21">
        <f>IF(OR($B119="",R$27=""),0,SUMIFS(INDEX(CONSENSUS!$A$2:$BZ$20001,0,R$27),INDEX(CONSENSUS!$A$2:$BZ$20001,0,$B$11),$B$1,INDEX(CONSENSUS!$A$2:$BZ$20001,0,$B$12),$B119,INDEX(CONSENSUS!$A$2:$BZ$20001,0,$B$13),$B$5,INDEX(CONSENSUS!$A$2:$BZ$20001,0,$B$10),$F$13))</f>
        <v/>
      </c>
      <c r="S149" s="21">
        <f>IF(OR($B119="",S$27=""),0,SUMIFS(INDEX(CONSENSUS!$A$2:$BZ$20001,0,S$27),INDEX(CONSENSUS!$A$2:$BZ$20001,0,$B$11),$B$1,INDEX(CONSENSUS!$A$2:$BZ$20001,0,$B$12),$B119,INDEX(CONSENSUS!$A$2:$BZ$20001,0,$B$13),$B$5,INDEX(CONSENSUS!$A$2:$BZ$20001,0,$B$10),$F$13))</f>
        <v/>
      </c>
      <c r="T149" s="21">
        <f>IF(OR($B119="",T$27=""),0,SUMIFS(INDEX(CONSENSUS!$A$2:$BZ$20001,0,T$27),INDEX(CONSENSUS!$A$2:$BZ$20001,0,$B$11),$B$1,INDEX(CONSENSUS!$A$2:$BZ$20001,0,$B$12),$B119,INDEX(CONSENSUS!$A$2:$BZ$20001,0,$B$13),$B$5,INDEX(CONSENSUS!$A$2:$BZ$20001,0,$B$10),$F$13))</f>
        <v/>
      </c>
      <c r="U149" s="21">
        <f>IF(OR($B119="",U$27=""),0,SUMIFS(INDEX(CONSENSUS!$A$2:$BZ$20001,0,U$27),INDEX(CONSENSUS!$A$2:$BZ$20001,0,$B$11),$B$1,INDEX(CONSENSUS!$A$2:$BZ$20001,0,$B$12),$B119,INDEX(CONSENSUS!$A$2:$BZ$20001,0,$B$13),$B$5,INDEX(CONSENSUS!$A$2:$BZ$20001,0,$B$10),$F$13))</f>
        <v/>
      </c>
      <c r="V149" s="21">
        <f>IF(OR($B119="",V$27=""),0,SUMIFS(INDEX(CONSENSUS!$A$2:$BZ$20001,0,V$27),INDEX(CONSENSUS!$A$2:$BZ$20001,0,$B$11),$B$1,INDEX(CONSENSUS!$A$2:$BZ$20001,0,$B$12),$B119,INDEX(CONSENSUS!$A$2:$BZ$20001,0,$B$13),$B$5,INDEX(CONSENSUS!$A$2:$BZ$20001,0,$B$10),$F$13))</f>
        <v/>
      </c>
      <c r="W149" s="21">
        <f>IF(OR($B119="",W$27=""),0,SUMIFS(INDEX(CONSENSUS!$A$2:$BZ$20001,0,W$27),INDEX(CONSENSUS!$A$2:$BZ$20001,0,$B$11),$B$1,INDEX(CONSENSUS!$A$2:$BZ$20001,0,$B$12),$B119,INDEX(CONSENSUS!$A$2:$BZ$20001,0,$B$13),$B$5,INDEX(CONSENSUS!$A$2:$BZ$20001,0,$B$10),$F$13))</f>
        <v/>
      </c>
      <c r="X149" s="21">
        <f>IF(OR($B119="",X$27=""),0,SUMIFS(INDEX(CONSENSUS!$A$2:$BZ$20001,0,X$27),INDEX(CONSENSUS!$A$2:$BZ$20001,0,$B$11),$B$1,INDEX(CONSENSUS!$A$2:$BZ$20001,0,$B$12),$B119,INDEX(CONSENSUS!$A$2:$BZ$20001,0,$B$13),$B$5,INDEX(CONSENSUS!$A$2:$BZ$20001,0,$B$10),$F$13))</f>
        <v/>
      </c>
      <c r="Y149" s="21">
        <f>IF(OR($B119="",Y$27=""),0,SUMIFS(INDEX(CONSENSUS!$A$2:$BZ$20001,0,Y$27),INDEX(CONSENSUS!$A$2:$BZ$20001,0,$B$11),$B$1,INDEX(CONSENSUS!$A$2:$BZ$20001,0,$B$12),$B119,INDEX(CONSENSUS!$A$2:$BZ$20001,0,$B$13),$B$5,INDEX(CONSENSUS!$A$2:$BZ$20001,0,$B$10),$F$13))</f>
        <v/>
      </c>
      <c r="Z149" s="21">
        <f>IF(OR($B119="",Z$27=""),0,SUMIFS(INDEX(CONSENSUS!$A$2:$BZ$20001,0,Z$27),INDEX(CONSENSUS!$A$2:$BZ$20001,0,$B$11),$B$1,INDEX(CONSENSUS!$A$2:$BZ$20001,0,$B$12),$B119,INDEX(CONSENSUS!$A$2:$BZ$20001,0,$B$13),$B$5,INDEX(CONSENSUS!$A$2:$BZ$20001,0,$B$10),$F$13))</f>
        <v/>
      </c>
      <c r="AA149" s="21">
        <f>IF(OR($B119="",AA$27=""),0,SUMIFS(INDEX(CONSENSUS!$A$2:$BZ$20001,0,AA$27),INDEX(CONSENSUS!$A$2:$BZ$20001,0,$B$11),$B$1,INDEX(CONSENSUS!$A$2:$BZ$20001,0,$B$12),$B119,INDEX(CONSENSUS!$A$2:$BZ$20001,0,$B$13),$B$5,INDEX(CONSENSUS!$A$2:$BZ$20001,0,$B$10),$F$13))</f>
        <v/>
      </c>
      <c r="AB149" s="21">
        <f>IF(OR($B119="",AB$27=""),0,SUMIFS(INDEX(CONSENSUS!$A$2:$BZ$20001,0,AB$27),INDEX(CONSENSUS!$A$2:$BZ$20001,0,$B$11),$B$1,INDEX(CONSENSUS!$A$2:$BZ$20001,0,$B$12),$B119,INDEX(CONSENSUS!$A$2:$BZ$20001,0,$B$13),$B$5,INDEX(CONSENSUS!$A$2:$BZ$20001,0,$B$10),$F$13))</f>
        <v/>
      </c>
      <c r="AC149" s="21">
        <f>IF(OR($B119="",AC$27=""),0,SUMIFS(INDEX(CONSENSUS!$A$2:$BZ$20001,0,AC$27),INDEX(CONSENSUS!$A$2:$BZ$20001,0,$B$11),$B$1,INDEX(CONSENSUS!$A$2:$BZ$20001,0,$B$12),$B119,INDEX(CONSENSUS!$A$2:$BZ$20001,0,$B$13),$B$5,INDEX(CONSENSUS!$A$2:$BZ$20001,0,$B$10),$F$13))</f>
        <v/>
      </c>
      <c r="AD149" s="21">
        <f>IF(OR($B119="",AD$27=""),0,SUMIFS(INDEX(CONSENSUS!$A$2:$BZ$20001,0,AD$27),INDEX(CONSENSUS!$A$2:$BZ$20001,0,$B$11),$B$1,INDEX(CONSENSUS!$A$2:$BZ$20001,0,$B$12),$B119,INDEX(CONSENSUS!$A$2:$BZ$20001,0,$B$13),$B$5,INDEX(CONSENSUS!$A$2:$BZ$20001,0,$B$10),$F$13))</f>
        <v/>
      </c>
      <c r="AE149" s="21">
        <f>IF(OR($B119="",AE$27=""),0,SUMIFS(INDEX(CONSENSUS!$A$2:$BZ$20001,0,AE$27),INDEX(CONSENSUS!$A$2:$BZ$20001,0,$B$11),$B$1,INDEX(CONSENSUS!$A$2:$BZ$20001,0,$B$12),$B119,INDEX(CONSENSUS!$A$2:$BZ$20001,0,$B$13),$B$5,INDEX(CONSENSUS!$A$2:$BZ$20001,0,$B$10),$F$13))</f>
        <v/>
      </c>
      <c r="AF149" s="21">
        <f>IF(OR($B119="",AF$27=""),0,SUMIFS(INDEX(CONSENSUS!$A$2:$BZ$20001,0,AF$27),INDEX(CONSENSUS!$A$2:$BZ$20001,0,$B$11),$B$1,INDEX(CONSENSUS!$A$2:$BZ$20001,0,$B$12),$B119,INDEX(CONSENSUS!$A$2:$BZ$20001,0,$B$13),$B$5,INDEX(CONSENSUS!$A$2:$BZ$20001,0,$B$10),$F$13))</f>
        <v/>
      </c>
      <c r="AG149" s="21">
        <f>IF(OR($B119="",AG$27=""),0,SUMIFS(INDEX(CONSENSUS!$A$2:$BZ$20001,0,AG$27),INDEX(CONSENSUS!$A$2:$BZ$20001,0,$B$11),$B$1,INDEX(CONSENSUS!$A$2:$BZ$20001,0,$B$12),$B119,INDEX(CONSENSUS!$A$2:$BZ$20001,0,$B$13),$B$5,INDEX(CONSENSUS!$A$2:$BZ$20001,0,$B$10),$F$13))</f>
        <v/>
      </c>
      <c r="AH149" s="21">
        <f>IF(OR($B119="",AH$27=""),0,SUMIFS(INDEX(CONSENSUS!$A$2:$BZ$20001,0,AH$27),INDEX(CONSENSUS!$A$2:$BZ$20001,0,$B$11),$B$1,INDEX(CONSENSUS!$A$2:$BZ$20001,0,$B$12),$B119,INDEX(CONSENSUS!$A$2:$BZ$20001,0,$B$13),$B$5,INDEX(CONSENSUS!$A$2:$BZ$20001,0,$B$10),$F$13))</f>
        <v/>
      </c>
      <c r="AI149" s="21">
        <f>IF(OR($B119="",AI$27=""),0,SUMIFS(INDEX(CONSENSUS!$A$2:$BZ$20001,0,AI$27),INDEX(CONSENSUS!$A$2:$BZ$20001,0,$B$11),$B$1,INDEX(CONSENSUS!$A$2:$BZ$20001,0,$B$12),$B119,INDEX(CONSENSUS!$A$2:$BZ$20001,0,$B$13),$B$5,INDEX(CONSENSUS!$A$2:$BZ$20001,0,$B$10),$F$13))</f>
        <v/>
      </c>
      <c r="AJ149" s="21">
        <f>IF(OR($B119="",AJ$27=""),0,SUMIFS(INDEX(CONSENSUS!$A$2:$BZ$20001,0,AJ$27),INDEX(CONSENSUS!$A$2:$BZ$20001,0,$B$11),$B$1,INDEX(CONSENSUS!$A$2:$BZ$20001,0,$B$12),$B119,INDEX(CONSENSUS!$A$2:$BZ$20001,0,$B$13),$B$5,INDEX(CONSENSUS!$A$2:$BZ$20001,0,$B$10),$F$13))</f>
        <v/>
      </c>
      <c r="AK149" s="21">
        <f>IF(OR($B119="",AK$27=""),0,SUMIFS(INDEX(CONSENSUS!$A$2:$BZ$20001,0,AK$27),INDEX(CONSENSUS!$A$2:$BZ$20001,0,$B$11),$B$1,INDEX(CONSENSUS!$A$2:$BZ$20001,0,$B$12),$B119,INDEX(CONSENSUS!$A$2:$BZ$20001,0,$B$13),$B$5,INDEX(CONSENSUS!$A$2:$BZ$20001,0,$B$10),$F$13))</f>
        <v/>
      </c>
      <c r="AL149" s="21">
        <f>IF(OR($B119="",AL$27=""),0,SUMIFS(INDEX(CONSENSUS!$A$2:$BZ$20001,0,AL$27),INDEX(CONSENSUS!$A$2:$BZ$20001,0,$B$11),$B$1,INDEX(CONSENSUS!$A$2:$BZ$20001,0,$B$12),$B119,INDEX(CONSENSUS!$A$2:$BZ$20001,0,$B$13),$B$5,INDEX(CONSENSUS!$A$2:$BZ$20001,0,$B$10),$F$13))</f>
        <v/>
      </c>
      <c r="AM149" s="21">
        <f>IF(OR($B119="",AM$27=""),0,SUMIFS(INDEX(CONSENSUS!$A$2:$BZ$20001,0,AM$27),INDEX(CONSENSUS!$A$2:$BZ$20001,0,$B$11),$B$1,INDEX(CONSENSUS!$A$2:$BZ$20001,0,$B$12),$B119,INDEX(CONSENSUS!$A$2:$BZ$20001,0,$B$13),$B$5,INDEX(CONSENSUS!$A$2:$BZ$20001,0,$B$10),$F$13))</f>
        <v/>
      </c>
    </row>
    <row r="150">
      <c r="A150" s="23">
        <f>IF($B120="","Consensus original","Consensus original | "&amp;$B120)</f>
        <v/>
      </c>
      <c r="D150" s="21">
        <f>IF(OR($B120="",D$27=""),0,SUMIFS(INDEX(CONSENSUS!$A$2:$BZ$20001,0,D$27),INDEX(CONSENSUS!$A$2:$BZ$20001,0,$B$11),$B$1,INDEX(CONSENSUS!$A$2:$BZ$20001,0,$B$12),$B120,INDEX(CONSENSUS!$A$2:$BZ$20001,0,$B$13),$B$5,INDEX(CONSENSUS!$A$2:$BZ$20001,0,$B$10),$F$13))</f>
        <v/>
      </c>
      <c r="E150" s="21">
        <f>IF(OR($B120="",E$27=""),0,SUMIFS(INDEX(CONSENSUS!$A$2:$BZ$20001,0,E$27),INDEX(CONSENSUS!$A$2:$BZ$20001,0,$B$11),$B$1,INDEX(CONSENSUS!$A$2:$BZ$20001,0,$B$12),$B120,INDEX(CONSENSUS!$A$2:$BZ$20001,0,$B$13),$B$5,INDEX(CONSENSUS!$A$2:$BZ$20001,0,$B$10),$F$13))</f>
        <v/>
      </c>
      <c r="F150" s="21">
        <f>IF(OR($B120="",F$27=""),0,SUMIFS(INDEX(CONSENSUS!$A$2:$BZ$20001,0,F$27),INDEX(CONSENSUS!$A$2:$BZ$20001,0,$B$11),$B$1,INDEX(CONSENSUS!$A$2:$BZ$20001,0,$B$12),$B120,INDEX(CONSENSUS!$A$2:$BZ$20001,0,$B$13),$B$5,INDEX(CONSENSUS!$A$2:$BZ$20001,0,$B$10),$F$13))</f>
        <v/>
      </c>
      <c r="G150" s="21">
        <f>IF(OR($B120="",G$27=""),0,SUMIFS(INDEX(CONSENSUS!$A$2:$BZ$20001,0,G$27),INDEX(CONSENSUS!$A$2:$BZ$20001,0,$B$11),$B$1,INDEX(CONSENSUS!$A$2:$BZ$20001,0,$B$12),$B120,INDEX(CONSENSUS!$A$2:$BZ$20001,0,$B$13),$B$5,INDEX(CONSENSUS!$A$2:$BZ$20001,0,$B$10),$F$13))</f>
        <v/>
      </c>
      <c r="H150" s="21">
        <f>IF(OR($B120="",H$27=""),0,SUMIFS(INDEX(CONSENSUS!$A$2:$BZ$20001,0,H$27),INDEX(CONSENSUS!$A$2:$BZ$20001,0,$B$11),$B$1,INDEX(CONSENSUS!$A$2:$BZ$20001,0,$B$12),$B120,INDEX(CONSENSUS!$A$2:$BZ$20001,0,$B$13),$B$5,INDEX(CONSENSUS!$A$2:$BZ$20001,0,$B$10),$F$13))</f>
        <v/>
      </c>
      <c r="I150" s="21">
        <f>IF(OR($B120="",I$27=""),0,SUMIFS(INDEX(CONSENSUS!$A$2:$BZ$20001,0,I$27),INDEX(CONSENSUS!$A$2:$BZ$20001,0,$B$11),$B$1,INDEX(CONSENSUS!$A$2:$BZ$20001,0,$B$12),$B120,INDEX(CONSENSUS!$A$2:$BZ$20001,0,$B$13),$B$5,INDEX(CONSENSUS!$A$2:$BZ$20001,0,$B$10),$F$13))</f>
        <v/>
      </c>
      <c r="J150" s="21">
        <f>IF(OR($B120="",J$27=""),0,SUMIFS(INDEX(CONSENSUS!$A$2:$BZ$20001,0,J$27),INDEX(CONSENSUS!$A$2:$BZ$20001,0,$B$11),$B$1,INDEX(CONSENSUS!$A$2:$BZ$20001,0,$B$12),$B120,INDEX(CONSENSUS!$A$2:$BZ$20001,0,$B$13),$B$5,INDEX(CONSENSUS!$A$2:$BZ$20001,0,$B$10),$F$13))</f>
        <v/>
      </c>
      <c r="K150" s="21">
        <f>IF(OR($B120="",K$27=""),0,SUMIFS(INDEX(CONSENSUS!$A$2:$BZ$20001,0,K$27),INDEX(CONSENSUS!$A$2:$BZ$20001,0,$B$11),$B$1,INDEX(CONSENSUS!$A$2:$BZ$20001,0,$B$12),$B120,INDEX(CONSENSUS!$A$2:$BZ$20001,0,$B$13),$B$5,INDEX(CONSENSUS!$A$2:$BZ$20001,0,$B$10),$F$13))</f>
        <v/>
      </c>
      <c r="L150" s="21">
        <f>IF(OR($B120="",L$27=""),0,SUMIFS(INDEX(CONSENSUS!$A$2:$BZ$20001,0,L$27),INDEX(CONSENSUS!$A$2:$BZ$20001,0,$B$11),$B$1,INDEX(CONSENSUS!$A$2:$BZ$20001,0,$B$12),$B120,INDEX(CONSENSUS!$A$2:$BZ$20001,0,$B$13),$B$5,INDEX(CONSENSUS!$A$2:$BZ$20001,0,$B$10),$F$13))</f>
        <v/>
      </c>
      <c r="M150" s="21">
        <f>IF(OR($B120="",M$27=""),0,SUMIFS(INDEX(CONSENSUS!$A$2:$BZ$20001,0,M$27),INDEX(CONSENSUS!$A$2:$BZ$20001,0,$B$11),$B$1,INDEX(CONSENSUS!$A$2:$BZ$20001,0,$B$12),$B120,INDEX(CONSENSUS!$A$2:$BZ$20001,0,$B$13),$B$5,INDEX(CONSENSUS!$A$2:$BZ$20001,0,$B$10),$F$13))</f>
        <v/>
      </c>
      <c r="N150" s="21">
        <f>IF(OR($B120="",N$27=""),0,SUMIFS(INDEX(CONSENSUS!$A$2:$BZ$20001,0,N$27),INDEX(CONSENSUS!$A$2:$BZ$20001,0,$B$11),$B$1,INDEX(CONSENSUS!$A$2:$BZ$20001,0,$B$12),$B120,INDEX(CONSENSUS!$A$2:$BZ$20001,0,$B$13),$B$5,INDEX(CONSENSUS!$A$2:$BZ$20001,0,$B$10),$F$13))</f>
        <v/>
      </c>
      <c r="O150" s="21">
        <f>IF(OR($B120="",O$27=""),0,SUMIFS(INDEX(CONSENSUS!$A$2:$BZ$20001,0,O$27),INDEX(CONSENSUS!$A$2:$BZ$20001,0,$B$11),$B$1,INDEX(CONSENSUS!$A$2:$BZ$20001,0,$B$12),$B120,INDEX(CONSENSUS!$A$2:$BZ$20001,0,$B$13),$B$5,INDEX(CONSENSUS!$A$2:$BZ$20001,0,$B$10),$F$13))</f>
        <v/>
      </c>
      <c r="P150" s="21">
        <f>IF(OR($B120="",P$27=""),0,SUMIFS(INDEX(CONSENSUS!$A$2:$BZ$20001,0,P$27),INDEX(CONSENSUS!$A$2:$BZ$20001,0,$B$11),$B$1,INDEX(CONSENSUS!$A$2:$BZ$20001,0,$B$12),$B120,INDEX(CONSENSUS!$A$2:$BZ$20001,0,$B$13),$B$5,INDEX(CONSENSUS!$A$2:$BZ$20001,0,$B$10),$F$13))</f>
        <v/>
      </c>
      <c r="Q150" s="21">
        <f>IF(OR($B120="",Q$27=""),0,SUMIFS(INDEX(CONSENSUS!$A$2:$BZ$20001,0,Q$27),INDEX(CONSENSUS!$A$2:$BZ$20001,0,$B$11),$B$1,INDEX(CONSENSUS!$A$2:$BZ$20001,0,$B$12),$B120,INDEX(CONSENSUS!$A$2:$BZ$20001,0,$B$13),$B$5,INDEX(CONSENSUS!$A$2:$BZ$20001,0,$B$10),$F$13))</f>
        <v/>
      </c>
      <c r="R150" s="21">
        <f>IF(OR($B120="",R$27=""),0,SUMIFS(INDEX(CONSENSUS!$A$2:$BZ$20001,0,R$27),INDEX(CONSENSUS!$A$2:$BZ$20001,0,$B$11),$B$1,INDEX(CONSENSUS!$A$2:$BZ$20001,0,$B$12),$B120,INDEX(CONSENSUS!$A$2:$BZ$20001,0,$B$13),$B$5,INDEX(CONSENSUS!$A$2:$BZ$20001,0,$B$10),$F$13))</f>
        <v/>
      </c>
      <c r="S150" s="21">
        <f>IF(OR($B120="",S$27=""),0,SUMIFS(INDEX(CONSENSUS!$A$2:$BZ$20001,0,S$27),INDEX(CONSENSUS!$A$2:$BZ$20001,0,$B$11),$B$1,INDEX(CONSENSUS!$A$2:$BZ$20001,0,$B$12),$B120,INDEX(CONSENSUS!$A$2:$BZ$20001,0,$B$13),$B$5,INDEX(CONSENSUS!$A$2:$BZ$20001,0,$B$10),$F$13))</f>
        <v/>
      </c>
      <c r="T150" s="21">
        <f>IF(OR($B120="",T$27=""),0,SUMIFS(INDEX(CONSENSUS!$A$2:$BZ$20001,0,T$27),INDEX(CONSENSUS!$A$2:$BZ$20001,0,$B$11),$B$1,INDEX(CONSENSUS!$A$2:$BZ$20001,0,$B$12),$B120,INDEX(CONSENSUS!$A$2:$BZ$20001,0,$B$13),$B$5,INDEX(CONSENSUS!$A$2:$BZ$20001,0,$B$10),$F$13))</f>
        <v/>
      </c>
      <c r="U150" s="21">
        <f>IF(OR($B120="",U$27=""),0,SUMIFS(INDEX(CONSENSUS!$A$2:$BZ$20001,0,U$27),INDEX(CONSENSUS!$A$2:$BZ$20001,0,$B$11),$B$1,INDEX(CONSENSUS!$A$2:$BZ$20001,0,$B$12),$B120,INDEX(CONSENSUS!$A$2:$BZ$20001,0,$B$13),$B$5,INDEX(CONSENSUS!$A$2:$BZ$20001,0,$B$10),$F$13))</f>
        <v/>
      </c>
      <c r="V150" s="21">
        <f>IF(OR($B120="",V$27=""),0,SUMIFS(INDEX(CONSENSUS!$A$2:$BZ$20001,0,V$27),INDEX(CONSENSUS!$A$2:$BZ$20001,0,$B$11),$B$1,INDEX(CONSENSUS!$A$2:$BZ$20001,0,$B$12),$B120,INDEX(CONSENSUS!$A$2:$BZ$20001,0,$B$13),$B$5,INDEX(CONSENSUS!$A$2:$BZ$20001,0,$B$10),$F$13))</f>
        <v/>
      </c>
      <c r="W150" s="21">
        <f>IF(OR($B120="",W$27=""),0,SUMIFS(INDEX(CONSENSUS!$A$2:$BZ$20001,0,W$27),INDEX(CONSENSUS!$A$2:$BZ$20001,0,$B$11),$B$1,INDEX(CONSENSUS!$A$2:$BZ$20001,0,$B$12),$B120,INDEX(CONSENSUS!$A$2:$BZ$20001,0,$B$13),$B$5,INDEX(CONSENSUS!$A$2:$BZ$20001,0,$B$10),$F$13))</f>
        <v/>
      </c>
      <c r="X150" s="21">
        <f>IF(OR($B120="",X$27=""),0,SUMIFS(INDEX(CONSENSUS!$A$2:$BZ$20001,0,X$27),INDEX(CONSENSUS!$A$2:$BZ$20001,0,$B$11),$B$1,INDEX(CONSENSUS!$A$2:$BZ$20001,0,$B$12),$B120,INDEX(CONSENSUS!$A$2:$BZ$20001,0,$B$13),$B$5,INDEX(CONSENSUS!$A$2:$BZ$20001,0,$B$10),$F$13))</f>
        <v/>
      </c>
      <c r="Y150" s="21">
        <f>IF(OR($B120="",Y$27=""),0,SUMIFS(INDEX(CONSENSUS!$A$2:$BZ$20001,0,Y$27),INDEX(CONSENSUS!$A$2:$BZ$20001,0,$B$11),$B$1,INDEX(CONSENSUS!$A$2:$BZ$20001,0,$B$12),$B120,INDEX(CONSENSUS!$A$2:$BZ$20001,0,$B$13),$B$5,INDEX(CONSENSUS!$A$2:$BZ$20001,0,$B$10),$F$13))</f>
        <v/>
      </c>
      <c r="Z150" s="21">
        <f>IF(OR($B120="",Z$27=""),0,SUMIFS(INDEX(CONSENSUS!$A$2:$BZ$20001,0,Z$27),INDEX(CONSENSUS!$A$2:$BZ$20001,0,$B$11),$B$1,INDEX(CONSENSUS!$A$2:$BZ$20001,0,$B$12),$B120,INDEX(CONSENSUS!$A$2:$BZ$20001,0,$B$13),$B$5,INDEX(CONSENSUS!$A$2:$BZ$20001,0,$B$10),$F$13))</f>
        <v/>
      </c>
      <c r="AA150" s="21">
        <f>IF(OR($B120="",AA$27=""),0,SUMIFS(INDEX(CONSENSUS!$A$2:$BZ$20001,0,AA$27),INDEX(CONSENSUS!$A$2:$BZ$20001,0,$B$11),$B$1,INDEX(CONSENSUS!$A$2:$BZ$20001,0,$B$12),$B120,INDEX(CONSENSUS!$A$2:$BZ$20001,0,$B$13),$B$5,INDEX(CONSENSUS!$A$2:$BZ$20001,0,$B$10),$F$13))</f>
        <v/>
      </c>
      <c r="AB150" s="21">
        <f>IF(OR($B120="",AB$27=""),0,SUMIFS(INDEX(CONSENSUS!$A$2:$BZ$20001,0,AB$27),INDEX(CONSENSUS!$A$2:$BZ$20001,0,$B$11),$B$1,INDEX(CONSENSUS!$A$2:$BZ$20001,0,$B$12),$B120,INDEX(CONSENSUS!$A$2:$BZ$20001,0,$B$13),$B$5,INDEX(CONSENSUS!$A$2:$BZ$20001,0,$B$10),$F$13))</f>
        <v/>
      </c>
      <c r="AC150" s="21">
        <f>IF(OR($B120="",AC$27=""),0,SUMIFS(INDEX(CONSENSUS!$A$2:$BZ$20001,0,AC$27),INDEX(CONSENSUS!$A$2:$BZ$20001,0,$B$11),$B$1,INDEX(CONSENSUS!$A$2:$BZ$20001,0,$B$12),$B120,INDEX(CONSENSUS!$A$2:$BZ$20001,0,$B$13),$B$5,INDEX(CONSENSUS!$A$2:$BZ$20001,0,$B$10),$F$13))</f>
        <v/>
      </c>
      <c r="AD150" s="21">
        <f>IF(OR($B120="",AD$27=""),0,SUMIFS(INDEX(CONSENSUS!$A$2:$BZ$20001,0,AD$27),INDEX(CONSENSUS!$A$2:$BZ$20001,0,$B$11),$B$1,INDEX(CONSENSUS!$A$2:$BZ$20001,0,$B$12),$B120,INDEX(CONSENSUS!$A$2:$BZ$20001,0,$B$13),$B$5,INDEX(CONSENSUS!$A$2:$BZ$20001,0,$B$10),$F$13))</f>
        <v/>
      </c>
      <c r="AE150" s="21">
        <f>IF(OR($B120="",AE$27=""),0,SUMIFS(INDEX(CONSENSUS!$A$2:$BZ$20001,0,AE$27),INDEX(CONSENSUS!$A$2:$BZ$20001,0,$B$11),$B$1,INDEX(CONSENSUS!$A$2:$BZ$20001,0,$B$12),$B120,INDEX(CONSENSUS!$A$2:$BZ$20001,0,$B$13),$B$5,INDEX(CONSENSUS!$A$2:$BZ$20001,0,$B$10),$F$13))</f>
        <v/>
      </c>
      <c r="AF150" s="21">
        <f>IF(OR($B120="",AF$27=""),0,SUMIFS(INDEX(CONSENSUS!$A$2:$BZ$20001,0,AF$27),INDEX(CONSENSUS!$A$2:$BZ$20001,0,$B$11),$B$1,INDEX(CONSENSUS!$A$2:$BZ$20001,0,$B$12),$B120,INDEX(CONSENSUS!$A$2:$BZ$20001,0,$B$13),$B$5,INDEX(CONSENSUS!$A$2:$BZ$20001,0,$B$10),$F$13))</f>
        <v/>
      </c>
      <c r="AG150" s="21">
        <f>IF(OR($B120="",AG$27=""),0,SUMIFS(INDEX(CONSENSUS!$A$2:$BZ$20001,0,AG$27),INDEX(CONSENSUS!$A$2:$BZ$20001,0,$B$11),$B$1,INDEX(CONSENSUS!$A$2:$BZ$20001,0,$B$12),$B120,INDEX(CONSENSUS!$A$2:$BZ$20001,0,$B$13),$B$5,INDEX(CONSENSUS!$A$2:$BZ$20001,0,$B$10),$F$13))</f>
        <v/>
      </c>
      <c r="AH150" s="21">
        <f>IF(OR($B120="",AH$27=""),0,SUMIFS(INDEX(CONSENSUS!$A$2:$BZ$20001,0,AH$27),INDEX(CONSENSUS!$A$2:$BZ$20001,0,$B$11),$B$1,INDEX(CONSENSUS!$A$2:$BZ$20001,0,$B$12),$B120,INDEX(CONSENSUS!$A$2:$BZ$20001,0,$B$13),$B$5,INDEX(CONSENSUS!$A$2:$BZ$20001,0,$B$10),$F$13))</f>
        <v/>
      </c>
      <c r="AI150" s="21">
        <f>IF(OR($B120="",AI$27=""),0,SUMIFS(INDEX(CONSENSUS!$A$2:$BZ$20001,0,AI$27),INDEX(CONSENSUS!$A$2:$BZ$20001,0,$B$11),$B$1,INDEX(CONSENSUS!$A$2:$BZ$20001,0,$B$12),$B120,INDEX(CONSENSUS!$A$2:$BZ$20001,0,$B$13),$B$5,INDEX(CONSENSUS!$A$2:$BZ$20001,0,$B$10),$F$13))</f>
        <v/>
      </c>
      <c r="AJ150" s="21">
        <f>IF(OR($B120="",AJ$27=""),0,SUMIFS(INDEX(CONSENSUS!$A$2:$BZ$20001,0,AJ$27),INDEX(CONSENSUS!$A$2:$BZ$20001,0,$B$11),$B$1,INDEX(CONSENSUS!$A$2:$BZ$20001,0,$B$12),$B120,INDEX(CONSENSUS!$A$2:$BZ$20001,0,$B$13),$B$5,INDEX(CONSENSUS!$A$2:$BZ$20001,0,$B$10),$F$13))</f>
        <v/>
      </c>
      <c r="AK150" s="21">
        <f>IF(OR($B120="",AK$27=""),0,SUMIFS(INDEX(CONSENSUS!$A$2:$BZ$20001,0,AK$27),INDEX(CONSENSUS!$A$2:$BZ$20001,0,$B$11),$B$1,INDEX(CONSENSUS!$A$2:$BZ$20001,0,$B$12),$B120,INDEX(CONSENSUS!$A$2:$BZ$20001,0,$B$13),$B$5,INDEX(CONSENSUS!$A$2:$BZ$20001,0,$B$10),$F$13))</f>
        <v/>
      </c>
      <c r="AL150" s="21">
        <f>IF(OR($B120="",AL$27=""),0,SUMIFS(INDEX(CONSENSUS!$A$2:$BZ$20001,0,AL$27),INDEX(CONSENSUS!$A$2:$BZ$20001,0,$B$11),$B$1,INDEX(CONSENSUS!$A$2:$BZ$20001,0,$B$12),$B120,INDEX(CONSENSUS!$A$2:$BZ$20001,0,$B$13),$B$5,INDEX(CONSENSUS!$A$2:$BZ$20001,0,$B$10),$F$13))</f>
        <v/>
      </c>
      <c r="AM150" s="21">
        <f>IF(OR($B120="",AM$27=""),0,SUMIFS(INDEX(CONSENSUS!$A$2:$BZ$20001,0,AM$27),INDEX(CONSENSUS!$A$2:$BZ$20001,0,$B$11),$B$1,INDEX(CONSENSUS!$A$2:$BZ$20001,0,$B$12),$B120,INDEX(CONSENSUS!$A$2:$BZ$20001,0,$B$13),$B$5,INDEX(CONSENSUS!$A$2:$BZ$20001,0,$B$10),$F$13))</f>
        <v/>
      </c>
    </row>
    <row r="153">
      <c r="A153" s="23">
        <f>IF($B113="","Consensus simulado","Consensus simulado | "&amp;$B113)</f>
        <v/>
      </c>
      <c r="D153" s="21">
        <f>IF($B113="",0,MAX(0,D143+(D123-D133)))</f>
        <v/>
      </c>
      <c r="E153" s="21">
        <f>IF($B113="",0,MAX(0,E143+(E123-E133)))</f>
        <v/>
      </c>
      <c r="F153" s="21">
        <f>IF($B113="",0,MAX(0,F143+(F123-F133)))</f>
        <v/>
      </c>
      <c r="G153" s="21">
        <f>IF($B113="",0,MAX(0,G143+(G123-G133)))</f>
        <v/>
      </c>
      <c r="H153" s="21">
        <f>IF($B113="",0,MAX(0,H143+(H123-H133)))</f>
        <v/>
      </c>
      <c r="I153" s="21">
        <f>IF($B113="",0,MAX(0,I143+(I123-I133)))</f>
        <v/>
      </c>
      <c r="J153" s="21">
        <f>IF($B113="",0,MAX(0,J143+(J123-J133)))</f>
        <v/>
      </c>
      <c r="K153" s="21">
        <f>IF($B113="",0,MAX(0,K143+(K123-K133)))</f>
        <v/>
      </c>
      <c r="L153" s="21">
        <f>IF($B113="",0,MAX(0,L143+(L123-L133)))</f>
        <v/>
      </c>
      <c r="M153" s="21">
        <f>IF($B113="",0,MAX(0,M143+(M123-M133)))</f>
        <v/>
      </c>
      <c r="N153" s="21">
        <f>IF($B113="",0,MAX(0,N143+(N123-N133)))</f>
        <v/>
      </c>
      <c r="O153" s="21">
        <f>IF($B113="",0,MAX(0,O143+(O123-O133)))</f>
        <v/>
      </c>
      <c r="P153" s="21">
        <f>IF($B113="",0,MAX(0,P143+(P123-P133)))</f>
        <v/>
      </c>
      <c r="Q153" s="21">
        <f>IF($B113="",0,MAX(0,Q143+(Q123-Q133)))</f>
        <v/>
      </c>
      <c r="R153" s="21">
        <f>IF($B113="",0,MAX(0,R143+(R123-R133)))</f>
        <v/>
      </c>
      <c r="S153" s="21">
        <f>IF($B113="",0,MAX(0,S143+(S123-S133)))</f>
        <v/>
      </c>
      <c r="T153" s="21">
        <f>IF($B113="",0,MAX(0,T143+(T123-T133)))</f>
        <v/>
      </c>
      <c r="U153" s="21">
        <f>IF($B113="",0,MAX(0,U143+(U123-U133)))</f>
        <v/>
      </c>
      <c r="V153" s="21">
        <f>IF($B113="",0,MAX(0,V143+(V123-V133)))</f>
        <v/>
      </c>
      <c r="W153" s="21">
        <f>IF($B113="",0,MAX(0,W143+(W123-W133)))</f>
        <v/>
      </c>
      <c r="X153" s="21">
        <f>IF($B113="",0,MAX(0,X143+(X123-X133)))</f>
        <v/>
      </c>
      <c r="Y153" s="21">
        <f>IF($B113="",0,MAX(0,Y143+(Y123-Y133)))</f>
        <v/>
      </c>
      <c r="Z153" s="21">
        <f>IF($B113="",0,MAX(0,Z143+(Z123-Z133)))</f>
        <v/>
      </c>
      <c r="AA153" s="21">
        <f>IF($B113="",0,MAX(0,AA143+(AA123-AA133)))</f>
        <v/>
      </c>
      <c r="AB153" s="21">
        <f>IF($B113="",0,MAX(0,AB143+(AB123-AB133)))</f>
        <v/>
      </c>
      <c r="AC153" s="21">
        <f>IF($B113="",0,MAX(0,AC143+(AC123-AC133)))</f>
        <v/>
      </c>
      <c r="AD153" s="21">
        <f>IF($B113="",0,MAX(0,AD143+(AD123-AD133)))</f>
        <v/>
      </c>
      <c r="AE153" s="21">
        <f>IF($B113="",0,MAX(0,AE143+(AE123-AE133)))</f>
        <v/>
      </c>
      <c r="AF153" s="21">
        <f>IF($B113="",0,MAX(0,AF143+(AF123-AF133)))</f>
        <v/>
      </c>
      <c r="AG153" s="21">
        <f>IF($B113="",0,MAX(0,AG143+(AG123-AG133)))</f>
        <v/>
      </c>
      <c r="AH153" s="21">
        <f>IF($B113="",0,MAX(0,AH143+(AH123-AH133)))</f>
        <v/>
      </c>
      <c r="AI153" s="21">
        <f>IF($B113="",0,MAX(0,AI143+(AI123-AI133)))</f>
        <v/>
      </c>
      <c r="AJ153" s="21">
        <f>IF($B113="",0,MAX(0,AJ143+(AJ123-AJ133)))</f>
        <v/>
      </c>
      <c r="AK153" s="21">
        <f>IF($B113="",0,MAX(0,AK143+(AK123-AK133)))</f>
        <v/>
      </c>
      <c r="AL153" s="21">
        <f>IF($B113="",0,MAX(0,AL143+(AL123-AL133)))</f>
        <v/>
      </c>
      <c r="AM153" s="21">
        <f>IF($B113="",0,MAX(0,AM143+(AM123-AM133)))</f>
        <v/>
      </c>
    </row>
    <row r="154">
      <c r="A154" s="23">
        <f>IF($B114="","Consensus simulado","Consensus simulado | "&amp;$B114)</f>
        <v/>
      </c>
      <c r="D154" s="21">
        <f>IF($B114="",0,MAX(0,D144+(D124-D134)))</f>
        <v/>
      </c>
      <c r="E154" s="21">
        <f>IF($B114="",0,MAX(0,E144+(E124-E134)))</f>
        <v/>
      </c>
      <c r="F154" s="21">
        <f>IF($B114="",0,MAX(0,F144+(F124-F134)))</f>
        <v/>
      </c>
      <c r="G154" s="21">
        <f>IF($B114="",0,MAX(0,G144+(G124-G134)))</f>
        <v/>
      </c>
      <c r="H154" s="21">
        <f>IF($B114="",0,MAX(0,H144+(H124-H134)))</f>
        <v/>
      </c>
      <c r="I154" s="21">
        <f>IF($B114="",0,MAX(0,I144+(I124-I134)))</f>
        <v/>
      </c>
      <c r="J154" s="21">
        <f>IF($B114="",0,MAX(0,J144+(J124-J134)))</f>
        <v/>
      </c>
      <c r="K154" s="21">
        <f>IF($B114="",0,MAX(0,K144+(K124-K134)))</f>
        <v/>
      </c>
      <c r="L154" s="21">
        <f>IF($B114="",0,MAX(0,L144+(L124-L134)))</f>
        <v/>
      </c>
      <c r="M154" s="21">
        <f>IF($B114="",0,MAX(0,M144+(M124-M134)))</f>
        <v/>
      </c>
      <c r="N154" s="21">
        <f>IF($B114="",0,MAX(0,N144+(N124-N134)))</f>
        <v/>
      </c>
      <c r="O154" s="21">
        <f>IF($B114="",0,MAX(0,O144+(O124-O134)))</f>
        <v/>
      </c>
      <c r="P154" s="21">
        <f>IF($B114="",0,MAX(0,P144+(P124-P134)))</f>
        <v/>
      </c>
      <c r="Q154" s="21">
        <f>IF($B114="",0,MAX(0,Q144+(Q124-Q134)))</f>
        <v/>
      </c>
      <c r="R154" s="21">
        <f>IF($B114="",0,MAX(0,R144+(R124-R134)))</f>
        <v/>
      </c>
      <c r="S154" s="21">
        <f>IF($B114="",0,MAX(0,S144+(S124-S134)))</f>
        <v/>
      </c>
      <c r="T154" s="21">
        <f>IF($B114="",0,MAX(0,T144+(T124-T134)))</f>
        <v/>
      </c>
      <c r="U154" s="21">
        <f>IF($B114="",0,MAX(0,U144+(U124-U134)))</f>
        <v/>
      </c>
      <c r="V154" s="21">
        <f>IF($B114="",0,MAX(0,V144+(V124-V134)))</f>
        <v/>
      </c>
      <c r="W154" s="21">
        <f>IF($B114="",0,MAX(0,W144+(W124-W134)))</f>
        <v/>
      </c>
      <c r="X154" s="21">
        <f>IF($B114="",0,MAX(0,X144+(X124-X134)))</f>
        <v/>
      </c>
      <c r="Y154" s="21">
        <f>IF($B114="",0,MAX(0,Y144+(Y124-Y134)))</f>
        <v/>
      </c>
      <c r="Z154" s="21">
        <f>IF($B114="",0,MAX(0,Z144+(Z124-Z134)))</f>
        <v/>
      </c>
      <c r="AA154" s="21">
        <f>IF($B114="",0,MAX(0,AA144+(AA124-AA134)))</f>
        <v/>
      </c>
      <c r="AB154" s="21">
        <f>IF($B114="",0,MAX(0,AB144+(AB124-AB134)))</f>
        <v/>
      </c>
      <c r="AC154" s="21">
        <f>IF($B114="",0,MAX(0,AC144+(AC124-AC134)))</f>
        <v/>
      </c>
      <c r="AD154" s="21">
        <f>IF($B114="",0,MAX(0,AD144+(AD124-AD134)))</f>
        <v/>
      </c>
      <c r="AE154" s="21">
        <f>IF($B114="",0,MAX(0,AE144+(AE124-AE134)))</f>
        <v/>
      </c>
      <c r="AF154" s="21">
        <f>IF($B114="",0,MAX(0,AF144+(AF124-AF134)))</f>
        <v/>
      </c>
      <c r="AG154" s="21">
        <f>IF($B114="",0,MAX(0,AG144+(AG124-AG134)))</f>
        <v/>
      </c>
      <c r="AH154" s="21">
        <f>IF($B114="",0,MAX(0,AH144+(AH124-AH134)))</f>
        <v/>
      </c>
      <c r="AI154" s="21">
        <f>IF($B114="",0,MAX(0,AI144+(AI124-AI134)))</f>
        <v/>
      </c>
      <c r="AJ154" s="21">
        <f>IF($B114="",0,MAX(0,AJ144+(AJ124-AJ134)))</f>
        <v/>
      </c>
      <c r="AK154" s="21">
        <f>IF($B114="",0,MAX(0,AK144+(AK124-AK134)))</f>
        <v/>
      </c>
      <c r="AL154" s="21">
        <f>IF($B114="",0,MAX(0,AL144+(AL124-AL134)))</f>
        <v/>
      </c>
      <c r="AM154" s="21">
        <f>IF($B114="",0,MAX(0,AM144+(AM124-AM134)))</f>
        <v/>
      </c>
    </row>
    <row r="155">
      <c r="A155" s="23">
        <f>IF($B115="","Consensus simulado","Consensus simulado | "&amp;$B115)</f>
        <v/>
      </c>
      <c r="D155" s="21">
        <f>IF($B115="",0,MAX(0,D145+(D125-D135)))</f>
        <v/>
      </c>
      <c r="E155" s="21">
        <f>IF($B115="",0,MAX(0,E145+(E125-E135)))</f>
        <v/>
      </c>
      <c r="F155" s="21">
        <f>IF($B115="",0,MAX(0,F145+(F125-F135)))</f>
        <v/>
      </c>
      <c r="G155" s="21">
        <f>IF($B115="",0,MAX(0,G145+(G125-G135)))</f>
        <v/>
      </c>
      <c r="H155" s="21">
        <f>IF($B115="",0,MAX(0,H145+(H125-H135)))</f>
        <v/>
      </c>
      <c r="I155" s="21">
        <f>IF($B115="",0,MAX(0,I145+(I125-I135)))</f>
        <v/>
      </c>
      <c r="J155" s="21">
        <f>IF($B115="",0,MAX(0,J145+(J125-J135)))</f>
        <v/>
      </c>
      <c r="K155" s="21">
        <f>IF($B115="",0,MAX(0,K145+(K125-K135)))</f>
        <v/>
      </c>
      <c r="L155" s="21">
        <f>IF($B115="",0,MAX(0,L145+(L125-L135)))</f>
        <v/>
      </c>
      <c r="M155" s="21">
        <f>IF($B115="",0,MAX(0,M145+(M125-M135)))</f>
        <v/>
      </c>
      <c r="N155" s="21">
        <f>IF($B115="",0,MAX(0,N145+(N125-N135)))</f>
        <v/>
      </c>
      <c r="O155" s="21">
        <f>IF($B115="",0,MAX(0,O145+(O125-O135)))</f>
        <v/>
      </c>
      <c r="P155" s="21">
        <f>IF($B115="",0,MAX(0,P145+(P125-P135)))</f>
        <v/>
      </c>
      <c r="Q155" s="21">
        <f>IF($B115="",0,MAX(0,Q145+(Q125-Q135)))</f>
        <v/>
      </c>
      <c r="R155" s="21">
        <f>IF($B115="",0,MAX(0,R145+(R125-R135)))</f>
        <v/>
      </c>
      <c r="S155" s="21">
        <f>IF($B115="",0,MAX(0,S145+(S125-S135)))</f>
        <v/>
      </c>
      <c r="T155" s="21">
        <f>IF($B115="",0,MAX(0,T145+(T125-T135)))</f>
        <v/>
      </c>
      <c r="U155" s="21">
        <f>IF($B115="",0,MAX(0,U145+(U125-U135)))</f>
        <v/>
      </c>
      <c r="V155" s="21">
        <f>IF($B115="",0,MAX(0,V145+(V125-V135)))</f>
        <v/>
      </c>
      <c r="W155" s="21">
        <f>IF($B115="",0,MAX(0,W145+(W125-W135)))</f>
        <v/>
      </c>
      <c r="X155" s="21">
        <f>IF($B115="",0,MAX(0,X145+(X125-X135)))</f>
        <v/>
      </c>
      <c r="Y155" s="21">
        <f>IF($B115="",0,MAX(0,Y145+(Y125-Y135)))</f>
        <v/>
      </c>
      <c r="Z155" s="21">
        <f>IF($B115="",0,MAX(0,Z145+(Z125-Z135)))</f>
        <v/>
      </c>
      <c r="AA155" s="21">
        <f>IF($B115="",0,MAX(0,AA145+(AA125-AA135)))</f>
        <v/>
      </c>
      <c r="AB155" s="21">
        <f>IF($B115="",0,MAX(0,AB145+(AB125-AB135)))</f>
        <v/>
      </c>
      <c r="AC155" s="21">
        <f>IF($B115="",0,MAX(0,AC145+(AC125-AC135)))</f>
        <v/>
      </c>
      <c r="AD155" s="21">
        <f>IF($B115="",0,MAX(0,AD145+(AD125-AD135)))</f>
        <v/>
      </c>
      <c r="AE155" s="21">
        <f>IF($B115="",0,MAX(0,AE145+(AE125-AE135)))</f>
        <v/>
      </c>
      <c r="AF155" s="21">
        <f>IF($B115="",0,MAX(0,AF145+(AF125-AF135)))</f>
        <v/>
      </c>
      <c r="AG155" s="21">
        <f>IF($B115="",0,MAX(0,AG145+(AG125-AG135)))</f>
        <v/>
      </c>
      <c r="AH155" s="21">
        <f>IF($B115="",0,MAX(0,AH145+(AH125-AH135)))</f>
        <v/>
      </c>
      <c r="AI155" s="21">
        <f>IF($B115="",0,MAX(0,AI145+(AI125-AI135)))</f>
        <v/>
      </c>
      <c r="AJ155" s="21">
        <f>IF($B115="",0,MAX(0,AJ145+(AJ125-AJ135)))</f>
        <v/>
      </c>
      <c r="AK155" s="21">
        <f>IF($B115="",0,MAX(0,AK145+(AK125-AK135)))</f>
        <v/>
      </c>
      <c r="AL155" s="21">
        <f>IF($B115="",0,MAX(0,AL145+(AL125-AL135)))</f>
        <v/>
      </c>
      <c r="AM155" s="21">
        <f>IF($B115="",0,MAX(0,AM145+(AM125-AM135)))</f>
        <v/>
      </c>
    </row>
    <row r="156">
      <c r="A156" s="23">
        <f>IF($B116="","Consensus simulado","Consensus simulado | "&amp;$B116)</f>
        <v/>
      </c>
      <c r="D156" s="21">
        <f>IF($B116="",0,MAX(0,D146+(D126-D136)))</f>
        <v/>
      </c>
      <c r="E156" s="21">
        <f>IF($B116="",0,MAX(0,E146+(E126-E136)))</f>
        <v/>
      </c>
      <c r="F156" s="21">
        <f>IF($B116="",0,MAX(0,F146+(F126-F136)))</f>
        <v/>
      </c>
      <c r="G156" s="21">
        <f>IF($B116="",0,MAX(0,G146+(G126-G136)))</f>
        <v/>
      </c>
      <c r="H156" s="21">
        <f>IF($B116="",0,MAX(0,H146+(H126-H136)))</f>
        <v/>
      </c>
      <c r="I156" s="21">
        <f>IF($B116="",0,MAX(0,I146+(I126-I136)))</f>
        <v/>
      </c>
      <c r="J156" s="21">
        <f>IF($B116="",0,MAX(0,J146+(J126-J136)))</f>
        <v/>
      </c>
      <c r="K156" s="21">
        <f>IF($B116="",0,MAX(0,K146+(K126-K136)))</f>
        <v/>
      </c>
      <c r="L156" s="21">
        <f>IF($B116="",0,MAX(0,L146+(L126-L136)))</f>
        <v/>
      </c>
      <c r="M156" s="21">
        <f>IF($B116="",0,MAX(0,M146+(M126-M136)))</f>
        <v/>
      </c>
      <c r="N156" s="21">
        <f>IF($B116="",0,MAX(0,N146+(N126-N136)))</f>
        <v/>
      </c>
      <c r="O156" s="21">
        <f>IF($B116="",0,MAX(0,O146+(O126-O136)))</f>
        <v/>
      </c>
      <c r="P156" s="21">
        <f>IF($B116="",0,MAX(0,P146+(P126-P136)))</f>
        <v/>
      </c>
      <c r="Q156" s="21">
        <f>IF($B116="",0,MAX(0,Q146+(Q126-Q136)))</f>
        <v/>
      </c>
      <c r="R156" s="21">
        <f>IF($B116="",0,MAX(0,R146+(R126-R136)))</f>
        <v/>
      </c>
      <c r="S156" s="21">
        <f>IF($B116="",0,MAX(0,S146+(S126-S136)))</f>
        <v/>
      </c>
      <c r="T156" s="21">
        <f>IF($B116="",0,MAX(0,T146+(T126-T136)))</f>
        <v/>
      </c>
      <c r="U156" s="21">
        <f>IF($B116="",0,MAX(0,U146+(U126-U136)))</f>
        <v/>
      </c>
      <c r="V156" s="21">
        <f>IF($B116="",0,MAX(0,V146+(V126-V136)))</f>
        <v/>
      </c>
      <c r="W156" s="21">
        <f>IF($B116="",0,MAX(0,W146+(W126-W136)))</f>
        <v/>
      </c>
      <c r="X156" s="21">
        <f>IF($B116="",0,MAX(0,X146+(X126-X136)))</f>
        <v/>
      </c>
      <c r="Y156" s="21">
        <f>IF($B116="",0,MAX(0,Y146+(Y126-Y136)))</f>
        <v/>
      </c>
      <c r="Z156" s="21">
        <f>IF($B116="",0,MAX(0,Z146+(Z126-Z136)))</f>
        <v/>
      </c>
      <c r="AA156" s="21">
        <f>IF($B116="",0,MAX(0,AA146+(AA126-AA136)))</f>
        <v/>
      </c>
      <c r="AB156" s="21">
        <f>IF($B116="",0,MAX(0,AB146+(AB126-AB136)))</f>
        <v/>
      </c>
      <c r="AC156" s="21">
        <f>IF($B116="",0,MAX(0,AC146+(AC126-AC136)))</f>
        <v/>
      </c>
      <c r="AD156" s="21">
        <f>IF($B116="",0,MAX(0,AD146+(AD126-AD136)))</f>
        <v/>
      </c>
      <c r="AE156" s="21">
        <f>IF($B116="",0,MAX(0,AE146+(AE126-AE136)))</f>
        <v/>
      </c>
      <c r="AF156" s="21">
        <f>IF($B116="",0,MAX(0,AF146+(AF126-AF136)))</f>
        <v/>
      </c>
      <c r="AG156" s="21">
        <f>IF($B116="",0,MAX(0,AG146+(AG126-AG136)))</f>
        <v/>
      </c>
      <c r="AH156" s="21">
        <f>IF($B116="",0,MAX(0,AH146+(AH126-AH136)))</f>
        <v/>
      </c>
      <c r="AI156" s="21">
        <f>IF($B116="",0,MAX(0,AI146+(AI126-AI136)))</f>
        <v/>
      </c>
      <c r="AJ156" s="21">
        <f>IF($B116="",0,MAX(0,AJ146+(AJ126-AJ136)))</f>
        <v/>
      </c>
      <c r="AK156" s="21">
        <f>IF($B116="",0,MAX(0,AK146+(AK126-AK136)))</f>
        <v/>
      </c>
      <c r="AL156" s="21">
        <f>IF($B116="",0,MAX(0,AL146+(AL126-AL136)))</f>
        <v/>
      </c>
      <c r="AM156" s="21">
        <f>IF($B116="",0,MAX(0,AM146+(AM126-AM136)))</f>
        <v/>
      </c>
    </row>
    <row r="157">
      <c r="A157" s="23">
        <f>IF($B117="","Consensus simulado","Consensus simulado | "&amp;$B117)</f>
        <v/>
      </c>
      <c r="D157" s="21">
        <f>IF($B117="",0,MAX(0,D147+(D127-D137)))</f>
        <v/>
      </c>
      <c r="E157" s="21">
        <f>IF($B117="",0,MAX(0,E147+(E127-E137)))</f>
        <v/>
      </c>
      <c r="F157" s="21">
        <f>IF($B117="",0,MAX(0,F147+(F127-F137)))</f>
        <v/>
      </c>
      <c r="G157" s="21">
        <f>IF($B117="",0,MAX(0,G147+(G127-G137)))</f>
        <v/>
      </c>
      <c r="H157" s="21">
        <f>IF($B117="",0,MAX(0,H147+(H127-H137)))</f>
        <v/>
      </c>
      <c r="I157" s="21">
        <f>IF($B117="",0,MAX(0,I147+(I127-I137)))</f>
        <v/>
      </c>
      <c r="J157" s="21">
        <f>IF($B117="",0,MAX(0,J147+(J127-J137)))</f>
        <v/>
      </c>
      <c r="K157" s="21">
        <f>IF($B117="",0,MAX(0,K147+(K127-K137)))</f>
        <v/>
      </c>
      <c r="L157" s="21">
        <f>IF($B117="",0,MAX(0,L147+(L127-L137)))</f>
        <v/>
      </c>
      <c r="M157" s="21">
        <f>IF($B117="",0,MAX(0,M147+(M127-M137)))</f>
        <v/>
      </c>
      <c r="N157" s="21">
        <f>IF($B117="",0,MAX(0,N147+(N127-N137)))</f>
        <v/>
      </c>
      <c r="O157" s="21">
        <f>IF($B117="",0,MAX(0,O147+(O127-O137)))</f>
        <v/>
      </c>
      <c r="P157" s="21">
        <f>IF($B117="",0,MAX(0,P147+(P127-P137)))</f>
        <v/>
      </c>
      <c r="Q157" s="21">
        <f>IF($B117="",0,MAX(0,Q147+(Q127-Q137)))</f>
        <v/>
      </c>
      <c r="R157" s="21">
        <f>IF($B117="",0,MAX(0,R147+(R127-R137)))</f>
        <v/>
      </c>
      <c r="S157" s="21">
        <f>IF($B117="",0,MAX(0,S147+(S127-S137)))</f>
        <v/>
      </c>
      <c r="T157" s="21">
        <f>IF($B117="",0,MAX(0,T147+(T127-T137)))</f>
        <v/>
      </c>
      <c r="U157" s="21">
        <f>IF($B117="",0,MAX(0,U147+(U127-U137)))</f>
        <v/>
      </c>
      <c r="V157" s="21">
        <f>IF($B117="",0,MAX(0,V147+(V127-V137)))</f>
        <v/>
      </c>
      <c r="W157" s="21">
        <f>IF($B117="",0,MAX(0,W147+(W127-W137)))</f>
        <v/>
      </c>
      <c r="X157" s="21">
        <f>IF($B117="",0,MAX(0,X147+(X127-X137)))</f>
        <v/>
      </c>
      <c r="Y157" s="21">
        <f>IF($B117="",0,MAX(0,Y147+(Y127-Y137)))</f>
        <v/>
      </c>
      <c r="Z157" s="21">
        <f>IF($B117="",0,MAX(0,Z147+(Z127-Z137)))</f>
        <v/>
      </c>
      <c r="AA157" s="21">
        <f>IF($B117="",0,MAX(0,AA147+(AA127-AA137)))</f>
        <v/>
      </c>
      <c r="AB157" s="21">
        <f>IF($B117="",0,MAX(0,AB147+(AB127-AB137)))</f>
        <v/>
      </c>
      <c r="AC157" s="21">
        <f>IF($B117="",0,MAX(0,AC147+(AC127-AC137)))</f>
        <v/>
      </c>
      <c r="AD157" s="21">
        <f>IF($B117="",0,MAX(0,AD147+(AD127-AD137)))</f>
        <v/>
      </c>
      <c r="AE157" s="21">
        <f>IF($B117="",0,MAX(0,AE147+(AE127-AE137)))</f>
        <v/>
      </c>
      <c r="AF157" s="21">
        <f>IF($B117="",0,MAX(0,AF147+(AF127-AF137)))</f>
        <v/>
      </c>
      <c r="AG157" s="21">
        <f>IF($B117="",0,MAX(0,AG147+(AG127-AG137)))</f>
        <v/>
      </c>
      <c r="AH157" s="21">
        <f>IF($B117="",0,MAX(0,AH147+(AH127-AH137)))</f>
        <v/>
      </c>
      <c r="AI157" s="21">
        <f>IF($B117="",0,MAX(0,AI147+(AI127-AI137)))</f>
        <v/>
      </c>
      <c r="AJ157" s="21">
        <f>IF($B117="",0,MAX(0,AJ147+(AJ127-AJ137)))</f>
        <v/>
      </c>
      <c r="AK157" s="21">
        <f>IF($B117="",0,MAX(0,AK147+(AK127-AK137)))</f>
        <v/>
      </c>
      <c r="AL157" s="21">
        <f>IF($B117="",0,MAX(0,AL147+(AL127-AL137)))</f>
        <v/>
      </c>
      <c r="AM157" s="21">
        <f>IF($B117="",0,MAX(0,AM147+(AM127-AM137)))</f>
        <v/>
      </c>
    </row>
    <row r="158">
      <c r="A158" s="23">
        <f>IF($B118="","Consensus simulado","Consensus simulado | "&amp;$B118)</f>
        <v/>
      </c>
      <c r="D158" s="21">
        <f>IF($B118="",0,MAX(0,D148+(D128-D138)))</f>
        <v/>
      </c>
      <c r="E158" s="21">
        <f>IF($B118="",0,MAX(0,E148+(E128-E138)))</f>
        <v/>
      </c>
      <c r="F158" s="21">
        <f>IF($B118="",0,MAX(0,F148+(F128-F138)))</f>
        <v/>
      </c>
      <c r="G158" s="21">
        <f>IF($B118="",0,MAX(0,G148+(G128-G138)))</f>
        <v/>
      </c>
      <c r="H158" s="21">
        <f>IF($B118="",0,MAX(0,H148+(H128-H138)))</f>
        <v/>
      </c>
      <c r="I158" s="21">
        <f>IF($B118="",0,MAX(0,I148+(I128-I138)))</f>
        <v/>
      </c>
      <c r="J158" s="21">
        <f>IF($B118="",0,MAX(0,J148+(J128-J138)))</f>
        <v/>
      </c>
      <c r="K158" s="21">
        <f>IF($B118="",0,MAX(0,K148+(K128-K138)))</f>
        <v/>
      </c>
      <c r="L158" s="21">
        <f>IF($B118="",0,MAX(0,L148+(L128-L138)))</f>
        <v/>
      </c>
      <c r="M158" s="21">
        <f>IF($B118="",0,MAX(0,M148+(M128-M138)))</f>
        <v/>
      </c>
      <c r="N158" s="21">
        <f>IF($B118="",0,MAX(0,N148+(N128-N138)))</f>
        <v/>
      </c>
      <c r="O158" s="21">
        <f>IF($B118="",0,MAX(0,O148+(O128-O138)))</f>
        <v/>
      </c>
      <c r="P158" s="21">
        <f>IF($B118="",0,MAX(0,P148+(P128-P138)))</f>
        <v/>
      </c>
      <c r="Q158" s="21">
        <f>IF($B118="",0,MAX(0,Q148+(Q128-Q138)))</f>
        <v/>
      </c>
      <c r="R158" s="21">
        <f>IF($B118="",0,MAX(0,R148+(R128-R138)))</f>
        <v/>
      </c>
      <c r="S158" s="21">
        <f>IF($B118="",0,MAX(0,S148+(S128-S138)))</f>
        <v/>
      </c>
      <c r="T158" s="21">
        <f>IF($B118="",0,MAX(0,T148+(T128-T138)))</f>
        <v/>
      </c>
      <c r="U158" s="21">
        <f>IF($B118="",0,MAX(0,U148+(U128-U138)))</f>
        <v/>
      </c>
      <c r="V158" s="21">
        <f>IF($B118="",0,MAX(0,V148+(V128-V138)))</f>
        <v/>
      </c>
      <c r="W158" s="21">
        <f>IF($B118="",0,MAX(0,W148+(W128-W138)))</f>
        <v/>
      </c>
      <c r="X158" s="21">
        <f>IF($B118="",0,MAX(0,X148+(X128-X138)))</f>
        <v/>
      </c>
      <c r="Y158" s="21">
        <f>IF($B118="",0,MAX(0,Y148+(Y128-Y138)))</f>
        <v/>
      </c>
      <c r="Z158" s="21">
        <f>IF($B118="",0,MAX(0,Z148+(Z128-Z138)))</f>
        <v/>
      </c>
      <c r="AA158" s="21">
        <f>IF($B118="",0,MAX(0,AA148+(AA128-AA138)))</f>
        <v/>
      </c>
      <c r="AB158" s="21">
        <f>IF($B118="",0,MAX(0,AB148+(AB128-AB138)))</f>
        <v/>
      </c>
      <c r="AC158" s="21">
        <f>IF($B118="",0,MAX(0,AC148+(AC128-AC138)))</f>
        <v/>
      </c>
      <c r="AD158" s="21">
        <f>IF($B118="",0,MAX(0,AD148+(AD128-AD138)))</f>
        <v/>
      </c>
      <c r="AE158" s="21">
        <f>IF($B118="",0,MAX(0,AE148+(AE128-AE138)))</f>
        <v/>
      </c>
      <c r="AF158" s="21">
        <f>IF($B118="",0,MAX(0,AF148+(AF128-AF138)))</f>
        <v/>
      </c>
      <c r="AG158" s="21">
        <f>IF($B118="",0,MAX(0,AG148+(AG128-AG138)))</f>
        <v/>
      </c>
      <c r="AH158" s="21">
        <f>IF($B118="",0,MAX(0,AH148+(AH128-AH138)))</f>
        <v/>
      </c>
      <c r="AI158" s="21">
        <f>IF($B118="",0,MAX(0,AI148+(AI128-AI138)))</f>
        <v/>
      </c>
      <c r="AJ158" s="21">
        <f>IF($B118="",0,MAX(0,AJ148+(AJ128-AJ138)))</f>
        <v/>
      </c>
      <c r="AK158" s="21">
        <f>IF($B118="",0,MAX(0,AK148+(AK128-AK138)))</f>
        <v/>
      </c>
      <c r="AL158" s="21">
        <f>IF($B118="",0,MAX(0,AL148+(AL128-AL138)))</f>
        <v/>
      </c>
      <c r="AM158" s="21">
        <f>IF($B118="",0,MAX(0,AM148+(AM128-AM138)))</f>
        <v/>
      </c>
    </row>
    <row r="159">
      <c r="A159" s="23">
        <f>IF($B119="","Consensus simulado","Consensus simulado | "&amp;$B119)</f>
        <v/>
      </c>
      <c r="D159" s="21">
        <f>IF($B119="",0,MAX(0,D149+(D129-D139)))</f>
        <v/>
      </c>
      <c r="E159" s="21">
        <f>IF($B119="",0,MAX(0,E149+(E129-E139)))</f>
        <v/>
      </c>
      <c r="F159" s="21">
        <f>IF($B119="",0,MAX(0,F149+(F129-F139)))</f>
        <v/>
      </c>
      <c r="G159" s="21">
        <f>IF($B119="",0,MAX(0,G149+(G129-G139)))</f>
        <v/>
      </c>
      <c r="H159" s="21">
        <f>IF($B119="",0,MAX(0,H149+(H129-H139)))</f>
        <v/>
      </c>
      <c r="I159" s="21">
        <f>IF($B119="",0,MAX(0,I149+(I129-I139)))</f>
        <v/>
      </c>
      <c r="J159" s="21">
        <f>IF($B119="",0,MAX(0,J149+(J129-J139)))</f>
        <v/>
      </c>
      <c r="K159" s="21">
        <f>IF($B119="",0,MAX(0,K149+(K129-K139)))</f>
        <v/>
      </c>
      <c r="L159" s="21">
        <f>IF($B119="",0,MAX(0,L149+(L129-L139)))</f>
        <v/>
      </c>
      <c r="M159" s="21">
        <f>IF($B119="",0,MAX(0,M149+(M129-M139)))</f>
        <v/>
      </c>
      <c r="N159" s="21">
        <f>IF($B119="",0,MAX(0,N149+(N129-N139)))</f>
        <v/>
      </c>
      <c r="O159" s="21">
        <f>IF($B119="",0,MAX(0,O149+(O129-O139)))</f>
        <v/>
      </c>
      <c r="P159" s="21">
        <f>IF($B119="",0,MAX(0,P149+(P129-P139)))</f>
        <v/>
      </c>
      <c r="Q159" s="21">
        <f>IF($B119="",0,MAX(0,Q149+(Q129-Q139)))</f>
        <v/>
      </c>
      <c r="R159" s="21">
        <f>IF($B119="",0,MAX(0,R149+(R129-R139)))</f>
        <v/>
      </c>
      <c r="S159" s="21">
        <f>IF($B119="",0,MAX(0,S149+(S129-S139)))</f>
        <v/>
      </c>
      <c r="T159" s="21">
        <f>IF($B119="",0,MAX(0,T149+(T129-T139)))</f>
        <v/>
      </c>
      <c r="U159" s="21">
        <f>IF($B119="",0,MAX(0,U149+(U129-U139)))</f>
        <v/>
      </c>
      <c r="V159" s="21">
        <f>IF($B119="",0,MAX(0,V149+(V129-V139)))</f>
        <v/>
      </c>
      <c r="W159" s="21">
        <f>IF($B119="",0,MAX(0,W149+(W129-W139)))</f>
        <v/>
      </c>
      <c r="X159" s="21">
        <f>IF($B119="",0,MAX(0,X149+(X129-X139)))</f>
        <v/>
      </c>
      <c r="Y159" s="21">
        <f>IF($B119="",0,MAX(0,Y149+(Y129-Y139)))</f>
        <v/>
      </c>
      <c r="Z159" s="21">
        <f>IF($B119="",0,MAX(0,Z149+(Z129-Z139)))</f>
        <v/>
      </c>
      <c r="AA159" s="21">
        <f>IF($B119="",0,MAX(0,AA149+(AA129-AA139)))</f>
        <v/>
      </c>
      <c r="AB159" s="21">
        <f>IF($B119="",0,MAX(0,AB149+(AB129-AB139)))</f>
        <v/>
      </c>
      <c r="AC159" s="21">
        <f>IF($B119="",0,MAX(0,AC149+(AC129-AC139)))</f>
        <v/>
      </c>
      <c r="AD159" s="21">
        <f>IF($B119="",0,MAX(0,AD149+(AD129-AD139)))</f>
        <v/>
      </c>
      <c r="AE159" s="21">
        <f>IF($B119="",0,MAX(0,AE149+(AE129-AE139)))</f>
        <v/>
      </c>
      <c r="AF159" s="21">
        <f>IF($B119="",0,MAX(0,AF149+(AF129-AF139)))</f>
        <v/>
      </c>
      <c r="AG159" s="21">
        <f>IF($B119="",0,MAX(0,AG149+(AG129-AG139)))</f>
        <v/>
      </c>
      <c r="AH159" s="21">
        <f>IF($B119="",0,MAX(0,AH149+(AH129-AH139)))</f>
        <v/>
      </c>
      <c r="AI159" s="21">
        <f>IF($B119="",0,MAX(0,AI149+(AI129-AI139)))</f>
        <v/>
      </c>
      <c r="AJ159" s="21">
        <f>IF($B119="",0,MAX(0,AJ149+(AJ129-AJ139)))</f>
        <v/>
      </c>
      <c r="AK159" s="21">
        <f>IF($B119="",0,MAX(0,AK149+(AK129-AK139)))</f>
        <v/>
      </c>
      <c r="AL159" s="21">
        <f>IF($B119="",0,MAX(0,AL149+(AL129-AL139)))</f>
        <v/>
      </c>
      <c r="AM159" s="21">
        <f>IF($B119="",0,MAX(0,AM149+(AM129-AM139)))</f>
        <v/>
      </c>
    </row>
    <row r="160">
      <c r="A160" s="23">
        <f>IF($B120="","Consensus simulado","Consensus simulado | "&amp;$B120)</f>
        <v/>
      </c>
      <c r="D160" s="21">
        <f>IF($B120="",0,MAX(0,D150+(D130-D140)))</f>
        <v/>
      </c>
      <c r="E160" s="21">
        <f>IF($B120="",0,MAX(0,E150+(E130-E140)))</f>
        <v/>
      </c>
      <c r="F160" s="21">
        <f>IF($B120="",0,MAX(0,F150+(F130-F140)))</f>
        <v/>
      </c>
      <c r="G160" s="21">
        <f>IF($B120="",0,MAX(0,G150+(G130-G140)))</f>
        <v/>
      </c>
      <c r="H160" s="21">
        <f>IF($B120="",0,MAX(0,H150+(H130-H140)))</f>
        <v/>
      </c>
      <c r="I160" s="21">
        <f>IF($B120="",0,MAX(0,I150+(I130-I140)))</f>
        <v/>
      </c>
      <c r="J160" s="21">
        <f>IF($B120="",0,MAX(0,J150+(J130-J140)))</f>
        <v/>
      </c>
      <c r="K160" s="21">
        <f>IF($B120="",0,MAX(0,K150+(K130-K140)))</f>
        <v/>
      </c>
      <c r="L160" s="21">
        <f>IF($B120="",0,MAX(0,L150+(L130-L140)))</f>
        <v/>
      </c>
      <c r="M160" s="21">
        <f>IF($B120="",0,MAX(0,M150+(M130-M140)))</f>
        <v/>
      </c>
      <c r="N160" s="21">
        <f>IF($B120="",0,MAX(0,N150+(N130-N140)))</f>
        <v/>
      </c>
      <c r="O160" s="21">
        <f>IF($B120="",0,MAX(0,O150+(O130-O140)))</f>
        <v/>
      </c>
      <c r="P160" s="21">
        <f>IF($B120="",0,MAX(0,P150+(P130-P140)))</f>
        <v/>
      </c>
      <c r="Q160" s="21">
        <f>IF($B120="",0,MAX(0,Q150+(Q130-Q140)))</f>
        <v/>
      </c>
      <c r="R160" s="21">
        <f>IF($B120="",0,MAX(0,R150+(R130-R140)))</f>
        <v/>
      </c>
      <c r="S160" s="21">
        <f>IF($B120="",0,MAX(0,S150+(S130-S140)))</f>
        <v/>
      </c>
      <c r="T160" s="21">
        <f>IF($B120="",0,MAX(0,T150+(T130-T140)))</f>
        <v/>
      </c>
      <c r="U160" s="21">
        <f>IF($B120="",0,MAX(0,U150+(U130-U140)))</f>
        <v/>
      </c>
      <c r="V160" s="21">
        <f>IF($B120="",0,MAX(0,V150+(V130-V140)))</f>
        <v/>
      </c>
      <c r="W160" s="21">
        <f>IF($B120="",0,MAX(0,W150+(W130-W140)))</f>
        <v/>
      </c>
      <c r="X160" s="21">
        <f>IF($B120="",0,MAX(0,X150+(X130-X140)))</f>
        <v/>
      </c>
      <c r="Y160" s="21">
        <f>IF($B120="",0,MAX(0,Y150+(Y130-Y140)))</f>
        <v/>
      </c>
      <c r="Z160" s="21">
        <f>IF($B120="",0,MAX(0,Z150+(Z130-Z140)))</f>
        <v/>
      </c>
      <c r="AA160" s="21">
        <f>IF($B120="",0,MAX(0,AA150+(AA130-AA140)))</f>
        <v/>
      </c>
      <c r="AB160" s="21">
        <f>IF($B120="",0,MAX(0,AB150+(AB130-AB140)))</f>
        <v/>
      </c>
      <c r="AC160" s="21">
        <f>IF($B120="",0,MAX(0,AC150+(AC130-AC140)))</f>
        <v/>
      </c>
      <c r="AD160" s="21">
        <f>IF($B120="",0,MAX(0,AD150+(AD130-AD140)))</f>
        <v/>
      </c>
      <c r="AE160" s="21">
        <f>IF($B120="",0,MAX(0,AE150+(AE130-AE140)))</f>
        <v/>
      </c>
      <c r="AF160" s="21">
        <f>IF($B120="",0,MAX(0,AF150+(AF130-AF140)))</f>
        <v/>
      </c>
      <c r="AG160" s="21">
        <f>IF($B120="",0,MAX(0,AG150+(AG130-AG140)))</f>
        <v/>
      </c>
      <c r="AH160" s="21">
        <f>IF($B120="",0,MAX(0,AH150+(AH130-AH140)))</f>
        <v/>
      </c>
      <c r="AI160" s="21">
        <f>IF($B120="",0,MAX(0,AI150+(AI130-AI140)))</f>
        <v/>
      </c>
      <c r="AJ160" s="21">
        <f>IF($B120="",0,MAX(0,AJ150+(AJ130-AJ140)))</f>
        <v/>
      </c>
      <c r="AK160" s="21">
        <f>IF($B120="",0,MAX(0,AK150+(AK130-AK140)))</f>
        <v/>
      </c>
      <c r="AL160" s="21">
        <f>IF($B120="",0,MAX(0,AL150+(AL130-AL140)))</f>
        <v/>
      </c>
      <c r="AM160" s="21">
        <f>IF($B120="",0,MAX(0,AM150+(AM130-AM140)))</f>
        <v/>
      </c>
    </row>
    <row r="161">
      <c r="A161" s="3" t="inlineStr">
        <is>
          <t>Consensus original (filtro)</t>
        </is>
      </c>
      <c r="D161" s="21">
        <f>IF(D$27="",0,SUMPRODUCT($N$113:$N$120,D$143:D$150))</f>
        <v/>
      </c>
      <c r="E161" s="21">
        <f>IF(E$27="",0,SUMPRODUCT($N$113:$N$120,E$143:E$150))</f>
        <v/>
      </c>
      <c r="F161" s="21">
        <f>IF(F$27="",0,SUMPRODUCT($N$113:$N$120,F$143:F$150))</f>
        <v/>
      </c>
      <c r="G161" s="21">
        <f>IF(G$27="",0,SUMPRODUCT($N$113:$N$120,G$143:G$150))</f>
        <v/>
      </c>
      <c r="H161" s="21">
        <f>IF(H$27="",0,SUMPRODUCT($N$113:$N$120,H$143:H$150))</f>
        <v/>
      </c>
      <c r="I161" s="21">
        <f>IF(I$27="",0,SUMPRODUCT($N$113:$N$120,I$143:I$150))</f>
        <v/>
      </c>
      <c r="J161" s="21">
        <f>IF(J$27="",0,SUMPRODUCT($N$113:$N$120,J$143:J$150))</f>
        <v/>
      </c>
      <c r="K161" s="21">
        <f>IF(K$27="",0,SUMPRODUCT($N$113:$N$120,K$143:K$150))</f>
        <v/>
      </c>
      <c r="L161" s="21">
        <f>IF(L$27="",0,SUMPRODUCT($N$113:$N$120,L$143:L$150))</f>
        <v/>
      </c>
      <c r="M161" s="21">
        <f>IF(M$27="",0,SUMPRODUCT($N$113:$N$120,M$143:M$150))</f>
        <v/>
      </c>
      <c r="N161" s="21">
        <f>IF(N$27="",0,SUMPRODUCT($N$113:$N$120,N$143:N$150))</f>
        <v/>
      </c>
      <c r="O161" s="21">
        <f>IF(O$27="",0,SUMPRODUCT($N$113:$N$120,O$143:O$150))</f>
        <v/>
      </c>
      <c r="P161" s="21">
        <f>IF(P$27="",0,SUMPRODUCT($N$113:$N$120,P$143:P$150))</f>
        <v/>
      </c>
      <c r="Q161" s="21">
        <f>IF(Q$27="",0,SUMPRODUCT($N$113:$N$120,Q$143:Q$150))</f>
        <v/>
      </c>
      <c r="R161" s="21">
        <f>IF(R$27="",0,SUMPRODUCT($N$113:$N$120,R$143:R$150))</f>
        <v/>
      </c>
      <c r="S161" s="21">
        <f>IF(S$27="",0,SUMPRODUCT($N$113:$N$120,S$143:S$150))</f>
        <v/>
      </c>
      <c r="T161" s="21">
        <f>IF(T$27="",0,SUMPRODUCT($N$113:$N$120,T$143:T$150))</f>
        <v/>
      </c>
      <c r="U161" s="21">
        <f>IF(U$27="",0,SUMPRODUCT($N$113:$N$120,U$143:U$150))</f>
        <v/>
      </c>
      <c r="V161" s="21">
        <f>IF(V$27="",0,SUMPRODUCT($N$113:$N$120,V$143:V$150))</f>
        <v/>
      </c>
      <c r="W161" s="21">
        <f>IF(W$27="",0,SUMPRODUCT($N$113:$N$120,W$143:W$150))</f>
        <v/>
      </c>
      <c r="X161" s="21">
        <f>IF(X$27="",0,SUMPRODUCT($N$113:$N$120,X$143:X$150))</f>
        <v/>
      </c>
      <c r="Y161" s="21">
        <f>IF(Y$27="",0,SUMPRODUCT($N$113:$N$120,Y$143:Y$150))</f>
        <v/>
      </c>
      <c r="Z161" s="21">
        <f>IF(Z$27="",0,SUMPRODUCT($N$113:$N$120,Z$143:Z$150))</f>
        <v/>
      </c>
      <c r="AA161" s="21">
        <f>IF(AA$27="",0,SUMPRODUCT($N$113:$N$120,AA$143:AA$150))</f>
        <v/>
      </c>
      <c r="AB161" s="21">
        <f>IF(AB$27="",0,SUMPRODUCT($N$113:$N$120,AB$143:AB$150))</f>
        <v/>
      </c>
      <c r="AC161" s="21">
        <f>IF(AC$27="",0,SUMPRODUCT($N$113:$N$120,AC$143:AC$150))</f>
        <v/>
      </c>
      <c r="AD161" s="21">
        <f>IF(AD$27="",0,SUMPRODUCT($N$113:$N$120,AD$143:AD$150))</f>
        <v/>
      </c>
      <c r="AE161" s="21">
        <f>IF(AE$27="",0,SUMPRODUCT($N$113:$N$120,AE$143:AE$150))</f>
        <v/>
      </c>
      <c r="AF161" s="21">
        <f>IF(AF$27="",0,SUMPRODUCT($N$113:$N$120,AF$143:AF$150))</f>
        <v/>
      </c>
      <c r="AG161" s="21">
        <f>IF(AG$27="",0,SUMPRODUCT($N$113:$N$120,AG$143:AG$150))</f>
        <v/>
      </c>
      <c r="AH161" s="21">
        <f>IF(AH$27="",0,SUMPRODUCT($N$113:$N$120,AH$143:AH$150))</f>
        <v/>
      </c>
      <c r="AI161" s="21">
        <f>IF(AI$27="",0,SUMPRODUCT($N$113:$N$120,AI$143:AI$150))</f>
        <v/>
      </c>
      <c r="AJ161" s="21">
        <f>IF(AJ$27="",0,SUMPRODUCT($N$113:$N$120,AJ$143:AJ$150))</f>
        <v/>
      </c>
      <c r="AK161" s="21">
        <f>IF(AK$27="",0,SUMPRODUCT($N$113:$N$120,AK$143:AK$150))</f>
        <v/>
      </c>
      <c r="AL161" s="21">
        <f>IF(AL$27="",0,SUMPRODUCT($N$113:$N$120,AL$143:AL$150))</f>
        <v/>
      </c>
      <c r="AM161" s="21">
        <f>IF(AM$27="",0,SUMPRODUCT($N$113:$N$120,AM$143:AM$150))</f>
        <v/>
      </c>
    </row>
    <row r="162">
      <c r="A162" s="3" t="inlineStr">
        <is>
          <t>Consensus simulado (filtro)</t>
        </is>
      </c>
      <c r="B162" s="7" t="inlineStr">
        <is>
          <t>Series del grafico 2</t>
        </is>
      </c>
      <c r="D162" s="21">
        <f>IF(D$27="",0,SUMPRODUCT($N$113:$N$120,D$153:D$160))</f>
        <v/>
      </c>
      <c r="E162" s="21">
        <f>IF(E$27="",0,SUMPRODUCT($N$113:$N$120,E$153:E$160))</f>
        <v/>
      </c>
      <c r="F162" s="21">
        <f>IF(F$27="",0,SUMPRODUCT($N$113:$N$120,F$153:F$160))</f>
        <v/>
      </c>
      <c r="G162" s="21">
        <f>IF(G$27="",0,SUMPRODUCT($N$113:$N$120,G$153:G$160))</f>
        <v/>
      </c>
      <c r="H162" s="21">
        <f>IF(H$27="",0,SUMPRODUCT($N$113:$N$120,H$153:H$160))</f>
        <v/>
      </c>
      <c r="I162" s="21">
        <f>IF(I$27="",0,SUMPRODUCT($N$113:$N$120,I$153:I$160))</f>
        <v/>
      </c>
      <c r="J162" s="21">
        <f>IF(J$27="",0,SUMPRODUCT($N$113:$N$120,J$153:J$160))</f>
        <v/>
      </c>
      <c r="K162" s="21">
        <f>IF(K$27="",0,SUMPRODUCT($N$113:$N$120,K$153:K$160))</f>
        <v/>
      </c>
      <c r="L162" s="21">
        <f>IF(L$27="",0,SUMPRODUCT($N$113:$N$120,L$153:L$160))</f>
        <v/>
      </c>
      <c r="M162" s="21">
        <f>IF(M$27="",0,SUMPRODUCT($N$113:$N$120,M$153:M$160))</f>
        <v/>
      </c>
      <c r="N162" s="21">
        <f>IF(N$27="",0,SUMPRODUCT($N$113:$N$120,N$153:N$160))</f>
        <v/>
      </c>
      <c r="O162" s="21">
        <f>IF(O$27="",0,SUMPRODUCT($N$113:$N$120,O$153:O$160))</f>
        <v/>
      </c>
      <c r="P162" s="21">
        <f>IF(P$27="",0,SUMPRODUCT($N$113:$N$120,P$153:P$160))</f>
        <v/>
      </c>
      <c r="Q162" s="21">
        <f>IF(Q$27="",0,SUMPRODUCT($N$113:$N$120,Q$153:Q$160))</f>
        <v/>
      </c>
      <c r="R162" s="21">
        <f>IF(R$27="",0,SUMPRODUCT($N$113:$N$120,R$153:R$160))</f>
        <v/>
      </c>
      <c r="S162" s="21">
        <f>IF(S$27="",0,SUMPRODUCT($N$113:$N$120,S$153:S$160))</f>
        <v/>
      </c>
      <c r="T162" s="21">
        <f>IF(T$27="",0,SUMPRODUCT($N$113:$N$120,T$153:T$160))</f>
        <v/>
      </c>
      <c r="U162" s="21">
        <f>IF(U$27="",0,SUMPRODUCT($N$113:$N$120,U$153:U$160))</f>
        <v/>
      </c>
      <c r="V162" s="21">
        <f>IF(V$27="",0,SUMPRODUCT($N$113:$N$120,V$153:V$160))</f>
        <v/>
      </c>
      <c r="W162" s="21">
        <f>IF(W$27="",0,SUMPRODUCT($N$113:$N$120,W$153:W$160))</f>
        <v/>
      </c>
      <c r="X162" s="21">
        <f>IF(X$27="",0,SUMPRODUCT($N$113:$N$120,X$153:X$160))</f>
        <v/>
      </c>
      <c r="Y162" s="21">
        <f>IF(Y$27="",0,SUMPRODUCT($N$113:$N$120,Y$153:Y$160))</f>
        <v/>
      </c>
      <c r="Z162" s="21">
        <f>IF(Z$27="",0,SUMPRODUCT($N$113:$N$120,Z$153:Z$160))</f>
        <v/>
      </c>
      <c r="AA162" s="21">
        <f>IF(AA$27="",0,SUMPRODUCT($N$113:$N$120,AA$153:AA$160))</f>
        <v/>
      </c>
      <c r="AB162" s="21">
        <f>IF(AB$27="",0,SUMPRODUCT($N$113:$N$120,AB$153:AB$160))</f>
        <v/>
      </c>
      <c r="AC162" s="21">
        <f>IF(AC$27="",0,SUMPRODUCT($N$113:$N$120,AC$153:AC$160))</f>
        <v/>
      </c>
      <c r="AD162" s="21">
        <f>IF(AD$27="",0,SUMPRODUCT($N$113:$N$120,AD$153:AD$160))</f>
        <v/>
      </c>
      <c r="AE162" s="21">
        <f>IF(AE$27="",0,SUMPRODUCT($N$113:$N$120,AE$153:AE$160))</f>
        <v/>
      </c>
      <c r="AF162" s="21">
        <f>IF(AF$27="",0,SUMPRODUCT($N$113:$N$120,AF$153:AF$160))</f>
        <v/>
      </c>
      <c r="AG162" s="21">
        <f>IF(AG$27="",0,SUMPRODUCT($N$113:$N$120,AG$153:AG$160))</f>
        <v/>
      </c>
      <c r="AH162" s="21">
        <f>IF(AH$27="",0,SUMPRODUCT($N$113:$N$120,AH$153:AH$160))</f>
        <v/>
      </c>
      <c r="AI162" s="21">
        <f>IF(AI$27="",0,SUMPRODUCT($N$113:$N$120,AI$153:AI$160))</f>
        <v/>
      </c>
      <c r="AJ162" s="21">
        <f>IF(AJ$27="",0,SUMPRODUCT($N$113:$N$120,AJ$153:AJ$160))</f>
        <v/>
      </c>
      <c r="AK162" s="21">
        <f>IF(AK$27="",0,SUMPRODUCT($N$113:$N$120,AK$153:AK$160))</f>
        <v/>
      </c>
      <c r="AL162" s="21">
        <f>IF(AL$27="",0,SUMPRODUCT($N$113:$N$120,AL$153:AL$160))</f>
        <v/>
      </c>
      <c r="AM162" s="21">
        <f>IF(AM$27="",0,SUMPRODUCT($N$113:$N$120,AM$153:AM$160))</f>
        <v/>
      </c>
    </row>
    <row r="163">
      <c r="B163" s="19">
        <f>"Consensus - Final SIMULADO"</f>
        <v/>
      </c>
      <c r="D163" s="21">
        <f>IF(OR(D$27="",$F$14=0),NA(),SUMPRODUCT($N$113:$N$120,D$153:D$160))</f>
        <v/>
      </c>
      <c r="E163" s="21">
        <f>IF(OR(E$27="",$F$14=0),NA(),SUMPRODUCT($N$113:$N$120,E$153:E$160))</f>
        <v/>
      </c>
      <c r="F163" s="21">
        <f>IF(OR(F$27="",$F$14=0),NA(),SUMPRODUCT($N$113:$N$120,F$153:F$160))</f>
        <v/>
      </c>
      <c r="G163" s="21">
        <f>IF(OR(G$27="",$F$14=0),NA(),SUMPRODUCT($N$113:$N$120,G$153:G$160))</f>
        <v/>
      </c>
      <c r="H163" s="21">
        <f>IF(OR(H$27="",$F$14=0),NA(),SUMPRODUCT($N$113:$N$120,H$153:H$160))</f>
        <v/>
      </c>
      <c r="I163" s="21">
        <f>IF(OR(I$27="",$F$14=0),NA(),SUMPRODUCT($N$113:$N$120,I$153:I$160))</f>
        <v/>
      </c>
      <c r="J163" s="21">
        <f>IF(OR(J$27="",$F$14=0),NA(),SUMPRODUCT($N$113:$N$120,J$153:J$160))</f>
        <v/>
      </c>
      <c r="K163" s="21">
        <f>IF(OR(K$27="",$F$14=0),NA(),SUMPRODUCT($N$113:$N$120,K$153:K$160))</f>
        <v/>
      </c>
      <c r="L163" s="21">
        <f>IF(OR(L$27="",$F$14=0),NA(),SUMPRODUCT($N$113:$N$120,L$153:L$160))</f>
        <v/>
      </c>
      <c r="M163" s="21">
        <f>IF(OR(M$27="",$F$14=0),NA(),SUMPRODUCT($N$113:$N$120,M$153:M$160))</f>
        <v/>
      </c>
      <c r="N163" s="21">
        <f>IF(OR(N$27="",$F$14=0),NA(),SUMPRODUCT($N$113:$N$120,N$153:N$160))</f>
        <v/>
      </c>
      <c r="O163" s="21">
        <f>IF(OR(O$27="",$F$14=0),NA(),SUMPRODUCT($N$113:$N$120,O$153:O$160))</f>
        <v/>
      </c>
      <c r="P163" s="21">
        <f>IF(OR(P$27="",$F$14=0),NA(),SUMPRODUCT($N$113:$N$120,P$153:P$160))</f>
        <v/>
      </c>
      <c r="Q163" s="21">
        <f>IF(OR(Q$27="",$F$14=0),NA(),SUMPRODUCT($N$113:$N$120,Q$153:Q$160))</f>
        <v/>
      </c>
      <c r="R163" s="21">
        <f>IF(OR(R$27="",$F$14=0),NA(),SUMPRODUCT($N$113:$N$120,R$153:R$160))</f>
        <v/>
      </c>
      <c r="S163" s="21">
        <f>IF(OR(S$27="",$F$14=0),NA(),SUMPRODUCT($N$113:$N$120,S$153:S$160))</f>
        <v/>
      </c>
      <c r="T163" s="21">
        <f>IF(OR(T$27="",$F$14=0),NA(),SUMPRODUCT($N$113:$N$120,T$153:T$160))</f>
        <v/>
      </c>
      <c r="U163" s="21">
        <f>IF(OR(U$27="",$F$14=0),NA(),SUMPRODUCT($N$113:$N$120,U$153:U$160))</f>
        <v/>
      </c>
      <c r="V163" s="21">
        <f>IF(OR(V$27="",$F$14=0),NA(),SUMPRODUCT($N$113:$N$120,V$153:V$160))</f>
        <v/>
      </c>
      <c r="W163" s="21">
        <f>IF(OR(W$27="",$F$14=0),NA(),SUMPRODUCT($N$113:$N$120,W$153:W$160))</f>
        <v/>
      </c>
      <c r="X163" s="21">
        <f>IF(OR(X$27="",$F$14=0),NA(),SUMPRODUCT($N$113:$N$120,X$153:X$160))</f>
        <v/>
      </c>
      <c r="Y163" s="21">
        <f>IF(OR(Y$27="",$F$14=0),NA(),SUMPRODUCT($N$113:$N$120,Y$153:Y$160))</f>
        <v/>
      </c>
      <c r="Z163" s="21">
        <f>IF(OR(Z$27="",$F$14=0),NA(),SUMPRODUCT($N$113:$N$120,Z$153:Z$160))</f>
        <v/>
      </c>
      <c r="AA163" s="21">
        <f>IF(OR(AA$27="",$F$14=0),NA(),SUMPRODUCT($N$113:$N$120,AA$153:AA$160))</f>
        <v/>
      </c>
      <c r="AB163" s="21">
        <f>IF(OR(AB$27="",$F$14=0),NA(),SUMPRODUCT($N$113:$N$120,AB$153:AB$160))</f>
        <v/>
      </c>
      <c r="AC163" s="21">
        <f>IF(OR(AC$27="",$F$14=0),NA(),SUMPRODUCT($N$113:$N$120,AC$153:AC$160))</f>
        <v/>
      </c>
      <c r="AD163" s="21">
        <f>IF(OR(AD$27="",$F$14=0),NA(),SUMPRODUCT($N$113:$N$120,AD$153:AD$160))</f>
        <v/>
      </c>
      <c r="AE163" s="21">
        <f>IF(OR(AE$27="",$F$14=0),NA(),SUMPRODUCT($N$113:$N$120,AE$153:AE$160))</f>
        <v/>
      </c>
      <c r="AF163" s="21">
        <f>IF(OR(AF$27="",$F$14=0),NA(),SUMPRODUCT($N$113:$N$120,AF$153:AF$160))</f>
        <v/>
      </c>
      <c r="AG163" s="21">
        <f>IF(OR(AG$27="",$F$14=0),NA(),SUMPRODUCT($N$113:$N$120,AG$153:AG$160))</f>
        <v/>
      </c>
      <c r="AH163" s="21">
        <f>IF(OR(AH$27="",$F$14=0),NA(),SUMPRODUCT($N$113:$N$120,AH$153:AH$160))</f>
        <v/>
      </c>
      <c r="AI163" s="21">
        <f>IF(OR(AI$27="",$F$14=0),NA(),SUMPRODUCT($N$113:$N$120,AI$153:AI$160))</f>
        <v/>
      </c>
      <c r="AJ163" s="21">
        <f>IF(OR(AJ$27="",$F$14=0),NA(),SUMPRODUCT($N$113:$N$120,AJ$153:AJ$160))</f>
        <v/>
      </c>
      <c r="AK163" s="21">
        <f>IF(OR(AK$27="",$F$14=0),NA(),SUMPRODUCT($N$113:$N$120,AK$153:AK$160))</f>
        <v/>
      </c>
      <c r="AL163" s="21">
        <f>IF(OR(AL$27="",$F$14=0),NA(),SUMPRODUCT($N$113:$N$120,AL$153:AL$160))</f>
        <v/>
      </c>
      <c r="AM163" s="21">
        <f>IF(OR(AM$27="",$F$14=0),NA(),SUMPRODUCT($N$113:$N$120,AM$153:AM$160))</f>
        <v/>
      </c>
    </row>
    <row r="164">
      <c r="B164" s="19">
        <f>$B$34</f>
        <v/>
      </c>
      <c r="D164" s="21">
        <f>D34</f>
        <v/>
      </c>
      <c r="E164" s="21">
        <f>E34</f>
        <v/>
      </c>
      <c r="F164" s="21">
        <f>F34</f>
        <v/>
      </c>
      <c r="G164" s="21">
        <f>G34</f>
        <v/>
      </c>
      <c r="H164" s="21">
        <f>H34</f>
        <v/>
      </c>
      <c r="I164" s="21">
        <f>I34</f>
        <v/>
      </c>
      <c r="J164" s="21">
        <f>J34</f>
        <v/>
      </c>
      <c r="K164" s="21">
        <f>K34</f>
        <v/>
      </c>
      <c r="L164" s="21">
        <f>L34</f>
        <v/>
      </c>
      <c r="M164" s="21">
        <f>M34</f>
        <v/>
      </c>
      <c r="N164" s="21">
        <f>N34</f>
        <v/>
      </c>
      <c r="O164" s="21">
        <f>O34</f>
        <v/>
      </c>
      <c r="P164" s="21">
        <f>P34</f>
        <v/>
      </c>
      <c r="Q164" s="21">
        <f>Q34</f>
        <v/>
      </c>
      <c r="R164" s="21">
        <f>R34</f>
        <v/>
      </c>
      <c r="S164" s="21">
        <f>S34</f>
        <v/>
      </c>
      <c r="T164" s="21">
        <f>T34</f>
        <v/>
      </c>
      <c r="U164" s="21">
        <f>U34</f>
        <v/>
      </c>
      <c r="V164" s="21">
        <f>V34</f>
        <v/>
      </c>
      <c r="W164" s="21">
        <f>W34</f>
        <v/>
      </c>
      <c r="X164" s="21">
        <f>X34</f>
        <v/>
      </c>
      <c r="Y164" s="21">
        <f>Y34</f>
        <v/>
      </c>
      <c r="Z164" s="21">
        <f>Z34</f>
        <v/>
      </c>
      <c r="AA164" s="21">
        <f>AA34</f>
        <v/>
      </c>
      <c r="AB164" s="21">
        <f>AB34</f>
        <v/>
      </c>
      <c r="AC164" s="21">
        <f>AC34</f>
        <v/>
      </c>
      <c r="AD164" s="21">
        <f>AD34</f>
        <v/>
      </c>
      <c r="AE164" s="21">
        <f>AE34</f>
        <v/>
      </c>
      <c r="AF164" s="21">
        <f>AF34</f>
        <v/>
      </c>
      <c r="AG164" s="21">
        <f>AG34</f>
        <v/>
      </c>
      <c r="AH164" s="21">
        <f>AH34</f>
        <v/>
      </c>
      <c r="AI164" s="21">
        <f>AI34</f>
        <v/>
      </c>
      <c r="AJ164" s="21">
        <f>AJ34</f>
        <v/>
      </c>
      <c r="AK164" s="21">
        <f>AK34</f>
        <v/>
      </c>
      <c r="AL164" s="21">
        <f>AL34</f>
        <v/>
      </c>
      <c r="AM164" s="21">
        <f>AM34</f>
        <v/>
      </c>
    </row>
    <row r="165">
      <c r="B165" s="19">
        <f>$B$35</f>
        <v/>
      </c>
      <c r="D165" s="21">
        <f>D35</f>
        <v/>
      </c>
      <c r="E165" s="21">
        <f>E35</f>
        <v/>
      </c>
      <c r="F165" s="21">
        <f>F35</f>
        <v/>
      </c>
      <c r="G165" s="21">
        <f>G35</f>
        <v/>
      </c>
      <c r="H165" s="21">
        <f>H35</f>
        <v/>
      </c>
      <c r="I165" s="21">
        <f>I35</f>
        <v/>
      </c>
      <c r="J165" s="21">
        <f>J35</f>
        <v/>
      </c>
      <c r="K165" s="21">
        <f>K35</f>
        <v/>
      </c>
      <c r="L165" s="21">
        <f>L35</f>
        <v/>
      </c>
      <c r="M165" s="21">
        <f>M35</f>
        <v/>
      </c>
      <c r="N165" s="21">
        <f>N35</f>
        <v/>
      </c>
      <c r="O165" s="21">
        <f>O35</f>
        <v/>
      </c>
      <c r="P165" s="21">
        <f>P35</f>
        <v/>
      </c>
      <c r="Q165" s="21">
        <f>Q35</f>
        <v/>
      </c>
      <c r="R165" s="21">
        <f>R35</f>
        <v/>
      </c>
      <c r="S165" s="21">
        <f>S35</f>
        <v/>
      </c>
      <c r="T165" s="21">
        <f>T35</f>
        <v/>
      </c>
      <c r="U165" s="21">
        <f>U35</f>
        <v/>
      </c>
      <c r="V165" s="21">
        <f>V35</f>
        <v/>
      </c>
      <c r="W165" s="21">
        <f>W35</f>
        <v/>
      </c>
      <c r="X165" s="21">
        <f>X35</f>
        <v/>
      </c>
      <c r="Y165" s="21">
        <f>Y35</f>
        <v/>
      </c>
      <c r="Z165" s="21">
        <f>Z35</f>
        <v/>
      </c>
      <c r="AA165" s="21">
        <f>AA35</f>
        <v/>
      </c>
      <c r="AB165" s="21">
        <f>AB35</f>
        <v/>
      </c>
      <c r="AC165" s="21">
        <f>AC35</f>
        <v/>
      </c>
      <c r="AD165" s="21">
        <f>AD35</f>
        <v/>
      </c>
      <c r="AE165" s="21">
        <f>AE35</f>
        <v/>
      </c>
      <c r="AF165" s="21">
        <f>AF35</f>
        <v/>
      </c>
      <c r="AG165" s="21">
        <f>AG35</f>
        <v/>
      </c>
      <c r="AH165" s="21">
        <f>AH35</f>
        <v/>
      </c>
      <c r="AI165" s="21">
        <f>AI35</f>
        <v/>
      </c>
      <c r="AJ165" s="21">
        <f>AJ35</f>
        <v/>
      </c>
      <c r="AK165" s="21">
        <f>AK35</f>
        <v/>
      </c>
      <c r="AL165" s="21">
        <f>AL35</f>
        <v/>
      </c>
      <c r="AM165" s="21">
        <f>AM35</f>
        <v/>
      </c>
    </row>
    <row r="166">
      <c r="B166" s="19">
        <f>$B$36</f>
        <v/>
      </c>
      <c r="D166" s="21">
        <f>D36</f>
        <v/>
      </c>
      <c r="E166" s="21">
        <f>E36</f>
        <v/>
      </c>
      <c r="F166" s="21">
        <f>F36</f>
        <v/>
      </c>
      <c r="G166" s="21">
        <f>G36</f>
        <v/>
      </c>
      <c r="H166" s="21">
        <f>H36</f>
        <v/>
      </c>
      <c r="I166" s="21">
        <f>I36</f>
        <v/>
      </c>
      <c r="J166" s="21">
        <f>J36</f>
        <v/>
      </c>
      <c r="K166" s="21">
        <f>K36</f>
        <v/>
      </c>
      <c r="L166" s="21">
        <f>L36</f>
        <v/>
      </c>
      <c r="M166" s="21">
        <f>M36</f>
        <v/>
      </c>
      <c r="N166" s="21">
        <f>N36</f>
        <v/>
      </c>
      <c r="O166" s="21">
        <f>O36</f>
        <v/>
      </c>
      <c r="P166" s="21">
        <f>P36</f>
        <v/>
      </c>
      <c r="Q166" s="21">
        <f>Q36</f>
        <v/>
      </c>
      <c r="R166" s="21">
        <f>R36</f>
        <v/>
      </c>
      <c r="S166" s="21">
        <f>S36</f>
        <v/>
      </c>
      <c r="T166" s="21">
        <f>T36</f>
        <v/>
      </c>
      <c r="U166" s="21">
        <f>U36</f>
        <v/>
      </c>
      <c r="V166" s="21">
        <f>V36</f>
        <v/>
      </c>
      <c r="W166" s="21">
        <f>W36</f>
        <v/>
      </c>
      <c r="X166" s="21">
        <f>X36</f>
        <v/>
      </c>
      <c r="Y166" s="21">
        <f>Y36</f>
        <v/>
      </c>
      <c r="Z166" s="21">
        <f>Z36</f>
        <v/>
      </c>
      <c r="AA166" s="21">
        <f>AA36</f>
        <v/>
      </c>
      <c r="AB166" s="21">
        <f>AB36</f>
        <v/>
      </c>
      <c r="AC166" s="21">
        <f>AC36</f>
        <v/>
      </c>
      <c r="AD166" s="21">
        <f>AD36</f>
        <v/>
      </c>
      <c r="AE166" s="21">
        <f>AE36</f>
        <v/>
      </c>
      <c r="AF166" s="21">
        <f>AF36</f>
        <v/>
      </c>
      <c r="AG166" s="21">
        <f>AG36</f>
        <v/>
      </c>
      <c r="AH166" s="21">
        <f>AH36</f>
        <v/>
      </c>
      <c r="AI166" s="21">
        <f>AI36</f>
        <v/>
      </c>
      <c r="AJ166" s="21">
        <f>AJ36</f>
        <v/>
      </c>
      <c r="AK166" s="21">
        <f>AK36</f>
        <v/>
      </c>
      <c r="AL166" s="21">
        <f>AL36</f>
        <v/>
      </c>
      <c r="AM166" s="21">
        <f>AM36</f>
        <v/>
      </c>
    </row>
    <row r="167">
      <c r="B167" s="19">
        <f>"System FC - Final SIMULADO"</f>
        <v/>
      </c>
      <c r="D167" s="21">
        <f>IF(OR(D$27="",$F$14=0),NA(),SUMPRODUCT($N$113:$N$120,D$123:D$130))</f>
        <v/>
      </c>
      <c r="E167" s="21">
        <f>IF(OR(E$27="",$F$14=0),NA(),SUMPRODUCT($N$113:$N$120,E$123:E$130))</f>
        <v/>
      </c>
      <c r="F167" s="21">
        <f>IF(OR(F$27="",$F$14=0),NA(),SUMPRODUCT($N$113:$N$120,F$123:F$130))</f>
        <v/>
      </c>
      <c r="G167" s="21">
        <f>IF(OR(G$27="",$F$14=0),NA(),SUMPRODUCT($N$113:$N$120,G$123:G$130))</f>
        <v/>
      </c>
      <c r="H167" s="21">
        <f>IF(OR(H$27="",$F$14=0),NA(),SUMPRODUCT($N$113:$N$120,H$123:H$130))</f>
        <v/>
      </c>
      <c r="I167" s="21">
        <f>IF(OR(I$27="",$F$14=0),NA(),SUMPRODUCT($N$113:$N$120,I$123:I$130))</f>
        <v/>
      </c>
      <c r="J167" s="21">
        <f>IF(OR(J$27="",$F$14=0),NA(),SUMPRODUCT($N$113:$N$120,J$123:J$130))</f>
        <v/>
      </c>
      <c r="K167" s="21">
        <f>IF(OR(K$27="",$F$14=0),NA(),SUMPRODUCT($N$113:$N$120,K$123:K$130))</f>
        <v/>
      </c>
      <c r="L167" s="21">
        <f>IF(OR(L$27="",$F$14=0),NA(),SUMPRODUCT($N$113:$N$120,L$123:L$130))</f>
        <v/>
      </c>
      <c r="M167" s="21">
        <f>IF(OR(M$27="",$F$14=0),NA(),SUMPRODUCT($N$113:$N$120,M$123:M$130))</f>
        <v/>
      </c>
      <c r="N167" s="21">
        <f>IF(OR(N$27="",$F$14=0),NA(),SUMPRODUCT($N$113:$N$120,N$123:N$130))</f>
        <v/>
      </c>
      <c r="O167" s="21">
        <f>IF(OR(O$27="",$F$14=0),NA(),SUMPRODUCT($N$113:$N$120,O$123:O$130))</f>
        <v/>
      </c>
      <c r="P167" s="21">
        <f>IF(OR(P$27="",$F$14=0),NA(),SUMPRODUCT($N$113:$N$120,P$123:P$130))</f>
        <v/>
      </c>
      <c r="Q167" s="21">
        <f>IF(OR(Q$27="",$F$14=0),NA(),SUMPRODUCT($N$113:$N$120,Q$123:Q$130))</f>
        <v/>
      </c>
      <c r="R167" s="21">
        <f>IF(OR(R$27="",$F$14=0),NA(),SUMPRODUCT($N$113:$N$120,R$123:R$130))</f>
        <v/>
      </c>
      <c r="S167" s="21">
        <f>IF(OR(S$27="",$F$14=0),NA(),SUMPRODUCT($N$113:$N$120,S$123:S$130))</f>
        <v/>
      </c>
      <c r="T167" s="21">
        <f>IF(OR(T$27="",$F$14=0),NA(),SUMPRODUCT($N$113:$N$120,T$123:T$130))</f>
        <v/>
      </c>
      <c r="U167" s="21">
        <f>IF(OR(U$27="",$F$14=0),NA(),SUMPRODUCT($N$113:$N$120,U$123:U$130))</f>
        <v/>
      </c>
      <c r="V167" s="21">
        <f>IF(OR(V$27="",$F$14=0),NA(),SUMPRODUCT($N$113:$N$120,V$123:V$130))</f>
        <v/>
      </c>
      <c r="W167" s="21">
        <f>IF(OR(W$27="",$F$14=0),NA(),SUMPRODUCT($N$113:$N$120,W$123:W$130))</f>
        <v/>
      </c>
      <c r="X167" s="21">
        <f>IF(OR(X$27="",$F$14=0),NA(),SUMPRODUCT($N$113:$N$120,X$123:X$130))</f>
        <v/>
      </c>
      <c r="Y167" s="21">
        <f>IF(OR(Y$27="",$F$14=0),NA(),SUMPRODUCT($N$113:$N$120,Y$123:Y$130))</f>
        <v/>
      </c>
      <c r="Z167" s="21">
        <f>IF(OR(Z$27="",$F$14=0),NA(),SUMPRODUCT($N$113:$N$120,Z$123:Z$130))</f>
        <v/>
      </c>
      <c r="AA167" s="21">
        <f>IF(OR(AA$27="",$F$14=0),NA(),SUMPRODUCT($N$113:$N$120,AA$123:AA$130))</f>
        <v/>
      </c>
      <c r="AB167" s="21">
        <f>IF(OR(AB$27="",$F$14=0),NA(),SUMPRODUCT($N$113:$N$120,AB$123:AB$130))</f>
        <v/>
      </c>
      <c r="AC167" s="21">
        <f>IF(OR(AC$27="",$F$14=0),NA(),SUMPRODUCT($N$113:$N$120,AC$123:AC$130))</f>
        <v/>
      </c>
      <c r="AD167" s="21">
        <f>IF(OR(AD$27="",$F$14=0),NA(),SUMPRODUCT($N$113:$N$120,AD$123:AD$130))</f>
        <v/>
      </c>
      <c r="AE167" s="21">
        <f>IF(OR(AE$27="",$F$14=0),NA(),SUMPRODUCT($N$113:$N$120,AE$123:AE$130))</f>
        <v/>
      </c>
      <c r="AF167" s="21">
        <f>IF(OR(AF$27="",$F$14=0),NA(),SUMPRODUCT($N$113:$N$120,AF$123:AF$130))</f>
        <v/>
      </c>
      <c r="AG167" s="21">
        <f>IF(OR(AG$27="",$F$14=0),NA(),SUMPRODUCT($N$113:$N$120,AG$123:AG$130))</f>
        <v/>
      </c>
      <c r="AH167" s="21">
        <f>IF(OR(AH$27="",$F$14=0),NA(),SUMPRODUCT($N$113:$N$120,AH$123:AH$130))</f>
        <v/>
      </c>
      <c r="AI167" s="21">
        <f>IF(OR(AI$27="",$F$14=0),NA(),SUMPRODUCT($N$113:$N$120,AI$123:AI$130))</f>
        <v/>
      </c>
      <c r="AJ167" s="21">
        <f>IF(OR(AJ$27="",$F$14=0),NA(),SUMPRODUCT($N$113:$N$120,AJ$123:AJ$130))</f>
        <v/>
      </c>
      <c r="AK167" s="21">
        <f>IF(OR(AK$27="",$F$14=0),NA(),SUMPRODUCT($N$113:$N$120,AK$123:AK$130))</f>
        <v/>
      </c>
      <c r="AL167" s="21">
        <f>IF(OR(AL$27="",$F$14=0),NA(),SUMPRODUCT($N$113:$N$120,AL$123:AL$130))</f>
        <v/>
      </c>
      <c r="AM167" s="21">
        <f>IF(OR(AM$27="",$F$14=0),NA(),SUMPRODUCT($N$113:$N$120,AM$123:AM$130))</f>
        <v/>
      </c>
    </row>
    <row r="168">
      <c r="B168" s="19">
        <f>$B$37</f>
        <v/>
      </c>
      <c r="D168" s="21">
        <f>D37</f>
        <v/>
      </c>
      <c r="E168" s="21">
        <f>E37</f>
        <v/>
      </c>
      <c r="F168" s="21">
        <f>F37</f>
        <v/>
      </c>
      <c r="G168" s="21">
        <f>G37</f>
        <v/>
      </c>
      <c r="H168" s="21">
        <f>H37</f>
        <v/>
      </c>
      <c r="I168" s="21">
        <f>I37</f>
        <v/>
      </c>
      <c r="J168" s="21">
        <f>J37</f>
        <v/>
      </c>
      <c r="K168" s="21">
        <f>K37</f>
        <v/>
      </c>
      <c r="L168" s="21">
        <f>L37</f>
        <v/>
      </c>
      <c r="M168" s="21">
        <f>M37</f>
        <v/>
      </c>
      <c r="N168" s="21">
        <f>N37</f>
        <v/>
      </c>
      <c r="O168" s="21">
        <f>O37</f>
        <v/>
      </c>
      <c r="P168" s="21">
        <f>P37</f>
        <v/>
      </c>
      <c r="Q168" s="21">
        <f>Q37</f>
        <v/>
      </c>
      <c r="R168" s="21">
        <f>R37</f>
        <v/>
      </c>
      <c r="S168" s="21">
        <f>S37</f>
        <v/>
      </c>
      <c r="T168" s="21">
        <f>T37</f>
        <v/>
      </c>
      <c r="U168" s="21">
        <f>U37</f>
        <v/>
      </c>
      <c r="V168" s="21">
        <f>V37</f>
        <v/>
      </c>
      <c r="W168" s="21">
        <f>W37</f>
        <v/>
      </c>
      <c r="X168" s="21">
        <f>X37</f>
        <v/>
      </c>
      <c r="Y168" s="21">
        <f>Y37</f>
        <v/>
      </c>
      <c r="Z168" s="21">
        <f>Z37</f>
        <v/>
      </c>
      <c r="AA168" s="21">
        <f>AA37</f>
        <v/>
      </c>
      <c r="AB168" s="21">
        <f>AB37</f>
        <v/>
      </c>
      <c r="AC168" s="21">
        <f>AC37</f>
        <v/>
      </c>
      <c r="AD168" s="21">
        <f>AD37</f>
        <v/>
      </c>
      <c r="AE168" s="21">
        <f>AE37</f>
        <v/>
      </c>
      <c r="AF168" s="21">
        <f>AF37</f>
        <v/>
      </c>
      <c r="AG168" s="21">
        <f>AG37</f>
        <v/>
      </c>
      <c r="AH168" s="21">
        <f>AH37</f>
        <v/>
      </c>
      <c r="AI168" s="21">
        <f>AI37</f>
        <v/>
      </c>
      <c r="AJ168" s="21">
        <f>AJ37</f>
        <v/>
      </c>
      <c r="AK168" s="21">
        <f>AK37</f>
        <v/>
      </c>
      <c r="AL168" s="21">
        <f>AL37</f>
        <v/>
      </c>
      <c r="AM168" s="21">
        <f>AM37</f>
        <v/>
      </c>
    </row>
    <row r="171">
      <c r="A171" s="7" t="inlineStr">
        <is>
          <t>Lista CFG</t>
        </is>
      </c>
    </row>
    <row r="172">
      <c r="B172" s="20">
        <f>$B$23</f>
        <v/>
      </c>
    </row>
    <row r="173">
      <c r="B173" s="20">
        <f>IF($B113="","",$B113)</f>
        <v/>
      </c>
    </row>
    <row r="174">
      <c r="B174" s="20">
        <f>IF($B114="","",$B114)</f>
        <v/>
      </c>
    </row>
    <row r="175">
      <c r="B175" s="20">
        <f>IF($B115="","",$B115)</f>
        <v/>
      </c>
    </row>
    <row r="176">
      <c r="B176" s="20">
        <f>IF($B116="","",$B116)</f>
        <v/>
      </c>
    </row>
    <row r="177">
      <c r="B177" s="20">
        <f>IF($B117="","",$B117)</f>
        <v/>
      </c>
    </row>
    <row r="178">
      <c r="B178" s="20">
        <f>IF($B118="","",$B118)</f>
        <v/>
      </c>
    </row>
    <row r="179">
      <c r="B179" s="20">
        <f>IF($B119="","",$B119)</f>
        <v/>
      </c>
    </row>
    <row r="180">
      <c r="B180" s="20">
        <f>IF($B120="","",$B120)</f>
        <v/>
      </c>
    </row>
    <row r="183">
      <c r="A183" s="7" t="inlineStr">
        <is>
          <t>Lista algoritmos</t>
        </is>
      </c>
    </row>
    <row r="184">
      <c r="B184" s="20">
        <f>$F$5</f>
        <v/>
      </c>
    </row>
    <row r="185">
      <c r="B185" s="20">
        <f>IF($A41="","",$A41)</f>
        <v/>
      </c>
    </row>
    <row r="186">
      <c r="B186" s="20">
        <f>IF($A42="","",$A42)</f>
        <v/>
      </c>
    </row>
    <row r="187">
      <c r="B187" s="20">
        <f>IF($A43="","",$A43)</f>
        <v/>
      </c>
    </row>
    <row r="188">
      <c r="B188" s="20">
        <f>IF($A44="","",$A44)</f>
        <v/>
      </c>
    </row>
    <row r="189">
      <c r="B189" s="20">
        <f>IF($A45="","",$A45)</f>
        <v/>
      </c>
    </row>
    <row r="190">
      <c r="B190" s="20">
        <f>IF($A46="","",$A46)</f>
        <v/>
      </c>
    </row>
    <row r="191">
      <c r="B191" s="20">
        <f>IF($A47="","",$A47)</f>
        <v/>
      </c>
    </row>
    <row r="192">
      <c r="B192" s="20">
        <f>IF($A48="","",$A48)</f>
        <v/>
      </c>
    </row>
    <row r="193">
      <c r="B193" s="20">
        <f>IF($A49="","",$A49)</f>
        <v/>
      </c>
    </row>
    <row r="194">
      <c r="B194" s="20">
        <f>IF($A50="","",$A50)</f>
        <v/>
      </c>
    </row>
    <row r="199">
      <c r="A199" s="7" t="inlineStr">
        <is>
          <t>Lista bestfit</t>
        </is>
      </c>
    </row>
    <row r="200">
      <c r="A200" s="20" t="inlineStr">
        <is>
          <t>Stat Fcst L1</t>
        </is>
      </c>
      <c r="B200" s="20" t="inlineStr">
        <is>
          <t>(SISTEMA)</t>
        </is>
      </c>
    </row>
    <row r="201">
      <c r="A201" s="20" t="inlineStr">
        <is>
          <t>System ML Fcst L1</t>
        </is>
      </c>
      <c r="B201" s="20" t="inlineStr">
        <is>
          <t>ST</t>
        </is>
      </c>
    </row>
    <row r="202">
      <c r="A202" s="20" t="inlineStr">
        <is>
          <t>System Stat Fcst Bestfit</t>
        </is>
      </c>
      <c r="B202" s="20" t="inlineStr">
        <is>
          <t>LT</t>
        </is>
      </c>
    </row>
    <row r="203">
      <c r="B203" s="20" t="inlineStr">
        <is>
          <t>CML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German Alonso</dc:creator>
  <dcterms:created xsi:type="dcterms:W3CDTF">2026-09-21T12:00:33Z</dcterms:created>
  <dcterms:modified xsi:type="dcterms:W3CDTF">2026-09-21T14:09:26Z</dcterms:modified>
  <cp:lastModifiedBy>German Alonso</cp:lastModifiedBy>
</cp:coreProperties>
</file>